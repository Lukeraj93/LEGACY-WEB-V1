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1.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Members" sheetId="1" state="visible" r:id="rId1"/>
    <sheet xmlns:r="http://schemas.openxmlformats.org/officeDocument/2006/relationships" name="QuickLog" sheetId="2" state="visible" r:id="rId2"/>
    <sheet xmlns:r="http://schemas.openxmlformats.org/officeDocument/2006/relationships" name="WeeklySummary" sheetId="3" state="visible" r:id="rId3"/>
    <sheet xmlns:r="http://schemas.openxmlformats.org/officeDocument/2006/relationships" name="MonthlySummary" sheetId="4" state="visible" r:id="rId4"/>
    <sheet xmlns:r="http://schemas.openxmlformats.org/officeDocument/2006/relationships" name="Ledger" sheetId="5" state="visible" r:id="rId5"/>
    <sheet xmlns:r="http://schemas.openxmlformats.org/officeDocument/2006/relationships" name="SeedPlacement" sheetId="6" state="visible" r:id="rId6"/>
    <sheet xmlns:r="http://schemas.openxmlformats.org/officeDocument/2006/relationships" name="ActionMap" sheetId="7" state="visible" r:id="rId7"/>
    <sheet xmlns:r="http://schemas.openxmlformats.org/officeDocument/2006/relationships" name="ActionsCatalog" sheetId="8" state="visible" r:id="rId8"/>
    <sheet xmlns:r="http://schemas.openxmlformats.org/officeDocument/2006/relationships" name="Settings" sheetId="9" state="visible" r:id="rId9"/>
    <sheet xmlns:r="http://schemas.openxmlformats.org/officeDocument/2006/relationships" name="Info" sheetId="10" state="visible" r:id="rId10"/>
  </sheets>
  <definedNames/>
  <calcPr calcId="124519" calcMode="auto" fullCalcOnLoad="1" forceFullCalc="1"/>
</workbook>
</file>

<file path=xl/styles.xml><?xml version="1.0" encoding="utf-8"?>
<styleSheet xmlns="http://schemas.openxmlformats.org/spreadsheetml/2006/main">
  <numFmts count="3">
    <numFmt numFmtId="164" formatCode="dd/MM/yyyy"/>
    <numFmt numFmtId="165" formatCode="[$RM]#,##0.00"/>
    <numFmt numFmtId="166" formatCode="yyyy-mm-dd"/>
  </numFmts>
  <fonts count="6">
    <font>
      <name val="Roboto"/>
      <color rgb="FF000000"/>
      <sz val="10"/>
      <scheme val="minor"/>
    </font>
    <font>
      <name val="League Spartan"/>
      <color theme="1"/>
      <sz val="15"/>
    </font>
    <font>
      <name val="Roboto"/>
      <color theme="1"/>
    </font>
    <font>
      <name val="Roboto"/>
      <color theme="1"/>
      <scheme val="minor"/>
    </font>
    <font>
      <name val="League Spartan"/>
      <color rgb="FF000000"/>
      <sz val="15"/>
    </font>
    <font>
      <name val="Roboto"/>
      <b val="1"/>
      <color theme="1"/>
      <scheme val="minor"/>
    </font>
  </fonts>
  <fills count="6">
    <fill>
      <patternFill/>
    </fill>
    <fill>
      <patternFill patternType="lightGray"/>
    </fill>
    <fill>
      <patternFill patternType="solid">
        <fgColor theme="8"/>
        <bgColor theme="8"/>
      </patternFill>
    </fill>
    <fill>
      <patternFill patternType="solid">
        <fgColor rgb="FFD9D9D9"/>
        <bgColor rgb="FFD9D9D9"/>
      </patternFill>
    </fill>
    <fill>
      <patternFill patternType="solid">
        <fgColor rgb="FFCCCCCC"/>
        <bgColor rgb="FFCCCCCC"/>
      </patternFill>
    </fill>
    <fill>
      <patternFill patternType="solid">
        <fgColor rgb="FFF4CCCC"/>
        <bgColor rgb="FFF4CCCC"/>
      </patternFill>
    </fill>
  </fills>
  <borders count="16">
    <border/>
    <border>
      <left style="medium">
        <color rgb="FF000000"/>
      </left>
      <right style="medium">
        <color rgb="FF000000"/>
      </right>
      <top style="thick">
        <color rgb="FF000000"/>
      </top>
      <bottom style="medium">
        <color rgb="FF000000"/>
      </bottom>
    </border>
    <border>
      <left style="medium">
        <color rgb="FF000000"/>
      </left>
      <right style="medium">
        <color rgb="FF000000"/>
      </right>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medium">
        <color rgb="FF000000"/>
      </right>
      <top style="thin">
        <color rgb="FF000000"/>
      </top>
      <bottom style="thick">
        <color rgb="FF000000"/>
      </bottom>
    </border>
    <border>
      <left style="thick">
        <color rgb="FF000000"/>
      </left>
      <right style="medium">
        <color rgb="FF000000"/>
      </right>
      <top style="thick">
        <color rgb="FF000000"/>
      </top>
      <bottom style="medium">
        <color rgb="FF000000"/>
      </bottom>
    </border>
    <border>
      <left style="medium">
        <color rgb="FF000000"/>
      </left>
      <right style="thick">
        <color rgb="FF000000"/>
      </right>
      <top style="thick">
        <color rgb="FF000000"/>
      </top>
      <bottom style="medium">
        <color rgb="FF000000"/>
      </bottom>
    </border>
    <border>
      <left style="thick">
        <color rgb="FF000000"/>
      </left>
      <right style="medium">
        <color rgb="FF000000"/>
      </right>
      <bottom style="thin">
        <color rgb="FF000000"/>
      </bottom>
    </border>
    <border>
      <left style="medium">
        <color rgb="FF000000"/>
      </left>
      <right style="thick">
        <color rgb="FF000000"/>
      </right>
      <bottom style="thin">
        <color rgb="FF000000"/>
      </bottom>
    </border>
    <border>
      <left style="thick">
        <color rgb="FF000000"/>
      </left>
      <right style="medium">
        <color rgb="FF000000"/>
      </right>
      <top style="thin">
        <color rgb="FF000000"/>
      </top>
      <bottom style="thin">
        <color rgb="FF000000"/>
      </bottom>
    </border>
    <border>
      <left style="medium">
        <color rgb="FF000000"/>
      </left>
      <right style="thick">
        <color rgb="FF000000"/>
      </right>
      <top style="thin">
        <color rgb="FF000000"/>
      </top>
      <bottom style="thin">
        <color rgb="FF000000"/>
      </bottom>
    </border>
    <border>
      <left style="thick">
        <color rgb="FF000000"/>
      </left>
      <right style="medium">
        <color rgb="FF000000"/>
      </right>
      <top style="thin">
        <color rgb="FF000000"/>
      </top>
      <bottom style="thick">
        <color rgb="FF000000"/>
      </bottom>
    </border>
    <border>
      <left style="medium">
        <color rgb="FF000000"/>
      </left>
      <right style="medium">
        <color rgb="FF000000"/>
      </right>
      <bottom style="medium">
        <color rgb="FF000000"/>
      </bottom>
    </border>
    <border>
      <left style="medium">
        <color rgb="FF000000"/>
      </left>
      <right style="thick">
        <color rgb="FF000000"/>
      </right>
      <top style="thin">
        <color rgb="FF000000"/>
      </top>
      <bottom style="thick">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top style="thin">
        <color rgb="FF000000"/>
      </top>
      <bottom style="medium">
        <color rgb="FF000000"/>
      </bottom>
    </border>
  </borders>
  <cellStyleXfs count="1">
    <xf numFmtId="0" fontId="0" fillId="0" borderId="0"/>
  </cellStyleXfs>
  <cellXfs count="68">
    <xf numFmtId="0" fontId="0" fillId="0" borderId="0" applyAlignment="1" pivotButton="0" quotePrefix="0" xfId="0">
      <alignment vertical="bottom"/>
    </xf>
    <xf numFmtId="0" fontId="1" fillId="2" borderId="1" applyAlignment="1" pivotButton="0" quotePrefix="0" xfId="0">
      <alignment horizontal="center" vertical="center"/>
    </xf>
    <xf numFmtId="0" fontId="2" fillId="0" borderId="2" applyAlignment="1" pivotButton="0" quotePrefix="0" xfId="0">
      <alignment horizontal="center"/>
    </xf>
    <xf numFmtId="0" fontId="2" fillId="0" borderId="3" applyAlignment="1" pivotButton="0" quotePrefix="0" xfId="0">
      <alignment horizontal="center"/>
    </xf>
    <xf numFmtId="0" fontId="2" fillId="0" borderId="3" applyAlignment="1" pivotButton="0" quotePrefix="0" xfId="0">
      <alignment horizontal="center"/>
    </xf>
    <xf numFmtId="0" fontId="2" fillId="0" borderId="4" applyAlignment="1" pivotButton="0" quotePrefix="0" xfId="0">
      <alignment horizontal="center"/>
    </xf>
    <xf numFmtId="164" fontId="1" fillId="2" borderId="5" applyAlignment="1" pivotButton="0" quotePrefix="0" xfId="0">
      <alignment horizontal="center" vertical="center"/>
    </xf>
    <xf numFmtId="0" fontId="1" fillId="3" borderId="1" applyAlignment="1" pivotButton="0" quotePrefix="0" xfId="0">
      <alignment horizontal="center" vertical="center"/>
    </xf>
    <xf numFmtId="0" fontId="1" fillId="0" borderId="6" applyAlignment="1" pivotButton="0" quotePrefix="0" xfId="0">
      <alignment horizontal="center" vertical="center"/>
    </xf>
    <xf numFmtId="0" fontId="1" fillId="0" borderId="0" applyAlignment="1" pivotButton="0" quotePrefix="0" xfId="0">
      <alignment horizontal="center" vertical="center"/>
    </xf>
    <xf numFmtId="164" fontId="2" fillId="0" borderId="7" applyAlignment="1" pivotButton="0" quotePrefix="0" xfId="0">
      <alignment horizontal="center"/>
    </xf>
    <xf numFmtId="0" fontId="2" fillId="0" borderId="2" applyAlignment="1" pivotButton="0" quotePrefix="0" xfId="0">
      <alignment horizontal="center"/>
    </xf>
    <xf numFmtId="0" fontId="2" fillId="0" borderId="8" applyAlignment="1" pivotButton="0" quotePrefix="0" xfId="0">
      <alignment horizontal="center"/>
    </xf>
    <xf numFmtId="164" fontId="2" fillId="0" borderId="9" applyAlignment="1" pivotButton="0" quotePrefix="0" xfId="0">
      <alignment horizontal="center"/>
    </xf>
    <xf numFmtId="0" fontId="2" fillId="0" borderId="10" applyAlignment="1" pivotButton="0" quotePrefix="0" xfId="0">
      <alignment horizontal="center"/>
    </xf>
    <xf numFmtId="0" fontId="3" fillId="0" borderId="0" applyAlignment="1" pivotButton="0" quotePrefix="0" xfId="0">
      <alignment horizontal="center"/>
    </xf>
    <xf numFmtId="164" fontId="2" fillId="0" borderId="9" applyAlignment="1" pivotButton="0" quotePrefix="0" xfId="0">
      <alignment horizontal="center"/>
    </xf>
    <xf numFmtId="164" fontId="2" fillId="0" borderId="11" applyAlignment="1" pivotButton="0" quotePrefix="0" xfId="0">
      <alignment horizontal="center"/>
    </xf>
    <xf numFmtId="0" fontId="2" fillId="0" borderId="12" applyAlignment="1" pivotButton="0" quotePrefix="0" xfId="0">
      <alignment horizontal="center"/>
    </xf>
    <xf numFmtId="0" fontId="2" fillId="0" borderId="12" applyAlignment="1" pivotButton="0" quotePrefix="0" xfId="0">
      <alignment horizontal="center"/>
    </xf>
    <xf numFmtId="0" fontId="2" fillId="0" borderId="13" applyAlignment="1" pivotButton="0" quotePrefix="0" xfId="0">
      <alignment horizontal="center"/>
    </xf>
    <xf numFmtId="0" fontId="4" fillId="4" borderId="5" applyAlignment="1" pivotButton="0" quotePrefix="0" xfId="0">
      <alignment horizontal="center"/>
    </xf>
    <xf numFmtId="0" fontId="4" fillId="4" borderId="1" applyAlignment="1" pivotButton="0" quotePrefix="0" xfId="0">
      <alignment horizontal="center"/>
    </xf>
    <xf numFmtId="0" fontId="4" fillId="4" borderId="6" applyAlignment="1" pivotButton="0" quotePrefix="0" xfId="0">
      <alignment horizontal="center"/>
    </xf>
    <xf numFmtId="0" fontId="1" fillId="0" borderId="0" pivotButton="0" quotePrefix="0" xfId="0"/>
    <xf numFmtId="0" fontId="3" fillId="0" borderId="7" applyAlignment="1" pivotButton="0" quotePrefix="0" xfId="0">
      <alignment horizontal="center"/>
    </xf>
    <xf numFmtId="0" fontId="3" fillId="0" borderId="2" applyAlignment="1" pivotButton="0" quotePrefix="0" xfId="0">
      <alignment horizontal="center"/>
    </xf>
    <xf numFmtId="0" fontId="3" fillId="0" borderId="2" applyAlignment="1" pivotButton="0" quotePrefix="0" xfId="0">
      <alignment horizontal="center"/>
    </xf>
    <xf numFmtId="0" fontId="3" fillId="0" borderId="8" applyAlignment="1" pivotButton="0" quotePrefix="0" xfId="0">
      <alignment horizontal="center"/>
    </xf>
    <xf numFmtId="0" fontId="3" fillId="0" borderId="9" applyAlignment="1" pivotButton="0" quotePrefix="0" xfId="0">
      <alignment horizontal="center"/>
    </xf>
    <xf numFmtId="0" fontId="3" fillId="0" borderId="3" applyAlignment="1" pivotButton="0" quotePrefix="0" xfId="0">
      <alignment horizontal="center"/>
    </xf>
    <xf numFmtId="0" fontId="3" fillId="0" borderId="3" applyAlignment="1" pivotButton="0" quotePrefix="0" xfId="0">
      <alignment horizontal="center"/>
    </xf>
    <xf numFmtId="0" fontId="3" fillId="0" borderId="10" applyAlignment="1" pivotButton="0" quotePrefix="0" xfId="0">
      <alignment horizontal="center"/>
    </xf>
    <xf numFmtId="0" fontId="3" fillId="0" borderId="11" applyAlignment="1" pivotButton="0" quotePrefix="0" xfId="0">
      <alignment horizontal="center"/>
    </xf>
    <xf numFmtId="0" fontId="3" fillId="0" borderId="4" applyAlignment="1" pivotButton="0" quotePrefix="0" xfId="0">
      <alignment horizontal="center"/>
    </xf>
    <xf numFmtId="0" fontId="3" fillId="0" borderId="13" applyAlignment="1" pivotButton="0" quotePrefix="0" xfId="0">
      <alignment horizontal="center"/>
    </xf>
    <xf numFmtId="0" fontId="1" fillId="4" borderId="5" applyAlignment="1" pivotButton="0" quotePrefix="0" xfId="0">
      <alignment horizontal="center"/>
    </xf>
    <xf numFmtId="0" fontId="1" fillId="4" borderId="1" applyAlignment="1" pivotButton="0" quotePrefix="0" xfId="0">
      <alignment horizontal="center"/>
    </xf>
    <xf numFmtId="165" fontId="1" fillId="4" borderId="6" applyAlignment="1" pivotButton="0" quotePrefix="0" xfId="0">
      <alignment horizontal="center"/>
    </xf>
    <xf numFmtId="165" fontId="3" fillId="0" borderId="8" applyAlignment="1" pivotButton="0" quotePrefix="0" xfId="0">
      <alignment horizontal="center"/>
    </xf>
    <xf numFmtId="165" fontId="3" fillId="0" borderId="10" applyAlignment="1" pivotButton="0" quotePrefix="0" xfId="0">
      <alignment horizontal="center"/>
    </xf>
    <xf numFmtId="165" fontId="3" fillId="0" borderId="13" applyAlignment="1" pivotButton="0" quotePrefix="0" xfId="0">
      <alignment horizontal="center"/>
    </xf>
    <xf numFmtId="0" fontId="1" fillId="2" borderId="14" applyAlignment="1" pivotButton="0" quotePrefix="0" xfId="0">
      <alignment horizontal="center"/>
    </xf>
    <xf numFmtId="0" fontId="1" fillId="4" borderId="14" applyAlignment="1" pivotButton="0" quotePrefix="0" xfId="0">
      <alignment horizontal="center"/>
    </xf>
    <xf numFmtId="0" fontId="1" fillId="0" borderId="0" applyAlignment="1" pivotButton="0" quotePrefix="0" xfId="0">
      <alignment horizontal="center"/>
    </xf>
    <xf numFmtId="0" fontId="3" fillId="5" borderId="2" applyAlignment="1" pivotButton="0" quotePrefix="0" xfId="0">
      <alignment horizontal="center"/>
    </xf>
    <xf numFmtId="0" fontId="3" fillId="0" borderId="3" applyAlignment="1" pivotButton="0" quotePrefix="0" xfId="0">
      <alignment horizontal="center" vertical="center"/>
    </xf>
    <xf numFmtId="0" fontId="3" fillId="0" borderId="15" applyAlignment="1" pivotButton="0" quotePrefix="0" xfId="0">
      <alignment horizontal="center"/>
    </xf>
    <xf numFmtId="0" fontId="1" fillId="2" borderId="14" applyAlignment="1" pivotButton="0" quotePrefix="0" xfId="0">
      <alignment horizontal="center" vertical="center" wrapText="1"/>
    </xf>
    <xf numFmtId="0" fontId="1" fillId="4" borderId="14" applyAlignment="1" pivotButton="0" quotePrefix="0" xfId="0">
      <alignment horizontal="center" vertical="center" wrapText="1"/>
    </xf>
    <xf numFmtId="0" fontId="1" fillId="0" borderId="0" applyAlignment="1" pivotButton="0" quotePrefix="0" xfId="0">
      <alignment horizontal="center" vertical="center" wrapText="1"/>
    </xf>
    <xf numFmtId="0" fontId="1" fillId="0" borderId="0" applyAlignment="1" pivotButton="0" quotePrefix="0" xfId="0">
      <alignment horizontal="center" vertical="center" wrapText="1"/>
    </xf>
    <xf numFmtId="0" fontId="3" fillId="0" borderId="2" applyAlignment="1" pivotButton="0" quotePrefix="0" xfId="0">
      <alignment horizontal="center" vertical="center"/>
    </xf>
    <xf numFmtId="0" fontId="3" fillId="0" borderId="2" applyAlignment="1" pivotButton="0" quotePrefix="0" xfId="0">
      <alignment horizontal="center" vertical="center"/>
    </xf>
    <xf numFmtId="0" fontId="3" fillId="0" borderId="2" applyAlignment="1" pivotButton="0" quotePrefix="0" xfId="0">
      <alignment horizontal="center" vertical="center" wrapText="1"/>
    </xf>
    <xf numFmtId="0" fontId="3" fillId="0" borderId="0" applyAlignment="1" pivotButton="0" quotePrefix="0" xfId="0">
      <alignment horizontal="center" vertical="center"/>
    </xf>
    <xf numFmtId="0" fontId="1" fillId="0" borderId="0" pivotButton="0" quotePrefix="0" xfId="0"/>
    <xf numFmtId="0" fontId="3" fillId="0" borderId="0" pivotButton="0" quotePrefix="0" xfId="0"/>
    <xf numFmtId="0" fontId="3" fillId="0" borderId="14" applyAlignment="1" pivotButton="0" quotePrefix="0" xfId="0">
      <alignment horizontal="center"/>
    </xf>
    <xf numFmtId="0" fontId="3" fillId="0" borderId="0" applyAlignment="1" pivotButton="0" quotePrefix="0" xfId="0">
      <alignment horizontal="center"/>
    </xf>
    <xf numFmtId="0" fontId="3" fillId="0" borderId="0" pivotButton="0" quotePrefix="0" xfId="0"/>
    <xf numFmtId="0" fontId="3" fillId="0" borderId="14" applyAlignment="1" pivotButton="0" quotePrefix="0" xfId="0">
      <alignment horizontal="center"/>
    </xf>
    <xf numFmtId="0" fontId="5" fillId="0" borderId="0" applyAlignment="1" pivotButton="0" quotePrefix="0" xfId="0">
      <alignment horizontal="center"/>
    </xf>
    <xf numFmtId="3" fontId="3" fillId="0" borderId="0" pivotButton="0" quotePrefix="0" xfId="0"/>
    <xf numFmtId="0" fontId="0" fillId="0" borderId="0" pivotButton="0" quotePrefix="0" xfId="0"/>
    <xf numFmtId="166" fontId="2" fillId="0" borderId="7" applyAlignment="1" pivotButton="0" quotePrefix="0" xfId="0">
      <alignment horizontal="center"/>
    </xf>
    <xf numFmtId="166" fontId="2" fillId="0" borderId="9" applyAlignment="1" pivotButton="0" quotePrefix="0" xfId="0">
      <alignment horizontal="center"/>
    </xf>
    <xf numFmtId="166" fontId="2" fillId="0" borderId="11" applyAlignment="1" pivotButton="0" quotePrefix="0" xfId="0">
      <alignment horizontal="center"/>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omments/comment1.xml><?xml version="1.0" encoding="utf-8"?>
<comments xmlns="http://schemas.openxmlformats.org/spreadsheetml/2006/main">
  <authors>
    <author>None</author>
  </authors>
  <commentList>
    <comment ref="A1" authorId="0" shapeId="0">
      <text>
        <t xml:space="preserve">Client code (must match Ledger &amp; QuickLog)
</t>
      </text>
    </comment>
    <comment ref="B1" authorId="0" shapeId="0">
      <text>
        <t xml:space="preserve">How long they’ve been coached before LEGACY+
Examples:
3
12
24
36
</t>
      </text>
    </comment>
    <comment ref="D1" authorId="0" shapeId="0">
      <text>
        <t>1 — Very Poor Adherence
Attendance &lt;50%
2 — Inconsistent / Fragile
Attendance roughly 50–65%
3 — Moderately Consistent (Baseline)
Attendance roughly 65–80%
👉 This is the default score for most people.
4 — Highly Consistent
Attendance roughly 80–90%
5 — Exceptionally Consistent
Attendance &gt;90% over months</t>
      </text>
    </comment>
    <comment ref="E1" authorId="0" shapeId="0">
      <text>
        <t>1 — Poor / Unsafe
-Major compensations in basic patterns
-Unable to squat, hinge, push, or pull without breakdown
-Frequent pain during movement
-Needs constant correction every session
Examples:
-Heels lifting, knee collapse, spinal flexion under light load
-No awareness of bracing or joint position
2 — Limited / Fragile
-Can perform patterns but inconsistently
-Technique degrades quickly under fatigue
-Needs frequent cues
-Limited control at end ranges
Examples:
-Squat depth inconsistent
-Hinge becomes spinal
-Pressing causes shoulder shrugging
3 — Competent (Baseline)
-Performs all major patterns safely
-Occasional form breakdown under load or fatigue
-Understands cues and can self-correct
-No red-flag movement pain
👉 This is the expected minimum for a trained adult.
4 — Strong Technical Control
-Consistent technique across loads
-Good positional awareness
-Can explain cues back to coach
-Maintains form under fatigue
-Smooth, efficient movement
5 — Excellent / Near-Coach Level
-High movement literacy
-Precise control and timing
-Minimal wasted movement
-Can demonstrate and help others
-Rarely needs correction
Examples:
-Clean squat, hinge, press under challenging loads
-Excellent tempo, control, and coordination</t>
      </text>
    </comment>
    <comment ref="F1" authorId="0" shapeId="0">
      <text>
        <t>1 — Novice
- Very low absolute and relative strength
- Struggles with bodyweight or light external load
- Early neurological adaptations still occurring
Examples:
- Bodyweight squat unstable
- Cannot perform push-ups or basic pulls
2 — Early Trained
- Some strength development
- Still inconsistent across lifts
- Progress is irregular
Examples:
- Can squat/deadlift but far below BW standards
- Upper body strength lags significantly
3 — Intermediate (Baseline)
- Clear strength foundation
- Progresses predictably
- Can train independently
- Lifts are appropriate for age/BW/training age
👉 Most recreational lifters with 1–3 years land here.
4 — Advanced for Demographic
- Strong relative to peers
- Consistent performance
- Strength supports sport or demanding life
- Good strength-to-weight ratio
Examples:
- Solid compound lifts
- Strength transfers to performance or resilience
5 — Exceptional / Competitive
- Top-tier strength for demographic
- Competes or trains at competitive intensity
- Strength clearly exceeds general population norms
- High technical + physical output
Examples:
- Competitive lifter
- Elite-level relative strength</t>
      </text>
    </comment>
    <comment ref="G1" authorId="0" shapeId="0">
      <text>
        <t>1 — Actively Detrimental
- Chronic sleep deprivation (&lt;6h most nights)
- Highly irregular eating
- High stress, no recovery strategies
- Alcohol/binge behaviours common
- Training exists in isolation from lifestyle
Red flags:
- “I’ll sleep when prep is over”
- Energy drinks replacing meals
- Constant burnout
2 — Poor but Aware
- Sleep inconsistent (6–7h, erratic)
- Nutrition reactive, not planned
- Stress often unmanaged
- Knows habits are bad but struggles to change
- This is most stressed professionals.
3 — Adequate / Functional (Baseline)
- Sleeps 7–8h most nights
- Eats reasonably balanced meals
- Some structure around meals
- Stress present but managed
- Makes “good enough” choices consistently
👉 This is where most successful long-term clients sit.
4 — Supportive Lifestyle
- Consistent sleep routine
-Intentional nutrition habits
- Plans meals most days
- Uses recovery strategies (walks, - breathwork, mobility)
- Adjusts training when life stress increases
5 — Highly Optimised
- Sleep is prioritised and protected
- Nutrition aligned with goals year-round
- Manages stress proactively
Recovery is intentional, not accidental
- Lifestyle clearly supports performance and health
Examples:
- Tracks sleep/nutrition intelligently
- Makes trade-offs to protect recovery
- Rarely derailed by chaos</t>
      </text>
    </comment>
    <comment ref="H1" authorId="0" shapeId="0">
      <text>
        <t>1 — Not Tracking
-Rarely logs anything
-Needs constant reminders
-Logs weeks late or not at all
-Tracking exists only verbally
Example:
“I trained but forgot to log” is the norm.
2 — Sporadic Tracking
-Logs occasionally
-Large gaps (multiple days unlogged)
-Often incomplete (weights missing, meals vague)
-Logs only when asked
3 — Mostly Consistent (Baseline)
-Logs most training sessions
-Nutrition logged partially or inconsistently
-Misses some days but catches up
-Understands why tracking matters
👉 This is the default score for most clients.
4 — Highly Consistent
-Training logs are up to date
-Nutrition logs are mostly complete
-Rarely needs reminders
-Uses tracking as feedback, not punishment
5 — Exceptionally Consistent
-Near-perfect logging
-Logs in real time or same day
-Reviews own data
-Uses logs to self-adjust behaviour
-This score should be rare.</t>
      </text>
    </comment>
    <comment ref="I1" authorId="0" shapeId="0">
      <text>
        <t>1 — Fully Dependent
-Cannot train alone safely
-Constantly asks basic questions
-Needs approval for every decision
-Panics when plan changes
Examples:
-“What do I do if the rack is taken?”
-“Can I eat this?”
2 — Low Independence
-Can follow written programs
-Struggles when things deviate
-Needs reassurance often
-Relies heavily on coach presence
3 — Moderately Independent (Baseline)
-Can train solo using program
-Can make simple substitutions
-Understands basic nutrition choices
-Asks questions appropriately
👉 Most long-term clients should be here.
4 — High Self-Mastery
-Adjusts loads intelligently
-Makes sensible nutrition decisions
-Understands intent of training
-Uses coach as guide, not crutch
5 — Highly Self-Sufficient
-Trains effectively alone
-Auto-regulates intelligently
-Makes consistent nutrition decisions
-Could maintain progress temporarily without coach
⚠️ This does NOT mean they don’t need coaching — it means coaching becomes higher-level.</t>
      </text>
    </comment>
    <comment ref="J1" authorId="0" shapeId="0">
      <text>
        <t>This is assessed via a 10-question quiz (below).
Score based on correct answers:
1 = 0–2 correct
2 = 3–4 correct
3 = 5–6 correct
4 = 7–8 correct
5 = 9–10 correct
LEGACY+ CLIENT KNOWLEDGE QUIZ (10 QUESTIONS)
Training (5 questions)
Why do we warm up before lifting?
A. To burn calories
B. To increase strength immediately
C. To prepare joints, muscles, and nervous system
D. To stretch as much as possible
✅ Correct: C
If a weight feels unusually heavy today, what is the BEST response?
A. Push through at all costs
B. Increase rest time and adjust load
C. Skip the exercise entirely
D. Stop training forever
✅ Correct: B
Good lifting technique is important because:
A. It looks nice
B. It allows heavier weights only
C. It reduces injury risk and improves results
D. Coaches require it
✅ Correct: C
What does “progressive overload” mean?
A. Training to failure every session
B. Gradually increasing training demands over time
C. Doing more exercises each workout
D. Training every day
✅ Correct: B
If pain appears during a movement, the BEST first step is:
A. Ignore it
B. Stop all training
C. Adjust technique/load and inform coach
D. Take painkillers
✅ Correct: C
Nutrition (5 questions)
Protein is important because it:
A. Gives energy quickly
B. Builds and repairs muscle
C. Is only for bodybuilders
D. Prevents fat gain
✅ Correct: B
“balanced meal” usually includes:
A. Protein only
B. Carbs only
C. Protein, carbs, and fats
D. Supplements
✅ Correct: C
If weight loss stalls, the FIRST thing to check is usually:
A. Supplements
B. Exercise variety
C. Consistency of intake and tracking
D. Hormones immediately
✅ Correct: C
Drinking more water helps because it:
A. Burns fat
B. Improves digestion, recovery, and performance
C. Replaces meals
D. Prevents soreness completely
✅ Correct: B
Eating out while staying on track usually means:
A. Avoiding restaurants
B. Only eating salads
C. Making informed portion and protein choices
D. Skipping meals earlier
✅ Correct: C</t>
      </text>
    </comment>
    <comment ref="N1" authorId="0" shapeId="0">
      <text>
        <t>Copy K → Paste values only into SeedXP_Locked</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Roboto"/>
        <a:ea typeface="Roboto"/>
        <a:cs typeface="Roboto"/>
      </a:majorFont>
      <a:minorFont>
        <a:latin typeface="Roboto"/>
        <a:ea typeface="Roboto"/>
        <a:cs typeface="Robo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6.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FFFF9900"/>
    <outlinePr summaryBelow="0" summaryRight="0"/>
    <pageSetUpPr/>
  </sheetPr>
  <dimension ref="A1:E1000"/>
  <sheetViews>
    <sheetView workbookViewId="0">
      <pane ySplit="1" topLeftCell="A2" activePane="bottomLeft" state="frozen"/>
      <selection pane="bottomLeft" activeCell="B3" sqref="B3"/>
    </sheetView>
  </sheetViews>
  <sheetFormatPr baseColWidth="8" defaultColWidth="12.63" defaultRowHeight="15.75" customHeight="1"/>
  <cols>
    <col width="11.88" customWidth="1" style="64" min="1" max="1"/>
    <col width="16" customWidth="1" style="64" min="2" max="2"/>
    <col width="11.38" customWidth="1" style="64" min="3" max="3"/>
    <col width="11.75" customWidth="1" style="64" min="4" max="4"/>
    <col width="18.88" customWidth="1" style="64" min="5" max="5"/>
  </cols>
  <sheetData>
    <row r="1">
      <c r="A1" s="1" t="inlineStr">
        <is>
          <t>MemberID</t>
        </is>
      </c>
      <c r="B1" s="1" t="inlineStr">
        <is>
          <t>Member Name</t>
        </is>
      </c>
      <c r="C1" s="1" t="inlineStr">
        <is>
          <t>Mode</t>
        </is>
      </c>
      <c r="D1" s="1" t="inlineStr">
        <is>
          <t>Status</t>
        </is>
      </c>
      <c r="E1" s="1" t="inlineStr">
        <is>
          <t>ActiveMemberIDs</t>
        </is>
      </c>
    </row>
    <row r="2">
      <c r="A2" s="11" t="n"/>
      <c r="B2" s="11" t="n"/>
      <c r="C2" s="11" t="n"/>
      <c r="D2" s="11" t="n"/>
      <c r="E2" s="11">
        <f>IF($D2="Active",$A2,"")</f>
        <v/>
      </c>
    </row>
    <row r="3">
      <c r="A3" s="4" t="n"/>
      <c r="B3" s="4" t="n"/>
      <c r="C3" s="11" t="n"/>
      <c r="D3" s="11" t="n"/>
      <c r="E3" s="11">
        <f>IF($D3="Active",$A3,"")</f>
        <v/>
      </c>
    </row>
    <row r="4">
      <c r="A4" s="11" t="n"/>
      <c r="B4" s="4" t="n"/>
      <c r="C4" s="11" t="n"/>
      <c r="D4" s="11" t="n"/>
      <c r="E4" s="11">
        <f>IF($D4="Active",$A4,"")</f>
        <v/>
      </c>
    </row>
    <row r="5">
      <c r="A5" s="4" t="n"/>
      <c r="B5" s="4" t="n"/>
      <c r="C5" s="11" t="n"/>
      <c r="D5" s="11" t="n"/>
      <c r="E5" s="11">
        <f>IF($D5="Active",$A5,"")</f>
        <v/>
      </c>
    </row>
    <row r="6">
      <c r="A6" s="11" t="n"/>
      <c r="B6" s="4" t="n"/>
      <c r="C6" s="11" t="n"/>
      <c r="D6" s="11" t="n"/>
      <c r="E6" s="11">
        <f>IF($D6="Active",$A6,"")</f>
        <v/>
      </c>
    </row>
    <row r="7">
      <c r="A7" s="4" t="n"/>
      <c r="B7" s="4" t="n"/>
      <c r="C7" s="4" t="n"/>
      <c r="D7" s="4" t="n"/>
      <c r="E7" s="4">
        <f>IF($D7="Active",$A7,"")</f>
        <v/>
      </c>
    </row>
    <row r="8">
      <c r="A8" s="11" t="n"/>
      <c r="B8" s="4" t="n"/>
      <c r="C8" s="4" t="n"/>
      <c r="D8" s="4" t="n"/>
      <c r="E8" s="4">
        <f>IF($D8="Active",$A8,"")</f>
        <v/>
      </c>
    </row>
    <row r="9">
      <c r="A9" s="4" t="n"/>
      <c r="B9" s="4" t="n"/>
      <c r="C9" s="4" t="n"/>
      <c r="D9" s="4" t="n"/>
      <c r="E9" s="4">
        <f>IF($D9="Active",$A9,"")</f>
        <v/>
      </c>
    </row>
    <row r="10">
      <c r="A10" s="11" t="n"/>
      <c r="B10" s="4" t="n"/>
      <c r="C10" s="4" t="n"/>
      <c r="D10" s="4" t="n"/>
      <c r="E10" s="4">
        <f>IF($D10="Active",$A10,"")</f>
        <v/>
      </c>
    </row>
    <row r="11">
      <c r="A11" s="4" t="n"/>
      <c r="B11" s="4" t="n"/>
      <c r="C11" s="4" t="n"/>
      <c r="D11" s="4" t="n"/>
      <c r="E11" s="4">
        <f>IF($D11="Active",$A11,"")</f>
        <v/>
      </c>
    </row>
    <row r="12">
      <c r="A12" s="11" t="n"/>
      <c r="B12" s="4" t="n"/>
      <c r="C12" s="4" t="n"/>
      <c r="D12" s="4" t="n"/>
      <c r="E12" s="4">
        <f>IF($D12="Active",$A12,"")</f>
        <v/>
      </c>
    </row>
    <row r="13">
      <c r="A13" s="4" t="n"/>
      <c r="B13" s="4" t="n"/>
      <c r="C13" s="4" t="n"/>
      <c r="D13" s="4" t="n"/>
      <c r="E13" s="4">
        <f>IF($D13="Active",$A13,"")</f>
        <v/>
      </c>
    </row>
    <row r="14">
      <c r="A14" s="11" t="n"/>
      <c r="B14" s="4" t="n"/>
      <c r="C14" s="4" t="n"/>
      <c r="D14" s="4" t="n"/>
      <c r="E14" s="4">
        <f>IF($D14="Active",$A14,"")</f>
        <v/>
      </c>
    </row>
    <row r="15">
      <c r="A15" s="4" t="n"/>
      <c r="B15" s="4" t="n"/>
      <c r="C15" s="4" t="n"/>
      <c r="D15" s="4" t="n"/>
      <c r="E15" s="4">
        <f>IF($D15="Active",$A15,"")</f>
        <v/>
      </c>
    </row>
    <row r="16">
      <c r="A16" s="11" t="n"/>
      <c r="B16" s="4" t="n"/>
      <c r="C16" s="4" t="n"/>
      <c r="D16" s="4" t="n"/>
      <c r="E16" s="4">
        <f>IF($D16="Active",$A16,"")</f>
        <v/>
      </c>
    </row>
    <row r="17">
      <c r="A17" s="4" t="n"/>
      <c r="B17" s="4" t="n"/>
      <c r="C17" s="4" t="n"/>
      <c r="D17" s="4" t="n"/>
      <c r="E17" s="4">
        <f>IF($D17="Active",$A17,"")</f>
        <v/>
      </c>
    </row>
    <row r="18">
      <c r="A18" s="4" t="n"/>
      <c r="B18" s="4" t="n"/>
      <c r="C18" s="4" t="n"/>
      <c r="D18" s="4" t="n"/>
      <c r="E18" s="4">
        <f>IF($D18="Active",$A18,"")</f>
        <v/>
      </c>
    </row>
    <row r="19">
      <c r="A19" s="4" t="n"/>
      <c r="B19" s="4" t="n"/>
      <c r="C19" s="4" t="n"/>
      <c r="D19" s="4" t="n"/>
      <c r="E19" s="4">
        <f>IF($D19="Active",$A19,"")</f>
        <v/>
      </c>
    </row>
    <row r="20">
      <c r="A20" s="4" t="n"/>
      <c r="B20" s="4" t="n"/>
      <c r="C20" s="4" t="n"/>
      <c r="D20" s="4" t="n"/>
      <c r="E20" s="4">
        <f>IF($D20="Active",$A20,"")</f>
        <v/>
      </c>
    </row>
    <row r="21">
      <c r="A21" s="4" t="n"/>
      <c r="B21" s="4" t="n"/>
      <c r="C21" s="4" t="n"/>
      <c r="D21" s="4" t="n"/>
      <c r="E21" s="4">
        <f>IF($D21="Active",$A21,"")</f>
        <v/>
      </c>
    </row>
    <row r="22">
      <c r="A22" s="4" t="n"/>
      <c r="B22" s="4" t="n"/>
      <c r="C22" s="4" t="n"/>
      <c r="D22" s="4" t="n"/>
      <c r="E22" s="4">
        <f>IF($D22="Active",$A22,"")</f>
        <v/>
      </c>
    </row>
    <row r="23">
      <c r="A23" s="4" t="n"/>
      <c r="B23" s="4" t="n"/>
      <c r="C23" s="4" t="n"/>
      <c r="D23" s="4" t="n"/>
      <c r="E23" s="4">
        <f>IF($D23="Active",$A23,"")</f>
        <v/>
      </c>
    </row>
    <row r="24">
      <c r="A24" s="4" t="n"/>
      <c r="B24" s="4" t="n"/>
      <c r="C24" s="4" t="n"/>
      <c r="D24" s="4" t="n"/>
      <c r="E24" s="4">
        <f>IF($D24="Active",$A24,"")</f>
        <v/>
      </c>
    </row>
    <row r="25">
      <c r="A25" s="4" t="n"/>
      <c r="B25" s="4" t="n"/>
      <c r="C25" s="4" t="n"/>
      <c r="D25" s="4" t="n"/>
      <c r="E25" s="4">
        <f>IF($D25="Active",$A25,"")</f>
        <v/>
      </c>
    </row>
    <row r="26">
      <c r="A26" s="4" t="n"/>
      <c r="B26" s="4" t="n"/>
      <c r="C26" s="4" t="n"/>
      <c r="D26" s="4" t="n"/>
      <c r="E26" s="4">
        <f>IF($D26="Active",$A26,"")</f>
        <v/>
      </c>
    </row>
    <row r="27">
      <c r="A27" s="4" t="n"/>
      <c r="B27" s="4" t="n"/>
      <c r="C27" s="4" t="n"/>
      <c r="D27" s="4" t="n"/>
      <c r="E27" s="4">
        <f>IF($D27="Active",$A27,"")</f>
        <v/>
      </c>
    </row>
    <row r="28">
      <c r="A28" s="4" t="n"/>
      <c r="B28" s="4" t="n"/>
      <c r="C28" s="4" t="n"/>
      <c r="D28" s="4" t="n"/>
      <c r="E28" s="4">
        <f>IF($D28="Active",$A28,"")</f>
        <v/>
      </c>
    </row>
    <row r="29">
      <c r="A29" s="4" t="n"/>
      <c r="B29" s="4" t="n"/>
      <c r="C29" s="4" t="n"/>
      <c r="D29" s="4" t="n"/>
      <c r="E29" s="4">
        <f>IF($D29="Active",$A29,"")</f>
        <v/>
      </c>
    </row>
    <row r="30">
      <c r="A30" s="4" t="n"/>
      <c r="B30" s="4" t="n"/>
      <c r="C30" s="4" t="n"/>
      <c r="D30" s="4" t="n"/>
      <c r="E30" s="4">
        <f>IF($D30="Active",$A30,"")</f>
        <v/>
      </c>
    </row>
    <row r="31">
      <c r="A31" s="4" t="n"/>
      <c r="B31" s="4" t="n"/>
      <c r="C31" s="4" t="n"/>
      <c r="D31" s="4" t="n"/>
      <c r="E31" s="4">
        <f>IF($D31="Active",$A31,"")</f>
        <v/>
      </c>
    </row>
    <row r="32">
      <c r="A32" s="4" t="n"/>
      <c r="B32" s="4" t="n"/>
      <c r="C32" s="4" t="n"/>
      <c r="D32" s="4" t="n"/>
      <c r="E32" s="4">
        <f>IF($D32="Active",$A32,"")</f>
        <v/>
      </c>
    </row>
    <row r="33">
      <c r="A33" s="4" t="n"/>
      <c r="B33" s="4" t="n"/>
      <c r="C33" s="4" t="n"/>
      <c r="D33" s="4" t="n"/>
      <c r="E33" s="4">
        <f>IF($D33="Active",$A33,"")</f>
        <v/>
      </c>
    </row>
    <row r="34">
      <c r="A34" s="4" t="n"/>
      <c r="B34" s="4" t="n"/>
      <c r="C34" s="4" t="n"/>
      <c r="D34" s="4" t="n"/>
      <c r="E34" s="4">
        <f>IF($D34="Active",$A34,"")</f>
        <v/>
      </c>
    </row>
    <row r="35">
      <c r="A35" s="4" t="n"/>
      <c r="B35" s="4" t="n"/>
      <c r="C35" s="4" t="n"/>
      <c r="D35" s="4" t="n"/>
      <c r="E35" s="4">
        <f>IF($D35="Active",$A35,"")</f>
        <v/>
      </c>
    </row>
    <row r="36">
      <c r="A36" s="4" t="n"/>
      <c r="B36" s="4" t="n"/>
      <c r="C36" s="4" t="n"/>
      <c r="D36" s="4" t="n"/>
      <c r="E36" s="4">
        <f>IF($D36="Active",$A36,"")</f>
        <v/>
      </c>
    </row>
    <row r="37">
      <c r="A37" s="4" t="n"/>
      <c r="B37" s="4" t="n"/>
      <c r="C37" s="4" t="n"/>
      <c r="D37" s="4" t="n"/>
      <c r="E37" s="4">
        <f>IF($D37="Active",$A37,"")</f>
        <v/>
      </c>
    </row>
    <row r="38">
      <c r="A38" s="4" t="n"/>
      <c r="B38" s="4" t="n"/>
      <c r="C38" s="4" t="n"/>
      <c r="D38" s="4" t="n"/>
      <c r="E38" s="4">
        <f>IF($D38="Active",$A38,"")</f>
        <v/>
      </c>
    </row>
    <row r="39">
      <c r="A39" s="4" t="n"/>
      <c r="B39" s="4" t="n"/>
      <c r="C39" s="4" t="n"/>
      <c r="D39" s="4" t="n"/>
      <c r="E39" s="4">
        <f>IF($D39="Active",$A39,"")</f>
        <v/>
      </c>
    </row>
    <row r="40">
      <c r="A40" s="4" t="n"/>
      <c r="B40" s="4" t="n"/>
      <c r="C40" s="4" t="n"/>
      <c r="D40" s="4" t="n"/>
      <c r="E40" s="4">
        <f>IF($D40="Active",$A40,"")</f>
        <v/>
      </c>
    </row>
    <row r="41">
      <c r="A41" s="4" t="n"/>
      <c r="B41" s="4" t="n"/>
      <c r="C41" s="4" t="n"/>
      <c r="D41" s="4" t="n"/>
      <c r="E41" s="4">
        <f>IF($D41="Active",$A41,"")</f>
        <v/>
      </c>
    </row>
    <row r="42">
      <c r="A42" s="4" t="n"/>
      <c r="B42" s="4" t="n"/>
      <c r="C42" s="4" t="n"/>
      <c r="D42" s="4" t="n"/>
      <c r="E42" s="4">
        <f>IF($D42="Active",$A42,"")</f>
        <v/>
      </c>
    </row>
    <row r="43">
      <c r="A43" s="4" t="n"/>
      <c r="B43" s="4" t="n"/>
      <c r="C43" s="4" t="n"/>
      <c r="D43" s="4" t="n"/>
      <c r="E43" s="4">
        <f>IF($D43="Active",$A43,"")</f>
        <v/>
      </c>
    </row>
    <row r="44">
      <c r="A44" s="4" t="n"/>
      <c r="B44" s="4" t="n"/>
      <c r="C44" s="4" t="n"/>
      <c r="D44" s="4" t="n"/>
      <c r="E44" s="4">
        <f>IF($D44="Active",$A44,"")</f>
        <v/>
      </c>
    </row>
    <row r="45">
      <c r="A45" s="4" t="n"/>
      <c r="B45" s="4" t="n"/>
      <c r="C45" s="4" t="n"/>
      <c r="D45" s="4" t="n"/>
      <c r="E45" s="4">
        <f>IF($D45="Active",$A45,"")</f>
        <v/>
      </c>
    </row>
    <row r="46">
      <c r="A46" s="4" t="n"/>
      <c r="B46" s="4" t="n"/>
      <c r="C46" s="4" t="n"/>
      <c r="D46" s="4" t="n"/>
      <c r="E46" s="4">
        <f>IF($D46="Active",$A46,"")</f>
        <v/>
      </c>
    </row>
    <row r="47">
      <c r="A47" s="4" t="n"/>
      <c r="B47" s="4" t="n"/>
      <c r="C47" s="4" t="n"/>
      <c r="D47" s="4" t="n"/>
      <c r="E47" s="4">
        <f>IF($D47="Active",$A47,"")</f>
        <v/>
      </c>
    </row>
    <row r="48">
      <c r="A48" s="4" t="n"/>
      <c r="B48" s="4" t="n"/>
      <c r="C48" s="4" t="n"/>
      <c r="D48" s="4" t="n"/>
      <c r="E48" s="4">
        <f>IF($D48="Active",$A48,"")</f>
        <v/>
      </c>
    </row>
    <row r="49">
      <c r="A49" s="4" t="n"/>
      <c r="B49" s="4" t="n"/>
      <c r="C49" s="4" t="n"/>
      <c r="D49" s="4" t="n"/>
      <c r="E49" s="4">
        <f>IF($D49="Active",$A49,"")</f>
        <v/>
      </c>
    </row>
    <row r="50">
      <c r="A50" s="4" t="n"/>
      <c r="B50" s="4" t="n"/>
      <c r="C50" s="4" t="n"/>
      <c r="D50" s="4" t="n"/>
      <c r="E50" s="4">
        <f>IF($D50="Active",$A50,"")</f>
        <v/>
      </c>
    </row>
    <row r="51">
      <c r="A51" s="4" t="n"/>
      <c r="B51" s="4" t="n"/>
      <c r="C51" s="4" t="n"/>
      <c r="D51" s="4" t="n"/>
      <c r="E51" s="4">
        <f>IF($D51="Active",$A51,"")</f>
        <v/>
      </c>
    </row>
    <row r="52">
      <c r="A52" s="4" t="n"/>
      <c r="B52" s="4" t="n"/>
      <c r="C52" s="4" t="n"/>
      <c r="D52" s="4" t="n"/>
      <c r="E52" s="4">
        <f>IF($D52="Active",$A52,"")</f>
        <v/>
      </c>
    </row>
    <row r="53">
      <c r="A53" s="4" t="n"/>
      <c r="B53" s="4" t="n"/>
      <c r="C53" s="4" t="n"/>
      <c r="D53" s="4" t="n"/>
      <c r="E53" s="4">
        <f>IF($D53="Active",$A53,"")</f>
        <v/>
      </c>
    </row>
    <row r="54">
      <c r="A54" s="4" t="n"/>
      <c r="B54" s="4" t="n"/>
      <c r="C54" s="4" t="n"/>
      <c r="D54" s="4" t="n"/>
      <c r="E54" s="4">
        <f>IF($D54="Active",$A54,"")</f>
        <v/>
      </c>
    </row>
    <row r="55">
      <c r="A55" s="4" t="n"/>
      <c r="B55" s="4" t="n"/>
      <c r="C55" s="4" t="n"/>
      <c r="D55" s="4" t="n"/>
      <c r="E55" s="4">
        <f>IF($D55="Active",$A55,"")</f>
        <v/>
      </c>
    </row>
    <row r="56">
      <c r="A56" s="4" t="n"/>
      <c r="B56" s="4" t="n"/>
      <c r="C56" s="4" t="n"/>
      <c r="D56" s="4" t="n"/>
      <c r="E56" s="4">
        <f>IF($D56="Active",$A56,"")</f>
        <v/>
      </c>
    </row>
    <row r="57">
      <c r="A57" s="4" t="n"/>
      <c r="B57" s="4" t="n"/>
      <c r="C57" s="4" t="n"/>
      <c r="D57" s="4" t="n"/>
      <c r="E57" s="4">
        <f>IF($D57="Active",$A57,"")</f>
        <v/>
      </c>
    </row>
    <row r="58">
      <c r="A58" s="4" t="n"/>
      <c r="B58" s="4" t="n"/>
      <c r="C58" s="4" t="n"/>
      <c r="D58" s="4" t="n"/>
      <c r="E58" s="4">
        <f>IF($D58="Active",$A58,"")</f>
        <v/>
      </c>
    </row>
    <row r="59">
      <c r="A59" s="4" t="n"/>
      <c r="B59" s="4" t="n"/>
      <c r="C59" s="4" t="n"/>
      <c r="D59" s="4" t="n"/>
      <c r="E59" s="4">
        <f>IF($D59="Active",$A59,"")</f>
        <v/>
      </c>
    </row>
    <row r="60">
      <c r="A60" s="4" t="n"/>
      <c r="B60" s="4" t="n"/>
      <c r="C60" s="4" t="n"/>
      <c r="D60" s="4" t="n"/>
      <c r="E60" s="4">
        <f>IF($D60="Active",$A60,"")</f>
        <v/>
      </c>
    </row>
    <row r="61">
      <c r="A61" s="4" t="n"/>
      <c r="B61" s="4" t="n"/>
      <c r="C61" s="4" t="n"/>
      <c r="D61" s="4" t="n"/>
      <c r="E61" s="4">
        <f>IF($D61="Active",$A61,"")</f>
        <v/>
      </c>
    </row>
    <row r="62">
      <c r="A62" s="4" t="n"/>
      <c r="B62" s="4" t="n"/>
      <c r="C62" s="4" t="n"/>
      <c r="D62" s="4" t="n"/>
      <c r="E62" s="4">
        <f>IF($D62="Active",$A62,"")</f>
        <v/>
      </c>
    </row>
    <row r="63">
      <c r="A63" s="4" t="n"/>
      <c r="B63" s="4" t="n"/>
      <c r="C63" s="4" t="n"/>
      <c r="D63" s="4" t="n"/>
      <c r="E63" s="4">
        <f>IF($D63="Active",$A63,"")</f>
        <v/>
      </c>
    </row>
    <row r="64">
      <c r="A64" s="4" t="n"/>
      <c r="B64" s="4" t="n"/>
      <c r="C64" s="4" t="n"/>
      <c r="D64" s="4" t="n"/>
      <c r="E64" s="4">
        <f>IF($D64="Active",$A64,"")</f>
        <v/>
      </c>
    </row>
    <row r="65">
      <c r="A65" s="4" t="n"/>
      <c r="B65" s="4" t="n"/>
      <c r="C65" s="4" t="n"/>
      <c r="D65" s="4" t="n"/>
      <c r="E65" s="4">
        <f>IF($D65="Active",$A65,"")</f>
        <v/>
      </c>
    </row>
    <row r="66">
      <c r="A66" s="4" t="n"/>
      <c r="B66" s="4" t="n"/>
      <c r="C66" s="4" t="n"/>
      <c r="D66" s="4" t="n"/>
      <c r="E66" s="4">
        <f>IF($D66="Active",$A66,"")</f>
        <v/>
      </c>
    </row>
    <row r="67">
      <c r="A67" s="4" t="n"/>
      <c r="B67" s="4" t="n"/>
      <c r="C67" s="4" t="n"/>
      <c r="D67" s="4" t="n"/>
      <c r="E67" s="4">
        <f>IF($D67="Active",$A67,"")</f>
        <v/>
      </c>
    </row>
    <row r="68">
      <c r="A68" s="4" t="n"/>
      <c r="B68" s="4" t="n"/>
      <c r="C68" s="4" t="n"/>
      <c r="D68" s="4" t="n"/>
      <c r="E68" s="4">
        <f>IF($D68="Active",$A68,"")</f>
        <v/>
      </c>
    </row>
    <row r="69">
      <c r="A69" s="4" t="n"/>
      <c r="B69" s="4" t="n"/>
      <c r="C69" s="4" t="n"/>
      <c r="D69" s="4" t="n"/>
      <c r="E69" s="4">
        <f>IF($D69="Active",$A69,"")</f>
        <v/>
      </c>
    </row>
    <row r="70">
      <c r="A70" s="4" t="n"/>
      <c r="B70" s="4" t="n"/>
      <c r="C70" s="4" t="n"/>
      <c r="D70" s="4" t="n"/>
      <c r="E70" s="4">
        <f>IF($D70="Active",$A70,"")</f>
        <v/>
      </c>
    </row>
    <row r="71">
      <c r="A71" s="4" t="n"/>
      <c r="B71" s="4" t="n"/>
      <c r="C71" s="4" t="n"/>
      <c r="D71" s="4" t="n"/>
      <c r="E71" s="4">
        <f>IF($D71="Active",$A71,"")</f>
        <v/>
      </c>
    </row>
    <row r="72">
      <c r="A72" s="4" t="n"/>
      <c r="B72" s="4" t="n"/>
      <c r="C72" s="4" t="n"/>
      <c r="D72" s="4" t="n"/>
      <c r="E72" s="4">
        <f>IF($D72="Active",$A72,"")</f>
        <v/>
      </c>
    </row>
    <row r="73">
      <c r="A73" s="4" t="n"/>
      <c r="B73" s="4" t="n"/>
      <c r="C73" s="4" t="n"/>
      <c r="D73" s="4" t="n"/>
      <c r="E73" s="4">
        <f>IF($D73="Active",$A73,"")</f>
        <v/>
      </c>
    </row>
    <row r="74">
      <c r="A74" s="4" t="n"/>
      <c r="B74" s="4" t="n"/>
      <c r="C74" s="4" t="n"/>
      <c r="D74" s="4" t="n"/>
      <c r="E74" s="4">
        <f>IF($D74="Active",$A74,"")</f>
        <v/>
      </c>
    </row>
    <row r="75">
      <c r="A75" s="4" t="n"/>
      <c r="B75" s="4" t="n"/>
      <c r="C75" s="4" t="n"/>
      <c r="D75" s="4" t="n"/>
      <c r="E75" s="4">
        <f>IF($D75="Active",$A75,"")</f>
        <v/>
      </c>
    </row>
    <row r="76">
      <c r="A76" s="4" t="n"/>
      <c r="B76" s="4" t="n"/>
      <c r="C76" s="4" t="n"/>
      <c r="D76" s="4" t="n"/>
      <c r="E76" s="4">
        <f>IF($D76="Active",$A76,"")</f>
        <v/>
      </c>
    </row>
    <row r="77">
      <c r="A77" s="4" t="n"/>
      <c r="B77" s="4" t="n"/>
      <c r="C77" s="4" t="n"/>
      <c r="D77" s="4" t="n"/>
      <c r="E77" s="4">
        <f>IF($D77="Active",$A77,"")</f>
        <v/>
      </c>
    </row>
    <row r="78">
      <c r="A78" s="4" t="n"/>
      <c r="B78" s="4" t="n"/>
      <c r="C78" s="4" t="n"/>
      <c r="D78" s="4" t="n"/>
      <c r="E78" s="4">
        <f>IF($D78="Active",$A78,"")</f>
        <v/>
      </c>
    </row>
    <row r="79">
      <c r="A79" s="4" t="n"/>
      <c r="B79" s="4" t="n"/>
      <c r="C79" s="4" t="n"/>
      <c r="D79" s="4" t="n"/>
      <c r="E79" s="4">
        <f>IF($D79="Active",$A79,"")</f>
        <v/>
      </c>
    </row>
    <row r="80">
      <c r="A80" s="4" t="n"/>
      <c r="B80" s="4" t="n"/>
      <c r="C80" s="4" t="n"/>
      <c r="D80" s="4" t="n"/>
      <c r="E80" s="4">
        <f>IF($D80="Active",$A80,"")</f>
        <v/>
      </c>
    </row>
    <row r="81">
      <c r="A81" s="4" t="n"/>
      <c r="B81" s="4" t="n"/>
      <c r="C81" s="4" t="n"/>
      <c r="D81" s="4" t="n"/>
      <c r="E81" s="4">
        <f>IF($D81="Active",$A81,"")</f>
        <v/>
      </c>
    </row>
    <row r="82">
      <c r="A82" s="4" t="n"/>
      <c r="B82" s="4" t="n"/>
      <c r="C82" s="4" t="n"/>
      <c r="D82" s="4" t="n"/>
      <c r="E82" s="4">
        <f>IF($D82="Active",$A82,"")</f>
        <v/>
      </c>
    </row>
    <row r="83">
      <c r="A83" s="4" t="n"/>
      <c r="B83" s="4" t="n"/>
      <c r="C83" s="4" t="n"/>
      <c r="D83" s="4" t="n"/>
      <c r="E83" s="4">
        <f>IF($D83="Active",$A83,"")</f>
        <v/>
      </c>
    </row>
    <row r="84">
      <c r="A84" s="4" t="n"/>
      <c r="B84" s="4" t="n"/>
      <c r="C84" s="4" t="n"/>
      <c r="D84" s="4" t="n"/>
      <c r="E84" s="4">
        <f>IF($D84="Active",$A84,"")</f>
        <v/>
      </c>
    </row>
    <row r="85">
      <c r="A85" s="4" t="n"/>
      <c r="B85" s="4" t="n"/>
      <c r="C85" s="4" t="n"/>
      <c r="D85" s="4" t="n"/>
      <c r="E85" s="4">
        <f>IF($D85="Active",$A85,"")</f>
        <v/>
      </c>
    </row>
    <row r="86">
      <c r="A86" s="4" t="n"/>
      <c r="B86" s="4" t="n"/>
      <c r="C86" s="4" t="n"/>
      <c r="D86" s="4" t="n"/>
      <c r="E86" s="4">
        <f>IF($D86="Active",$A86,"")</f>
        <v/>
      </c>
    </row>
    <row r="87">
      <c r="A87" s="4" t="n"/>
      <c r="B87" s="4" t="n"/>
      <c r="C87" s="4" t="n"/>
      <c r="D87" s="4" t="n"/>
      <c r="E87" s="4">
        <f>IF($D87="Active",$A87,"")</f>
        <v/>
      </c>
    </row>
    <row r="88">
      <c r="A88" s="4" t="n"/>
      <c r="B88" s="4" t="n"/>
      <c r="C88" s="4" t="n"/>
      <c r="D88" s="4" t="n"/>
      <c r="E88" s="4">
        <f>IF($D88="Active",$A88,"")</f>
        <v/>
      </c>
    </row>
    <row r="89">
      <c r="A89" s="4" t="n"/>
      <c r="B89" s="4" t="n"/>
      <c r="C89" s="4" t="n"/>
      <c r="D89" s="4" t="n"/>
      <c r="E89" s="4">
        <f>IF($D89="Active",$A89,"")</f>
        <v/>
      </c>
    </row>
    <row r="90">
      <c r="A90" s="4" t="n"/>
      <c r="B90" s="4" t="n"/>
      <c r="C90" s="4" t="n"/>
      <c r="D90" s="4" t="n"/>
      <c r="E90" s="4">
        <f>IF($D90="Active",$A90,"")</f>
        <v/>
      </c>
    </row>
    <row r="91">
      <c r="A91" s="4" t="n"/>
      <c r="B91" s="4" t="n"/>
      <c r="C91" s="4" t="n"/>
      <c r="D91" s="4" t="n"/>
      <c r="E91" s="4">
        <f>IF($D91="Active",$A91,"")</f>
        <v/>
      </c>
    </row>
    <row r="92">
      <c r="A92" s="4" t="n"/>
      <c r="B92" s="4" t="n"/>
      <c r="C92" s="4" t="n"/>
      <c r="D92" s="4" t="n"/>
      <c r="E92" s="4">
        <f>IF($D92="Active",$A92,"")</f>
        <v/>
      </c>
    </row>
    <row r="93">
      <c r="A93" s="4" t="n"/>
      <c r="B93" s="4" t="n"/>
      <c r="C93" s="4" t="n"/>
      <c r="D93" s="4" t="n"/>
      <c r="E93" s="4">
        <f>IF($D93="Active",$A93,"")</f>
        <v/>
      </c>
    </row>
    <row r="94">
      <c r="A94" s="4" t="n"/>
      <c r="B94" s="4" t="n"/>
      <c r="C94" s="4" t="n"/>
      <c r="D94" s="4" t="n"/>
      <c r="E94" s="4">
        <f>IF($D94="Active",$A94,"")</f>
        <v/>
      </c>
    </row>
    <row r="95">
      <c r="A95" s="4" t="n"/>
      <c r="B95" s="4" t="n"/>
      <c r="C95" s="4" t="n"/>
      <c r="D95" s="4" t="n"/>
      <c r="E95" s="4">
        <f>IF($D95="Active",$A95,"")</f>
        <v/>
      </c>
    </row>
    <row r="96">
      <c r="A96" s="4" t="n"/>
      <c r="B96" s="4" t="n"/>
      <c r="C96" s="4" t="n"/>
      <c r="D96" s="4" t="n"/>
      <c r="E96" s="4">
        <f>IF($D96="Active",$A96,"")</f>
        <v/>
      </c>
    </row>
    <row r="97">
      <c r="A97" s="4" t="n"/>
      <c r="B97" s="4" t="n"/>
      <c r="C97" s="4" t="n"/>
      <c r="D97" s="4" t="n"/>
      <c r="E97" s="4">
        <f>IF($D97="Active",$A97,"")</f>
        <v/>
      </c>
    </row>
    <row r="98">
      <c r="A98" s="4" t="n"/>
      <c r="B98" s="4" t="n"/>
      <c r="C98" s="4" t="n"/>
      <c r="D98" s="4" t="n"/>
      <c r="E98" s="4">
        <f>IF($D98="Active",$A98,"")</f>
        <v/>
      </c>
    </row>
    <row r="99">
      <c r="A99" s="4" t="n"/>
      <c r="B99" s="4" t="n"/>
      <c r="C99" s="4" t="n"/>
      <c r="D99" s="4" t="n"/>
      <c r="E99" s="4">
        <f>IF($D99="Active",$A99,"")</f>
        <v/>
      </c>
    </row>
    <row r="100">
      <c r="A100" s="4" t="n"/>
      <c r="B100" s="4" t="n"/>
      <c r="C100" s="4" t="n"/>
      <c r="D100" s="4" t="n"/>
      <c r="E100" s="4">
        <f>IF($D100="Active",$A100,"")</f>
        <v/>
      </c>
    </row>
    <row r="101">
      <c r="A101" s="4" t="n"/>
      <c r="B101" s="4" t="n"/>
      <c r="C101" s="4" t="n"/>
      <c r="D101" s="4" t="n"/>
      <c r="E101" s="4">
        <f>IF($D101="Active",$A101,"")</f>
        <v/>
      </c>
    </row>
    <row r="102">
      <c r="A102" s="4" t="n"/>
      <c r="B102" s="4" t="n"/>
      <c r="C102" s="4" t="n"/>
      <c r="D102" s="4" t="n"/>
      <c r="E102" s="4">
        <f>IF($D102="Active",$A102,"")</f>
        <v/>
      </c>
    </row>
    <row r="103">
      <c r="A103" s="4" t="n"/>
      <c r="B103" s="4" t="n"/>
      <c r="C103" s="4" t="n"/>
      <c r="D103" s="4" t="n"/>
      <c r="E103" s="4">
        <f>IF($D103="Active",$A103,"")</f>
        <v/>
      </c>
    </row>
    <row r="104">
      <c r="A104" s="4" t="n"/>
      <c r="B104" s="4" t="n"/>
      <c r="C104" s="4" t="n"/>
      <c r="D104" s="4" t="n"/>
      <c r="E104" s="4">
        <f>IF($D104="Active",$A104,"")</f>
        <v/>
      </c>
    </row>
    <row r="105">
      <c r="A105" s="4" t="n"/>
      <c r="B105" s="4" t="n"/>
      <c r="C105" s="4" t="n"/>
      <c r="D105" s="4" t="n"/>
      <c r="E105" s="4">
        <f>IF($D105="Active",$A105,"")</f>
        <v/>
      </c>
    </row>
    <row r="106">
      <c r="A106" s="4" t="n"/>
      <c r="B106" s="4" t="n"/>
      <c r="C106" s="4" t="n"/>
      <c r="D106" s="4" t="n"/>
      <c r="E106" s="4">
        <f>IF($D106="Active",$A106,"")</f>
        <v/>
      </c>
    </row>
    <row r="107">
      <c r="A107" s="4" t="n"/>
      <c r="B107" s="4" t="n"/>
      <c r="C107" s="4" t="n"/>
      <c r="D107" s="4" t="n"/>
      <c r="E107" s="4">
        <f>IF($D107="Active",$A107,"")</f>
        <v/>
      </c>
    </row>
    <row r="108">
      <c r="A108" s="4" t="n"/>
      <c r="B108" s="4" t="n"/>
      <c r="C108" s="4" t="n"/>
      <c r="D108" s="4" t="n"/>
      <c r="E108" s="4">
        <f>IF($D108="Active",$A108,"")</f>
        <v/>
      </c>
    </row>
    <row r="109">
      <c r="A109" s="4" t="n"/>
      <c r="B109" s="4" t="n"/>
      <c r="C109" s="4" t="n"/>
      <c r="D109" s="4" t="n"/>
      <c r="E109" s="4">
        <f>IF($D109="Active",$A109,"")</f>
        <v/>
      </c>
    </row>
    <row r="110">
      <c r="A110" s="4" t="n"/>
      <c r="B110" s="4" t="n"/>
      <c r="C110" s="4" t="n"/>
      <c r="D110" s="4" t="n"/>
      <c r="E110" s="4">
        <f>IF($D110="Active",$A110,"")</f>
        <v/>
      </c>
    </row>
    <row r="111">
      <c r="A111" s="4" t="n"/>
      <c r="B111" s="4" t="n"/>
      <c r="C111" s="4" t="n"/>
      <c r="D111" s="4" t="n"/>
      <c r="E111" s="4">
        <f>IF($D111="Active",$A111,"")</f>
        <v/>
      </c>
    </row>
    <row r="112">
      <c r="A112" s="4" t="n"/>
      <c r="B112" s="4" t="n"/>
      <c r="C112" s="4" t="n"/>
      <c r="D112" s="4" t="n"/>
      <c r="E112" s="4">
        <f>IF($D112="Active",$A112,"")</f>
        <v/>
      </c>
    </row>
    <row r="113">
      <c r="A113" s="4" t="n"/>
      <c r="B113" s="4" t="n"/>
      <c r="C113" s="4" t="n"/>
      <c r="D113" s="4" t="n"/>
      <c r="E113" s="4">
        <f>IF($D113="Active",$A113,"")</f>
        <v/>
      </c>
    </row>
    <row r="114">
      <c r="A114" s="4" t="n"/>
      <c r="B114" s="4" t="n"/>
      <c r="C114" s="4" t="n"/>
      <c r="D114" s="4" t="n"/>
      <c r="E114" s="4">
        <f>IF($D114="Active",$A114,"")</f>
        <v/>
      </c>
    </row>
    <row r="115">
      <c r="A115" s="4" t="n"/>
      <c r="B115" s="4" t="n"/>
      <c r="C115" s="4" t="n"/>
      <c r="D115" s="4" t="n"/>
      <c r="E115" s="4">
        <f>IF($D115="Active",$A115,"")</f>
        <v/>
      </c>
    </row>
    <row r="116">
      <c r="A116" s="4" t="n"/>
      <c r="B116" s="4" t="n"/>
      <c r="C116" s="4" t="n"/>
      <c r="D116" s="4" t="n"/>
      <c r="E116" s="4">
        <f>IF($D116="Active",$A116,"")</f>
        <v/>
      </c>
    </row>
    <row r="117">
      <c r="A117" s="4" t="n"/>
      <c r="B117" s="4" t="n"/>
      <c r="C117" s="4" t="n"/>
      <c r="D117" s="4" t="n"/>
      <c r="E117" s="4">
        <f>IF($D117="Active",$A117,"")</f>
        <v/>
      </c>
    </row>
    <row r="118">
      <c r="A118" s="4" t="n"/>
      <c r="B118" s="4" t="n"/>
      <c r="C118" s="4" t="n"/>
      <c r="D118" s="4" t="n"/>
      <c r="E118" s="4">
        <f>IF($D118="Active",$A118,"")</f>
        <v/>
      </c>
    </row>
    <row r="119">
      <c r="A119" s="4" t="n"/>
      <c r="B119" s="4" t="n"/>
      <c r="C119" s="4" t="n"/>
      <c r="D119" s="4" t="n"/>
      <c r="E119" s="4">
        <f>IF($D119="Active",$A119,"")</f>
        <v/>
      </c>
    </row>
    <row r="120">
      <c r="A120" s="4" t="n"/>
      <c r="B120" s="4" t="n"/>
      <c r="C120" s="4" t="n"/>
      <c r="D120" s="4" t="n"/>
      <c r="E120" s="4">
        <f>IF($D120="Active",$A120,"")</f>
        <v/>
      </c>
    </row>
    <row r="121">
      <c r="A121" s="4" t="n"/>
      <c r="B121" s="4" t="n"/>
      <c r="C121" s="4" t="n"/>
      <c r="D121" s="4" t="n"/>
      <c r="E121" s="4">
        <f>IF($D121="Active",$A121,"")</f>
        <v/>
      </c>
    </row>
    <row r="122">
      <c r="A122" s="4" t="n"/>
      <c r="B122" s="4" t="n"/>
      <c r="C122" s="4" t="n"/>
      <c r="D122" s="4" t="n"/>
      <c r="E122" s="4">
        <f>IF($D122="Active",$A122,"")</f>
        <v/>
      </c>
    </row>
    <row r="123">
      <c r="A123" s="4" t="n"/>
      <c r="B123" s="4" t="n"/>
      <c r="C123" s="4" t="n"/>
      <c r="D123" s="4" t="n"/>
      <c r="E123" s="4">
        <f>IF($D123="Active",$A123,"")</f>
        <v/>
      </c>
    </row>
    <row r="124">
      <c r="A124" s="4" t="n"/>
      <c r="B124" s="4" t="n"/>
      <c r="C124" s="4" t="n"/>
      <c r="D124" s="4" t="n"/>
      <c r="E124" s="4">
        <f>IF($D124="Active",$A124,"")</f>
        <v/>
      </c>
    </row>
    <row r="125">
      <c r="A125" s="4" t="n"/>
      <c r="B125" s="4" t="n"/>
      <c r="C125" s="4" t="n"/>
      <c r="D125" s="4" t="n"/>
      <c r="E125" s="4">
        <f>IF($D125="Active",$A125,"")</f>
        <v/>
      </c>
    </row>
    <row r="126">
      <c r="A126" s="4" t="n"/>
      <c r="B126" s="4" t="n"/>
      <c r="C126" s="4" t="n"/>
      <c r="D126" s="4" t="n"/>
      <c r="E126" s="4">
        <f>IF($D126="Active",$A126,"")</f>
        <v/>
      </c>
    </row>
    <row r="127">
      <c r="A127" s="4" t="n"/>
      <c r="B127" s="4" t="n"/>
      <c r="C127" s="4" t="n"/>
      <c r="D127" s="4" t="n"/>
      <c r="E127" s="4">
        <f>IF($D127="Active",$A127,"")</f>
        <v/>
      </c>
    </row>
    <row r="128">
      <c r="A128" s="4" t="n"/>
      <c r="B128" s="4" t="n"/>
      <c r="C128" s="4" t="n"/>
      <c r="D128" s="4" t="n"/>
      <c r="E128" s="4">
        <f>IF($D128="Active",$A128,"")</f>
        <v/>
      </c>
    </row>
    <row r="129">
      <c r="A129" s="4" t="n"/>
      <c r="B129" s="4" t="n"/>
      <c r="C129" s="4" t="n"/>
      <c r="D129" s="4" t="n"/>
      <c r="E129" s="4">
        <f>IF($D129="Active",$A129,"")</f>
        <v/>
      </c>
    </row>
    <row r="130">
      <c r="A130" s="4" t="n"/>
      <c r="B130" s="4" t="n"/>
      <c r="C130" s="4" t="n"/>
      <c r="D130" s="4" t="n"/>
      <c r="E130" s="4">
        <f>IF($D130="Active",$A130,"")</f>
        <v/>
      </c>
    </row>
    <row r="131">
      <c r="A131" s="4" t="n"/>
      <c r="B131" s="4" t="n"/>
      <c r="C131" s="4" t="n"/>
      <c r="D131" s="4" t="n"/>
      <c r="E131" s="4">
        <f>IF($D131="Active",$A131,"")</f>
        <v/>
      </c>
    </row>
    <row r="132">
      <c r="A132" s="4" t="n"/>
      <c r="B132" s="4" t="n"/>
      <c r="C132" s="4" t="n"/>
      <c r="D132" s="4" t="n"/>
      <c r="E132" s="4">
        <f>IF($D132="Active",$A132,"")</f>
        <v/>
      </c>
    </row>
    <row r="133">
      <c r="A133" s="4" t="n"/>
      <c r="B133" s="4" t="n"/>
      <c r="C133" s="4" t="n"/>
      <c r="D133" s="4" t="n"/>
      <c r="E133" s="4">
        <f>IF($D133="Active",$A133,"")</f>
        <v/>
      </c>
    </row>
    <row r="134">
      <c r="A134" s="4" t="n"/>
      <c r="B134" s="4" t="n"/>
      <c r="C134" s="4" t="n"/>
      <c r="D134" s="4" t="n"/>
      <c r="E134" s="4">
        <f>IF($D134="Active",$A134,"")</f>
        <v/>
      </c>
    </row>
    <row r="135">
      <c r="A135" s="4" t="n"/>
      <c r="B135" s="4" t="n"/>
      <c r="C135" s="4" t="n"/>
      <c r="D135" s="4" t="n"/>
      <c r="E135" s="4">
        <f>IF($D135="Active",$A135,"")</f>
        <v/>
      </c>
    </row>
    <row r="136">
      <c r="A136" s="4" t="n"/>
      <c r="B136" s="4" t="n"/>
      <c r="C136" s="4" t="n"/>
      <c r="D136" s="4" t="n"/>
      <c r="E136" s="4">
        <f>IF($D136="Active",$A136,"")</f>
        <v/>
      </c>
    </row>
    <row r="137">
      <c r="A137" s="4" t="n"/>
      <c r="B137" s="4" t="n"/>
      <c r="C137" s="4" t="n"/>
      <c r="D137" s="4" t="n"/>
      <c r="E137" s="4">
        <f>IF($D137="Active",$A137,"")</f>
        <v/>
      </c>
    </row>
    <row r="138">
      <c r="A138" s="4" t="n"/>
      <c r="B138" s="4" t="n"/>
      <c r="C138" s="4" t="n"/>
      <c r="D138" s="4" t="n"/>
      <c r="E138" s="4">
        <f>IF($D138="Active",$A138,"")</f>
        <v/>
      </c>
    </row>
    <row r="139">
      <c r="A139" s="4" t="n"/>
      <c r="B139" s="4" t="n"/>
      <c r="C139" s="4" t="n"/>
      <c r="D139" s="4" t="n"/>
      <c r="E139" s="4">
        <f>IF($D139="Active",$A139,"")</f>
        <v/>
      </c>
    </row>
    <row r="140">
      <c r="A140" s="4" t="n"/>
      <c r="B140" s="4" t="n"/>
      <c r="C140" s="4" t="n"/>
      <c r="D140" s="4" t="n"/>
      <c r="E140" s="4">
        <f>IF($D140="Active",$A140,"")</f>
        <v/>
      </c>
    </row>
    <row r="141">
      <c r="A141" s="4" t="n"/>
      <c r="B141" s="4" t="n"/>
      <c r="C141" s="4" t="n"/>
      <c r="D141" s="4" t="n"/>
      <c r="E141" s="4">
        <f>IF($D141="Active",$A141,"")</f>
        <v/>
      </c>
    </row>
    <row r="142">
      <c r="A142" s="4" t="n"/>
      <c r="B142" s="4" t="n"/>
      <c r="C142" s="4" t="n"/>
      <c r="D142" s="4" t="n"/>
      <c r="E142" s="4">
        <f>IF($D142="Active",$A142,"")</f>
        <v/>
      </c>
    </row>
    <row r="143">
      <c r="A143" s="4" t="n"/>
      <c r="B143" s="4" t="n"/>
      <c r="C143" s="4" t="n"/>
      <c r="D143" s="4" t="n"/>
      <c r="E143" s="4">
        <f>IF($D143="Active",$A143,"")</f>
        <v/>
      </c>
    </row>
    <row r="144">
      <c r="A144" s="4" t="n"/>
      <c r="B144" s="4" t="n"/>
      <c r="C144" s="4" t="n"/>
      <c r="D144" s="4" t="n"/>
      <c r="E144" s="4">
        <f>IF($D144="Active",$A144,"")</f>
        <v/>
      </c>
    </row>
    <row r="145">
      <c r="A145" s="4" t="n"/>
      <c r="B145" s="4" t="n"/>
      <c r="C145" s="4" t="n"/>
      <c r="D145" s="4" t="n"/>
      <c r="E145" s="4">
        <f>IF($D145="Active",$A145,"")</f>
        <v/>
      </c>
    </row>
    <row r="146">
      <c r="A146" s="4" t="n"/>
      <c r="B146" s="4" t="n"/>
      <c r="C146" s="4" t="n"/>
      <c r="D146" s="4" t="n"/>
      <c r="E146" s="4">
        <f>IF($D146="Active",$A146,"")</f>
        <v/>
      </c>
    </row>
    <row r="147">
      <c r="A147" s="4" t="n"/>
      <c r="B147" s="4" t="n"/>
      <c r="C147" s="4" t="n"/>
      <c r="D147" s="4" t="n"/>
      <c r="E147" s="4">
        <f>IF($D147="Active",$A147,"")</f>
        <v/>
      </c>
    </row>
    <row r="148">
      <c r="A148" s="4" t="n"/>
      <c r="B148" s="4" t="n"/>
      <c r="C148" s="4" t="n"/>
      <c r="D148" s="4" t="n"/>
      <c r="E148" s="4">
        <f>IF($D148="Active",$A148,"")</f>
        <v/>
      </c>
    </row>
    <row r="149">
      <c r="A149" s="4" t="n"/>
      <c r="B149" s="4" t="n"/>
      <c r="C149" s="4" t="n"/>
      <c r="D149" s="4" t="n"/>
      <c r="E149" s="4">
        <f>IF($D149="Active",$A149,"")</f>
        <v/>
      </c>
    </row>
    <row r="150">
      <c r="A150" s="4" t="n"/>
      <c r="B150" s="4" t="n"/>
      <c r="C150" s="4" t="n"/>
      <c r="D150" s="4" t="n"/>
      <c r="E150" s="4">
        <f>IF($D150="Active",$A150,"")</f>
        <v/>
      </c>
    </row>
    <row r="151">
      <c r="A151" s="4" t="n"/>
      <c r="B151" s="4" t="n"/>
      <c r="C151" s="4" t="n"/>
      <c r="D151" s="4" t="n"/>
      <c r="E151" s="4">
        <f>IF($D151="Active",$A151,"")</f>
        <v/>
      </c>
    </row>
    <row r="152">
      <c r="A152" s="4" t="n"/>
      <c r="B152" s="4" t="n"/>
      <c r="C152" s="4" t="n"/>
      <c r="D152" s="4" t="n"/>
      <c r="E152" s="4">
        <f>IF($D152="Active",$A152,"")</f>
        <v/>
      </c>
    </row>
    <row r="153">
      <c r="A153" s="4" t="n"/>
      <c r="B153" s="4" t="n"/>
      <c r="C153" s="4" t="n"/>
      <c r="D153" s="4" t="n"/>
      <c r="E153" s="4">
        <f>IF($D153="Active",$A153,"")</f>
        <v/>
      </c>
    </row>
    <row r="154">
      <c r="A154" s="4" t="n"/>
      <c r="B154" s="4" t="n"/>
      <c r="C154" s="4" t="n"/>
      <c r="D154" s="4" t="n"/>
      <c r="E154" s="4">
        <f>IF($D154="Active",$A154,"")</f>
        <v/>
      </c>
    </row>
    <row r="155">
      <c r="A155" s="4" t="n"/>
      <c r="B155" s="4" t="n"/>
      <c r="C155" s="4" t="n"/>
      <c r="D155" s="4" t="n"/>
      <c r="E155" s="4">
        <f>IF($D155="Active",$A155,"")</f>
        <v/>
      </c>
    </row>
    <row r="156">
      <c r="A156" s="4" t="n"/>
      <c r="B156" s="4" t="n"/>
      <c r="C156" s="4" t="n"/>
      <c r="D156" s="4" t="n"/>
      <c r="E156" s="4">
        <f>IF($D156="Active",$A156,"")</f>
        <v/>
      </c>
    </row>
    <row r="157">
      <c r="A157" s="4" t="n"/>
      <c r="B157" s="4" t="n"/>
      <c r="C157" s="4" t="n"/>
      <c r="D157" s="4" t="n"/>
      <c r="E157" s="4">
        <f>IF($D157="Active",$A157,"")</f>
        <v/>
      </c>
    </row>
    <row r="158">
      <c r="A158" s="4" t="n"/>
      <c r="B158" s="4" t="n"/>
      <c r="C158" s="4" t="n"/>
      <c r="D158" s="4" t="n"/>
      <c r="E158" s="4">
        <f>IF($D158="Active",$A158,"")</f>
        <v/>
      </c>
    </row>
    <row r="159">
      <c r="A159" s="4" t="n"/>
      <c r="B159" s="4" t="n"/>
      <c r="C159" s="4" t="n"/>
      <c r="D159" s="4" t="n"/>
      <c r="E159" s="4">
        <f>IF($D159="Active",$A159,"")</f>
        <v/>
      </c>
    </row>
    <row r="160">
      <c r="A160" s="4" t="n"/>
      <c r="B160" s="4" t="n"/>
      <c r="C160" s="4" t="n"/>
      <c r="D160" s="4" t="n"/>
      <c r="E160" s="4">
        <f>IF($D160="Active",$A160,"")</f>
        <v/>
      </c>
    </row>
    <row r="161">
      <c r="A161" s="4" t="n"/>
      <c r="B161" s="4" t="n"/>
      <c r="C161" s="4" t="n"/>
      <c r="D161" s="4" t="n"/>
      <c r="E161" s="4">
        <f>IF($D161="Active",$A161,"")</f>
        <v/>
      </c>
    </row>
    <row r="162">
      <c r="A162" s="4" t="n"/>
      <c r="B162" s="4" t="n"/>
      <c r="C162" s="4" t="n"/>
      <c r="D162" s="4" t="n"/>
      <c r="E162" s="4">
        <f>IF($D162="Active",$A162,"")</f>
        <v/>
      </c>
    </row>
    <row r="163">
      <c r="A163" s="4" t="n"/>
      <c r="B163" s="4" t="n"/>
      <c r="C163" s="4" t="n"/>
      <c r="D163" s="4" t="n"/>
      <c r="E163" s="4">
        <f>IF($D163="Active",$A163,"")</f>
        <v/>
      </c>
    </row>
    <row r="164">
      <c r="A164" s="4" t="n"/>
      <c r="B164" s="4" t="n"/>
      <c r="C164" s="4" t="n"/>
      <c r="D164" s="4" t="n"/>
      <c r="E164" s="4">
        <f>IF($D164="Active",$A164,"")</f>
        <v/>
      </c>
    </row>
    <row r="165">
      <c r="A165" s="4" t="n"/>
      <c r="B165" s="4" t="n"/>
      <c r="C165" s="4" t="n"/>
      <c r="D165" s="4" t="n"/>
      <c r="E165" s="4">
        <f>IF($D165="Active",$A165,"")</f>
        <v/>
      </c>
    </row>
    <row r="166">
      <c r="A166" s="4" t="n"/>
      <c r="B166" s="4" t="n"/>
      <c r="C166" s="4" t="n"/>
      <c r="D166" s="4" t="n"/>
      <c r="E166" s="4">
        <f>IF($D166="Active",$A166,"")</f>
        <v/>
      </c>
    </row>
    <row r="167">
      <c r="A167" s="4" t="n"/>
      <c r="B167" s="4" t="n"/>
      <c r="C167" s="4" t="n"/>
      <c r="D167" s="4" t="n"/>
      <c r="E167" s="4">
        <f>IF($D167="Active",$A167,"")</f>
        <v/>
      </c>
    </row>
    <row r="168">
      <c r="A168" s="4" t="n"/>
      <c r="B168" s="4" t="n"/>
      <c r="C168" s="4" t="n"/>
      <c r="D168" s="4" t="n"/>
      <c r="E168" s="4">
        <f>IF($D168="Active",$A168,"")</f>
        <v/>
      </c>
    </row>
    <row r="169">
      <c r="A169" s="4" t="n"/>
      <c r="B169" s="4" t="n"/>
      <c r="C169" s="4" t="n"/>
      <c r="D169" s="4" t="n"/>
      <c r="E169" s="4">
        <f>IF($D169="Active",$A169,"")</f>
        <v/>
      </c>
    </row>
    <row r="170">
      <c r="A170" s="4" t="n"/>
      <c r="B170" s="4" t="n"/>
      <c r="C170" s="4" t="n"/>
      <c r="D170" s="4" t="n"/>
      <c r="E170" s="4">
        <f>IF($D170="Active",$A170,"")</f>
        <v/>
      </c>
    </row>
    <row r="171">
      <c r="A171" s="4" t="n"/>
      <c r="B171" s="4" t="n"/>
      <c r="C171" s="4" t="n"/>
      <c r="D171" s="4" t="n"/>
      <c r="E171" s="4">
        <f>IF($D171="Active",$A171,"")</f>
        <v/>
      </c>
    </row>
    <row r="172">
      <c r="A172" s="4" t="n"/>
      <c r="B172" s="4" t="n"/>
      <c r="C172" s="4" t="n"/>
      <c r="D172" s="4" t="n"/>
      <c r="E172" s="4">
        <f>IF($D172="Active",$A172,"")</f>
        <v/>
      </c>
    </row>
    <row r="173">
      <c r="A173" s="4" t="n"/>
      <c r="B173" s="4" t="n"/>
      <c r="C173" s="4" t="n"/>
      <c r="D173" s="4" t="n"/>
      <c r="E173" s="4">
        <f>IF($D173="Active",$A173,"")</f>
        <v/>
      </c>
    </row>
    <row r="174">
      <c r="A174" s="4" t="n"/>
      <c r="B174" s="4" t="n"/>
      <c r="C174" s="4" t="n"/>
      <c r="D174" s="4" t="n"/>
      <c r="E174" s="4">
        <f>IF($D174="Active",$A174,"")</f>
        <v/>
      </c>
    </row>
    <row r="175">
      <c r="A175" s="4" t="n"/>
      <c r="B175" s="4" t="n"/>
      <c r="C175" s="4" t="n"/>
      <c r="D175" s="4" t="n"/>
      <c r="E175" s="4">
        <f>IF($D175="Active",$A175,"")</f>
        <v/>
      </c>
    </row>
    <row r="176">
      <c r="A176" s="4" t="n"/>
      <c r="B176" s="4" t="n"/>
      <c r="C176" s="4" t="n"/>
      <c r="D176" s="4" t="n"/>
      <c r="E176" s="4">
        <f>IF($D176="Active",$A176,"")</f>
        <v/>
      </c>
    </row>
    <row r="177">
      <c r="A177" s="4" t="n"/>
      <c r="B177" s="4" t="n"/>
      <c r="C177" s="4" t="n"/>
      <c r="D177" s="4" t="n"/>
      <c r="E177" s="4">
        <f>IF($D177="Active",$A177,"")</f>
        <v/>
      </c>
    </row>
    <row r="178">
      <c r="A178" s="4" t="n"/>
      <c r="B178" s="4" t="n"/>
      <c r="C178" s="4" t="n"/>
      <c r="D178" s="4" t="n"/>
      <c r="E178" s="4">
        <f>IF($D178="Active",$A178,"")</f>
        <v/>
      </c>
    </row>
    <row r="179">
      <c r="A179" s="4" t="n"/>
      <c r="B179" s="4" t="n"/>
      <c r="C179" s="4" t="n"/>
      <c r="D179" s="4" t="n"/>
      <c r="E179" s="4">
        <f>IF($D179="Active",$A179,"")</f>
        <v/>
      </c>
    </row>
    <row r="180">
      <c r="A180" s="4" t="n"/>
      <c r="B180" s="4" t="n"/>
      <c r="C180" s="4" t="n"/>
      <c r="D180" s="4" t="n"/>
      <c r="E180" s="4">
        <f>IF($D180="Active",$A180,"")</f>
        <v/>
      </c>
    </row>
    <row r="181">
      <c r="A181" s="4" t="n"/>
      <c r="B181" s="4" t="n"/>
      <c r="C181" s="4" t="n"/>
      <c r="D181" s="4" t="n"/>
      <c r="E181" s="4">
        <f>IF($D181="Active",$A181,"")</f>
        <v/>
      </c>
    </row>
    <row r="182">
      <c r="A182" s="4" t="n"/>
      <c r="B182" s="4" t="n"/>
      <c r="C182" s="4" t="n"/>
      <c r="D182" s="4" t="n"/>
      <c r="E182" s="4">
        <f>IF($D182="Active",$A182,"")</f>
        <v/>
      </c>
    </row>
    <row r="183">
      <c r="A183" s="4" t="n"/>
      <c r="B183" s="4" t="n"/>
      <c r="C183" s="4" t="n"/>
      <c r="D183" s="4" t="n"/>
      <c r="E183" s="4">
        <f>IF($D183="Active",$A183,"")</f>
        <v/>
      </c>
    </row>
    <row r="184">
      <c r="A184" s="4" t="n"/>
      <c r="B184" s="4" t="n"/>
      <c r="C184" s="4" t="n"/>
      <c r="D184" s="4" t="n"/>
      <c r="E184" s="4">
        <f>IF($D184="Active",$A184,"")</f>
        <v/>
      </c>
    </row>
    <row r="185">
      <c r="A185" s="4" t="n"/>
      <c r="B185" s="4" t="n"/>
      <c r="C185" s="4" t="n"/>
      <c r="D185" s="4" t="n"/>
      <c r="E185" s="4">
        <f>IF($D185="Active",$A185,"")</f>
        <v/>
      </c>
    </row>
    <row r="186">
      <c r="A186" s="4" t="n"/>
      <c r="B186" s="4" t="n"/>
      <c r="C186" s="4" t="n"/>
      <c r="D186" s="4" t="n"/>
      <c r="E186" s="4">
        <f>IF($D186="Active",$A186,"")</f>
        <v/>
      </c>
    </row>
    <row r="187">
      <c r="A187" s="4" t="n"/>
      <c r="B187" s="4" t="n"/>
      <c r="C187" s="4" t="n"/>
      <c r="D187" s="4" t="n"/>
      <c r="E187" s="4">
        <f>IF($D187="Active",$A187,"")</f>
        <v/>
      </c>
    </row>
    <row r="188">
      <c r="A188" s="4" t="n"/>
      <c r="B188" s="4" t="n"/>
      <c r="C188" s="4" t="n"/>
      <c r="D188" s="4" t="n"/>
      <c r="E188" s="4">
        <f>IF($D188="Active",$A188,"")</f>
        <v/>
      </c>
    </row>
    <row r="189">
      <c r="A189" s="4" t="n"/>
      <c r="B189" s="4" t="n"/>
      <c r="C189" s="4" t="n"/>
      <c r="D189" s="4" t="n"/>
      <c r="E189" s="4">
        <f>IF($D189="Active",$A189,"")</f>
        <v/>
      </c>
    </row>
    <row r="190">
      <c r="A190" s="4" t="n"/>
      <c r="B190" s="4" t="n"/>
      <c r="C190" s="4" t="n"/>
      <c r="D190" s="4" t="n"/>
      <c r="E190" s="4">
        <f>IF($D190="Active",$A190,"")</f>
        <v/>
      </c>
    </row>
    <row r="191">
      <c r="A191" s="4" t="n"/>
      <c r="B191" s="4" t="n"/>
      <c r="C191" s="4" t="n"/>
      <c r="D191" s="4" t="n"/>
      <c r="E191" s="4">
        <f>IF($D191="Active",$A191,"")</f>
        <v/>
      </c>
    </row>
    <row r="192">
      <c r="A192" s="4" t="n"/>
      <c r="B192" s="4" t="n"/>
      <c r="C192" s="4" t="n"/>
      <c r="D192" s="4" t="n"/>
      <c r="E192" s="4">
        <f>IF($D192="Active",$A192,"")</f>
        <v/>
      </c>
    </row>
    <row r="193">
      <c r="A193" s="4" t="n"/>
      <c r="B193" s="4" t="n"/>
      <c r="C193" s="4" t="n"/>
      <c r="D193" s="4" t="n"/>
      <c r="E193" s="4">
        <f>IF($D193="Active",$A193,"")</f>
        <v/>
      </c>
    </row>
    <row r="194">
      <c r="A194" s="4" t="n"/>
      <c r="B194" s="4" t="n"/>
      <c r="C194" s="4" t="n"/>
      <c r="D194" s="4" t="n"/>
      <c r="E194" s="4">
        <f>IF($D194="Active",$A194,"")</f>
        <v/>
      </c>
    </row>
    <row r="195">
      <c r="A195" s="4" t="n"/>
      <c r="B195" s="4" t="n"/>
      <c r="C195" s="4" t="n"/>
      <c r="D195" s="4" t="n"/>
      <c r="E195" s="4">
        <f>IF($D195="Active",$A195,"")</f>
        <v/>
      </c>
    </row>
    <row r="196">
      <c r="A196" s="4" t="n"/>
      <c r="B196" s="4" t="n"/>
      <c r="C196" s="4" t="n"/>
      <c r="D196" s="4" t="n"/>
      <c r="E196" s="4">
        <f>IF($D196="Active",$A196,"")</f>
        <v/>
      </c>
    </row>
    <row r="197">
      <c r="A197" s="4" t="n"/>
      <c r="B197" s="4" t="n"/>
      <c r="C197" s="4" t="n"/>
      <c r="D197" s="4" t="n"/>
      <c r="E197" s="4">
        <f>IF($D197="Active",$A197,"")</f>
        <v/>
      </c>
    </row>
    <row r="198">
      <c r="A198" s="4" t="n"/>
      <c r="B198" s="4" t="n"/>
      <c r="C198" s="4" t="n"/>
      <c r="D198" s="4" t="n"/>
      <c r="E198" s="4">
        <f>IF($D198="Active",$A198,"")</f>
        <v/>
      </c>
    </row>
    <row r="199">
      <c r="A199" s="4" t="n"/>
      <c r="B199" s="4" t="n"/>
      <c r="C199" s="4" t="n"/>
      <c r="D199" s="4" t="n"/>
      <c r="E199" s="4">
        <f>IF($D199="Active",$A199,"")</f>
        <v/>
      </c>
    </row>
    <row r="200">
      <c r="A200" s="4" t="n"/>
      <c r="B200" s="4" t="n"/>
      <c r="C200" s="4" t="n"/>
      <c r="D200" s="4" t="n"/>
      <c r="E200" s="4">
        <f>IF($D200="Active",$A200,"")</f>
        <v/>
      </c>
    </row>
    <row r="201">
      <c r="A201" s="4" t="n"/>
      <c r="B201" s="4" t="n"/>
      <c r="C201" s="4" t="n"/>
      <c r="D201" s="4" t="n"/>
      <c r="E201" s="4">
        <f>IF($D201="Active",$A201,"")</f>
        <v/>
      </c>
    </row>
    <row r="202">
      <c r="A202" s="4" t="n"/>
      <c r="B202" s="4" t="n"/>
      <c r="C202" s="4" t="n"/>
      <c r="D202" s="4" t="n"/>
      <c r="E202" s="4">
        <f>IF($D202="Active",$A202,"")</f>
        <v/>
      </c>
    </row>
    <row r="203">
      <c r="A203" s="4" t="n"/>
      <c r="B203" s="4" t="n"/>
      <c r="C203" s="4" t="n"/>
      <c r="D203" s="4" t="n"/>
      <c r="E203" s="4">
        <f>IF($D203="Active",$A203,"")</f>
        <v/>
      </c>
    </row>
    <row r="204">
      <c r="A204" s="4" t="n"/>
      <c r="B204" s="4" t="n"/>
      <c r="C204" s="4" t="n"/>
      <c r="D204" s="4" t="n"/>
      <c r="E204" s="4">
        <f>IF($D204="Active",$A204,"")</f>
        <v/>
      </c>
    </row>
    <row r="205">
      <c r="A205" s="4" t="n"/>
      <c r="B205" s="4" t="n"/>
      <c r="C205" s="4" t="n"/>
      <c r="D205" s="4" t="n"/>
      <c r="E205" s="4">
        <f>IF($D205="Active",$A205,"")</f>
        <v/>
      </c>
    </row>
    <row r="206">
      <c r="A206" s="4" t="n"/>
      <c r="B206" s="4" t="n"/>
      <c r="C206" s="4" t="n"/>
      <c r="D206" s="4" t="n"/>
      <c r="E206" s="4">
        <f>IF($D206="Active",$A206,"")</f>
        <v/>
      </c>
    </row>
    <row r="207">
      <c r="A207" s="4" t="n"/>
      <c r="B207" s="4" t="n"/>
      <c r="C207" s="4" t="n"/>
      <c r="D207" s="4" t="n"/>
      <c r="E207" s="4">
        <f>IF($D207="Active",$A207,"")</f>
        <v/>
      </c>
    </row>
    <row r="208">
      <c r="A208" s="4" t="n"/>
      <c r="B208" s="4" t="n"/>
      <c r="C208" s="4" t="n"/>
      <c r="D208" s="4" t="n"/>
      <c r="E208" s="4">
        <f>IF($D208="Active",$A208,"")</f>
        <v/>
      </c>
    </row>
    <row r="209">
      <c r="A209" s="4" t="n"/>
      <c r="B209" s="4" t="n"/>
      <c r="C209" s="4" t="n"/>
      <c r="D209" s="4" t="n"/>
      <c r="E209" s="4">
        <f>IF($D209="Active",$A209,"")</f>
        <v/>
      </c>
    </row>
    <row r="210">
      <c r="A210" s="4" t="n"/>
      <c r="B210" s="4" t="n"/>
      <c r="C210" s="4" t="n"/>
      <c r="D210" s="4" t="n"/>
      <c r="E210" s="4">
        <f>IF($D210="Active",$A210,"")</f>
        <v/>
      </c>
    </row>
    <row r="211">
      <c r="A211" s="4" t="n"/>
      <c r="B211" s="4" t="n"/>
      <c r="C211" s="4" t="n"/>
      <c r="D211" s="4" t="n"/>
      <c r="E211" s="4">
        <f>IF($D211="Active",$A211,"")</f>
        <v/>
      </c>
    </row>
    <row r="212">
      <c r="A212" s="4" t="n"/>
      <c r="B212" s="4" t="n"/>
      <c r="C212" s="4" t="n"/>
      <c r="D212" s="4" t="n"/>
      <c r="E212" s="4">
        <f>IF($D212="Active",$A212,"")</f>
        <v/>
      </c>
    </row>
    <row r="213">
      <c r="A213" s="4" t="n"/>
      <c r="B213" s="4" t="n"/>
      <c r="C213" s="4" t="n"/>
      <c r="D213" s="4" t="n"/>
      <c r="E213" s="4">
        <f>IF($D213="Active",$A213,"")</f>
        <v/>
      </c>
    </row>
    <row r="214">
      <c r="A214" s="4" t="n"/>
      <c r="B214" s="4" t="n"/>
      <c r="C214" s="4" t="n"/>
      <c r="D214" s="4" t="n"/>
      <c r="E214" s="4">
        <f>IF($D214="Active",$A214,"")</f>
        <v/>
      </c>
    </row>
    <row r="215">
      <c r="A215" s="4" t="n"/>
      <c r="B215" s="4" t="n"/>
      <c r="C215" s="4" t="n"/>
      <c r="D215" s="4" t="n"/>
      <c r="E215" s="4">
        <f>IF($D215="Active",$A215,"")</f>
        <v/>
      </c>
    </row>
    <row r="216">
      <c r="A216" s="4" t="n"/>
      <c r="B216" s="4" t="n"/>
      <c r="C216" s="4" t="n"/>
      <c r="D216" s="4" t="n"/>
      <c r="E216" s="4">
        <f>IF($D216="Active",$A216,"")</f>
        <v/>
      </c>
    </row>
    <row r="217">
      <c r="A217" s="4" t="n"/>
      <c r="B217" s="4" t="n"/>
      <c r="C217" s="4" t="n"/>
      <c r="D217" s="4" t="n"/>
      <c r="E217" s="4">
        <f>IF($D217="Active",$A217,"")</f>
        <v/>
      </c>
    </row>
    <row r="218">
      <c r="A218" s="4" t="n"/>
      <c r="B218" s="4" t="n"/>
      <c r="C218" s="4" t="n"/>
      <c r="D218" s="4" t="n"/>
      <c r="E218" s="4">
        <f>IF($D218="Active",$A218,"")</f>
        <v/>
      </c>
    </row>
    <row r="219">
      <c r="A219" s="4" t="n"/>
      <c r="B219" s="4" t="n"/>
      <c r="C219" s="4" t="n"/>
      <c r="D219" s="4" t="n"/>
      <c r="E219" s="4">
        <f>IF($D219="Active",$A219,"")</f>
        <v/>
      </c>
    </row>
    <row r="220">
      <c r="A220" s="4" t="n"/>
      <c r="B220" s="4" t="n"/>
      <c r="C220" s="4" t="n"/>
      <c r="D220" s="4" t="n"/>
      <c r="E220" s="4">
        <f>IF($D220="Active",$A220,"")</f>
        <v/>
      </c>
    </row>
    <row r="221">
      <c r="A221" s="4" t="n"/>
      <c r="B221" s="4" t="n"/>
      <c r="C221" s="4" t="n"/>
      <c r="D221" s="4" t="n"/>
      <c r="E221" s="4">
        <f>IF($D221="Active",$A221,"")</f>
        <v/>
      </c>
    </row>
    <row r="222">
      <c r="A222" s="4" t="n"/>
      <c r="B222" s="4" t="n"/>
      <c r="C222" s="4" t="n"/>
      <c r="D222" s="4" t="n"/>
      <c r="E222" s="4">
        <f>IF($D222="Active",$A222,"")</f>
        <v/>
      </c>
    </row>
    <row r="223">
      <c r="A223" s="4" t="n"/>
      <c r="B223" s="4" t="n"/>
      <c r="C223" s="4" t="n"/>
      <c r="D223" s="4" t="n"/>
      <c r="E223" s="4">
        <f>IF($D223="Active",$A223,"")</f>
        <v/>
      </c>
    </row>
    <row r="224">
      <c r="A224" s="4" t="n"/>
      <c r="B224" s="4" t="n"/>
      <c r="C224" s="4" t="n"/>
      <c r="D224" s="4" t="n"/>
      <c r="E224" s="4">
        <f>IF($D224="Active",$A224,"")</f>
        <v/>
      </c>
    </row>
    <row r="225">
      <c r="A225" s="4" t="n"/>
      <c r="B225" s="4" t="n"/>
      <c r="C225" s="4" t="n"/>
      <c r="D225" s="4" t="n"/>
      <c r="E225" s="4">
        <f>IF($D225="Active",$A225,"")</f>
        <v/>
      </c>
    </row>
    <row r="226">
      <c r="A226" s="4" t="n"/>
      <c r="B226" s="4" t="n"/>
      <c r="C226" s="4" t="n"/>
      <c r="D226" s="4" t="n"/>
      <c r="E226" s="4">
        <f>IF($D226="Active",$A226,"")</f>
        <v/>
      </c>
    </row>
    <row r="227">
      <c r="A227" s="4" t="n"/>
      <c r="B227" s="4" t="n"/>
      <c r="C227" s="4" t="n"/>
      <c r="D227" s="4" t="n"/>
      <c r="E227" s="4">
        <f>IF($D227="Active",$A227,"")</f>
        <v/>
      </c>
    </row>
    <row r="228">
      <c r="A228" s="4" t="n"/>
      <c r="B228" s="4" t="n"/>
      <c r="C228" s="4" t="n"/>
      <c r="D228" s="4" t="n"/>
      <c r="E228" s="4">
        <f>IF($D228="Active",$A228,"")</f>
        <v/>
      </c>
    </row>
    <row r="229">
      <c r="A229" s="4" t="n"/>
      <c r="B229" s="4" t="n"/>
      <c r="C229" s="4" t="n"/>
      <c r="D229" s="4" t="n"/>
      <c r="E229" s="4">
        <f>IF($D229="Active",$A229,"")</f>
        <v/>
      </c>
    </row>
    <row r="230">
      <c r="A230" s="4" t="n"/>
      <c r="B230" s="4" t="n"/>
      <c r="C230" s="4" t="n"/>
      <c r="D230" s="4" t="n"/>
      <c r="E230" s="4">
        <f>IF($D230="Active",$A230,"")</f>
        <v/>
      </c>
    </row>
    <row r="231">
      <c r="A231" s="4" t="n"/>
      <c r="B231" s="4" t="n"/>
      <c r="C231" s="4" t="n"/>
      <c r="D231" s="4" t="n"/>
      <c r="E231" s="4">
        <f>IF($D231="Active",$A231,"")</f>
        <v/>
      </c>
    </row>
    <row r="232">
      <c r="A232" s="4" t="n"/>
      <c r="B232" s="4" t="n"/>
      <c r="C232" s="4" t="n"/>
      <c r="D232" s="4" t="n"/>
      <c r="E232" s="4">
        <f>IF($D232="Active",$A232,"")</f>
        <v/>
      </c>
    </row>
    <row r="233">
      <c r="A233" s="4" t="n"/>
      <c r="B233" s="4" t="n"/>
      <c r="C233" s="4" t="n"/>
      <c r="D233" s="4" t="n"/>
      <c r="E233" s="4">
        <f>IF($D233="Active",$A233,"")</f>
        <v/>
      </c>
    </row>
    <row r="234">
      <c r="A234" s="4" t="n"/>
      <c r="B234" s="4" t="n"/>
      <c r="C234" s="4" t="n"/>
      <c r="D234" s="4" t="n"/>
      <c r="E234" s="4">
        <f>IF($D234="Active",$A234,"")</f>
        <v/>
      </c>
    </row>
    <row r="235">
      <c r="A235" s="4" t="n"/>
      <c r="B235" s="4" t="n"/>
      <c r="C235" s="4" t="n"/>
      <c r="D235" s="4" t="n"/>
      <c r="E235" s="4">
        <f>IF($D235="Active",$A235,"")</f>
        <v/>
      </c>
    </row>
    <row r="236">
      <c r="A236" s="4" t="n"/>
      <c r="B236" s="4" t="n"/>
      <c r="C236" s="4" t="n"/>
      <c r="D236" s="4" t="n"/>
      <c r="E236" s="4">
        <f>IF($D236="Active",$A236,"")</f>
        <v/>
      </c>
    </row>
    <row r="237">
      <c r="A237" s="4" t="n"/>
      <c r="B237" s="4" t="n"/>
      <c r="C237" s="4" t="n"/>
      <c r="D237" s="4" t="n"/>
      <c r="E237" s="4">
        <f>IF($D237="Active",$A237,"")</f>
        <v/>
      </c>
    </row>
    <row r="238">
      <c r="A238" s="4" t="n"/>
      <c r="B238" s="4" t="n"/>
      <c r="C238" s="4" t="n"/>
      <c r="D238" s="4" t="n"/>
      <c r="E238" s="4">
        <f>IF($D238="Active",$A238,"")</f>
        <v/>
      </c>
    </row>
    <row r="239">
      <c r="A239" s="4" t="n"/>
      <c r="B239" s="4" t="n"/>
      <c r="C239" s="4" t="n"/>
      <c r="D239" s="4" t="n"/>
      <c r="E239" s="4">
        <f>IF($D239="Active",$A239,"")</f>
        <v/>
      </c>
    </row>
    <row r="240">
      <c r="A240" s="4" t="n"/>
      <c r="B240" s="4" t="n"/>
      <c r="C240" s="4" t="n"/>
      <c r="D240" s="4" t="n"/>
      <c r="E240" s="4">
        <f>IF($D240="Active",$A240,"")</f>
        <v/>
      </c>
    </row>
    <row r="241">
      <c r="A241" s="4" t="n"/>
      <c r="B241" s="4" t="n"/>
      <c r="C241" s="4" t="n"/>
      <c r="D241" s="4" t="n"/>
      <c r="E241" s="4">
        <f>IF($D241="Active",$A241,"")</f>
        <v/>
      </c>
    </row>
    <row r="242">
      <c r="A242" s="4" t="n"/>
      <c r="B242" s="4" t="n"/>
      <c r="C242" s="4" t="n"/>
      <c r="D242" s="4" t="n"/>
      <c r="E242" s="4">
        <f>IF($D242="Active",$A242,"")</f>
        <v/>
      </c>
    </row>
    <row r="243">
      <c r="A243" s="4" t="n"/>
      <c r="B243" s="4" t="n"/>
      <c r="C243" s="4" t="n"/>
      <c r="D243" s="4" t="n"/>
      <c r="E243" s="4">
        <f>IF($D243="Active",$A243,"")</f>
        <v/>
      </c>
    </row>
    <row r="244">
      <c r="A244" s="4" t="n"/>
      <c r="B244" s="4" t="n"/>
      <c r="C244" s="4" t="n"/>
      <c r="D244" s="4" t="n"/>
      <c r="E244" s="4">
        <f>IF($D244="Active",$A244,"")</f>
        <v/>
      </c>
    </row>
    <row r="245">
      <c r="A245" s="4" t="n"/>
      <c r="B245" s="4" t="n"/>
      <c r="C245" s="4" t="n"/>
      <c r="D245" s="4" t="n"/>
      <c r="E245" s="4">
        <f>IF($D245="Active",$A245,"")</f>
        <v/>
      </c>
    </row>
    <row r="246">
      <c r="A246" s="4" t="n"/>
      <c r="B246" s="4" t="n"/>
      <c r="C246" s="4" t="n"/>
      <c r="D246" s="4" t="n"/>
      <c r="E246" s="4">
        <f>IF($D246="Active",$A246,"")</f>
        <v/>
      </c>
    </row>
    <row r="247">
      <c r="A247" s="4" t="n"/>
      <c r="B247" s="4" t="n"/>
      <c r="C247" s="4" t="n"/>
      <c r="D247" s="4" t="n"/>
      <c r="E247" s="4">
        <f>IF($D247="Active",$A247,"")</f>
        <v/>
      </c>
    </row>
    <row r="248">
      <c r="A248" s="4" t="n"/>
      <c r="B248" s="4" t="n"/>
      <c r="C248" s="4" t="n"/>
      <c r="D248" s="4" t="n"/>
      <c r="E248" s="4">
        <f>IF($D248="Active",$A248,"")</f>
        <v/>
      </c>
    </row>
    <row r="249">
      <c r="A249" s="4" t="n"/>
      <c r="B249" s="4" t="n"/>
      <c r="C249" s="4" t="n"/>
      <c r="D249" s="4" t="n"/>
      <c r="E249" s="4">
        <f>IF($D249="Active",$A249,"")</f>
        <v/>
      </c>
    </row>
    <row r="250">
      <c r="A250" s="4" t="n"/>
      <c r="B250" s="4" t="n"/>
      <c r="C250" s="4" t="n"/>
      <c r="D250" s="4" t="n"/>
      <c r="E250" s="4">
        <f>IF($D250="Active",$A250,"")</f>
        <v/>
      </c>
    </row>
    <row r="251">
      <c r="A251" s="4" t="n"/>
      <c r="B251" s="4" t="n"/>
      <c r="C251" s="4" t="n"/>
      <c r="D251" s="4" t="n"/>
      <c r="E251" s="4">
        <f>IF($D251="Active",$A251,"")</f>
        <v/>
      </c>
    </row>
    <row r="252">
      <c r="A252" s="4" t="n"/>
      <c r="B252" s="4" t="n"/>
      <c r="C252" s="4" t="n"/>
      <c r="D252" s="4" t="n"/>
      <c r="E252" s="4">
        <f>IF($D252="Active",$A252,"")</f>
        <v/>
      </c>
    </row>
    <row r="253">
      <c r="A253" s="4" t="n"/>
      <c r="B253" s="4" t="n"/>
      <c r="C253" s="4" t="n"/>
      <c r="D253" s="4" t="n"/>
      <c r="E253" s="4">
        <f>IF($D253="Active",$A253,"")</f>
        <v/>
      </c>
    </row>
    <row r="254">
      <c r="A254" s="4" t="n"/>
      <c r="B254" s="4" t="n"/>
      <c r="C254" s="4" t="n"/>
      <c r="D254" s="4" t="n"/>
      <c r="E254" s="4">
        <f>IF($D254="Active",$A254,"")</f>
        <v/>
      </c>
    </row>
    <row r="255">
      <c r="A255" s="4" t="n"/>
      <c r="B255" s="4" t="n"/>
      <c r="C255" s="4" t="n"/>
      <c r="D255" s="4" t="n"/>
      <c r="E255" s="4">
        <f>IF($D255="Active",$A255,"")</f>
        <v/>
      </c>
    </row>
    <row r="256">
      <c r="A256" s="4" t="n"/>
      <c r="B256" s="4" t="n"/>
      <c r="C256" s="4" t="n"/>
      <c r="D256" s="4" t="n"/>
      <c r="E256" s="4">
        <f>IF($D256="Active",$A256,"")</f>
        <v/>
      </c>
    </row>
    <row r="257">
      <c r="A257" s="4" t="n"/>
      <c r="B257" s="4" t="n"/>
      <c r="C257" s="4" t="n"/>
      <c r="D257" s="4" t="n"/>
      <c r="E257" s="4">
        <f>IF($D257="Active",$A257,"")</f>
        <v/>
      </c>
    </row>
    <row r="258">
      <c r="A258" s="4" t="n"/>
      <c r="B258" s="4" t="n"/>
      <c r="C258" s="4" t="n"/>
      <c r="D258" s="4" t="n"/>
      <c r="E258" s="4">
        <f>IF($D258="Active",$A258,"")</f>
        <v/>
      </c>
    </row>
    <row r="259">
      <c r="A259" s="4" t="n"/>
      <c r="B259" s="4" t="n"/>
      <c r="C259" s="4" t="n"/>
      <c r="D259" s="4" t="n"/>
      <c r="E259" s="4">
        <f>IF($D259="Active",$A259,"")</f>
        <v/>
      </c>
    </row>
    <row r="260">
      <c r="A260" s="4" t="n"/>
      <c r="B260" s="4" t="n"/>
      <c r="C260" s="4" t="n"/>
      <c r="D260" s="4" t="n"/>
      <c r="E260" s="4">
        <f>IF($D260="Active",$A260,"")</f>
        <v/>
      </c>
    </row>
    <row r="261">
      <c r="A261" s="4" t="n"/>
      <c r="B261" s="4" t="n"/>
      <c r="C261" s="4" t="n"/>
      <c r="D261" s="4" t="n"/>
      <c r="E261" s="4">
        <f>IF($D261="Active",$A261,"")</f>
        <v/>
      </c>
    </row>
    <row r="262">
      <c r="A262" s="4" t="n"/>
      <c r="B262" s="4" t="n"/>
      <c r="C262" s="4" t="n"/>
      <c r="D262" s="4" t="n"/>
      <c r="E262" s="4">
        <f>IF($D262="Active",$A262,"")</f>
        <v/>
      </c>
    </row>
    <row r="263">
      <c r="A263" s="4" t="n"/>
      <c r="B263" s="4" t="n"/>
      <c r="C263" s="4" t="n"/>
      <c r="D263" s="4" t="n"/>
      <c r="E263" s="4">
        <f>IF($D263="Active",$A263,"")</f>
        <v/>
      </c>
    </row>
    <row r="264">
      <c r="A264" s="4" t="n"/>
      <c r="B264" s="4" t="n"/>
      <c r="C264" s="4" t="n"/>
      <c r="D264" s="4" t="n"/>
      <c r="E264" s="4">
        <f>IF($D264="Active",$A264,"")</f>
        <v/>
      </c>
    </row>
    <row r="265">
      <c r="A265" s="4" t="n"/>
      <c r="B265" s="4" t="n"/>
      <c r="C265" s="4" t="n"/>
      <c r="D265" s="4" t="n"/>
      <c r="E265" s="4">
        <f>IF($D265="Active",$A265,"")</f>
        <v/>
      </c>
    </row>
    <row r="266">
      <c r="A266" s="4" t="n"/>
      <c r="B266" s="4" t="n"/>
      <c r="C266" s="4" t="n"/>
      <c r="D266" s="4" t="n"/>
      <c r="E266" s="4">
        <f>IF($D266="Active",$A266,"")</f>
        <v/>
      </c>
    </row>
    <row r="267">
      <c r="A267" s="4" t="n"/>
      <c r="B267" s="4" t="n"/>
      <c r="C267" s="4" t="n"/>
      <c r="D267" s="4" t="n"/>
      <c r="E267" s="4">
        <f>IF($D267="Active",$A267,"")</f>
        <v/>
      </c>
    </row>
    <row r="268">
      <c r="A268" s="4" t="n"/>
      <c r="B268" s="4" t="n"/>
      <c r="C268" s="4" t="n"/>
      <c r="D268" s="4" t="n"/>
      <c r="E268" s="4">
        <f>IF($D268="Active",$A268,"")</f>
        <v/>
      </c>
    </row>
    <row r="269">
      <c r="A269" s="4" t="n"/>
      <c r="B269" s="4" t="n"/>
      <c r="C269" s="4" t="n"/>
      <c r="D269" s="4" t="n"/>
      <c r="E269" s="4">
        <f>IF($D269="Active",$A269,"")</f>
        <v/>
      </c>
    </row>
    <row r="270">
      <c r="A270" s="4" t="n"/>
      <c r="B270" s="4" t="n"/>
      <c r="C270" s="4" t="n"/>
      <c r="D270" s="4" t="n"/>
      <c r="E270" s="4">
        <f>IF($D270="Active",$A270,"")</f>
        <v/>
      </c>
    </row>
    <row r="271">
      <c r="A271" s="4" t="n"/>
      <c r="B271" s="4" t="n"/>
      <c r="C271" s="4" t="n"/>
      <c r="D271" s="4" t="n"/>
      <c r="E271" s="4">
        <f>IF($D271="Active",$A271,"")</f>
        <v/>
      </c>
    </row>
    <row r="272">
      <c r="A272" s="4" t="n"/>
      <c r="B272" s="4" t="n"/>
      <c r="C272" s="4" t="n"/>
      <c r="D272" s="4" t="n"/>
      <c r="E272" s="4">
        <f>IF($D272="Active",$A272,"")</f>
        <v/>
      </c>
    </row>
    <row r="273">
      <c r="A273" s="4" t="n"/>
      <c r="B273" s="4" t="n"/>
      <c r="C273" s="4" t="n"/>
      <c r="D273" s="4" t="n"/>
      <c r="E273" s="4">
        <f>IF($D273="Active",$A273,"")</f>
        <v/>
      </c>
    </row>
    <row r="274">
      <c r="A274" s="4" t="n"/>
      <c r="B274" s="4" t="n"/>
      <c r="C274" s="4" t="n"/>
      <c r="D274" s="4" t="n"/>
      <c r="E274" s="4">
        <f>IF($D274="Active",$A274,"")</f>
        <v/>
      </c>
    </row>
    <row r="275">
      <c r="A275" s="4" t="n"/>
      <c r="B275" s="4" t="n"/>
      <c r="C275" s="4" t="n"/>
      <c r="D275" s="4" t="n"/>
      <c r="E275" s="4">
        <f>IF($D275="Active",$A275,"")</f>
        <v/>
      </c>
    </row>
    <row r="276">
      <c r="A276" s="4" t="n"/>
      <c r="B276" s="4" t="n"/>
      <c r="C276" s="4" t="n"/>
      <c r="D276" s="4" t="n"/>
      <c r="E276" s="4">
        <f>IF($D276="Active",$A276,"")</f>
        <v/>
      </c>
    </row>
    <row r="277">
      <c r="A277" s="4" t="n"/>
      <c r="B277" s="4" t="n"/>
      <c r="C277" s="4" t="n"/>
      <c r="D277" s="4" t="n"/>
      <c r="E277" s="4">
        <f>IF($D277="Active",$A277,"")</f>
        <v/>
      </c>
    </row>
    <row r="278">
      <c r="A278" s="4" t="n"/>
      <c r="B278" s="4" t="n"/>
      <c r="C278" s="4" t="n"/>
      <c r="D278" s="4" t="n"/>
      <c r="E278" s="4">
        <f>IF($D278="Active",$A278,"")</f>
        <v/>
      </c>
    </row>
    <row r="279">
      <c r="A279" s="4" t="n"/>
      <c r="B279" s="4" t="n"/>
      <c r="C279" s="4" t="n"/>
      <c r="D279" s="4" t="n"/>
      <c r="E279" s="4">
        <f>IF($D279="Active",$A279,"")</f>
        <v/>
      </c>
    </row>
    <row r="280">
      <c r="A280" s="4" t="n"/>
      <c r="B280" s="4" t="n"/>
      <c r="C280" s="4" t="n"/>
      <c r="D280" s="4" t="n"/>
      <c r="E280" s="4">
        <f>IF($D280="Active",$A280,"")</f>
        <v/>
      </c>
    </row>
    <row r="281">
      <c r="A281" s="4" t="n"/>
      <c r="B281" s="4" t="n"/>
      <c r="C281" s="4" t="n"/>
      <c r="D281" s="4" t="n"/>
      <c r="E281" s="4">
        <f>IF($D281="Active",$A281,"")</f>
        <v/>
      </c>
    </row>
    <row r="282">
      <c r="A282" s="4" t="n"/>
      <c r="B282" s="4" t="n"/>
      <c r="C282" s="4" t="n"/>
      <c r="D282" s="4" t="n"/>
      <c r="E282" s="4">
        <f>IF($D282="Active",$A282,"")</f>
        <v/>
      </c>
    </row>
    <row r="283">
      <c r="A283" s="4" t="n"/>
      <c r="B283" s="4" t="n"/>
      <c r="C283" s="4" t="n"/>
      <c r="D283" s="4" t="n"/>
      <c r="E283" s="4">
        <f>IF($D283="Active",$A283,"")</f>
        <v/>
      </c>
    </row>
    <row r="284">
      <c r="A284" s="4" t="n"/>
      <c r="B284" s="4" t="n"/>
      <c r="C284" s="4" t="n"/>
      <c r="D284" s="4" t="n"/>
      <c r="E284" s="4">
        <f>IF($D284="Active",$A284,"")</f>
        <v/>
      </c>
    </row>
    <row r="285">
      <c r="A285" s="4" t="n"/>
      <c r="B285" s="4" t="n"/>
      <c r="C285" s="4" t="n"/>
      <c r="D285" s="4" t="n"/>
      <c r="E285" s="4">
        <f>IF($D285="Active",$A285,"")</f>
        <v/>
      </c>
    </row>
    <row r="286">
      <c r="A286" s="4" t="n"/>
      <c r="B286" s="4" t="n"/>
      <c r="C286" s="4" t="n"/>
      <c r="D286" s="4" t="n"/>
      <c r="E286" s="4">
        <f>IF($D286="Active",$A286,"")</f>
        <v/>
      </c>
    </row>
    <row r="287">
      <c r="A287" s="4" t="n"/>
      <c r="B287" s="4" t="n"/>
      <c r="C287" s="4" t="n"/>
      <c r="D287" s="4" t="n"/>
      <c r="E287" s="4">
        <f>IF($D287="Active",$A287,"")</f>
        <v/>
      </c>
    </row>
    <row r="288">
      <c r="A288" s="4" t="n"/>
      <c r="B288" s="4" t="n"/>
      <c r="C288" s="4" t="n"/>
      <c r="D288" s="4" t="n"/>
      <c r="E288" s="4">
        <f>IF($D288="Active",$A288,"")</f>
        <v/>
      </c>
    </row>
    <row r="289">
      <c r="A289" s="4" t="n"/>
      <c r="B289" s="4" t="n"/>
      <c r="C289" s="4" t="n"/>
      <c r="D289" s="4" t="n"/>
      <c r="E289" s="4">
        <f>IF($D289="Active",$A289,"")</f>
        <v/>
      </c>
    </row>
    <row r="290">
      <c r="A290" s="4" t="n"/>
      <c r="B290" s="4" t="n"/>
      <c r="C290" s="4" t="n"/>
      <c r="D290" s="4" t="n"/>
      <c r="E290" s="4">
        <f>IF($D290="Active",$A290,"")</f>
        <v/>
      </c>
    </row>
    <row r="291">
      <c r="A291" s="4" t="n"/>
      <c r="B291" s="4" t="n"/>
      <c r="C291" s="4" t="n"/>
      <c r="D291" s="4" t="n"/>
      <c r="E291" s="4">
        <f>IF($D291="Active",$A291,"")</f>
        <v/>
      </c>
    </row>
    <row r="292">
      <c r="A292" s="4" t="n"/>
      <c r="B292" s="4" t="n"/>
      <c r="C292" s="4" t="n"/>
      <c r="D292" s="4" t="n"/>
      <c r="E292" s="4">
        <f>IF($D292="Active",$A292,"")</f>
        <v/>
      </c>
    </row>
    <row r="293">
      <c r="A293" s="4" t="n"/>
      <c r="B293" s="4" t="n"/>
      <c r="C293" s="4" t="n"/>
      <c r="D293" s="4" t="n"/>
      <c r="E293" s="4">
        <f>IF($D293="Active",$A293,"")</f>
        <v/>
      </c>
    </row>
    <row r="294">
      <c r="A294" s="4" t="n"/>
      <c r="B294" s="4" t="n"/>
      <c r="C294" s="4" t="n"/>
      <c r="D294" s="4" t="n"/>
      <c r="E294" s="4">
        <f>IF($D294="Active",$A294,"")</f>
        <v/>
      </c>
    </row>
    <row r="295">
      <c r="A295" s="4" t="n"/>
      <c r="B295" s="4" t="n"/>
      <c r="C295" s="4" t="n"/>
      <c r="D295" s="4" t="n"/>
      <c r="E295" s="4">
        <f>IF($D295="Active",$A295,"")</f>
        <v/>
      </c>
    </row>
    <row r="296">
      <c r="A296" s="4" t="n"/>
      <c r="B296" s="4" t="n"/>
      <c r="C296" s="4" t="n"/>
      <c r="D296" s="4" t="n"/>
      <c r="E296" s="4">
        <f>IF($D296="Active",$A296,"")</f>
        <v/>
      </c>
    </row>
    <row r="297">
      <c r="A297" s="4" t="n"/>
      <c r="B297" s="4" t="n"/>
      <c r="C297" s="4" t="n"/>
      <c r="D297" s="4" t="n"/>
      <c r="E297" s="4">
        <f>IF($D297="Active",$A297,"")</f>
        <v/>
      </c>
    </row>
    <row r="298">
      <c r="A298" s="4" t="n"/>
      <c r="B298" s="4" t="n"/>
      <c r="C298" s="4" t="n"/>
      <c r="D298" s="4" t="n"/>
      <c r="E298" s="4">
        <f>IF($D298="Active",$A298,"")</f>
        <v/>
      </c>
    </row>
    <row r="299">
      <c r="A299" s="4" t="n"/>
      <c r="B299" s="4" t="n"/>
      <c r="C299" s="4" t="n"/>
      <c r="D299" s="4" t="n"/>
      <c r="E299" s="4">
        <f>IF($D299="Active",$A299,"")</f>
        <v/>
      </c>
    </row>
    <row r="300">
      <c r="A300" s="4" t="n"/>
      <c r="B300" s="4" t="n"/>
      <c r="C300" s="4" t="n"/>
      <c r="D300" s="4" t="n"/>
      <c r="E300" s="4">
        <f>IF($D300="Active",$A300,"")</f>
        <v/>
      </c>
    </row>
    <row r="301">
      <c r="A301" s="4" t="n"/>
      <c r="B301" s="4" t="n"/>
      <c r="C301" s="4" t="n"/>
      <c r="D301" s="4" t="n"/>
      <c r="E301" s="4">
        <f>IF($D301="Active",$A301,"")</f>
        <v/>
      </c>
    </row>
    <row r="302">
      <c r="A302" s="4" t="n"/>
      <c r="B302" s="4" t="n"/>
      <c r="C302" s="4" t="n"/>
      <c r="D302" s="4" t="n"/>
      <c r="E302" s="4">
        <f>IF($D302="Active",$A302,"")</f>
        <v/>
      </c>
    </row>
    <row r="303">
      <c r="A303" s="4" t="n"/>
      <c r="B303" s="4" t="n"/>
      <c r="C303" s="4" t="n"/>
      <c r="D303" s="4" t="n"/>
      <c r="E303" s="4">
        <f>IF($D303="Active",$A303,"")</f>
        <v/>
      </c>
    </row>
    <row r="304">
      <c r="A304" s="4" t="n"/>
      <c r="B304" s="4" t="n"/>
      <c r="C304" s="4" t="n"/>
      <c r="D304" s="4" t="n"/>
      <c r="E304" s="4">
        <f>IF($D304="Active",$A304,"")</f>
        <v/>
      </c>
    </row>
    <row r="305">
      <c r="A305" s="4" t="n"/>
      <c r="B305" s="4" t="n"/>
      <c r="C305" s="4" t="n"/>
      <c r="D305" s="4" t="n"/>
      <c r="E305" s="4">
        <f>IF($D305="Active",$A305,"")</f>
        <v/>
      </c>
    </row>
    <row r="306">
      <c r="A306" s="4" t="n"/>
      <c r="B306" s="4" t="n"/>
      <c r="C306" s="4" t="n"/>
      <c r="D306" s="4" t="n"/>
      <c r="E306" s="4">
        <f>IF($D306="Active",$A306,"")</f>
        <v/>
      </c>
    </row>
    <row r="307">
      <c r="A307" s="4" t="n"/>
      <c r="B307" s="4" t="n"/>
      <c r="C307" s="4" t="n"/>
      <c r="D307" s="4" t="n"/>
      <c r="E307" s="4">
        <f>IF($D307="Active",$A307,"")</f>
        <v/>
      </c>
    </row>
    <row r="308">
      <c r="A308" s="4" t="n"/>
      <c r="B308" s="4" t="n"/>
      <c r="C308" s="4" t="n"/>
      <c r="D308" s="4" t="n"/>
      <c r="E308" s="4">
        <f>IF($D308="Active",$A308,"")</f>
        <v/>
      </c>
    </row>
    <row r="309">
      <c r="A309" s="4" t="n"/>
      <c r="B309" s="4" t="n"/>
      <c r="C309" s="4" t="n"/>
      <c r="D309" s="4" t="n"/>
      <c r="E309" s="4">
        <f>IF($D309="Active",$A309,"")</f>
        <v/>
      </c>
    </row>
    <row r="310">
      <c r="A310" s="4" t="n"/>
      <c r="B310" s="4" t="n"/>
      <c r="C310" s="4" t="n"/>
      <c r="D310" s="4" t="n"/>
      <c r="E310" s="4">
        <f>IF($D310="Active",$A310,"")</f>
        <v/>
      </c>
    </row>
    <row r="311">
      <c r="A311" s="4" t="n"/>
      <c r="B311" s="4" t="n"/>
      <c r="C311" s="4" t="n"/>
      <c r="D311" s="4" t="n"/>
      <c r="E311" s="4">
        <f>IF($D311="Active",$A311,"")</f>
        <v/>
      </c>
    </row>
    <row r="312">
      <c r="A312" s="4" t="n"/>
      <c r="B312" s="4" t="n"/>
      <c r="C312" s="4" t="n"/>
      <c r="D312" s="4" t="n"/>
      <c r="E312" s="4">
        <f>IF($D312="Active",$A312,"")</f>
        <v/>
      </c>
    </row>
    <row r="313">
      <c r="A313" s="4" t="n"/>
      <c r="B313" s="4" t="n"/>
      <c r="C313" s="4" t="n"/>
      <c r="D313" s="4" t="n"/>
      <c r="E313" s="4">
        <f>IF($D313="Active",$A313,"")</f>
        <v/>
      </c>
    </row>
    <row r="314">
      <c r="A314" s="4" t="n"/>
      <c r="B314" s="4" t="n"/>
      <c r="C314" s="4" t="n"/>
      <c r="D314" s="4" t="n"/>
      <c r="E314" s="4">
        <f>IF($D314="Active",$A314,"")</f>
        <v/>
      </c>
    </row>
    <row r="315">
      <c r="A315" s="4" t="n"/>
      <c r="B315" s="4" t="n"/>
      <c r="C315" s="4" t="n"/>
      <c r="D315" s="4" t="n"/>
      <c r="E315" s="4">
        <f>IF($D315="Active",$A315,"")</f>
        <v/>
      </c>
    </row>
    <row r="316">
      <c r="A316" s="4" t="n"/>
      <c r="B316" s="4" t="n"/>
      <c r="C316" s="4" t="n"/>
      <c r="D316" s="4" t="n"/>
      <c r="E316" s="4">
        <f>IF($D316="Active",$A316,"")</f>
        <v/>
      </c>
    </row>
    <row r="317">
      <c r="A317" s="4" t="n"/>
      <c r="B317" s="4" t="n"/>
      <c r="C317" s="4" t="n"/>
      <c r="D317" s="4" t="n"/>
      <c r="E317" s="4">
        <f>IF($D317="Active",$A317,"")</f>
        <v/>
      </c>
    </row>
    <row r="318">
      <c r="A318" s="4" t="n"/>
      <c r="B318" s="4" t="n"/>
      <c r="C318" s="4" t="n"/>
      <c r="D318" s="4" t="n"/>
      <c r="E318" s="4">
        <f>IF($D318="Active",$A318,"")</f>
        <v/>
      </c>
    </row>
    <row r="319">
      <c r="A319" s="4" t="n"/>
      <c r="B319" s="4" t="n"/>
      <c r="C319" s="4" t="n"/>
      <c r="D319" s="4" t="n"/>
      <c r="E319" s="4">
        <f>IF($D319="Active",$A319,"")</f>
        <v/>
      </c>
    </row>
    <row r="320">
      <c r="A320" s="4" t="n"/>
      <c r="B320" s="4" t="n"/>
      <c r="C320" s="4" t="n"/>
      <c r="D320" s="4" t="n"/>
      <c r="E320" s="4">
        <f>IF($D320="Active",$A320,"")</f>
        <v/>
      </c>
    </row>
    <row r="321">
      <c r="A321" s="4" t="n"/>
      <c r="B321" s="4" t="n"/>
      <c r="C321" s="4" t="n"/>
      <c r="D321" s="4" t="n"/>
      <c r="E321" s="4">
        <f>IF($D321="Active",$A321,"")</f>
        <v/>
      </c>
    </row>
    <row r="322">
      <c r="A322" s="4" t="n"/>
      <c r="B322" s="4" t="n"/>
      <c r="C322" s="4" t="n"/>
      <c r="D322" s="4" t="n"/>
      <c r="E322" s="4">
        <f>IF($D322="Active",$A322,"")</f>
        <v/>
      </c>
    </row>
    <row r="323">
      <c r="A323" s="4" t="n"/>
      <c r="B323" s="4" t="n"/>
      <c r="C323" s="4" t="n"/>
      <c r="D323" s="4" t="n"/>
      <c r="E323" s="4">
        <f>IF($D323="Active",$A323,"")</f>
        <v/>
      </c>
    </row>
    <row r="324">
      <c r="A324" s="4" t="n"/>
      <c r="B324" s="4" t="n"/>
      <c r="C324" s="4" t="n"/>
      <c r="D324" s="4" t="n"/>
      <c r="E324" s="4">
        <f>IF($D324="Active",$A324,"")</f>
        <v/>
      </c>
    </row>
    <row r="325">
      <c r="A325" s="4" t="n"/>
      <c r="B325" s="4" t="n"/>
      <c r="C325" s="4" t="n"/>
      <c r="D325" s="4" t="n"/>
      <c r="E325" s="4">
        <f>IF($D325="Active",$A325,"")</f>
        <v/>
      </c>
    </row>
    <row r="326">
      <c r="A326" s="4" t="n"/>
      <c r="B326" s="4" t="n"/>
      <c r="C326" s="4" t="n"/>
      <c r="D326" s="4" t="n"/>
      <c r="E326" s="4">
        <f>IF($D326="Active",$A326,"")</f>
        <v/>
      </c>
    </row>
    <row r="327">
      <c r="A327" s="4" t="n"/>
      <c r="B327" s="4" t="n"/>
      <c r="C327" s="4" t="n"/>
      <c r="D327" s="4" t="n"/>
      <c r="E327" s="4">
        <f>IF($D327="Active",$A327,"")</f>
        <v/>
      </c>
    </row>
    <row r="328">
      <c r="A328" s="4" t="n"/>
      <c r="B328" s="4" t="n"/>
      <c r="C328" s="4" t="n"/>
      <c r="D328" s="4" t="n"/>
      <c r="E328" s="4">
        <f>IF($D328="Active",$A328,"")</f>
        <v/>
      </c>
    </row>
    <row r="329">
      <c r="A329" s="4" t="n"/>
      <c r="B329" s="4" t="n"/>
      <c r="C329" s="4" t="n"/>
      <c r="D329" s="4" t="n"/>
      <c r="E329" s="4">
        <f>IF($D329="Active",$A329,"")</f>
        <v/>
      </c>
    </row>
    <row r="330">
      <c r="A330" s="4" t="n"/>
      <c r="B330" s="4" t="n"/>
      <c r="C330" s="4" t="n"/>
      <c r="D330" s="4" t="n"/>
      <c r="E330" s="4">
        <f>IF($D330="Active",$A330,"")</f>
        <v/>
      </c>
    </row>
    <row r="331">
      <c r="A331" s="4" t="n"/>
      <c r="B331" s="4" t="n"/>
      <c r="C331" s="4" t="n"/>
      <c r="D331" s="4" t="n"/>
      <c r="E331" s="4">
        <f>IF($D331="Active",$A331,"")</f>
        <v/>
      </c>
    </row>
    <row r="332">
      <c r="A332" s="4" t="n"/>
      <c r="B332" s="4" t="n"/>
      <c r="C332" s="4" t="n"/>
      <c r="D332" s="4" t="n"/>
      <c r="E332" s="4">
        <f>IF($D332="Active",$A332,"")</f>
        <v/>
      </c>
    </row>
    <row r="333">
      <c r="A333" s="4" t="n"/>
      <c r="B333" s="4" t="n"/>
      <c r="C333" s="4" t="n"/>
      <c r="D333" s="4" t="n"/>
      <c r="E333" s="4">
        <f>IF($D333="Active",$A333,"")</f>
        <v/>
      </c>
    </row>
    <row r="334">
      <c r="A334" s="4" t="n"/>
      <c r="B334" s="4" t="n"/>
      <c r="C334" s="4" t="n"/>
      <c r="D334" s="4" t="n"/>
      <c r="E334" s="4">
        <f>IF($D334="Active",$A334,"")</f>
        <v/>
      </c>
    </row>
    <row r="335">
      <c r="A335" s="4" t="n"/>
      <c r="B335" s="4" t="n"/>
      <c r="C335" s="4" t="n"/>
      <c r="D335" s="4" t="n"/>
      <c r="E335" s="4">
        <f>IF($D335="Active",$A335,"")</f>
        <v/>
      </c>
    </row>
    <row r="336">
      <c r="A336" s="4" t="n"/>
      <c r="B336" s="4" t="n"/>
      <c r="C336" s="4" t="n"/>
      <c r="D336" s="4" t="n"/>
      <c r="E336" s="4">
        <f>IF($D336="Active",$A336,"")</f>
        <v/>
      </c>
    </row>
    <row r="337">
      <c r="A337" s="4" t="n"/>
      <c r="B337" s="4" t="n"/>
      <c r="C337" s="4" t="n"/>
      <c r="D337" s="4" t="n"/>
      <c r="E337" s="4">
        <f>IF($D337="Active",$A337,"")</f>
        <v/>
      </c>
    </row>
    <row r="338">
      <c r="A338" s="4" t="n"/>
      <c r="B338" s="4" t="n"/>
      <c r="C338" s="4" t="n"/>
      <c r="D338" s="4" t="n"/>
      <c r="E338" s="4">
        <f>IF($D338="Active",$A338,"")</f>
        <v/>
      </c>
    </row>
    <row r="339">
      <c r="A339" s="4" t="n"/>
      <c r="B339" s="4" t="n"/>
      <c r="C339" s="4" t="n"/>
      <c r="D339" s="4" t="n"/>
      <c r="E339" s="4">
        <f>IF($D339="Active",$A339,"")</f>
        <v/>
      </c>
    </row>
    <row r="340">
      <c r="A340" s="4" t="n"/>
      <c r="B340" s="4" t="n"/>
      <c r="C340" s="4" t="n"/>
      <c r="D340" s="4" t="n"/>
      <c r="E340" s="4">
        <f>IF($D340="Active",$A340,"")</f>
        <v/>
      </c>
    </row>
    <row r="341">
      <c r="A341" s="4" t="n"/>
      <c r="B341" s="4" t="n"/>
      <c r="C341" s="4" t="n"/>
      <c r="D341" s="4" t="n"/>
      <c r="E341" s="4">
        <f>IF($D341="Active",$A341,"")</f>
        <v/>
      </c>
    </row>
    <row r="342">
      <c r="A342" s="4" t="n"/>
      <c r="B342" s="4" t="n"/>
      <c r="C342" s="4" t="n"/>
      <c r="D342" s="4" t="n"/>
      <c r="E342" s="4">
        <f>IF($D342="Active",$A342,"")</f>
        <v/>
      </c>
    </row>
    <row r="343">
      <c r="A343" s="4" t="n"/>
      <c r="B343" s="4" t="n"/>
      <c r="C343" s="4" t="n"/>
      <c r="D343" s="4" t="n"/>
      <c r="E343" s="4">
        <f>IF($D343="Active",$A343,"")</f>
        <v/>
      </c>
    </row>
    <row r="344">
      <c r="A344" s="4" t="n"/>
      <c r="B344" s="4" t="n"/>
      <c r="C344" s="4" t="n"/>
      <c r="D344" s="4" t="n"/>
      <c r="E344" s="4">
        <f>IF($D344="Active",$A344,"")</f>
        <v/>
      </c>
    </row>
    <row r="345">
      <c r="A345" s="4" t="n"/>
      <c r="B345" s="4" t="n"/>
      <c r="C345" s="4" t="n"/>
      <c r="D345" s="4" t="n"/>
      <c r="E345" s="4">
        <f>IF($D345="Active",$A345,"")</f>
        <v/>
      </c>
    </row>
    <row r="346">
      <c r="A346" s="4" t="n"/>
      <c r="B346" s="4" t="n"/>
      <c r="C346" s="4" t="n"/>
      <c r="D346" s="4" t="n"/>
      <c r="E346" s="4">
        <f>IF($D346="Active",$A346,"")</f>
        <v/>
      </c>
    </row>
    <row r="347">
      <c r="A347" s="4" t="n"/>
      <c r="B347" s="4" t="n"/>
      <c r="C347" s="4" t="n"/>
      <c r="D347" s="4" t="n"/>
      <c r="E347" s="4">
        <f>IF($D347="Active",$A347,"")</f>
        <v/>
      </c>
    </row>
    <row r="348">
      <c r="A348" s="4" t="n"/>
      <c r="B348" s="4" t="n"/>
      <c r="C348" s="4" t="n"/>
      <c r="D348" s="4" t="n"/>
      <c r="E348" s="4">
        <f>IF($D348="Active",$A348,"")</f>
        <v/>
      </c>
    </row>
    <row r="349">
      <c r="A349" s="4" t="n"/>
      <c r="B349" s="4" t="n"/>
      <c r="C349" s="4" t="n"/>
      <c r="D349" s="4" t="n"/>
      <c r="E349" s="4">
        <f>IF($D349="Active",$A349,"")</f>
        <v/>
      </c>
    </row>
    <row r="350">
      <c r="A350" s="4" t="n"/>
      <c r="B350" s="4" t="n"/>
      <c r="C350" s="4" t="n"/>
      <c r="D350" s="4" t="n"/>
      <c r="E350" s="4">
        <f>IF($D350="Active",$A350,"")</f>
        <v/>
      </c>
    </row>
    <row r="351">
      <c r="A351" s="4" t="n"/>
      <c r="B351" s="4" t="n"/>
      <c r="C351" s="4" t="n"/>
      <c r="D351" s="4" t="n"/>
      <c r="E351" s="4">
        <f>IF($D351="Active",$A351,"")</f>
        <v/>
      </c>
    </row>
    <row r="352">
      <c r="A352" s="4" t="n"/>
      <c r="B352" s="4" t="n"/>
      <c r="C352" s="4" t="n"/>
      <c r="D352" s="4" t="n"/>
      <c r="E352" s="4">
        <f>IF($D352="Active",$A352,"")</f>
        <v/>
      </c>
    </row>
    <row r="353">
      <c r="A353" s="4" t="n"/>
      <c r="B353" s="4" t="n"/>
      <c r="C353" s="4" t="n"/>
      <c r="D353" s="4" t="n"/>
      <c r="E353" s="4">
        <f>IF($D353="Active",$A353,"")</f>
        <v/>
      </c>
    </row>
    <row r="354">
      <c r="A354" s="4" t="n"/>
      <c r="B354" s="4" t="n"/>
      <c r="C354" s="4" t="n"/>
      <c r="D354" s="4" t="n"/>
      <c r="E354" s="4">
        <f>IF($D354="Active",$A354,"")</f>
        <v/>
      </c>
    </row>
    <row r="355">
      <c r="A355" s="4" t="n"/>
      <c r="B355" s="4" t="n"/>
      <c r="C355" s="4" t="n"/>
      <c r="D355" s="4" t="n"/>
      <c r="E355" s="4">
        <f>IF($D355="Active",$A355,"")</f>
        <v/>
      </c>
    </row>
    <row r="356">
      <c r="A356" s="4" t="n"/>
      <c r="B356" s="4" t="n"/>
      <c r="C356" s="4" t="n"/>
      <c r="D356" s="4" t="n"/>
      <c r="E356" s="4">
        <f>IF($D356="Active",$A356,"")</f>
        <v/>
      </c>
    </row>
    <row r="357">
      <c r="A357" s="4" t="n"/>
      <c r="B357" s="4" t="n"/>
      <c r="C357" s="4" t="n"/>
      <c r="D357" s="4" t="n"/>
      <c r="E357" s="4">
        <f>IF($D357="Active",$A357,"")</f>
        <v/>
      </c>
    </row>
    <row r="358">
      <c r="A358" s="4" t="n"/>
      <c r="B358" s="4" t="n"/>
      <c r="C358" s="4" t="n"/>
      <c r="D358" s="4" t="n"/>
      <c r="E358" s="4">
        <f>IF($D358="Active",$A358,"")</f>
        <v/>
      </c>
    </row>
    <row r="359">
      <c r="A359" s="4" t="n"/>
      <c r="B359" s="4" t="n"/>
      <c r="C359" s="4" t="n"/>
      <c r="D359" s="4" t="n"/>
      <c r="E359" s="4">
        <f>IF($D359="Active",$A359,"")</f>
        <v/>
      </c>
    </row>
    <row r="360">
      <c r="A360" s="4" t="n"/>
      <c r="B360" s="4" t="n"/>
      <c r="C360" s="4" t="n"/>
      <c r="D360" s="4" t="n"/>
      <c r="E360" s="4">
        <f>IF($D360="Active",$A360,"")</f>
        <v/>
      </c>
    </row>
    <row r="361">
      <c r="A361" s="4" t="n"/>
      <c r="B361" s="4" t="n"/>
      <c r="C361" s="4" t="n"/>
      <c r="D361" s="4" t="n"/>
      <c r="E361" s="4">
        <f>IF($D361="Active",$A361,"")</f>
        <v/>
      </c>
    </row>
    <row r="362">
      <c r="A362" s="4" t="n"/>
      <c r="B362" s="4" t="n"/>
      <c r="C362" s="4" t="n"/>
      <c r="D362" s="4" t="n"/>
      <c r="E362" s="4">
        <f>IF($D362="Active",$A362,"")</f>
        <v/>
      </c>
    </row>
    <row r="363">
      <c r="A363" s="4" t="n"/>
      <c r="B363" s="4" t="n"/>
      <c r="C363" s="4" t="n"/>
      <c r="D363" s="4" t="n"/>
      <c r="E363" s="4">
        <f>IF($D363="Active",$A363,"")</f>
        <v/>
      </c>
    </row>
    <row r="364">
      <c r="A364" s="4" t="n"/>
      <c r="B364" s="4" t="n"/>
      <c r="C364" s="4" t="n"/>
      <c r="D364" s="4" t="n"/>
      <c r="E364" s="4">
        <f>IF($D364="Active",$A364,"")</f>
        <v/>
      </c>
    </row>
    <row r="365">
      <c r="A365" s="4" t="n"/>
      <c r="B365" s="4" t="n"/>
      <c r="C365" s="4" t="n"/>
      <c r="D365" s="4" t="n"/>
      <c r="E365" s="4">
        <f>IF($D365="Active",$A365,"")</f>
        <v/>
      </c>
    </row>
    <row r="366">
      <c r="A366" s="4" t="n"/>
      <c r="B366" s="4" t="n"/>
      <c r="C366" s="4" t="n"/>
      <c r="D366" s="4" t="n"/>
      <c r="E366" s="4">
        <f>IF($D366="Active",$A366,"")</f>
        <v/>
      </c>
    </row>
    <row r="367">
      <c r="A367" s="4" t="n"/>
      <c r="B367" s="4" t="n"/>
      <c r="C367" s="4" t="n"/>
      <c r="D367" s="4" t="n"/>
      <c r="E367" s="4">
        <f>IF($D367="Active",$A367,"")</f>
        <v/>
      </c>
    </row>
    <row r="368">
      <c r="A368" s="4" t="n"/>
      <c r="B368" s="4" t="n"/>
      <c r="C368" s="4" t="n"/>
      <c r="D368" s="4" t="n"/>
      <c r="E368" s="4">
        <f>IF($D368="Active",$A368,"")</f>
        <v/>
      </c>
    </row>
    <row r="369">
      <c r="A369" s="4" t="n"/>
      <c r="B369" s="4" t="n"/>
      <c r="C369" s="4" t="n"/>
      <c r="D369" s="4" t="n"/>
      <c r="E369" s="4">
        <f>IF($D369="Active",$A369,"")</f>
        <v/>
      </c>
    </row>
    <row r="370">
      <c r="A370" s="4" t="n"/>
      <c r="B370" s="4" t="n"/>
      <c r="C370" s="4" t="n"/>
      <c r="D370" s="4" t="n"/>
      <c r="E370" s="4">
        <f>IF($D370="Active",$A370,"")</f>
        <v/>
      </c>
    </row>
    <row r="371">
      <c r="A371" s="4" t="n"/>
      <c r="B371" s="4" t="n"/>
      <c r="C371" s="4" t="n"/>
      <c r="D371" s="4" t="n"/>
      <c r="E371" s="4">
        <f>IF($D371="Active",$A371,"")</f>
        <v/>
      </c>
    </row>
    <row r="372">
      <c r="A372" s="4" t="n"/>
      <c r="B372" s="4" t="n"/>
      <c r="C372" s="4" t="n"/>
      <c r="D372" s="4" t="n"/>
      <c r="E372" s="4">
        <f>IF($D372="Active",$A372,"")</f>
        <v/>
      </c>
    </row>
    <row r="373">
      <c r="A373" s="4" t="n"/>
      <c r="B373" s="4" t="n"/>
      <c r="C373" s="4" t="n"/>
      <c r="D373" s="4" t="n"/>
      <c r="E373" s="4">
        <f>IF($D373="Active",$A373,"")</f>
        <v/>
      </c>
    </row>
    <row r="374">
      <c r="A374" s="4" t="n"/>
      <c r="B374" s="4" t="n"/>
      <c r="C374" s="4" t="n"/>
      <c r="D374" s="4" t="n"/>
      <c r="E374" s="4">
        <f>IF($D374="Active",$A374,"")</f>
        <v/>
      </c>
    </row>
    <row r="375">
      <c r="A375" s="4" t="n"/>
      <c r="B375" s="4" t="n"/>
      <c r="C375" s="4" t="n"/>
      <c r="D375" s="4" t="n"/>
      <c r="E375" s="4">
        <f>IF($D375="Active",$A375,"")</f>
        <v/>
      </c>
    </row>
    <row r="376">
      <c r="A376" s="4" t="n"/>
      <c r="B376" s="4" t="n"/>
      <c r="C376" s="4" t="n"/>
      <c r="D376" s="4" t="n"/>
      <c r="E376" s="4">
        <f>IF($D376="Active",$A376,"")</f>
        <v/>
      </c>
    </row>
    <row r="377">
      <c r="A377" s="4" t="n"/>
      <c r="B377" s="4" t="n"/>
      <c r="C377" s="4" t="n"/>
      <c r="D377" s="4" t="n"/>
      <c r="E377" s="4">
        <f>IF($D377="Active",$A377,"")</f>
        <v/>
      </c>
    </row>
    <row r="378">
      <c r="A378" s="4" t="n"/>
      <c r="B378" s="4" t="n"/>
      <c r="C378" s="4" t="n"/>
      <c r="D378" s="4" t="n"/>
      <c r="E378" s="4">
        <f>IF($D378="Active",$A378,"")</f>
        <v/>
      </c>
    </row>
    <row r="379">
      <c r="A379" s="4" t="n"/>
      <c r="B379" s="4" t="n"/>
      <c r="C379" s="4" t="n"/>
      <c r="D379" s="4" t="n"/>
      <c r="E379" s="4">
        <f>IF($D379="Active",$A379,"")</f>
        <v/>
      </c>
    </row>
    <row r="380">
      <c r="A380" s="4" t="n"/>
      <c r="B380" s="4" t="n"/>
      <c r="C380" s="4" t="n"/>
      <c r="D380" s="4" t="n"/>
      <c r="E380" s="4">
        <f>IF($D380="Active",$A380,"")</f>
        <v/>
      </c>
    </row>
    <row r="381">
      <c r="A381" s="4" t="n"/>
      <c r="B381" s="4" t="n"/>
      <c r="C381" s="4" t="n"/>
      <c r="D381" s="4" t="n"/>
      <c r="E381" s="4">
        <f>IF($D381="Active",$A381,"")</f>
        <v/>
      </c>
    </row>
    <row r="382">
      <c r="A382" s="4" t="n"/>
      <c r="B382" s="4" t="n"/>
      <c r="C382" s="4" t="n"/>
      <c r="D382" s="4" t="n"/>
      <c r="E382" s="4">
        <f>IF($D382="Active",$A382,"")</f>
        <v/>
      </c>
    </row>
    <row r="383">
      <c r="A383" s="4" t="n"/>
      <c r="B383" s="4" t="n"/>
      <c r="C383" s="4" t="n"/>
      <c r="D383" s="4" t="n"/>
      <c r="E383" s="4">
        <f>IF($D383="Active",$A383,"")</f>
        <v/>
      </c>
    </row>
    <row r="384">
      <c r="A384" s="4" t="n"/>
      <c r="B384" s="4" t="n"/>
      <c r="C384" s="4" t="n"/>
      <c r="D384" s="4" t="n"/>
      <c r="E384" s="4">
        <f>IF($D384="Active",$A384,"")</f>
        <v/>
      </c>
    </row>
    <row r="385">
      <c r="A385" s="4" t="n"/>
      <c r="B385" s="4" t="n"/>
      <c r="C385" s="4" t="n"/>
      <c r="D385" s="4" t="n"/>
      <c r="E385" s="4">
        <f>IF($D385="Active",$A385,"")</f>
        <v/>
      </c>
    </row>
    <row r="386">
      <c r="A386" s="4" t="n"/>
      <c r="B386" s="4" t="n"/>
      <c r="C386" s="4" t="n"/>
      <c r="D386" s="4" t="n"/>
      <c r="E386" s="4">
        <f>IF($D386="Active",$A386,"")</f>
        <v/>
      </c>
    </row>
    <row r="387">
      <c r="A387" s="4" t="n"/>
      <c r="B387" s="4" t="n"/>
      <c r="C387" s="4" t="n"/>
      <c r="D387" s="4" t="n"/>
      <c r="E387" s="4">
        <f>IF($D387="Active",$A387,"")</f>
        <v/>
      </c>
    </row>
    <row r="388">
      <c r="A388" s="4" t="n"/>
      <c r="B388" s="4" t="n"/>
      <c r="C388" s="4" t="n"/>
      <c r="D388" s="4" t="n"/>
      <c r="E388" s="4">
        <f>IF($D388="Active",$A388,"")</f>
        <v/>
      </c>
    </row>
    <row r="389">
      <c r="A389" s="4" t="n"/>
      <c r="B389" s="4" t="n"/>
      <c r="C389" s="4" t="n"/>
      <c r="D389" s="4" t="n"/>
      <c r="E389" s="4">
        <f>IF($D389="Active",$A389,"")</f>
        <v/>
      </c>
    </row>
    <row r="390">
      <c r="A390" s="4" t="n"/>
      <c r="B390" s="4" t="n"/>
      <c r="C390" s="4" t="n"/>
      <c r="D390" s="4" t="n"/>
      <c r="E390" s="4">
        <f>IF($D390="Active",$A390,"")</f>
        <v/>
      </c>
    </row>
    <row r="391">
      <c r="A391" s="4" t="n"/>
      <c r="B391" s="4" t="n"/>
      <c r="C391" s="4" t="n"/>
      <c r="D391" s="4" t="n"/>
      <c r="E391" s="4">
        <f>IF($D391="Active",$A391,"")</f>
        <v/>
      </c>
    </row>
    <row r="392">
      <c r="A392" s="4" t="n"/>
      <c r="B392" s="4" t="n"/>
      <c r="C392" s="4" t="n"/>
      <c r="D392" s="4" t="n"/>
      <c r="E392" s="4">
        <f>IF($D392="Active",$A392,"")</f>
        <v/>
      </c>
    </row>
    <row r="393">
      <c r="A393" s="4" t="n"/>
      <c r="B393" s="4" t="n"/>
      <c r="C393" s="4" t="n"/>
      <c r="D393" s="4" t="n"/>
      <c r="E393" s="4">
        <f>IF($D393="Active",$A393,"")</f>
        <v/>
      </c>
    </row>
    <row r="394">
      <c r="A394" s="4" t="n"/>
      <c r="B394" s="4" t="n"/>
      <c r="C394" s="4" t="n"/>
      <c r="D394" s="4" t="n"/>
      <c r="E394" s="4">
        <f>IF($D394="Active",$A394,"")</f>
        <v/>
      </c>
    </row>
    <row r="395">
      <c r="A395" s="4" t="n"/>
      <c r="B395" s="4" t="n"/>
      <c r="C395" s="4" t="n"/>
      <c r="D395" s="4" t="n"/>
      <c r="E395" s="4">
        <f>IF($D395="Active",$A395,"")</f>
        <v/>
      </c>
    </row>
    <row r="396">
      <c r="A396" s="4" t="n"/>
      <c r="B396" s="4" t="n"/>
      <c r="C396" s="4" t="n"/>
      <c r="D396" s="4" t="n"/>
      <c r="E396" s="4">
        <f>IF($D396="Active",$A396,"")</f>
        <v/>
      </c>
    </row>
    <row r="397">
      <c r="A397" s="4" t="n"/>
      <c r="B397" s="4" t="n"/>
      <c r="C397" s="4" t="n"/>
      <c r="D397" s="4" t="n"/>
      <c r="E397" s="4">
        <f>IF($D397="Active",$A397,"")</f>
        <v/>
      </c>
    </row>
    <row r="398">
      <c r="A398" s="4" t="n"/>
      <c r="B398" s="4" t="n"/>
      <c r="C398" s="4" t="n"/>
      <c r="D398" s="4" t="n"/>
      <c r="E398" s="4">
        <f>IF($D398="Active",$A398,"")</f>
        <v/>
      </c>
    </row>
    <row r="399">
      <c r="A399" s="4" t="n"/>
      <c r="B399" s="4" t="n"/>
      <c r="C399" s="4" t="n"/>
      <c r="D399" s="4" t="n"/>
      <c r="E399" s="4">
        <f>IF($D399="Active",$A399,"")</f>
        <v/>
      </c>
    </row>
    <row r="400">
      <c r="A400" s="4" t="n"/>
      <c r="B400" s="4" t="n"/>
      <c r="C400" s="4" t="n"/>
      <c r="D400" s="4" t="n"/>
      <c r="E400" s="4">
        <f>IF($D400="Active",$A400,"")</f>
        <v/>
      </c>
    </row>
    <row r="401">
      <c r="A401" s="4" t="n"/>
      <c r="B401" s="4" t="n"/>
      <c r="C401" s="4" t="n"/>
      <c r="D401" s="4" t="n"/>
      <c r="E401" s="4">
        <f>IF($D401="Active",$A401,"")</f>
        <v/>
      </c>
    </row>
    <row r="402">
      <c r="A402" s="4" t="n"/>
      <c r="B402" s="4" t="n"/>
      <c r="C402" s="4" t="n"/>
      <c r="D402" s="4" t="n"/>
      <c r="E402" s="4">
        <f>IF($D402="Active",$A402,"")</f>
        <v/>
      </c>
    </row>
    <row r="403">
      <c r="A403" s="4" t="n"/>
      <c r="B403" s="4" t="n"/>
      <c r="C403" s="4" t="n"/>
      <c r="D403" s="4" t="n"/>
      <c r="E403" s="4">
        <f>IF($D403="Active",$A403,"")</f>
        <v/>
      </c>
    </row>
    <row r="404">
      <c r="A404" s="4" t="n"/>
      <c r="B404" s="4" t="n"/>
      <c r="C404" s="4" t="n"/>
      <c r="D404" s="4" t="n"/>
      <c r="E404" s="4">
        <f>IF($D404="Active",$A404,"")</f>
        <v/>
      </c>
    </row>
    <row r="405">
      <c r="A405" s="4" t="n"/>
      <c r="B405" s="4" t="n"/>
      <c r="C405" s="4" t="n"/>
      <c r="D405" s="4" t="n"/>
      <c r="E405" s="4">
        <f>IF($D405="Active",$A405,"")</f>
        <v/>
      </c>
    </row>
    <row r="406">
      <c r="A406" s="4" t="n"/>
      <c r="B406" s="4" t="n"/>
      <c r="C406" s="4" t="n"/>
      <c r="D406" s="4" t="n"/>
      <c r="E406" s="4">
        <f>IF($D406="Active",$A406,"")</f>
        <v/>
      </c>
    </row>
    <row r="407">
      <c r="A407" s="4" t="n"/>
      <c r="B407" s="4" t="n"/>
      <c r="C407" s="4" t="n"/>
      <c r="D407" s="4" t="n"/>
      <c r="E407" s="4">
        <f>IF($D407="Active",$A407,"")</f>
        <v/>
      </c>
    </row>
    <row r="408">
      <c r="A408" s="4" t="n"/>
      <c r="B408" s="4" t="n"/>
      <c r="C408" s="4" t="n"/>
      <c r="D408" s="4" t="n"/>
      <c r="E408" s="4">
        <f>IF($D408="Active",$A408,"")</f>
        <v/>
      </c>
    </row>
    <row r="409">
      <c r="A409" s="4" t="n"/>
      <c r="B409" s="4" t="n"/>
      <c r="C409" s="4" t="n"/>
      <c r="D409" s="4" t="n"/>
      <c r="E409" s="4">
        <f>IF($D409="Active",$A409,"")</f>
        <v/>
      </c>
    </row>
    <row r="410">
      <c r="A410" s="4" t="n"/>
      <c r="B410" s="4" t="n"/>
      <c r="C410" s="4" t="n"/>
      <c r="D410" s="4" t="n"/>
      <c r="E410" s="4">
        <f>IF($D410="Active",$A410,"")</f>
        <v/>
      </c>
    </row>
    <row r="411">
      <c r="A411" s="4" t="n"/>
      <c r="B411" s="4" t="n"/>
      <c r="C411" s="4" t="n"/>
      <c r="D411" s="4" t="n"/>
      <c r="E411" s="4">
        <f>IF($D411="Active",$A411,"")</f>
        <v/>
      </c>
    </row>
    <row r="412">
      <c r="A412" s="4" t="n"/>
      <c r="B412" s="4" t="n"/>
      <c r="C412" s="4" t="n"/>
      <c r="D412" s="4" t="n"/>
      <c r="E412" s="4">
        <f>IF($D412="Active",$A412,"")</f>
        <v/>
      </c>
    </row>
    <row r="413">
      <c r="A413" s="4" t="n"/>
      <c r="B413" s="4" t="n"/>
      <c r="C413" s="4" t="n"/>
      <c r="D413" s="4" t="n"/>
      <c r="E413" s="4">
        <f>IF($D413="Active",$A413,"")</f>
        <v/>
      </c>
    </row>
    <row r="414">
      <c r="A414" s="4" t="n"/>
      <c r="B414" s="4" t="n"/>
      <c r="C414" s="4" t="n"/>
      <c r="D414" s="4" t="n"/>
      <c r="E414" s="4">
        <f>IF($D414="Active",$A414,"")</f>
        <v/>
      </c>
    </row>
    <row r="415">
      <c r="A415" s="4" t="n"/>
      <c r="B415" s="4" t="n"/>
      <c r="C415" s="4" t="n"/>
      <c r="D415" s="4" t="n"/>
      <c r="E415" s="4">
        <f>IF($D415="Active",$A415,"")</f>
        <v/>
      </c>
    </row>
    <row r="416">
      <c r="A416" s="4" t="n"/>
      <c r="B416" s="4" t="n"/>
      <c r="C416" s="4" t="n"/>
      <c r="D416" s="4" t="n"/>
      <c r="E416" s="4">
        <f>IF($D416="Active",$A416,"")</f>
        <v/>
      </c>
    </row>
    <row r="417">
      <c r="A417" s="4" t="n"/>
      <c r="B417" s="4" t="n"/>
      <c r="C417" s="4" t="n"/>
      <c r="D417" s="4" t="n"/>
      <c r="E417" s="4">
        <f>IF($D417="Active",$A417,"")</f>
        <v/>
      </c>
    </row>
    <row r="418">
      <c r="A418" s="4" t="n"/>
      <c r="B418" s="4" t="n"/>
      <c r="C418" s="4" t="n"/>
      <c r="D418" s="4" t="n"/>
      <c r="E418" s="4">
        <f>IF($D418="Active",$A418,"")</f>
        <v/>
      </c>
    </row>
    <row r="419">
      <c r="A419" s="4" t="n"/>
      <c r="B419" s="4" t="n"/>
      <c r="C419" s="4" t="n"/>
      <c r="D419" s="4" t="n"/>
      <c r="E419" s="4">
        <f>IF($D419="Active",$A419,"")</f>
        <v/>
      </c>
    </row>
    <row r="420">
      <c r="A420" s="4" t="n"/>
      <c r="B420" s="4" t="n"/>
      <c r="C420" s="4" t="n"/>
      <c r="D420" s="4" t="n"/>
      <c r="E420" s="4">
        <f>IF($D420="Active",$A420,"")</f>
        <v/>
      </c>
    </row>
    <row r="421">
      <c r="A421" s="4" t="n"/>
      <c r="B421" s="4" t="n"/>
      <c r="C421" s="4" t="n"/>
      <c r="D421" s="4" t="n"/>
      <c r="E421" s="4">
        <f>IF($D421="Active",$A421,"")</f>
        <v/>
      </c>
    </row>
    <row r="422">
      <c r="A422" s="4" t="n"/>
      <c r="B422" s="4" t="n"/>
      <c r="C422" s="4" t="n"/>
      <c r="D422" s="4" t="n"/>
      <c r="E422" s="4">
        <f>IF($D422="Active",$A422,"")</f>
        <v/>
      </c>
    </row>
    <row r="423">
      <c r="A423" s="4" t="n"/>
      <c r="B423" s="4" t="n"/>
      <c r="C423" s="4" t="n"/>
      <c r="D423" s="4" t="n"/>
      <c r="E423" s="4">
        <f>IF($D423="Active",$A423,"")</f>
        <v/>
      </c>
    </row>
    <row r="424">
      <c r="A424" s="4" t="n"/>
      <c r="B424" s="4" t="n"/>
      <c r="C424" s="4" t="n"/>
      <c r="D424" s="4" t="n"/>
      <c r="E424" s="4">
        <f>IF($D424="Active",$A424,"")</f>
        <v/>
      </c>
    </row>
    <row r="425">
      <c r="A425" s="4" t="n"/>
      <c r="B425" s="4" t="n"/>
      <c r="C425" s="4" t="n"/>
      <c r="D425" s="4" t="n"/>
      <c r="E425" s="4">
        <f>IF($D425="Active",$A425,"")</f>
        <v/>
      </c>
    </row>
    <row r="426">
      <c r="A426" s="4" t="n"/>
      <c r="B426" s="4" t="n"/>
      <c r="C426" s="4" t="n"/>
      <c r="D426" s="4" t="n"/>
      <c r="E426" s="4">
        <f>IF($D426="Active",$A426,"")</f>
        <v/>
      </c>
    </row>
    <row r="427">
      <c r="A427" s="4" t="n"/>
      <c r="B427" s="4" t="n"/>
      <c r="C427" s="4" t="n"/>
      <c r="D427" s="4" t="n"/>
      <c r="E427" s="4">
        <f>IF($D427="Active",$A427,"")</f>
        <v/>
      </c>
    </row>
    <row r="428">
      <c r="A428" s="4" t="n"/>
      <c r="B428" s="4" t="n"/>
      <c r="C428" s="4" t="n"/>
      <c r="D428" s="4" t="n"/>
      <c r="E428" s="4">
        <f>IF($D428="Active",$A428,"")</f>
        <v/>
      </c>
    </row>
    <row r="429">
      <c r="A429" s="4" t="n"/>
      <c r="B429" s="4" t="n"/>
      <c r="C429" s="4" t="n"/>
      <c r="D429" s="4" t="n"/>
      <c r="E429" s="4">
        <f>IF($D429="Active",$A429,"")</f>
        <v/>
      </c>
    </row>
    <row r="430">
      <c r="A430" s="4" t="n"/>
      <c r="B430" s="4" t="n"/>
      <c r="C430" s="4" t="n"/>
      <c r="D430" s="4" t="n"/>
      <c r="E430" s="4">
        <f>IF($D430="Active",$A430,"")</f>
        <v/>
      </c>
    </row>
    <row r="431">
      <c r="A431" s="4" t="n"/>
      <c r="B431" s="4" t="n"/>
      <c r="C431" s="4" t="n"/>
      <c r="D431" s="4" t="n"/>
      <c r="E431" s="4">
        <f>IF($D431="Active",$A431,"")</f>
        <v/>
      </c>
    </row>
    <row r="432">
      <c r="A432" s="4" t="n"/>
      <c r="B432" s="4" t="n"/>
      <c r="C432" s="4" t="n"/>
      <c r="D432" s="4" t="n"/>
      <c r="E432" s="4">
        <f>IF($D432="Active",$A432,"")</f>
        <v/>
      </c>
    </row>
    <row r="433">
      <c r="A433" s="4" t="n"/>
      <c r="B433" s="4" t="n"/>
      <c r="C433" s="4" t="n"/>
      <c r="D433" s="4" t="n"/>
      <c r="E433" s="4">
        <f>IF($D433="Active",$A433,"")</f>
        <v/>
      </c>
    </row>
    <row r="434">
      <c r="A434" s="4" t="n"/>
      <c r="B434" s="4" t="n"/>
      <c r="C434" s="4" t="n"/>
      <c r="D434" s="4" t="n"/>
      <c r="E434" s="4">
        <f>IF($D434="Active",$A434,"")</f>
        <v/>
      </c>
    </row>
    <row r="435">
      <c r="A435" s="4" t="n"/>
      <c r="B435" s="4" t="n"/>
      <c r="C435" s="4" t="n"/>
      <c r="D435" s="4" t="n"/>
      <c r="E435" s="4">
        <f>IF($D435="Active",$A435,"")</f>
        <v/>
      </c>
    </row>
    <row r="436">
      <c r="A436" s="4" t="n"/>
      <c r="B436" s="4" t="n"/>
      <c r="C436" s="4" t="n"/>
      <c r="D436" s="4" t="n"/>
      <c r="E436" s="4">
        <f>IF($D436="Active",$A436,"")</f>
        <v/>
      </c>
    </row>
    <row r="437">
      <c r="A437" s="4" t="n"/>
      <c r="B437" s="4" t="n"/>
      <c r="C437" s="4" t="n"/>
      <c r="D437" s="4" t="n"/>
      <c r="E437" s="4">
        <f>IF($D437="Active",$A437,"")</f>
        <v/>
      </c>
    </row>
    <row r="438">
      <c r="A438" s="4" t="n"/>
      <c r="B438" s="4" t="n"/>
      <c r="C438" s="4" t="n"/>
      <c r="D438" s="4" t="n"/>
      <c r="E438" s="4">
        <f>IF($D438="Active",$A438,"")</f>
        <v/>
      </c>
    </row>
    <row r="439">
      <c r="A439" s="4" t="n"/>
      <c r="B439" s="4" t="n"/>
      <c r="C439" s="4" t="n"/>
      <c r="D439" s="4" t="n"/>
      <c r="E439" s="4">
        <f>IF($D439="Active",$A439,"")</f>
        <v/>
      </c>
    </row>
    <row r="440">
      <c r="A440" s="4" t="n"/>
      <c r="B440" s="4" t="n"/>
      <c r="C440" s="4" t="n"/>
      <c r="D440" s="4" t="n"/>
      <c r="E440" s="4">
        <f>IF($D440="Active",$A440,"")</f>
        <v/>
      </c>
    </row>
    <row r="441">
      <c r="A441" s="4" t="n"/>
      <c r="B441" s="4" t="n"/>
      <c r="C441" s="4" t="n"/>
      <c r="D441" s="4" t="n"/>
      <c r="E441" s="4">
        <f>IF($D441="Active",$A441,"")</f>
        <v/>
      </c>
    </row>
    <row r="442">
      <c r="A442" s="4" t="n"/>
      <c r="B442" s="4" t="n"/>
      <c r="C442" s="4" t="n"/>
      <c r="D442" s="4" t="n"/>
      <c r="E442" s="4">
        <f>IF($D442="Active",$A442,"")</f>
        <v/>
      </c>
    </row>
    <row r="443">
      <c r="A443" s="4" t="n"/>
      <c r="B443" s="4" t="n"/>
      <c r="C443" s="4" t="n"/>
      <c r="D443" s="4" t="n"/>
      <c r="E443" s="4">
        <f>IF($D443="Active",$A443,"")</f>
        <v/>
      </c>
    </row>
    <row r="444">
      <c r="A444" s="4" t="n"/>
      <c r="B444" s="4" t="n"/>
      <c r="C444" s="4" t="n"/>
      <c r="D444" s="4" t="n"/>
      <c r="E444" s="4">
        <f>IF($D444="Active",$A444,"")</f>
        <v/>
      </c>
    </row>
    <row r="445">
      <c r="A445" s="4" t="n"/>
      <c r="B445" s="4" t="n"/>
      <c r="C445" s="4" t="n"/>
      <c r="D445" s="4" t="n"/>
      <c r="E445" s="4">
        <f>IF($D445="Active",$A445,"")</f>
        <v/>
      </c>
    </row>
    <row r="446">
      <c r="A446" s="4" t="n"/>
      <c r="B446" s="4" t="n"/>
      <c r="C446" s="4" t="n"/>
      <c r="D446" s="4" t="n"/>
      <c r="E446" s="4">
        <f>IF($D446="Active",$A446,"")</f>
        <v/>
      </c>
    </row>
    <row r="447">
      <c r="A447" s="4" t="n"/>
      <c r="B447" s="4" t="n"/>
      <c r="C447" s="4" t="n"/>
      <c r="D447" s="4" t="n"/>
      <c r="E447" s="4">
        <f>IF($D447="Active",$A447,"")</f>
        <v/>
      </c>
    </row>
    <row r="448">
      <c r="A448" s="4" t="n"/>
      <c r="B448" s="4" t="n"/>
      <c r="C448" s="4" t="n"/>
      <c r="D448" s="4" t="n"/>
      <c r="E448" s="4">
        <f>IF($D448="Active",$A448,"")</f>
        <v/>
      </c>
    </row>
    <row r="449">
      <c r="A449" s="4" t="n"/>
      <c r="B449" s="4" t="n"/>
      <c r="C449" s="4" t="n"/>
      <c r="D449" s="4" t="n"/>
      <c r="E449" s="4">
        <f>IF($D449="Active",$A449,"")</f>
        <v/>
      </c>
    </row>
    <row r="450">
      <c r="A450" s="4" t="n"/>
      <c r="B450" s="4" t="n"/>
      <c r="C450" s="4" t="n"/>
      <c r="D450" s="4" t="n"/>
      <c r="E450" s="4">
        <f>IF($D450="Active",$A450,"")</f>
        <v/>
      </c>
    </row>
    <row r="451">
      <c r="A451" s="4" t="n"/>
      <c r="B451" s="4" t="n"/>
      <c r="C451" s="4" t="n"/>
      <c r="D451" s="4" t="n"/>
      <c r="E451" s="4">
        <f>IF($D451="Active",$A451,"")</f>
        <v/>
      </c>
    </row>
    <row r="452">
      <c r="A452" s="4" t="n"/>
      <c r="B452" s="4" t="n"/>
      <c r="C452" s="4" t="n"/>
      <c r="D452" s="4" t="n"/>
      <c r="E452" s="4">
        <f>IF($D452="Active",$A452,"")</f>
        <v/>
      </c>
    </row>
    <row r="453">
      <c r="A453" s="4" t="n"/>
      <c r="B453" s="4" t="n"/>
      <c r="C453" s="4" t="n"/>
      <c r="D453" s="4" t="n"/>
      <c r="E453" s="4">
        <f>IF($D453="Active",$A453,"")</f>
        <v/>
      </c>
    </row>
    <row r="454">
      <c r="A454" s="4" t="n"/>
      <c r="B454" s="4" t="n"/>
      <c r="C454" s="4" t="n"/>
      <c r="D454" s="4" t="n"/>
      <c r="E454" s="4">
        <f>IF($D454="Active",$A454,"")</f>
        <v/>
      </c>
    </row>
    <row r="455">
      <c r="A455" s="4" t="n"/>
      <c r="B455" s="4" t="n"/>
      <c r="C455" s="4" t="n"/>
      <c r="D455" s="4" t="n"/>
      <c r="E455" s="4">
        <f>IF($D455="Active",$A455,"")</f>
        <v/>
      </c>
    </row>
    <row r="456">
      <c r="A456" s="4" t="n"/>
      <c r="B456" s="4" t="n"/>
      <c r="C456" s="4" t="n"/>
      <c r="D456" s="4" t="n"/>
      <c r="E456" s="4">
        <f>IF($D456="Active",$A456,"")</f>
        <v/>
      </c>
    </row>
    <row r="457">
      <c r="A457" s="4" t="n"/>
      <c r="B457" s="4" t="n"/>
      <c r="C457" s="4" t="n"/>
      <c r="D457" s="4" t="n"/>
      <c r="E457" s="4">
        <f>IF($D457="Active",$A457,"")</f>
        <v/>
      </c>
    </row>
    <row r="458">
      <c r="A458" s="4" t="n"/>
      <c r="B458" s="4" t="n"/>
      <c r="C458" s="4" t="n"/>
      <c r="D458" s="4" t="n"/>
      <c r="E458" s="4">
        <f>IF($D458="Active",$A458,"")</f>
        <v/>
      </c>
    </row>
    <row r="459">
      <c r="A459" s="4" t="n"/>
      <c r="B459" s="4" t="n"/>
      <c r="C459" s="4" t="n"/>
      <c r="D459" s="4" t="n"/>
      <c r="E459" s="4">
        <f>IF($D459="Active",$A459,"")</f>
        <v/>
      </c>
    </row>
    <row r="460">
      <c r="A460" s="4" t="n"/>
      <c r="B460" s="4" t="n"/>
      <c r="C460" s="4" t="n"/>
      <c r="D460" s="4" t="n"/>
      <c r="E460" s="4">
        <f>IF($D460="Active",$A460,"")</f>
        <v/>
      </c>
    </row>
    <row r="461">
      <c r="A461" s="4" t="n"/>
      <c r="B461" s="4" t="n"/>
      <c r="C461" s="4" t="n"/>
      <c r="D461" s="4" t="n"/>
      <c r="E461" s="4">
        <f>IF($D461="Active",$A461,"")</f>
        <v/>
      </c>
    </row>
    <row r="462">
      <c r="A462" s="4" t="n"/>
      <c r="B462" s="4" t="n"/>
      <c r="C462" s="4" t="n"/>
      <c r="D462" s="4" t="n"/>
      <c r="E462" s="4">
        <f>IF($D462="Active",$A462,"")</f>
        <v/>
      </c>
    </row>
    <row r="463">
      <c r="A463" s="4" t="n"/>
      <c r="B463" s="4" t="n"/>
      <c r="C463" s="4" t="n"/>
      <c r="D463" s="4" t="n"/>
      <c r="E463" s="4">
        <f>IF($D463="Active",$A463,"")</f>
        <v/>
      </c>
    </row>
    <row r="464">
      <c r="A464" s="4" t="n"/>
      <c r="B464" s="4" t="n"/>
      <c r="C464" s="4" t="n"/>
      <c r="D464" s="4" t="n"/>
      <c r="E464" s="4">
        <f>IF($D464="Active",$A464,"")</f>
        <v/>
      </c>
    </row>
    <row r="465">
      <c r="A465" s="4" t="n"/>
      <c r="B465" s="4" t="n"/>
      <c r="C465" s="4" t="n"/>
      <c r="D465" s="4" t="n"/>
      <c r="E465" s="4">
        <f>IF($D465="Active",$A465,"")</f>
        <v/>
      </c>
    </row>
    <row r="466">
      <c r="A466" s="4" t="n"/>
      <c r="B466" s="4" t="n"/>
      <c r="C466" s="4" t="n"/>
      <c r="D466" s="4" t="n"/>
      <c r="E466" s="4">
        <f>IF($D466="Active",$A466,"")</f>
        <v/>
      </c>
    </row>
    <row r="467">
      <c r="A467" s="4" t="n"/>
      <c r="B467" s="4" t="n"/>
      <c r="C467" s="4" t="n"/>
      <c r="D467" s="4" t="n"/>
      <c r="E467" s="4">
        <f>IF($D467="Active",$A467,"")</f>
        <v/>
      </c>
    </row>
    <row r="468">
      <c r="A468" s="4" t="n"/>
      <c r="B468" s="4" t="n"/>
      <c r="C468" s="4" t="n"/>
      <c r="D468" s="4" t="n"/>
      <c r="E468" s="4">
        <f>IF($D468="Active",$A468,"")</f>
        <v/>
      </c>
    </row>
    <row r="469">
      <c r="A469" s="4" t="n"/>
      <c r="B469" s="4" t="n"/>
      <c r="C469" s="4" t="n"/>
      <c r="D469" s="4" t="n"/>
      <c r="E469" s="4">
        <f>IF($D469="Active",$A469,"")</f>
        <v/>
      </c>
    </row>
    <row r="470">
      <c r="A470" s="4" t="n"/>
      <c r="B470" s="4" t="n"/>
      <c r="C470" s="4" t="n"/>
      <c r="D470" s="4" t="n"/>
      <c r="E470" s="4">
        <f>IF($D470="Active",$A470,"")</f>
        <v/>
      </c>
    </row>
    <row r="471">
      <c r="A471" s="4" t="n"/>
      <c r="B471" s="4" t="n"/>
      <c r="C471" s="4" t="n"/>
      <c r="D471" s="4" t="n"/>
      <c r="E471" s="4">
        <f>IF($D471="Active",$A471,"")</f>
        <v/>
      </c>
    </row>
    <row r="472">
      <c r="A472" s="4" t="n"/>
      <c r="B472" s="4" t="n"/>
      <c r="C472" s="4" t="n"/>
      <c r="D472" s="4" t="n"/>
      <c r="E472" s="4">
        <f>IF($D472="Active",$A472,"")</f>
        <v/>
      </c>
    </row>
    <row r="473">
      <c r="A473" s="4" t="n"/>
      <c r="B473" s="4" t="n"/>
      <c r="C473" s="4" t="n"/>
      <c r="D473" s="4" t="n"/>
      <c r="E473" s="4">
        <f>IF($D473="Active",$A473,"")</f>
        <v/>
      </c>
    </row>
    <row r="474">
      <c r="A474" s="4" t="n"/>
      <c r="B474" s="4" t="n"/>
      <c r="C474" s="4" t="n"/>
      <c r="D474" s="4" t="n"/>
      <c r="E474" s="4">
        <f>IF($D474="Active",$A474,"")</f>
        <v/>
      </c>
    </row>
    <row r="475">
      <c r="A475" s="4" t="n"/>
      <c r="B475" s="4" t="n"/>
      <c r="C475" s="4" t="n"/>
      <c r="D475" s="4" t="n"/>
      <c r="E475" s="4">
        <f>IF($D475="Active",$A475,"")</f>
        <v/>
      </c>
    </row>
    <row r="476">
      <c r="A476" s="4" t="n"/>
      <c r="B476" s="4" t="n"/>
      <c r="C476" s="4" t="n"/>
      <c r="D476" s="4" t="n"/>
      <c r="E476" s="4">
        <f>IF($D476="Active",$A476,"")</f>
        <v/>
      </c>
    </row>
    <row r="477">
      <c r="A477" s="4" t="n"/>
      <c r="B477" s="4" t="n"/>
      <c r="C477" s="4" t="n"/>
      <c r="D477" s="4" t="n"/>
      <c r="E477" s="4">
        <f>IF($D477="Active",$A477,"")</f>
        <v/>
      </c>
    </row>
    <row r="478">
      <c r="A478" s="4" t="n"/>
      <c r="B478" s="4" t="n"/>
      <c r="C478" s="4" t="n"/>
      <c r="D478" s="4" t="n"/>
      <c r="E478" s="4">
        <f>IF($D478="Active",$A478,"")</f>
        <v/>
      </c>
    </row>
    <row r="479">
      <c r="A479" s="4" t="n"/>
      <c r="B479" s="4" t="n"/>
      <c r="C479" s="4" t="n"/>
      <c r="D479" s="4" t="n"/>
      <c r="E479" s="4">
        <f>IF($D479="Active",$A479,"")</f>
        <v/>
      </c>
    </row>
    <row r="480">
      <c r="A480" s="4" t="n"/>
      <c r="B480" s="4" t="n"/>
      <c r="C480" s="4" t="n"/>
      <c r="D480" s="4" t="n"/>
      <c r="E480" s="4">
        <f>IF($D480="Active",$A480,"")</f>
        <v/>
      </c>
    </row>
    <row r="481">
      <c r="A481" s="4" t="n"/>
      <c r="B481" s="4" t="n"/>
      <c r="C481" s="4" t="n"/>
      <c r="D481" s="4" t="n"/>
      <c r="E481" s="4">
        <f>IF($D481="Active",$A481,"")</f>
        <v/>
      </c>
    </row>
    <row r="482">
      <c r="A482" s="4" t="n"/>
      <c r="B482" s="4" t="n"/>
      <c r="C482" s="4" t="n"/>
      <c r="D482" s="4" t="n"/>
      <c r="E482" s="4">
        <f>IF($D482="Active",$A482,"")</f>
        <v/>
      </c>
    </row>
    <row r="483">
      <c r="A483" s="4" t="n"/>
      <c r="B483" s="4" t="n"/>
      <c r="C483" s="4" t="n"/>
      <c r="D483" s="4" t="n"/>
      <c r="E483" s="4">
        <f>IF($D483="Active",$A483,"")</f>
        <v/>
      </c>
    </row>
    <row r="484">
      <c r="A484" s="4" t="n"/>
      <c r="B484" s="4" t="n"/>
      <c r="C484" s="4" t="n"/>
      <c r="D484" s="4" t="n"/>
      <c r="E484" s="4">
        <f>IF($D484="Active",$A484,"")</f>
        <v/>
      </c>
    </row>
    <row r="485">
      <c r="A485" s="4" t="n"/>
      <c r="B485" s="4" t="n"/>
      <c r="C485" s="4" t="n"/>
      <c r="D485" s="4" t="n"/>
      <c r="E485" s="4">
        <f>IF($D485="Active",$A485,"")</f>
        <v/>
      </c>
    </row>
    <row r="486">
      <c r="A486" s="4" t="n"/>
      <c r="B486" s="4" t="n"/>
      <c r="C486" s="4" t="n"/>
      <c r="D486" s="4" t="n"/>
      <c r="E486" s="4">
        <f>IF($D486="Active",$A486,"")</f>
        <v/>
      </c>
    </row>
    <row r="487">
      <c r="A487" s="4" t="n"/>
      <c r="B487" s="4" t="n"/>
      <c r="C487" s="4" t="n"/>
      <c r="D487" s="4" t="n"/>
      <c r="E487" s="4">
        <f>IF($D487="Active",$A487,"")</f>
        <v/>
      </c>
    </row>
    <row r="488">
      <c r="A488" s="4" t="n"/>
      <c r="B488" s="4" t="n"/>
      <c r="C488" s="4" t="n"/>
      <c r="D488" s="4" t="n"/>
      <c r="E488" s="4">
        <f>IF($D488="Active",$A488,"")</f>
        <v/>
      </c>
    </row>
    <row r="489">
      <c r="A489" s="4" t="n"/>
      <c r="B489" s="4" t="n"/>
      <c r="C489" s="4" t="n"/>
      <c r="D489" s="4" t="n"/>
      <c r="E489" s="4">
        <f>IF($D489="Active",$A489,"")</f>
        <v/>
      </c>
    </row>
    <row r="490">
      <c r="A490" s="4" t="n"/>
      <c r="B490" s="4" t="n"/>
      <c r="C490" s="4" t="n"/>
      <c r="D490" s="4" t="n"/>
      <c r="E490" s="4">
        <f>IF($D490="Active",$A490,"")</f>
        <v/>
      </c>
    </row>
    <row r="491">
      <c r="A491" s="4" t="n"/>
      <c r="B491" s="4" t="n"/>
      <c r="C491" s="4" t="n"/>
      <c r="D491" s="4" t="n"/>
      <c r="E491" s="4">
        <f>IF($D491="Active",$A491,"")</f>
        <v/>
      </c>
    </row>
    <row r="492">
      <c r="A492" s="4" t="n"/>
      <c r="B492" s="4" t="n"/>
      <c r="C492" s="4" t="n"/>
      <c r="D492" s="4" t="n"/>
      <c r="E492" s="4">
        <f>IF($D492="Active",$A492,"")</f>
        <v/>
      </c>
    </row>
    <row r="493">
      <c r="A493" s="4" t="n"/>
      <c r="B493" s="4" t="n"/>
      <c r="C493" s="4" t="n"/>
      <c r="D493" s="4" t="n"/>
      <c r="E493" s="4">
        <f>IF($D493="Active",$A493,"")</f>
        <v/>
      </c>
    </row>
    <row r="494">
      <c r="A494" s="4" t="n"/>
      <c r="B494" s="4" t="n"/>
      <c r="C494" s="4" t="n"/>
      <c r="D494" s="4" t="n"/>
      <c r="E494" s="4">
        <f>IF($D494="Active",$A494,"")</f>
        <v/>
      </c>
    </row>
    <row r="495">
      <c r="A495" s="4" t="n"/>
      <c r="B495" s="4" t="n"/>
      <c r="C495" s="4" t="n"/>
      <c r="D495" s="4" t="n"/>
      <c r="E495" s="4">
        <f>IF($D495="Active",$A495,"")</f>
        <v/>
      </c>
    </row>
    <row r="496">
      <c r="A496" s="4" t="n"/>
      <c r="B496" s="4" t="n"/>
      <c r="C496" s="4" t="n"/>
      <c r="D496" s="4" t="n"/>
      <c r="E496" s="4">
        <f>IF($D496="Active",$A496,"")</f>
        <v/>
      </c>
    </row>
    <row r="497">
      <c r="A497" s="4" t="n"/>
      <c r="B497" s="4" t="n"/>
      <c r="C497" s="4" t="n"/>
      <c r="D497" s="4" t="n"/>
      <c r="E497" s="4">
        <f>IF($D497="Active",$A497,"")</f>
        <v/>
      </c>
    </row>
    <row r="498">
      <c r="A498" s="4" t="n"/>
      <c r="B498" s="4" t="n"/>
      <c r="C498" s="4" t="n"/>
      <c r="D498" s="4" t="n"/>
      <c r="E498" s="4">
        <f>IF($D498="Active",$A498,"")</f>
        <v/>
      </c>
    </row>
    <row r="499">
      <c r="A499" s="4" t="n"/>
      <c r="B499" s="4" t="n"/>
      <c r="C499" s="4" t="n"/>
      <c r="D499" s="4" t="n"/>
      <c r="E499" s="4">
        <f>IF($D499="Active",$A499,"")</f>
        <v/>
      </c>
    </row>
    <row r="500">
      <c r="A500" s="4" t="n"/>
      <c r="B500" s="4" t="n"/>
      <c r="C500" s="4" t="n"/>
      <c r="D500" s="4" t="n"/>
      <c r="E500" s="4">
        <f>IF($D500="Active",$A500,"")</f>
        <v/>
      </c>
    </row>
    <row r="501">
      <c r="A501" s="4" t="n"/>
      <c r="B501" s="4" t="n"/>
      <c r="C501" s="4" t="n"/>
      <c r="D501" s="4" t="n"/>
      <c r="E501" s="4">
        <f>IF($D501="Active",$A501,"")</f>
        <v/>
      </c>
    </row>
    <row r="502">
      <c r="A502" s="4" t="n"/>
      <c r="B502" s="4" t="n"/>
      <c r="C502" s="4" t="n"/>
      <c r="D502" s="4" t="n"/>
      <c r="E502" s="4">
        <f>IF($D502="Active",$A502,"")</f>
        <v/>
      </c>
    </row>
    <row r="503">
      <c r="A503" s="4" t="n"/>
      <c r="B503" s="4" t="n"/>
      <c r="C503" s="4" t="n"/>
      <c r="D503" s="4" t="n"/>
      <c r="E503" s="4">
        <f>IF($D503="Active",$A503,"")</f>
        <v/>
      </c>
    </row>
    <row r="504">
      <c r="A504" s="4" t="n"/>
      <c r="B504" s="4" t="n"/>
      <c r="C504" s="4" t="n"/>
      <c r="D504" s="4" t="n"/>
      <c r="E504" s="4">
        <f>IF($D504="Active",$A504,"")</f>
        <v/>
      </c>
    </row>
    <row r="505">
      <c r="A505" s="4" t="n"/>
      <c r="B505" s="4" t="n"/>
      <c r="C505" s="4" t="n"/>
      <c r="D505" s="4" t="n"/>
      <c r="E505" s="4">
        <f>IF($D505="Active",$A505,"")</f>
        <v/>
      </c>
    </row>
    <row r="506">
      <c r="A506" s="4" t="n"/>
      <c r="B506" s="4" t="n"/>
      <c r="C506" s="4" t="n"/>
      <c r="D506" s="4" t="n"/>
      <c r="E506" s="4">
        <f>IF($D506="Active",$A506,"")</f>
        <v/>
      </c>
    </row>
    <row r="507">
      <c r="A507" s="4" t="n"/>
      <c r="B507" s="4" t="n"/>
      <c r="C507" s="4" t="n"/>
      <c r="D507" s="4" t="n"/>
      <c r="E507" s="4">
        <f>IF($D507="Active",$A507,"")</f>
        <v/>
      </c>
    </row>
    <row r="508">
      <c r="A508" s="4" t="n"/>
      <c r="B508" s="4" t="n"/>
      <c r="C508" s="4" t="n"/>
      <c r="D508" s="4" t="n"/>
      <c r="E508" s="4">
        <f>IF($D508="Active",$A508,"")</f>
        <v/>
      </c>
    </row>
    <row r="509">
      <c r="A509" s="4" t="n"/>
      <c r="B509" s="4" t="n"/>
      <c r="C509" s="4" t="n"/>
      <c r="D509" s="4" t="n"/>
      <c r="E509" s="4">
        <f>IF($D509="Active",$A509,"")</f>
        <v/>
      </c>
    </row>
    <row r="510">
      <c r="A510" s="4" t="n"/>
      <c r="B510" s="4" t="n"/>
      <c r="C510" s="4" t="n"/>
      <c r="D510" s="4" t="n"/>
      <c r="E510" s="4">
        <f>IF($D510="Active",$A510,"")</f>
        <v/>
      </c>
    </row>
    <row r="511">
      <c r="A511" s="4" t="n"/>
      <c r="B511" s="4" t="n"/>
      <c r="C511" s="4" t="n"/>
      <c r="D511" s="4" t="n"/>
      <c r="E511" s="4">
        <f>IF($D511="Active",$A511,"")</f>
        <v/>
      </c>
    </row>
    <row r="512">
      <c r="A512" s="4" t="n"/>
      <c r="B512" s="4" t="n"/>
      <c r="C512" s="4" t="n"/>
      <c r="D512" s="4" t="n"/>
      <c r="E512" s="4">
        <f>IF($D512="Active",$A512,"")</f>
        <v/>
      </c>
    </row>
    <row r="513">
      <c r="A513" s="4" t="n"/>
      <c r="B513" s="4" t="n"/>
      <c r="C513" s="4" t="n"/>
      <c r="D513" s="4" t="n"/>
      <c r="E513" s="4">
        <f>IF($D513="Active",$A513,"")</f>
        <v/>
      </c>
    </row>
    <row r="514">
      <c r="A514" s="4" t="n"/>
      <c r="B514" s="4" t="n"/>
      <c r="C514" s="4" t="n"/>
      <c r="D514" s="4" t="n"/>
      <c r="E514" s="4">
        <f>IF($D514="Active",$A514,"")</f>
        <v/>
      </c>
    </row>
    <row r="515">
      <c r="A515" s="4" t="n"/>
      <c r="B515" s="4" t="n"/>
      <c r="C515" s="4" t="n"/>
      <c r="D515" s="4" t="n"/>
      <c r="E515" s="4">
        <f>IF($D515="Active",$A515,"")</f>
        <v/>
      </c>
    </row>
    <row r="516">
      <c r="A516" s="4" t="n"/>
      <c r="B516" s="4" t="n"/>
      <c r="C516" s="4" t="n"/>
      <c r="D516" s="4" t="n"/>
      <c r="E516" s="4">
        <f>IF($D516="Active",$A516,"")</f>
        <v/>
      </c>
    </row>
    <row r="517">
      <c r="A517" s="4" t="n"/>
      <c r="B517" s="4" t="n"/>
      <c r="C517" s="4" t="n"/>
      <c r="D517" s="4" t="n"/>
      <c r="E517" s="4">
        <f>IF($D517="Active",$A517,"")</f>
        <v/>
      </c>
    </row>
    <row r="518">
      <c r="A518" s="4" t="n"/>
      <c r="B518" s="4" t="n"/>
      <c r="C518" s="4" t="n"/>
      <c r="D518" s="4" t="n"/>
      <c r="E518" s="4">
        <f>IF($D518="Active",$A518,"")</f>
        <v/>
      </c>
    </row>
    <row r="519">
      <c r="A519" s="4" t="n"/>
      <c r="B519" s="4" t="n"/>
      <c r="C519" s="4" t="n"/>
      <c r="D519" s="4" t="n"/>
      <c r="E519" s="4">
        <f>IF($D519="Active",$A519,"")</f>
        <v/>
      </c>
    </row>
    <row r="520">
      <c r="A520" s="4" t="n"/>
      <c r="B520" s="4" t="n"/>
      <c r="C520" s="4" t="n"/>
      <c r="D520" s="4" t="n"/>
      <c r="E520" s="4">
        <f>IF($D520="Active",$A520,"")</f>
        <v/>
      </c>
    </row>
    <row r="521">
      <c r="A521" s="4" t="n"/>
      <c r="B521" s="4" t="n"/>
      <c r="C521" s="4" t="n"/>
      <c r="D521" s="4" t="n"/>
      <c r="E521" s="4">
        <f>IF($D521="Active",$A521,"")</f>
        <v/>
      </c>
    </row>
    <row r="522">
      <c r="A522" s="4" t="n"/>
      <c r="B522" s="4" t="n"/>
      <c r="C522" s="4" t="n"/>
      <c r="D522" s="4" t="n"/>
      <c r="E522" s="4">
        <f>IF($D522="Active",$A522,"")</f>
        <v/>
      </c>
    </row>
    <row r="523">
      <c r="A523" s="4" t="n"/>
      <c r="B523" s="4" t="n"/>
      <c r="C523" s="4" t="n"/>
      <c r="D523" s="4" t="n"/>
      <c r="E523" s="4">
        <f>IF($D523="Active",$A523,"")</f>
        <v/>
      </c>
    </row>
    <row r="524">
      <c r="A524" s="4" t="n"/>
      <c r="B524" s="4" t="n"/>
      <c r="C524" s="4" t="n"/>
      <c r="D524" s="4" t="n"/>
      <c r="E524" s="4">
        <f>IF($D524="Active",$A524,"")</f>
        <v/>
      </c>
    </row>
    <row r="525">
      <c r="A525" s="4" t="n"/>
      <c r="B525" s="4" t="n"/>
      <c r="C525" s="4" t="n"/>
      <c r="D525" s="4" t="n"/>
      <c r="E525" s="4">
        <f>IF($D525="Active",$A525,"")</f>
        <v/>
      </c>
    </row>
    <row r="526">
      <c r="A526" s="4" t="n"/>
      <c r="B526" s="4" t="n"/>
      <c r="C526" s="4" t="n"/>
      <c r="D526" s="4" t="n"/>
      <c r="E526" s="4">
        <f>IF($D526="Active",$A526,"")</f>
        <v/>
      </c>
    </row>
    <row r="527">
      <c r="A527" s="4" t="n"/>
      <c r="B527" s="4" t="n"/>
      <c r="C527" s="4" t="n"/>
      <c r="D527" s="4" t="n"/>
      <c r="E527" s="4">
        <f>IF($D527="Active",$A527,"")</f>
        <v/>
      </c>
    </row>
    <row r="528">
      <c r="A528" s="4" t="n"/>
      <c r="B528" s="4" t="n"/>
      <c r="C528" s="4" t="n"/>
      <c r="D528" s="4" t="n"/>
      <c r="E528" s="4">
        <f>IF($D528="Active",$A528,"")</f>
        <v/>
      </c>
    </row>
    <row r="529">
      <c r="A529" s="4" t="n"/>
      <c r="B529" s="4" t="n"/>
      <c r="C529" s="4" t="n"/>
      <c r="D529" s="4" t="n"/>
      <c r="E529" s="4">
        <f>IF($D529="Active",$A529,"")</f>
        <v/>
      </c>
    </row>
    <row r="530">
      <c r="A530" s="4" t="n"/>
      <c r="B530" s="4" t="n"/>
      <c r="C530" s="4" t="n"/>
      <c r="D530" s="4" t="n"/>
      <c r="E530" s="4">
        <f>IF($D530="Active",$A530,"")</f>
        <v/>
      </c>
    </row>
    <row r="531">
      <c r="A531" s="4" t="n"/>
      <c r="B531" s="4" t="n"/>
      <c r="C531" s="4" t="n"/>
      <c r="D531" s="4" t="n"/>
      <c r="E531" s="4">
        <f>IF($D531="Active",$A531,"")</f>
        <v/>
      </c>
    </row>
    <row r="532">
      <c r="A532" s="4" t="n"/>
      <c r="B532" s="4" t="n"/>
      <c r="C532" s="4" t="n"/>
      <c r="D532" s="4" t="n"/>
      <c r="E532" s="4">
        <f>IF($D532="Active",$A532,"")</f>
        <v/>
      </c>
    </row>
    <row r="533">
      <c r="A533" s="4" t="n"/>
      <c r="B533" s="4" t="n"/>
      <c r="C533" s="4" t="n"/>
      <c r="D533" s="4" t="n"/>
      <c r="E533" s="4">
        <f>IF($D533="Active",$A533,"")</f>
        <v/>
      </c>
    </row>
    <row r="534">
      <c r="A534" s="4" t="n"/>
      <c r="B534" s="4" t="n"/>
      <c r="C534" s="4" t="n"/>
      <c r="D534" s="4" t="n"/>
      <c r="E534" s="4">
        <f>IF($D534="Active",$A534,"")</f>
        <v/>
      </c>
    </row>
    <row r="535">
      <c r="A535" s="4" t="n"/>
      <c r="B535" s="4" t="n"/>
      <c r="C535" s="4" t="n"/>
      <c r="D535" s="4" t="n"/>
      <c r="E535" s="4">
        <f>IF($D535="Active",$A535,"")</f>
        <v/>
      </c>
    </row>
    <row r="536">
      <c r="A536" s="4" t="n"/>
      <c r="B536" s="4" t="n"/>
      <c r="C536" s="4" t="n"/>
      <c r="D536" s="4" t="n"/>
      <c r="E536" s="4">
        <f>IF($D536="Active",$A536,"")</f>
        <v/>
      </c>
    </row>
    <row r="537">
      <c r="A537" s="4" t="n"/>
      <c r="B537" s="4" t="n"/>
      <c r="C537" s="4" t="n"/>
      <c r="D537" s="4" t="n"/>
      <c r="E537" s="4">
        <f>IF($D537="Active",$A537,"")</f>
        <v/>
      </c>
    </row>
    <row r="538">
      <c r="A538" s="4" t="n"/>
      <c r="B538" s="4" t="n"/>
      <c r="C538" s="4" t="n"/>
      <c r="D538" s="4" t="n"/>
      <c r="E538" s="4">
        <f>IF($D538="Active",$A538,"")</f>
        <v/>
      </c>
    </row>
    <row r="539">
      <c r="A539" s="4" t="n"/>
      <c r="B539" s="4" t="n"/>
      <c r="C539" s="4" t="n"/>
      <c r="D539" s="4" t="n"/>
      <c r="E539" s="4">
        <f>IF($D539="Active",$A539,"")</f>
        <v/>
      </c>
    </row>
    <row r="540">
      <c r="A540" s="4" t="n"/>
      <c r="B540" s="4" t="n"/>
      <c r="C540" s="4" t="n"/>
      <c r="D540" s="4" t="n"/>
      <c r="E540" s="4">
        <f>IF($D540="Active",$A540,"")</f>
        <v/>
      </c>
    </row>
    <row r="541">
      <c r="A541" s="4" t="n"/>
      <c r="B541" s="4" t="n"/>
      <c r="C541" s="4" t="n"/>
      <c r="D541" s="4" t="n"/>
      <c r="E541" s="4">
        <f>IF($D541="Active",$A541,"")</f>
        <v/>
      </c>
    </row>
    <row r="542">
      <c r="A542" s="4" t="n"/>
      <c r="B542" s="4" t="n"/>
      <c r="C542" s="4" t="n"/>
      <c r="D542" s="4" t="n"/>
      <c r="E542" s="4">
        <f>IF($D542="Active",$A542,"")</f>
        <v/>
      </c>
    </row>
    <row r="543">
      <c r="A543" s="4" t="n"/>
      <c r="B543" s="4" t="n"/>
      <c r="C543" s="4" t="n"/>
      <c r="D543" s="4" t="n"/>
      <c r="E543" s="4">
        <f>IF($D543="Active",$A543,"")</f>
        <v/>
      </c>
    </row>
    <row r="544">
      <c r="A544" s="4" t="n"/>
      <c r="B544" s="4" t="n"/>
      <c r="C544" s="4" t="n"/>
      <c r="D544" s="4" t="n"/>
      <c r="E544" s="4">
        <f>IF($D544="Active",$A544,"")</f>
        <v/>
      </c>
    </row>
    <row r="545">
      <c r="A545" s="4" t="n"/>
      <c r="B545" s="4" t="n"/>
      <c r="C545" s="4" t="n"/>
      <c r="D545" s="4" t="n"/>
      <c r="E545" s="4">
        <f>IF($D545="Active",$A545,"")</f>
        <v/>
      </c>
    </row>
    <row r="546">
      <c r="A546" s="4" t="n"/>
      <c r="B546" s="4" t="n"/>
      <c r="C546" s="4" t="n"/>
      <c r="D546" s="4" t="n"/>
      <c r="E546" s="4">
        <f>IF($D546="Active",$A546,"")</f>
        <v/>
      </c>
    </row>
    <row r="547">
      <c r="A547" s="4" t="n"/>
      <c r="B547" s="4" t="n"/>
      <c r="C547" s="4" t="n"/>
      <c r="D547" s="4" t="n"/>
      <c r="E547" s="4">
        <f>IF($D547="Active",$A547,"")</f>
        <v/>
      </c>
    </row>
    <row r="548">
      <c r="A548" s="4" t="n"/>
      <c r="B548" s="4" t="n"/>
      <c r="C548" s="4" t="n"/>
      <c r="D548" s="4" t="n"/>
      <c r="E548" s="4">
        <f>IF($D548="Active",$A548,"")</f>
        <v/>
      </c>
    </row>
    <row r="549">
      <c r="A549" s="4" t="n"/>
      <c r="B549" s="4" t="n"/>
      <c r="C549" s="4" t="n"/>
      <c r="D549" s="4" t="n"/>
      <c r="E549" s="4">
        <f>IF($D549="Active",$A549,"")</f>
        <v/>
      </c>
    </row>
    <row r="550">
      <c r="A550" s="4" t="n"/>
      <c r="B550" s="4" t="n"/>
      <c r="C550" s="4" t="n"/>
      <c r="D550" s="4" t="n"/>
      <c r="E550" s="4">
        <f>IF($D550="Active",$A550,"")</f>
        <v/>
      </c>
    </row>
    <row r="551">
      <c r="A551" s="4" t="n"/>
      <c r="B551" s="4" t="n"/>
      <c r="C551" s="4" t="n"/>
      <c r="D551" s="4" t="n"/>
      <c r="E551" s="4">
        <f>IF($D551="Active",$A551,"")</f>
        <v/>
      </c>
    </row>
    <row r="552">
      <c r="A552" s="4" t="n"/>
      <c r="B552" s="4" t="n"/>
      <c r="C552" s="4" t="n"/>
      <c r="D552" s="4" t="n"/>
      <c r="E552" s="4">
        <f>IF($D552="Active",$A552,"")</f>
        <v/>
      </c>
    </row>
    <row r="553">
      <c r="A553" s="4" t="n"/>
      <c r="B553" s="4" t="n"/>
      <c r="C553" s="4" t="n"/>
      <c r="D553" s="4" t="n"/>
      <c r="E553" s="4">
        <f>IF($D553="Active",$A553,"")</f>
        <v/>
      </c>
    </row>
    <row r="554">
      <c r="A554" s="4" t="n"/>
      <c r="B554" s="4" t="n"/>
      <c r="C554" s="4" t="n"/>
      <c r="D554" s="4" t="n"/>
      <c r="E554" s="4">
        <f>IF($D554="Active",$A554,"")</f>
        <v/>
      </c>
    </row>
    <row r="555">
      <c r="A555" s="4" t="n"/>
      <c r="B555" s="4" t="n"/>
      <c r="C555" s="4" t="n"/>
      <c r="D555" s="4" t="n"/>
      <c r="E555" s="4">
        <f>IF($D555="Active",$A555,"")</f>
        <v/>
      </c>
    </row>
    <row r="556">
      <c r="A556" s="4" t="n"/>
      <c r="B556" s="4" t="n"/>
      <c r="C556" s="4" t="n"/>
      <c r="D556" s="4" t="n"/>
      <c r="E556" s="4">
        <f>IF($D556="Active",$A556,"")</f>
        <v/>
      </c>
    </row>
    <row r="557">
      <c r="A557" s="4" t="n"/>
      <c r="B557" s="4" t="n"/>
      <c r="C557" s="4" t="n"/>
      <c r="D557" s="4" t="n"/>
      <c r="E557" s="4">
        <f>IF($D557="Active",$A557,"")</f>
        <v/>
      </c>
    </row>
    <row r="558">
      <c r="A558" s="4" t="n"/>
      <c r="B558" s="4" t="n"/>
      <c r="C558" s="4" t="n"/>
      <c r="D558" s="4" t="n"/>
      <c r="E558" s="4">
        <f>IF($D558="Active",$A558,"")</f>
        <v/>
      </c>
    </row>
    <row r="559">
      <c r="A559" s="4" t="n"/>
      <c r="B559" s="4" t="n"/>
      <c r="C559" s="4" t="n"/>
      <c r="D559" s="4" t="n"/>
      <c r="E559" s="4">
        <f>IF($D559="Active",$A559,"")</f>
        <v/>
      </c>
    </row>
    <row r="560">
      <c r="A560" s="4" t="n"/>
      <c r="B560" s="4" t="n"/>
      <c r="C560" s="4" t="n"/>
      <c r="D560" s="4" t="n"/>
      <c r="E560" s="4">
        <f>IF($D560="Active",$A560,"")</f>
        <v/>
      </c>
    </row>
    <row r="561">
      <c r="A561" s="4" t="n"/>
      <c r="B561" s="4" t="n"/>
      <c r="C561" s="4" t="n"/>
      <c r="D561" s="4" t="n"/>
      <c r="E561" s="4">
        <f>IF($D561="Active",$A561,"")</f>
        <v/>
      </c>
    </row>
    <row r="562">
      <c r="A562" s="4" t="n"/>
      <c r="B562" s="4" t="n"/>
      <c r="C562" s="4" t="n"/>
      <c r="D562" s="4" t="n"/>
      <c r="E562" s="4">
        <f>IF($D562="Active",$A562,"")</f>
        <v/>
      </c>
    </row>
    <row r="563">
      <c r="A563" s="4" t="n"/>
      <c r="B563" s="4" t="n"/>
      <c r="C563" s="4" t="n"/>
      <c r="D563" s="4" t="n"/>
      <c r="E563" s="4">
        <f>IF($D563="Active",$A563,"")</f>
        <v/>
      </c>
    </row>
    <row r="564">
      <c r="A564" s="4" t="n"/>
      <c r="B564" s="4" t="n"/>
      <c r="C564" s="4" t="n"/>
      <c r="D564" s="4" t="n"/>
      <c r="E564" s="4">
        <f>IF($D564="Active",$A564,"")</f>
        <v/>
      </c>
    </row>
    <row r="565">
      <c r="A565" s="4" t="n"/>
      <c r="B565" s="4" t="n"/>
      <c r="C565" s="4" t="n"/>
      <c r="D565" s="4" t="n"/>
      <c r="E565" s="4">
        <f>IF($D565="Active",$A565,"")</f>
        <v/>
      </c>
    </row>
    <row r="566">
      <c r="A566" s="4" t="n"/>
      <c r="B566" s="4" t="n"/>
      <c r="C566" s="4" t="n"/>
      <c r="D566" s="4" t="n"/>
      <c r="E566" s="4">
        <f>IF($D566="Active",$A566,"")</f>
        <v/>
      </c>
    </row>
    <row r="567">
      <c r="A567" s="4" t="n"/>
      <c r="B567" s="4" t="n"/>
      <c r="C567" s="4" t="n"/>
      <c r="D567" s="4" t="n"/>
      <c r="E567" s="4">
        <f>IF($D567="Active",$A567,"")</f>
        <v/>
      </c>
    </row>
    <row r="568">
      <c r="A568" s="4" t="n"/>
      <c r="B568" s="4" t="n"/>
      <c r="C568" s="4" t="n"/>
      <c r="D568" s="4" t="n"/>
      <c r="E568" s="4">
        <f>IF($D568="Active",$A568,"")</f>
        <v/>
      </c>
    </row>
    <row r="569">
      <c r="A569" s="4" t="n"/>
      <c r="B569" s="4" t="n"/>
      <c r="C569" s="4" t="n"/>
      <c r="D569" s="4" t="n"/>
      <c r="E569" s="4">
        <f>IF($D569="Active",$A569,"")</f>
        <v/>
      </c>
    </row>
    <row r="570">
      <c r="A570" s="4" t="n"/>
      <c r="B570" s="4" t="n"/>
      <c r="C570" s="4" t="n"/>
      <c r="D570" s="4" t="n"/>
      <c r="E570" s="4">
        <f>IF($D570="Active",$A570,"")</f>
        <v/>
      </c>
    </row>
    <row r="571">
      <c r="A571" s="4" t="n"/>
      <c r="B571" s="4" t="n"/>
      <c r="C571" s="4" t="n"/>
      <c r="D571" s="4" t="n"/>
      <c r="E571" s="4">
        <f>IF($D571="Active",$A571,"")</f>
        <v/>
      </c>
    </row>
    <row r="572">
      <c r="A572" s="4" t="n"/>
      <c r="B572" s="4" t="n"/>
      <c r="C572" s="4" t="n"/>
      <c r="D572" s="4" t="n"/>
      <c r="E572" s="4">
        <f>IF($D572="Active",$A572,"")</f>
        <v/>
      </c>
    </row>
    <row r="573">
      <c r="A573" s="4" t="n"/>
      <c r="B573" s="4" t="n"/>
      <c r="C573" s="4" t="n"/>
      <c r="D573" s="4" t="n"/>
      <c r="E573" s="4">
        <f>IF($D573="Active",$A573,"")</f>
        <v/>
      </c>
    </row>
    <row r="574">
      <c r="A574" s="4" t="n"/>
      <c r="B574" s="4" t="n"/>
      <c r="C574" s="4" t="n"/>
      <c r="D574" s="4" t="n"/>
      <c r="E574" s="4">
        <f>IF($D574="Active",$A574,"")</f>
        <v/>
      </c>
    </row>
    <row r="575">
      <c r="A575" s="4" t="n"/>
      <c r="B575" s="4" t="n"/>
      <c r="C575" s="4" t="n"/>
      <c r="D575" s="4" t="n"/>
      <c r="E575" s="4">
        <f>IF($D575="Active",$A575,"")</f>
        <v/>
      </c>
    </row>
    <row r="576">
      <c r="A576" s="4" t="n"/>
      <c r="B576" s="4" t="n"/>
      <c r="C576" s="4" t="n"/>
      <c r="D576" s="4" t="n"/>
      <c r="E576" s="4">
        <f>IF($D576="Active",$A576,"")</f>
        <v/>
      </c>
    </row>
    <row r="577">
      <c r="A577" s="4" t="n"/>
      <c r="B577" s="4" t="n"/>
      <c r="C577" s="4" t="n"/>
      <c r="D577" s="4" t="n"/>
      <c r="E577" s="4">
        <f>IF($D577="Active",$A577,"")</f>
        <v/>
      </c>
    </row>
    <row r="578">
      <c r="A578" s="4" t="n"/>
      <c r="B578" s="4" t="n"/>
      <c r="C578" s="4" t="n"/>
      <c r="D578" s="4" t="n"/>
      <c r="E578" s="4">
        <f>IF($D578="Active",$A578,"")</f>
        <v/>
      </c>
    </row>
    <row r="579">
      <c r="A579" s="4" t="n"/>
      <c r="B579" s="4" t="n"/>
      <c r="C579" s="4" t="n"/>
      <c r="D579" s="4" t="n"/>
      <c r="E579" s="4">
        <f>IF($D579="Active",$A579,"")</f>
        <v/>
      </c>
    </row>
    <row r="580">
      <c r="A580" s="4" t="n"/>
      <c r="B580" s="4" t="n"/>
      <c r="C580" s="4" t="n"/>
      <c r="D580" s="4" t="n"/>
      <c r="E580" s="4">
        <f>IF($D580="Active",$A580,"")</f>
        <v/>
      </c>
    </row>
    <row r="581">
      <c r="A581" s="4" t="n"/>
      <c r="B581" s="4" t="n"/>
      <c r="C581" s="4" t="n"/>
      <c r="D581" s="4" t="n"/>
      <c r="E581" s="4">
        <f>IF($D581="Active",$A581,"")</f>
        <v/>
      </c>
    </row>
    <row r="582">
      <c r="A582" s="4" t="n"/>
      <c r="B582" s="4" t="n"/>
      <c r="C582" s="4" t="n"/>
      <c r="D582" s="4" t="n"/>
      <c r="E582" s="4">
        <f>IF($D582="Active",$A582,"")</f>
        <v/>
      </c>
    </row>
    <row r="583">
      <c r="A583" s="4" t="n"/>
      <c r="B583" s="4" t="n"/>
      <c r="C583" s="4" t="n"/>
      <c r="D583" s="4" t="n"/>
      <c r="E583" s="4">
        <f>IF($D583="Active",$A583,"")</f>
        <v/>
      </c>
    </row>
    <row r="584">
      <c r="A584" s="4" t="n"/>
      <c r="B584" s="4" t="n"/>
      <c r="C584" s="4" t="n"/>
      <c r="D584" s="4" t="n"/>
      <c r="E584" s="4">
        <f>IF($D584="Active",$A584,"")</f>
        <v/>
      </c>
    </row>
    <row r="585">
      <c r="A585" s="4" t="n"/>
      <c r="B585" s="4" t="n"/>
      <c r="C585" s="4" t="n"/>
      <c r="D585" s="4" t="n"/>
      <c r="E585" s="4">
        <f>IF($D585="Active",$A585,"")</f>
        <v/>
      </c>
    </row>
    <row r="586">
      <c r="A586" s="4" t="n"/>
      <c r="B586" s="4" t="n"/>
      <c r="C586" s="4" t="n"/>
      <c r="D586" s="4" t="n"/>
      <c r="E586" s="4">
        <f>IF($D586="Active",$A586,"")</f>
        <v/>
      </c>
    </row>
    <row r="587">
      <c r="A587" s="4" t="n"/>
      <c r="B587" s="4" t="n"/>
      <c r="C587" s="4" t="n"/>
      <c r="D587" s="4" t="n"/>
      <c r="E587" s="4">
        <f>IF($D587="Active",$A587,"")</f>
        <v/>
      </c>
    </row>
    <row r="588">
      <c r="A588" s="4" t="n"/>
      <c r="B588" s="4" t="n"/>
      <c r="C588" s="4" t="n"/>
      <c r="D588" s="4" t="n"/>
      <c r="E588" s="4">
        <f>IF($D588="Active",$A588,"")</f>
        <v/>
      </c>
    </row>
    <row r="589">
      <c r="A589" s="4" t="n"/>
      <c r="B589" s="4" t="n"/>
      <c r="C589" s="4" t="n"/>
      <c r="D589" s="4" t="n"/>
      <c r="E589" s="4">
        <f>IF($D589="Active",$A589,"")</f>
        <v/>
      </c>
    </row>
    <row r="590">
      <c r="A590" s="4" t="n"/>
      <c r="B590" s="4" t="n"/>
      <c r="C590" s="4" t="n"/>
      <c r="D590" s="4" t="n"/>
      <c r="E590" s="4">
        <f>IF($D590="Active",$A590,"")</f>
        <v/>
      </c>
    </row>
    <row r="591">
      <c r="A591" s="4" t="n"/>
      <c r="B591" s="4" t="n"/>
      <c r="C591" s="4" t="n"/>
      <c r="D591" s="4" t="n"/>
      <c r="E591" s="4">
        <f>IF($D591="Active",$A591,"")</f>
        <v/>
      </c>
    </row>
    <row r="592">
      <c r="A592" s="4" t="n"/>
      <c r="B592" s="4" t="n"/>
      <c r="C592" s="4" t="n"/>
      <c r="D592" s="4" t="n"/>
      <c r="E592" s="4">
        <f>IF($D592="Active",$A592,"")</f>
        <v/>
      </c>
    </row>
    <row r="593">
      <c r="A593" s="4" t="n"/>
      <c r="B593" s="4" t="n"/>
      <c r="C593" s="4" t="n"/>
      <c r="D593" s="4" t="n"/>
      <c r="E593" s="4">
        <f>IF($D593="Active",$A593,"")</f>
        <v/>
      </c>
    </row>
    <row r="594">
      <c r="A594" s="4" t="n"/>
      <c r="B594" s="4" t="n"/>
      <c r="C594" s="4" t="n"/>
      <c r="D594" s="4" t="n"/>
      <c r="E594" s="4">
        <f>IF($D594="Active",$A594,"")</f>
        <v/>
      </c>
    </row>
    <row r="595">
      <c r="A595" s="4" t="n"/>
      <c r="B595" s="4" t="n"/>
      <c r="C595" s="4" t="n"/>
      <c r="D595" s="4" t="n"/>
      <c r="E595" s="4">
        <f>IF($D595="Active",$A595,"")</f>
        <v/>
      </c>
    </row>
    <row r="596">
      <c r="A596" s="4" t="n"/>
      <c r="B596" s="4" t="n"/>
      <c r="C596" s="4" t="n"/>
      <c r="D596" s="4" t="n"/>
      <c r="E596" s="4">
        <f>IF($D596="Active",$A596,"")</f>
        <v/>
      </c>
    </row>
    <row r="597">
      <c r="A597" s="4" t="n"/>
      <c r="B597" s="4" t="n"/>
      <c r="C597" s="4" t="n"/>
      <c r="D597" s="4" t="n"/>
      <c r="E597" s="4">
        <f>IF($D597="Active",$A597,"")</f>
        <v/>
      </c>
    </row>
    <row r="598">
      <c r="A598" s="4" t="n"/>
      <c r="B598" s="4" t="n"/>
      <c r="C598" s="4" t="n"/>
      <c r="D598" s="4" t="n"/>
      <c r="E598" s="4">
        <f>IF($D598="Active",$A598,"")</f>
        <v/>
      </c>
    </row>
    <row r="599">
      <c r="A599" s="4" t="n"/>
      <c r="B599" s="4" t="n"/>
      <c r="C599" s="4" t="n"/>
      <c r="D599" s="4" t="n"/>
      <c r="E599" s="4">
        <f>IF($D599="Active",$A599,"")</f>
        <v/>
      </c>
    </row>
    <row r="600">
      <c r="A600" s="4" t="n"/>
      <c r="B600" s="4" t="n"/>
      <c r="C600" s="4" t="n"/>
      <c r="D600" s="4" t="n"/>
      <c r="E600" s="4">
        <f>IF($D600="Active",$A600,"")</f>
        <v/>
      </c>
    </row>
    <row r="601">
      <c r="A601" s="4" t="n"/>
      <c r="B601" s="4" t="n"/>
      <c r="C601" s="4" t="n"/>
      <c r="D601" s="4" t="n"/>
      <c r="E601" s="4">
        <f>IF($D601="Active",$A601,"")</f>
        <v/>
      </c>
    </row>
    <row r="602">
      <c r="A602" s="4" t="n"/>
      <c r="B602" s="4" t="n"/>
      <c r="C602" s="4" t="n"/>
      <c r="D602" s="4" t="n"/>
      <c r="E602" s="4">
        <f>IF($D602="Active",$A602,"")</f>
        <v/>
      </c>
    </row>
    <row r="603">
      <c r="A603" s="4" t="n"/>
      <c r="B603" s="4" t="n"/>
      <c r="C603" s="4" t="n"/>
      <c r="D603" s="4" t="n"/>
      <c r="E603" s="4">
        <f>IF($D603="Active",$A603,"")</f>
        <v/>
      </c>
    </row>
    <row r="604">
      <c r="A604" s="4" t="n"/>
      <c r="B604" s="4" t="n"/>
      <c r="C604" s="4" t="n"/>
      <c r="D604" s="4" t="n"/>
      <c r="E604" s="4">
        <f>IF($D604="Active",$A604,"")</f>
        <v/>
      </c>
    </row>
    <row r="605">
      <c r="A605" s="4" t="n"/>
      <c r="B605" s="4" t="n"/>
      <c r="C605" s="4" t="n"/>
      <c r="D605" s="4" t="n"/>
      <c r="E605" s="4">
        <f>IF($D605="Active",$A605,"")</f>
        <v/>
      </c>
    </row>
    <row r="606">
      <c r="A606" s="4" t="n"/>
      <c r="B606" s="4" t="n"/>
      <c r="C606" s="4" t="n"/>
      <c r="D606" s="4" t="n"/>
      <c r="E606" s="4">
        <f>IF($D606="Active",$A606,"")</f>
        <v/>
      </c>
    </row>
    <row r="607">
      <c r="A607" s="4" t="n"/>
      <c r="B607" s="4" t="n"/>
      <c r="C607" s="4" t="n"/>
      <c r="D607" s="4" t="n"/>
      <c r="E607" s="4">
        <f>IF($D607="Active",$A607,"")</f>
        <v/>
      </c>
    </row>
    <row r="608">
      <c r="A608" s="4" t="n"/>
      <c r="B608" s="4" t="n"/>
      <c r="C608" s="4" t="n"/>
      <c r="D608" s="4" t="n"/>
      <c r="E608" s="4">
        <f>IF($D608="Active",$A608,"")</f>
        <v/>
      </c>
    </row>
    <row r="609">
      <c r="A609" s="4" t="n"/>
      <c r="B609" s="4" t="n"/>
      <c r="C609" s="4" t="n"/>
      <c r="D609" s="4" t="n"/>
      <c r="E609" s="4">
        <f>IF($D609="Active",$A609,"")</f>
        <v/>
      </c>
    </row>
    <row r="610">
      <c r="A610" s="4" t="n"/>
      <c r="B610" s="4" t="n"/>
      <c r="C610" s="4" t="n"/>
      <c r="D610" s="4" t="n"/>
      <c r="E610" s="4">
        <f>IF($D610="Active",$A610,"")</f>
        <v/>
      </c>
    </row>
    <row r="611">
      <c r="A611" s="4" t="n"/>
      <c r="B611" s="4" t="n"/>
      <c r="C611" s="4" t="n"/>
      <c r="D611" s="4" t="n"/>
      <c r="E611" s="4">
        <f>IF($D611="Active",$A611,"")</f>
        <v/>
      </c>
    </row>
    <row r="612">
      <c r="A612" s="4" t="n"/>
      <c r="B612" s="4" t="n"/>
      <c r="C612" s="4" t="n"/>
      <c r="D612" s="4" t="n"/>
      <c r="E612" s="4">
        <f>IF($D612="Active",$A612,"")</f>
        <v/>
      </c>
    </row>
    <row r="613">
      <c r="A613" s="4" t="n"/>
      <c r="B613" s="4" t="n"/>
      <c r="C613" s="4" t="n"/>
      <c r="D613" s="4" t="n"/>
      <c r="E613" s="4">
        <f>IF($D613="Active",$A613,"")</f>
        <v/>
      </c>
    </row>
    <row r="614">
      <c r="A614" s="4" t="n"/>
      <c r="B614" s="4" t="n"/>
      <c r="C614" s="4" t="n"/>
      <c r="D614" s="4" t="n"/>
      <c r="E614" s="4">
        <f>IF($D614="Active",$A614,"")</f>
        <v/>
      </c>
    </row>
    <row r="615">
      <c r="A615" s="4" t="n"/>
      <c r="B615" s="4" t="n"/>
      <c r="C615" s="4" t="n"/>
      <c r="D615" s="4" t="n"/>
      <c r="E615" s="4">
        <f>IF($D615="Active",$A615,"")</f>
        <v/>
      </c>
    </row>
    <row r="616">
      <c r="A616" s="4" t="n"/>
      <c r="B616" s="4" t="n"/>
      <c r="C616" s="4" t="n"/>
      <c r="D616" s="4" t="n"/>
      <c r="E616" s="4">
        <f>IF($D616="Active",$A616,"")</f>
        <v/>
      </c>
    </row>
    <row r="617">
      <c r="A617" s="4" t="n"/>
      <c r="B617" s="4" t="n"/>
      <c r="C617" s="4" t="n"/>
      <c r="D617" s="4" t="n"/>
      <c r="E617" s="4">
        <f>IF($D617="Active",$A617,"")</f>
        <v/>
      </c>
    </row>
    <row r="618">
      <c r="A618" s="4" t="n"/>
      <c r="B618" s="4" t="n"/>
      <c r="C618" s="4" t="n"/>
      <c r="D618" s="4" t="n"/>
      <c r="E618" s="4">
        <f>IF($D618="Active",$A618,"")</f>
        <v/>
      </c>
    </row>
    <row r="619">
      <c r="A619" s="4" t="n"/>
      <c r="B619" s="4" t="n"/>
      <c r="C619" s="4" t="n"/>
      <c r="D619" s="4" t="n"/>
      <c r="E619" s="4">
        <f>IF($D619="Active",$A619,"")</f>
        <v/>
      </c>
    </row>
    <row r="620">
      <c r="A620" s="4" t="n"/>
      <c r="B620" s="4" t="n"/>
      <c r="C620" s="4" t="n"/>
      <c r="D620" s="4" t="n"/>
      <c r="E620" s="4">
        <f>IF($D620="Active",$A620,"")</f>
        <v/>
      </c>
    </row>
    <row r="621">
      <c r="A621" s="4" t="n"/>
      <c r="B621" s="4" t="n"/>
      <c r="C621" s="4" t="n"/>
      <c r="D621" s="4" t="n"/>
      <c r="E621" s="4">
        <f>IF($D621="Active",$A621,"")</f>
        <v/>
      </c>
    </row>
    <row r="622">
      <c r="A622" s="4" t="n"/>
      <c r="B622" s="4" t="n"/>
      <c r="C622" s="4" t="n"/>
      <c r="D622" s="4" t="n"/>
      <c r="E622" s="4">
        <f>IF($D622="Active",$A622,"")</f>
        <v/>
      </c>
    </row>
    <row r="623">
      <c r="A623" s="4" t="n"/>
      <c r="B623" s="4" t="n"/>
      <c r="C623" s="4" t="n"/>
      <c r="D623" s="4" t="n"/>
      <c r="E623" s="4">
        <f>IF($D623="Active",$A623,"")</f>
        <v/>
      </c>
    </row>
    <row r="624">
      <c r="A624" s="4" t="n"/>
      <c r="B624" s="4" t="n"/>
      <c r="C624" s="4" t="n"/>
      <c r="D624" s="4" t="n"/>
      <c r="E624" s="4">
        <f>IF($D624="Active",$A624,"")</f>
        <v/>
      </c>
    </row>
    <row r="625">
      <c r="A625" s="4" t="n"/>
      <c r="B625" s="4" t="n"/>
      <c r="C625" s="4" t="n"/>
      <c r="D625" s="4" t="n"/>
      <c r="E625" s="4">
        <f>IF($D625="Active",$A625,"")</f>
        <v/>
      </c>
    </row>
    <row r="626">
      <c r="A626" s="4" t="n"/>
      <c r="B626" s="4" t="n"/>
      <c r="C626" s="4" t="n"/>
      <c r="D626" s="4" t="n"/>
      <c r="E626" s="4">
        <f>IF($D626="Active",$A626,"")</f>
        <v/>
      </c>
    </row>
    <row r="627">
      <c r="A627" s="4" t="n"/>
      <c r="B627" s="4" t="n"/>
      <c r="C627" s="4" t="n"/>
      <c r="D627" s="4" t="n"/>
      <c r="E627" s="4">
        <f>IF($D627="Active",$A627,"")</f>
        <v/>
      </c>
    </row>
    <row r="628">
      <c r="A628" s="4" t="n"/>
      <c r="B628" s="4" t="n"/>
      <c r="C628" s="4" t="n"/>
      <c r="D628" s="4" t="n"/>
      <c r="E628" s="4">
        <f>IF($D628="Active",$A628,"")</f>
        <v/>
      </c>
    </row>
    <row r="629">
      <c r="A629" s="4" t="n"/>
      <c r="B629" s="4" t="n"/>
      <c r="C629" s="4" t="n"/>
      <c r="D629" s="4" t="n"/>
      <c r="E629" s="4">
        <f>IF($D629="Active",$A629,"")</f>
        <v/>
      </c>
    </row>
    <row r="630">
      <c r="A630" s="4" t="n"/>
      <c r="B630" s="4" t="n"/>
      <c r="C630" s="4" t="n"/>
      <c r="D630" s="4" t="n"/>
      <c r="E630" s="4">
        <f>IF($D630="Active",$A630,"")</f>
        <v/>
      </c>
    </row>
    <row r="631">
      <c r="A631" s="4" t="n"/>
      <c r="B631" s="4" t="n"/>
      <c r="C631" s="4" t="n"/>
      <c r="D631" s="4" t="n"/>
      <c r="E631" s="4">
        <f>IF($D631="Active",$A631,"")</f>
        <v/>
      </c>
    </row>
    <row r="632">
      <c r="A632" s="4" t="n"/>
      <c r="B632" s="4" t="n"/>
      <c r="C632" s="4" t="n"/>
      <c r="D632" s="4" t="n"/>
      <c r="E632" s="4">
        <f>IF($D632="Active",$A632,"")</f>
        <v/>
      </c>
    </row>
    <row r="633">
      <c r="A633" s="4" t="n"/>
      <c r="B633" s="4" t="n"/>
      <c r="C633" s="4" t="n"/>
      <c r="D633" s="4" t="n"/>
      <c r="E633" s="4">
        <f>IF($D633="Active",$A633,"")</f>
        <v/>
      </c>
    </row>
    <row r="634">
      <c r="A634" s="4" t="n"/>
      <c r="B634" s="4" t="n"/>
      <c r="C634" s="4" t="n"/>
      <c r="D634" s="4" t="n"/>
      <c r="E634" s="4">
        <f>IF($D634="Active",$A634,"")</f>
        <v/>
      </c>
    </row>
    <row r="635">
      <c r="A635" s="4" t="n"/>
      <c r="B635" s="4" t="n"/>
      <c r="C635" s="4" t="n"/>
      <c r="D635" s="4" t="n"/>
      <c r="E635" s="4">
        <f>IF($D635="Active",$A635,"")</f>
        <v/>
      </c>
    </row>
    <row r="636">
      <c r="A636" s="4" t="n"/>
      <c r="B636" s="4" t="n"/>
      <c r="C636" s="4" t="n"/>
      <c r="D636" s="4" t="n"/>
      <c r="E636" s="4">
        <f>IF($D636="Active",$A636,"")</f>
        <v/>
      </c>
    </row>
    <row r="637">
      <c r="A637" s="4" t="n"/>
      <c r="B637" s="4" t="n"/>
      <c r="C637" s="4" t="n"/>
      <c r="D637" s="4" t="n"/>
      <c r="E637" s="4">
        <f>IF($D637="Active",$A637,"")</f>
        <v/>
      </c>
    </row>
    <row r="638">
      <c r="A638" s="4" t="n"/>
      <c r="B638" s="4" t="n"/>
      <c r="C638" s="4" t="n"/>
      <c r="D638" s="4" t="n"/>
      <c r="E638" s="4">
        <f>IF($D638="Active",$A638,"")</f>
        <v/>
      </c>
    </row>
    <row r="639">
      <c r="A639" s="4" t="n"/>
      <c r="B639" s="4" t="n"/>
      <c r="C639" s="4" t="n"/>
      <c r="D639" s="4" t="n"/>
      <c r="E639" s="4">
        <f>IF($D639="Active",$A639,"")</f>
        <v/>
      </c>
    </row>
    <row r="640">
      <c r="A640" s="4" t="n"/>
      <c r="B640" s="4" t="n"/>
      <c r="C640" s="4" t="n"/>
      <c r="D640" s="4" t="n"/>
      <c r="E640" s="4">
        <f>IF($D640="Active",$A640,"")</f>
        <v/>
      </c>
    </row>
    <row r="641">
      <c r="A641" s="4" t="n"/>
      <c r="B641" s="4" t="n"/>
      <c r="C641" s="4" t="n"/>
      <c r="D641" s="4" t="n"/>
      <c r="E641" s="4">
        <f>IF($D641="Active",$A641,"")</f>
        <v/>
      </c>
    </row>
    <row r="642">
      <c r="A642" s="4" t="n"/>
      <c r="B642" s="4" t="n"/>
      <c r="C642" s="4" t="n"/>
      <c r="D642" s="4" t="n"/>
      <c r="E642" s="4">
        <f>IF($D642="Active",$A642,"")</f>
        <v/>
      </c>
    </row>
    <row r="643">
      <c r="A643" s="4" t="n"/>
      <c r="B643" s="4" t="n"/>
      <c r="C643" s="4" t="n"/>
      <c r="D643" s="4" t="n"/>
      <c r="E643" s="4">
        <f>IF($D643="Active",$A643,"")</f>
        <v/>
      </c>
    </row>
    <row r="644">
      <c r="A644" s="4" t="n"/>
      <c r="B644" s="4" t="n"/>
      <c r="C644" s="4" t="n"/>
      <c r="D644" s="4" t="n"/>
      <c r="E644" s="4">
        <f>IF($D644="Active",$A644,"")</f>
        <v/>
      </c>
    </row>
    <row r="645">
      <c r="A645" s="4" t="n"/>
      <c r="B645" s="4" t="n"/>
      <c r="C645" s="4" t="n"/>
      <c r="D645" s="4" t="n"/>
      <c r="E645" s="4">
        <f>IF($D645="Active",$A645,"")</f>
        <v/>
      </c>
    </row>
    <row r="646">
      <c r="A646" s="4" t="n"/>
      <c r="B646" s="4" t="n"/>
      <c r="C646" s="4" t="n"/>
      <c r="D646" s="4" t="n"/>
      <c r="E646" s="4">
        <f>IF($D646="Active",$A646,"")</f>
        <v/>
      </c>
    </row>
    <row r="647">
      <c r="A647" s="4" t="n"/>
      <c r="B647" s="4" t="n"/>
      <c r="C647" s="4" t="n"/>
      <c r="D647" s="4" t="n"/>
      <c r="E647" s="4">
        <f>IF($D647="Active",$A647,"")</f>
        <v/>
      </c>
    </row>
    <row r="648">
      <c r="A648" s="4" t="n"/>
      <c r="B648" s="4" t="n"/>
      <c r="C648" s="4" t="n"/>
      <c r="D648" s="4" t="n"/>
      <c r="E648" s="4">
        <f>IF($D648="Active",$A648,"")</f>
        <v/>
      </c>
    </row>
    <row r="649">
      <c r="A649" s="4" t="n"/>
      <c r="B649" s="4" t="n"/>
      <c r="C649" s="4" t="n"/>
      <c r="D649" s="4" t="n"/>
      <c r="E649" s="4">
        <f>IF($D649="Active",$A649,"")</f>
        <v/>
      </c>
    </row>
    <row r="650">
      <c r="A650" s="4" t="n"/>
      <c r="B650" s="4" t="n"/>
      <c r="C650" s="4" t="n"/>
      <c r="D650" s="4" t="n"/>
      <c r="E650" s="4">
        <f>IF($D650="Active",$A650,"")</f>
        <v/>
      </c>
    </row>
    <row r="651">
      <c r="A651" s="4" t="n"/>
      <c r="B651" s="4" t="n"/>
      <c r="C651" s="4" t="n"/>
      <c r="D651" s="4" t="n"/>
      <c r="E651" s="4">
        <f>IF($D651="Active",$A651,"")</f>
        <v/>
      </c>
    </row>
    <row r="652">
      <c r="A652" s="4" t="n"/>
      <c r="B652" s="4" t="n"/>
      <c r="C652" s="4" t="n"/>
      <c r="D652" s="4" t="n"/>
      <c r="E652" s="4">
        <f>IF($D652="Active",$A652,"")</f>
        <v/>
      </c>
    </row>
    <row r="653">
      <c r="A653" s="4" t="n"/>
      <c r="B653" s="4" t="n"/>
      <c r="C653" s="4" t="n"/>
      <c r="D653" s="4" t="n"/>
      <c r="E653" s="4">
        <f>IF($D653="Active",$A653,"")</f>
        <v/>
      </c>
    </row>
    <row r="654">
      <c r="A654" s="4" t="n"/>
      <c r="B654" s="4" t="n"/>
      <c r="C654" s="4" t="n"/>
      <c r="D654" s="4" t="n"/>
      <c r="E654" s="4">
        <f>IF($D654="Active",$A654,"")</f>
        <v/>
      </c>
    </row>
    <row r="655">
      <c r="A655" s="4" t="n"/>
      <c r="B655" s="4" t="n"/>
      <c r="C655" s="4" t="n"/>
      <c r="D655" s="4" t="n"/>
      <c r="E655" s="4">
        <f>IF($D655="Active",$A655,"")</f>
        <v/>
      </c>
    </row>
    <row r="656">
      <c r="A656" s="4" t="n"/>
      <c r="B656" s="4" t="n"/>
      <c r="C656" s="4" t="n"/>
      <c r="D656" s="4" t="n"/>
      <c r="E656" s="4">
        <f>IF($D656="Active",$A656,"")</f>
        <v/>
      </c>
    </row>
    <row r="657">
      <c r="A657" s="4" t="n"/>
      <c r="B657" s="4" t="n"/>
      <c r="C657" s="4" t="n"/>
      <c r="D657" s="4" t="n"/>
      <c r="E657" s="4">
        <f>IF($D657="Active",$A657,"")</f>
        <v/>
      </c>
    </row>
    <row r="658">
      <c r="A658" s="4" t="n"/>
      <c r="B658" s="4" t="n"/>
      <c r="C658" s="4" t="n"/>
      <c r="D658" s="4" t="n"/>
      <c r="E658" s="4">
        <f>IF($D658="Active",$A658,"")</f>
        <v/>
      </c>
    </row>
    <row r="659">
      <c r="A659" s="4" t="n"/>
      <c r="B659" s="4" t="n"/>
      <c r="C659" s="4" t="n"/>
      <c r="D659" s="4" t="n"/>
      <c r="E659" s="4">
        <f>IF($D659="Active",$A659,"")</f>
        <v/>
      </c>
    </row>
    <row r="660">
      <c r="A660" s="4" t="n"/>
      <c r="B660" s="4" t="n"/>
      <c r="C660" s="4" t="n"/>
      <c r="D660" s="4" t="n"/>
      <c r="E660" s="4">
        <f>IF($D660="Active",$A660,"")</f>
        <v/>
      </c>
    </row>
    <row r="661">
      <c r="A661" s="4" t="n"/>
      <c r="B661" s="4" t="n"/>
      <c r="C661" s="4" t="n"/>
      <c r="D661" s="4" t="n"/>
      <c r="E661" s="4">
        <f>IF($D661="Active",$A661,"")</f>
        <v/>
      </c>
    </row>
    <row r="662">
      <c r="A662" s="4" t="n"/>
      <c r="B662" s="4" t="n"/>
      <c r="C662" s="4" t="n"/>
      <c r="D662" s="4" t="n"/>
      <c r="E662" s="4">
        <f>IF($D662="Active",$A662,"")</f>
        <v/>
      </c>
    </row>
    <row r="663">
      <c r="A663" s="4" t="n"/>
      <c r="B663" s="4" t="n"/>
      <c r="C663" s="4" t="n"/>
      <c r="D663" s="4" t="n"/>
      <c r="E663" s="4">
        <f>IF($D663="Active",$A663,"")</f>
        <v/>
      </c>
    </row>
    <row r="664">
      <c r="A664" s="4" t="n"/>
      <c r="B664" s="4" t="n"/>
      <c r="C664" s="4" t="n"/>
      <c r="D664" s="4" t="n"/>
      <c r="E664" s="4">
        <f>IF($D664="Active",$A664,"")</f>
        <v/>
      </c>
    </row>
    <row r="665">
      <c r="A665" s="4" t="n"/>
      <c r="B665" s="4" t="n"/>
      <c r="C665" s="4" t="n"/>
      <c r="D665" s="4" t="n"/>
      <c r="E665" s="4">
        <f>IF($D665="Active",$A665,"")</f>
        <v/>
      </c>
    </row>
    <row r="666">
      <c r="A666" s="4" t="n"/>
      <c r="B666" s="4" t="n"/>
      <c r="C666" s="4" t="n"/>
      <c r="D666" s="4" t="n"/>
      <c r="E666" s="4">
        <f>IF($D666="Active",$A666,"")</f>
        <v/>
      </c>
    </row>
    <row r="667">
      <c r="A667" s="4" t="n"/>
      <c r="B667" s="4" t="n"/>
      <c r="C667" s="4" t="n"/>
      <c r="D667" s="4" t="n"/>
      <c r="E667" s="4">
        <f>IF($D667="Active",$A667,"")</f>
        <v/>
      </c>
    </row>
    <row r="668">
      <c r="A668" s="4" t="n"/>
      <c r="B668" s="4" t="n"/>
      <c r="C668" s="4" t="n"/>
      <c r="D668" s="4" t="n"/>
      <c r="E668" s="4">
        <f>IF($D668="Active",$A668,"")</f>
        <v/>
      </c>
    </row>
    <row r="669">
      <c r="A669" s="4" t="n"/>
      <c r="B669" s="4" t="n"/>
      <c r="C669" s="4" t="n"/>
      <c r="D669" s="4" t="n"/>
      <c r="E669" s="4">
        <f>IF($D669="Active",$A669,"")</f>
        <v/>
      </c>
    </row>
    <row r="670">
      <c r="A670" s="4" t="n"/>
      <c r="B670" s="4" t="n"/>
      <c r="C670" s="4" t="n"/>
      <c r="D670" s="4" t="n"/>
      <c r="E670" s="4">
        <f>IF($D670="Active",$A670,"")</f>
        <v/>
      </c>
    </row>
    <row r="671">
      <c r="A671" s="4" t="n"/>
      <c r="B671" s="4" t="n"/>
      <c r="C671" s="4" t="n"/>
      <c r="D671" s="4" t="n"/>
      <c r="E671" s="4">
        <f>IF($D671="Active",$A671,"")</f>
        <v/>
      </c>
    </row>
    <row r="672">
      <c r="A672" s="4" t="n"/>
      <c r="B672" s="4" t="n"/>
      <c r="C672" s="4" t="n"/>
      <c r="D672" s="4" t="n"/>
      <c r="E672" s="4">
        <f>IF($D672="Active",$A672,"")</f>
        <v/>
      </c>
    </row>
    <row r="673">
      <c r="A673" s="4" t="n"/>
      <c r="B673" s="4" t="n"/>
      <c r="C673" s="4" t="n"/>
      <c r="D673" s="4" t="n"/>
      <c r="E673" s="4">
        <f>IF($D673="Active",$A673,"")</f>
        <v/>
      </c>
    </row>
    <row r="674">
      <c r="A674" s="4" t="n"/>
      <c r="B674" s="4" t="n"/>
      <c r="C674" s="4" t="n"/>
      <c r="D674" s="4" t="n"/>
      <c r="E674" s="4">
        <f>IF($D674="Active",$A674,"")</f>
        <v/>
      </c>
    </row>
    <row r="675">
      <c r="A675" s="4" t="n"/>
      <c r="B675" s="4" t="n"/>
      <c r="C675" s="4" t="n"/>
      <c r="D675" s="4" t="n"/>
      <c r="E675" s="4">
        <f>IF($D675="Active",$A675,"")</f>
        <v/>
      </c>
    </row>
    <row r="676">
      <c r="A676" s="4" t="n"/>
      <c r="B676" s="4" t="n"/>
      <c r="C676" s="4" t="n"/>
      <c r="D676" s="4" t="n"/>
      <c r="E676" s="4">
        <f>IF($D676="Active",$A676,"")</f>
        <v/>
      </c>
    </row>
    <row r="677">
      <c r="A677" s="4" t="n"/>
      <c r="B677" s="4" t="n"/>
      <c r="C677" s="4" t="n"/>
      <c r="D677" s="4" t="n"/>
      <c r="E677" s="4">
        <f>IF($D677="Active",$A677,"")</f>
        <v/>
      </c>
    </row>
    <row r="678">
      <c r="A678" s="4" t="n"/>
      <c r="B678" s="4" t="n"/>
      <c r="C678" s="4" t="n"/>
      <c r="D678" s="4" t="n"/>
      <c r="E678" s="4">
        <f>IF($D678="Active",$A678,"")</f>
        <v/>
      </c>
    </row>
    <row r="679">
      <c r="A679" s="4" t="n"/>
      <c r="B679" s="4" t="n"/>
      <c r="C679" s="4" t="n"/>
      <c r="D679" s="4" t="n"/>
      <c r="E679" s="4">
        <f>IF($D679="Active",$A679,"")</f>
        <v/>
      </c>
    </row>
    <row r="680">
      <c r="A680" s="4" t="n"/>
      <c r="B680" s="4" t="n"/>
      <c r="C680" s="4" t="n"/>
      <c r="D680" s="4" t="n"/>
      <c r="E680" s="4">
        <f>IF($D680="Active",$A680,"")</f>
        <v/>
      </c>
    </row>
    <row r="681">
      <c r="A681" s="4" t="n"/>
      <c r="B681" s="4" t="n"/>
      <c r="C681" s="4" t="n"/>
      <c r="D681" s="4" t="n"/>
      <c r="E681" s="4">
        <f>IF($D681="Active",$A681,"")</f>
        <v/>
      </c>
    </row>
    <row r="682">
      <c r="A682" s="4" t="n"/>
      <c r="B682" s="4" t="n"/>
      <c r="C682" s="4" t="n"/>
      <c r="D682" s="4" t="n"/>
      <c r="E682" s="4">
        <f>IF($D682="Active",$A682,"")</f>
        <v/>
      </c>
    </row>
    <row r="683">
      <c r="A683" s="4" t="n"/>
      <c r="B683" s="4" t="n"/>
      <c r="C683" s="4" t="n"/>
      <c r="D683" s="4" t="n"/>
      <c r="E683" s="4">
        <f>IF($D683="Active",$A683,"")</f>
        <v/>
      </c>
    </row>
    <row r="684">
      <c r="A684" s="4" t="n"/>
      <c r="B684" s="4" t="n"/>
      <c r="C684" s="4" t="n"/>
      <c r="D684" s="4" t="n"/>
      <c r="E684" s="4">
        <f>IF($D684="Active",$A684,"")</f>
        <v/>
      </c>
    </row>
    <row r="685">
      <c r="A685" s="4" t="n"/>
      <c r="B685" s="4" t="n"/>
      <c r="C685" s="4" t="n"/>
      <c r="D685" s="4" t="n"/>
      <c r="E685" s="4">
        <f>IF($D685="Active",$A685,"")</f>
        <v/>
      </c>
    </row>
    <row r="686">
      <c r="A686" s="4" t="n"/>
      <c r="B686" s="4" t="n"/>
      <c r="C686" s="4" t="n"/>
      <c r="D686" s="4" t="n"/>
      <c r="E686" s="4">
        <f>IF($D686="Active",$A686,"")</f>
        <v/>
      </c>
    </row>
    <row r="687">
      <c r="A687" s="4" t="n"/>
      <c r="B687" s="4" t="n"/>
      <c r="C687" s="4" t="n"/>
      <c r="D687" s="4" t="n"/>
      <c r="E687" s="4">
        <f>IF($D687="Active",$A687,"")</f>
        <v/>
      </c>
    </row>
    <row r="688">
      <c r="A688" s="4" t="n"/>
      <c r="B688" s="4" t="n"/>
      <c r="C688" s="4" t="n"/>
      <c r="D688" s="4" t="n"/>
      <c r="E688" s="4">
        <f>IF($D688="Active",$A688,"")</f>
        <v/>
      </c>
    </row>
    <row r="689">
      <c r="A689" s="4" t="n"/>
      <c r="B689" s="4" t="n"/>
      <c r="C689" s="4" t="n"/>
      <c r="D689" s="4" t="n"/>
      <c r="E689" s="4">
        <f>IF($D689="Active",$A689,"")</f>
        <v/>
      </c>
    </row>
    <row r="690">
      <c r="A690" s="4" t="n"/>
      <c r="B690" s="4" t="n"/>
      <c r="C690" s="4" t="n"/>
      <c r="D690" s="4" t="n"/>
      <c r="E690" s="4">
        <f>IF($D690="Active",$A690,"")</f>
        <v/>
      </c>
    </row>
    <row r="691">
      <c r="A691" s="4" t="n"/>
      <c r="B691" s="4" t="n"/>
      <c r="C691" s="4" t="n"/>
      <c r="D691" s="4" t="n"/>
      <c r="E691" s="4">
        <f>IF($D691="Active",$A691,"")</f>
        <v/>
      </c>
    </row>
    <row r="692">
      <c r="A692" s="4" t="n"/>
      <c r="B692" s="4" t="n"/>
      <c r="C692" s="4" t="n"/>
      <c r="D692" s="4" t="n"/>
      <c r="E692" s="4">
        <f>IF($D692="Active",$A692,"")</f>
        <v/>
      </c>
    </row>
    <row r="693">
      <c r="A693" s="4" t="n"/>
      <c r="B693" s="4" t="n"/>
      <c r="C693" s="4" t="n"/>
      <c r="D693" s="4" t="n"/>
      <c r="E693" s="4">
        <f>IF($D693="Active",$A693,"")</f>
        <v/>
      </c>
    </row>
    <row r="694">
      <c r="A694" s="4" t="n"/>
      <c r="B694" s="4" t="n"/>
      <c r="C694" s="4" t="n"/>
      <c r="D694" s="4" t="n"/>
      <c r="E694" s="4">
        <f>IF($D694="Active",$A694,"")</f>
        <v/>
      </c>
    </row>
    <row r="695">
      <c r="A695" s="4" t="n"/>
      <c r="B695" s="4" t="n"/>
      <c r="C695" s="4" t="n"/>
      <c r="D695" s="4" t="n"/>
      <c r="E695" s="4">
        <f>IF($D695="Active",$A695,"")</f>
        <v/>
      </c>
    </row>
    <row r="696">
      <c r="A696" s="4" t="n"/>
      <c r="B696" s="4" t="n"/>
      <c r="C696" s="4" t="n"/>
      <c r="D696" s="4" t="n"/>
      <c r="E696" s="4">
        <f>IF($D696="Active",$A696,"")</f>
        <v/>
      </c>
    </row>
    <row r="697">
      <c r="A697" s="4" t="n"/>
      <c r="B697" s="4" t="n"/>
      <c r="C697" s="4" t="n"/>
      <c r="D697" s="4" t="n"/>
      <c r="E697" s="4">
        <f>IF($D697="Active",$A697,"")</f>
        <v/>
      </c>
    </row>
    <row r="698">
      <c r="A698" s="4" t="n"/>
      <c r="B698" s="4" t="n"/>
      <c r="C698" s="4" t="n"/>
      <c r="D698" s="4" t="n"/>
      <c r="E698" s="4">
        <f>IF($D698="Active",$A698,"")</f>
        <v/>
      </c>
    </row>
    <row r="699">
      <c r="A699" s="4" t="n"/>
      <c r="B699" s="4" t="n"/>
      <c r="C699" s="4" t="n"/>
      <c r="D699" s="4" t="n"/>
      <c r="E699" s="4">
        <f>IF($D699="Active",$A699,"")</f>
        <v/>
      </c>
    </row>
    <row r="700">
      <c r="A700" s="4" t="n"/>
      <c r="B700" s="4" t="n"/>
      <c r="C700" s="4" t="n"/>
      <c r="D700" s="4" t="n"/>
      <c r="E700" s="4">
        <f>IF($D700="Active",$A700,"")</f>
        <v/>
      </c>
    </row>
    <row r="701">
      <c r="A701" s="4" t="n"/>
      <c r="B701" s="4" t="n"/>
      <c r="C701" s="4" t="n"/>
      <c r="D701" s="4" t="n"/>
      <c r="E701" s="4">
        <f>IF($D701="Active",$A701,"")</f>
        <v/>
      </c>
    </row>
    <row r="702">
      <c r="A702" s="4" t="n"/>
      <c r="B702" s="4" t="n"/>
      <c r="C702" s="4" t="n"/>
      <c r="D702" s="4" t="n"/>
      <c r="E702" s="4">
        <f>IF($D702="Active",$A702,"")</f>
        <v/>
      </c>
    </row>
    <row r="703">
      <c r="A703" s="4" t="n"/>
      <c r="B703" s="4" t="n"/>
      <c r="C703" s="4" t="n"/>
      <c r="D703" s="4" t="n"/>
      <c r="E703" s="4">
        <f>IF($D703="Active",$A703,"")</f>
        <v/>
      </c>
    </row>
    <row r="704">
      <c r="A704" s="4" t="n"/>
      <c r="B704" s="4" t="n"/>
      <c r="C704" s="4" t="n"/>
      <c r="D704" s="4" t="n"/>
      <c r="E704" s="4">
        <f>IF($D704="Active",$A704,"")</f>
        <v/>
      </c>
    </row>
    <row r="705">
      <c r="A705" s="4" t="n"/>
      <c r="B705" s="4" t="n"/>
      <c r="C705" s="4" t="n"/>
      <c r="D705" s="4" t="n"/>
      <c r="E705" s="4">
        <f>IF($D705="Active",$A705,"")</f>
        <v/>
      </c>
    </row>
    <row r="706">
      <c r="A706" s="4" t="n"/>
      <c r="B706" s="4" t="n"/>
      <c r="C706" s="4" t="n"/>
      <c r="D706" s="4" t="n"/>
      <c r="E706" s="4">
        <f>IF($D706="Active",$A706,"")</f>
        <v/>
      </c>
    </row>
    <row r="707">
      <c r="A707" s="4" t="n"/>
      <c r="B707" s="4" t="n"/>
      <c r="C707" s="4" t="n"/>
      <c r="D707" s="4" t="n"/>
      <c r="E707" s="4">
        <f>IF($D707="Active",$A707,"")</f>
        <v/>
      </c>
    </row>
    <row r="708">
      <c r="A708" s="4" t="n"/>
      <c r="B708" s="4" t="n"/>
      <c r="C708" s="4" t="n"/>
      <c r="D708" s="4" t="n"/>
      <c r="E708" s="4">
        <f>IF($D708="Active",$A708,"")</f>
        <v/>
      </c>
    </row>
    <row r="709">
      <c r="A709" s="4" t="n"/>
      <c r="B709" s="4" t="n"/>
      <c r="C709" s="4" t="n"/>
      <c r="D709" s="4" t="n"/>
      <c r="E709" s="4">
        <f>IF($D709="Active",$A709,"")</f>
        <v/>
      </c>
    </row>
    <row r="710">
      <c r="A710" s="4" t="n"/>
      <c r="B710" s="4" t="n"/>
      <c r="C710" s="4" t="n"/>
      <c r="D710" s="4" t="n"/>
      <c r="E710" s="4">
        <f>IF($D710="Active",$A710,"")</f>
        <v/>
      </c>
    </row>
    <row r="711">
      <c r="A711" s="4" t="n"/>
      <c r="B711" s="4" t="n"/>
      <c r="C711" s="4" t="n"/>
      <c r="D711" s="4" t="n"/>
      <c r="E711" s="4">
        <f>IF($D711="Active",$A711,"")</f>
        <v/>
      </c>
    </row>
    <row r="712">
      <c r="A712" s="4" t="n"/>
      <c r="B712" s="4" t="n"/>
      <c r="C712" s="4" t="n"/>
      <c r="D712" s="4" t="n"/>
      <c r="E712" s="4">
        <f>IF($D712="Active",$A712,"")</f>
        <v/>
      </c>
    </row>
    <row r="713">
      <c r="A713" s="4" t="n"/>
      <c r="B713" s="4" t="n"/>
      <c r="C713" s="4" t="n"/>
      <c r="D713" s="4" t="n"/>
      <c r="E713" s="4">
        <f>IF($D713="Active",$A713,"")</f>
        <v/>
      </c>
    </row>
    <row r="714">
      <c r="A714" s="4" t="n"/>
      <c r="B714" s="4" t="n"/>
      <c r="C714" s="4" t="n"/>
      <c r="D714" s="4" t="n"/>
      <c r="E714" s="4">
        <f>IF($D714="Active",$A714,"")</f>
        <v/>
      </c>
    </row>
    <row r="715">
      <c r="A715" s="4" t="n"/>
      <c r="B715" s="4" t="n"/>
      <c r="C715" s="4" t="n"/>
      <c r="D715" s="4" t="n"/>
      <c r="E715" s="4">
        <f>IF($D715="Active",$A715,"")</f>
        <v/>
      </c>
    </row>
    <row r="716">
      <c r="A716" s="4" t="n"/>
      <c r="B716" s="4" t="n"/>
      <c r="C716" s="4" t="n"/>
      <c r="D716" s="4" t="n"/>
      <c r="E716" s="4">
        <f>IF($D716="Active",$A716,"")</f>
        <v/>
      </c>
    </row>
    <row r="717">
      <c r="A717" s="4" t="n"/>
      <c r="B717" s="4" t="n"/>
      <c r="C717" s="4" t="n"/>
      <c r="D717" s="4" t="n"/>
      <c r="E717" s="4">
        <f>IF($D717="Active",$A717,"")</f>
        <v/>
      </c>
    </row>
    <row r="718">
      <c r="A718" s="4" t="n"/>
      <c r="B718" s="4" t="n"/>
      <c r="C718" s="4" t="n"/>
      <c r="D718" s="4" t="n"/>
      <c r="E718" s="4">
        <f>IF($D718="Active",$A718,"")</f>
        <v/>
      </c>
    </row>
    <row r="719">
      <c r="A719" s="4" t="n"/>
      <c r="B719" s="4" t="n"/>
      <c r="C719" s="4" t="n"/>
      <c r="D719" s="4" t="n"/>
      <c r="E719" s="4">
        <f>IF($D719="Active",$A719,"")</f>
        <v/>
      </c>
    </row>
    <row r="720">
      <c r="A720" s="4" t="n"/>
      <c r="B720" s="4" t="n"/>
      <c r="C720" s="4" t="n"/>
      <c r="D720" s="4" t="n"/>
      <c r="E720" s="4">
        <f>IF($D720="Active",$A720,"")</f>
        <v/>
      </c>
    </row>
    <row r="721">
      <c r="A721" s="4" t="n"/>
      <c r="B721" s="4" t="n"/>
      <c r="C721" s="4" t="n"/>
      <c r="D721" s="4" t="n"/>
      <c r="E721" s="4">
        <f>IF($D721="Active",$A721,"")</f>
        <v/>
      </c>
    </row>
    <row r="722">
      <c r="A722" s="4" t="n"/>
      <c r="B722" s="4" t="n"/>
      <c r="C722" s="4" t="n"/>
      <c r="D722" s="4" t="n"/>
      <c r="E722" s="4">
        <f>IF($D722="Active",$A722,"")</f>
        <v/>
      </c>
    </row>
    <row r="723">
      <c r="A723" s="4" t="n"/>
      <c r="B723" s="4" t="n"/>
      <c r="C723" s="4" t="n"/>
      <c r="D723" s="4" t="n"/>
      <c r="E723" s="4">
        <f>IF($D723="Active",$A723,"")</f>
        <v/>
      </c>
    </row>
    <row r="724">
      <c r="A724" s="4" t="n"/>
      <c r="B724" s="4" t="n"/>
      <c r="C724" s="4" t="n"/>
      <c r="D724" s="4" t="n"/>
      <c r="E724" s="4">
        <f>IF($D724="Active",$A724,"")</f>
        <v/>
      </c>
    </row>
    <row r="725">
      <c r="A725" s="4" t="n"/>
      <c r="B725" s="4" t="n"/>
      <c r="C725" s="4" t="n"/>
      <c r="D725" s="4" t="n"/>
      <c r="E725" s="4">
        <f>IF($D725="Active",$A725,"")</f>
        <v/>
      </c>
    </row>
    <row r="726">
      <c r="A726" s="4" t="n"/>
      <c r="B726" s="4" t="n"/>
      <c r="C726" s="4" t="n"/>
      <c r="D726" s="4" t="n"/>
      <c r="E726" s="4">
        <f>IF($D726="Active",$A726,"")</f>
        <v/>
      </c>
    </row>
    <row r="727">
      <c r="A727" s="4" t="n"/>
      <c r="B727" s="4" t="n"/>
      <c r="C727" s="4" t="n"/>
      <c r="D727" s="4" t="n"/>
      <c r="E727" s="4">
        <f>IF($D727="Active",$A727,"")</f>
        <v/>
      </c>
    </row>
    <row r="728">
      <c r="A728" s="4" t="n"/>
      <c r="B728" s="4" t="n"/>
      <c r="C728" s="4" t="n"/>
      <c r="D728" s="4" t="n"/>
      <c r="E728" s="4">
        <f>IF($D728="Active",$A728,"")</f>
        <v/>
      </c>
    </row>
    <row r="729">
      <c r="A729" s="4" t="n"/>
      <c r="B729" s="4" t="n"/>
      <c r="C729" s="4" t="n"/>
      <c r="D729" s="4" t="n"/>
      <c r="E729" s="4">
        <f>IF($D729="Active",$A729,"")</f>
        <v/>
      </c>
    </row>
    <row r="730">
      <c r="A730" s="4" t="n"/>
      <c r="B730" s="4" t="n"/>
      <c r="C730" s="4" t="n"/>
      <c r="D730" s="4" t="n"/>
      <c r="E730" s="4">
        <f>IF($D730="Active",$A730,"")</f>
        <v/>
      </c>
    </row>
    <row r="731">
      <c r="A731" s="4" t="n"/>
      <c r="B731" s="4" t="n"/>
      <c r="C731" s="4" t="n"/>
      <c r="D731" s="4" t="n"/>
      <c r="E731" s="4">
        <f>IF($D731="Active",$A731,"")</f>
        <v/>
      </c>
    </row>
    <row r="732">
      <c r="A732" s="4" t="n"/>
      <c r="B732" s="4" t="n"/>
      <c r="C732" s="4" t="n"/>
      <c r="D732" s="4" t="n"/>
      <c r="E732" s="4">
        <f>IF($D732="Active",$A732,"")</f>
        <v/>
      </c>
    </row>
    <row r="733">
      <c r="A733" s="4" t="n"/>
      <c r="B733" s="4" t="n"/>
      <c r="C733" s="4" t="n"/>
      <c r="D733" s="4" t="n"/>
      <c r="E733" s="4">
        <f>IF($D733="Active",$A733,"")</f>
        <v/>
      </c>
    </row>
    <row r="734">
      <c r="A734" s="4" t="n"/>
      <c r="B734" s="4" t="n"/>
      <c r="C734" s="4" t="n"/>
      <c r="D734" s="4" t="n"/>
      <c r="E734" s="4">
        <f>IF($D734="Active",$A734,"")</f>
        <v/>
      </c>
    </row>
    <row r="735">
      <c r="A735" s="4" t="n"/>
      <c r="B735" s="4" t="n"/>
      <c r="C735" s="4" t="n"/>
      <c r="D735" s="4" t="n"/>
      <c r="E735" s="4">
        <f>IF($D735="Active",$A735,"")</f>
        <v/>
      </c>
    </row>
    <row r="736">
      <c r="A736" s="4" t="n"/>
      <c r="B736" s="4" t="n"/>
      <c r="C736" s="4" t="n"/>
      <c r="D736" s="4" t="n"/>
      <c r="E736" s="4">
        <f>IF($D736="Active",$A736,"")</f>
        <v/>
      </c>
    </row>
    <row r="737">
      <c r="A737" s="4" t="n"/>
      <c r="B737" s="4" t="n"/>
      <c r="C737" s="4" t="n"/>
      <c r="D737" s="4" t="n"/>
      <c r="E737" s="4">
        <f>IF($D737="Active",$A737,"")</f>
        <v/>
      </c>
    </row>
    <row r="738">
      <c r="A738" s="4" t="n"/>
      <c r="B738" s="4" t="n"/>
      <c r="C738" s="4" t="n"/>
      <c r="D738" s="4" t="n"/>
      <c r="E738" s="4">
        <f>IF($D738="Active",$A738,"")</f>
        <v/>
      </c>
    </row>
    <row r="739">
      <c r="A739" s="4" t="n"/>
      <c r="B739" s="4" t="n"/>
      <c r="C739" s="4" t="n"/>
      <c r="D739" s="4" t="n"/>
      <c r="E739" s="4">
        <f>IF($D739="Active",$A739,"")</f>
        <v/>
      </c>
    </row>
    <row r="740">
      <c r="A740" s="4" t="n"/>
      <c r="B740" s="4" t="n"/>
      <c r="C740" s="4" t="n"/>
      <c r="D740" s="4" t="n"/>
      <c r="E740" s="4">
        <f>IF($D740="Active",$A740,"")</f>
        <v/>
      </c>
    </row>
    <row r="741">
      <c r="A741" s="4" t="n"/>
      <c r="B741" s="4" t="n"/>
      <c r="C741" s="4" t="n"/>
      <c r="D741" s="4" t="n"/>
      <c r="E741" s="4">
        <f>IF($D741="Active",$A741,"")</f>
        <v/>
      </c>
    </row>
    <row r="742">
      <c r="A742" s="4" t="n"/>
      <c r="B742" s="4" t="n"/>
      <c r="C742" s="4" t="n"/>
      <c r="D742" s="4" t="n"/>
      <c r="E742" s="4">
        <f>IF($D742="Active",$A742,"")</f>
        <v/>
      </c>
    </row>
    <row r="743">
      <c r="A743" s="4" t="n"/>
      <c r="B743" s="4" t="n"/>
      <c r="C743" s="4" t="n"/>
      <c r="D743" s="4" t="n"/>
      <c r="E743" s="4">
        <f>IF($D743="Active",$A743,"")</f>
        <v/>
      </c>
    </row>
    <row r="744">
      <c r="A744" s="4" t="n"/>
      <c r="B744" s="4" t="n"/>
      <c r="C744" s="4" t="n"/>
      <c r="D744" s="4" t="n"/>
      <c r="E744" s="4">
        <f>IF($D744="Active",$A744,"")</f>
        <v/>
      </c>
    </row>
    <row r="745">
      <c r="A745" s="4" t="n"/>
      <c r="B745" s="4" t="n"/>
      <c r="C745" s="4" t="n"/>
      <c r="D745" s="4" t="n"/>
      <c r="E745" s="4">
        <f>IF($D745="Active",$A745,"")</f>
        <v/>
      </c>
    </row>
    <row r="746">
      <c r="A746" s="4" t="n"/>
      <c r="B746" s="4" t="n"/>
      <c r="C746" s="4" t="n"/>
      <c r="D746" s="4" t="n"/>
      <c r="E746" s="4">
        <f>IF($D746="Active",$A746,"")</f>
        <v/>
      </c>
    </row>
    <row r="747">
      <c r="A747" s="4" t="n"/>
      <c r="B747" s="4" t="n"/>
      <c r="C747" s="4" t="n"/>
      <c r="D747" s="4" t="n"/>
      <c r="E747" s="4">
        <f>IF($D747="Active",$A747,"")</f>
        <v/>
      </c>
    </row>
    <row r="748">
      <c r="A748" s="4" t="n"/>
      <c r="B748" s="4" t="n"/>
      <c r="C748" s="4" t="n"/>
      <c r="D748" s="4" t="n"/>
      <c r="E748" s="4">
        <f>IF($D748="Active",$A748,"")</f>
        <v/>
      </c>
    </row>
    <row r="749">
      <c r="A749" s="4" t="n"/>
      <c r="B749" s="4" t="n"/>
      <c r="C749" s="4" t="n"/>
      <c r="D749" s="4" t="n"/>
      <c r="E749" s="4">
        <f>IF($D749="Active",$A749,"")</f>
        <v/>
      </c>
    </row>
    <row r="750">
      <c r="A750" s="4" t="n"/>
      <c r="B750" s="4" t="n"/>
      <c r="C750" s="4" t="n"/>
      <c r="D750" s="4" t="n"/>
      <c r="E750" s="4">
        <f>IF($D750="Active",$A750,"")</f>
        <v/>
      </c>
    </row>
    <row r="751">
      <c r="A751" s="4" t="n"/>
      <c r="B751" s="4" t="n"/>
      <c r="C751" s="4" t="n"/>
      <c r="D751" s="4" t="n"/>
      <c r="E751" s="4">
        <f>IF($D751="Active",$A751,"")</f>
        <v/>
      </c>
    </row>
    <row r="752">
      <c r="A752" s="4" t="n"/>
      <c r="B752" s="4" t="n"/>
      <c r="C752" s="4" t="n"/>
      <c r="D752" s="4" t="n"/>
      <c r="E752" s="4">
        <f>IF($D752="Active",$A752,"")</f>
        <v/>
      </c>
    </row>
    <row r="753">
      <c r="A753" s="4" t="n"/>
      <c r="B753" s="4" t="n"/>
      <c r="C753" s="4" t="n"/>
      <c r="D753" s="4" t="n"/>
      <c r="E753" s="4">
        <f>IF($D753="Active",$A753,"")</f>
        <v/>
      </c>
    </row>
    <row r="754">
      <c r="A754" s="4" t="n"/>
      <c r="B754" s="4" t="n"/>
      <c r="C754" s="4" t="n"/>
      <c r="D754" s="4" t="n"/>
      <c r="E754" s="4">
        <f>IF($D754="Active",$A754,"")</f>
        <v/>
      </c>
    </row>
    <row r="755">
      <c r="A755" s="4" t="n"/>
      <c r="B755" s="4" t="n"/>
      <c r="C755" s="4" t="n"/>
      <c r="D755" s="4" t="n"/>
      <c r="E755" s="4">
        <f>IF($D755="Active",$A755,"")</f>
        <v/>
      </c>
    </row>
    <row r="756">
      <c r="A756" s="4" t="n"/>
      <c r="B756" s="4" t="n"/>
      <c r="C756" s="4" t="n"/>
      <c r="D756" s="4" t="n"/>
      <c r="E756" s="4">
        <f>IF($D756="Active",$A756,"")</f>
        <v/>
      </c>
    </row>
    <row r="757">
      <c r="A757" s="4" t="n"/>
      <c r="B757" s="4" t="n"/>
      <c r="C757" s="4" t="n"/>
      <c r="D757" s="4" t="n"/>
      <c r="E757" s="4">
        <f>IF($D757="Active",$A757,"")</f>
        <v/>
      </c>
    </row>
    <row r="758">
      <c r="A758" s="4" t="n"/>
      <c r="B758" s="4" t="n"/>
      <c r="C758" s="4" t="n"/>
      <c r="D758" s="4" t="n"/>
      <c r="E758" s="4">
        <f>IF($D758="Active",$A758,"")</f>
        <v/>
      </c>
    </row>
    <row r="759">
      <c r="A759" s="4" t="n"/>
      <c r="B759" s="4" t="n"/>
      <c r="C759" s="4" t="n"/>
      <c r="D759" s="4" t="n"/>
      <c r="E759" s="4">
        <f>IF($D759="Active",$A759,"")</f>
        <v/>
      </c>
    </row>
    <row r="760">
      <c r="A760" s="4" t="n"/>
      <c r="B760" s="4" t="n"/>
      <c r="C760" s="4" t="n"/>
      <c r="D760" s="4" t="n"/>
      <c r="E760" s="4">
        <f>IF($D760="Active",$A760,"")</f>
        <v/>
      </c>
    </row>
    <row r="761">
      <c r="A761" s="4" t="n"/>
      <c r="B761" s="4" t="n"/>
      <c r="C761" s="4" t="n"/>
      <c r="D761" s="4" t="n"/>
      <c r="E761" s="4">
        <f>IF($D761="Active",$A761,"")</f>
        <v/>
      </c>
    </row>
    <row r="762">
      <c r="A762" s="4" t="n"/>
      <c r="B762" s="4" t="n"/>
      <c r="C762" s="4" t="n"/>
      <c r="D762" s="4" t="n"/>
      <c r="E762" s="4">
        <f>IF($D762="Active",$A762,"")</f>
        <v/>
      </c>
    </row>
    <row r="763">
      <c r="A763" s="4" t="n"/>
      <c r="B763" s="4" t="n"/>
      <c r="C763" s="4" t="n"/>
      <c r="D763" s="4" t="n"/>
      <c r="E763" s="4">
        <f>IF($D763="Active",$A763,"")</f>
        <v/>
      </c>
    </row>
    <row r="764">
      <c r="A764" s="4" t="n"/>
      <c r="B764" s="4" t="n"/>
      <c r="C764" s="4" t="n"/>
      <c r="D764" s="4" t="n"/>
      <c r="E764" s="4">
        <f>IF($D764="Active",$A764,"")</f>
        <v/>
      </c>
    </row>
    <row r="765">
      <c r="A765" s="4" t="n"/>
      <c r="B765" s="4" t="n"/>
      <c r="C765" s="4" t="n"/>
      <c r="D765" s="4" t="n"/>
      <c r="E765" s="4">
        <f>IF($D765="Active",$A765,"")</f>
        <v/>
      </c>
    </row>
    <row r="766">
      <c r="A766" s="4" t="n"/>
      <c r="B766" s="4" t="n"/>
      <c r="C766" s="4" t="n"/>
      <c r="D766" s="4" t="n"/>
      <c r="E766" s="4">
        <f>IF($D766="Active",$A766,"")</f>
        <v/>
      </c>
    </row>
    <row r="767">
      <c r="A767" s="4" t="n"/>
      <c r="B767" s="4" t="n"/>
      <c r="C767" s="4" t="n"/>
      <c r="D767" s="4" t="n"/>
      <c r="E767" s="4">
        <f>IF($D767="Active",$A767,"")</f>
        <v/>
      </c>
    </row>
    <row r="768">
      <c r="A768" s="4" t="n"/>
      <c r="B768" s="4" t="n"/>
      <c r="C768" s="4" t="n"/>
      <c r="D768" s="4" t="n"/>
      <c r="E768" s="4">
        <f>IF($D768="Active",$A768,"")</f>
        <v/>
      </c>
    </row>
    <row r="769">
      <c r="A769" s="4" t="n"/>
      <c r="B769" s="4" t="n"/>
      <c r="C769" s="4" t="n"/>
      <c r="D769" s="4" t="n"/>
      <c r="E769" s="4">
        <f>IF($D769="Active",$A769,"")</f>
        <v/>
      </c>
    </row>
    <row r="770">
      <c r="A770" s="4" t="n"/>
      <c r="B770" s="4" t="n"/>
      <c r="C770" s="4" t="n"/>
      <c r="D770" s="4" t="n"/>
      <c r="E770" s="4">
        <f>IF($D770="Active",$A770,"")</f>
        <v/>
      </c>
    </row>
    <row r="771">
      <c r="A771" s="4" t="n"/>
      <c r="B771" s="4" t="n"/>
      <c r="C771" s="4" t="n"/>
      <c r="D771" s="4" t="n"/>
      <c r="E771" s="4">
        <f>IF($D771="Active",$A771,"")</f>
        <v/>
      </c>
    </row>
    <row r="772">
      <c r="A772" s="4" t="n"/>
      <c r="B772" s="4" t="n"/>
      <c r="C772" s="4" t="n"/>
      <c r="D772" s="4" t="n"/>
      <c r="E772" s="4">
        <f>IF($D772="Active",$A772,"")</f>
        <v/>
      </c>
    </row>
    <row r="773">
      <c r="A773" s="4" t="n"/>
      <c r="B773" s="4" t="n"/>
      <c r="C773" s="4" t="n"/>
      <c r="D773" s="4" t="n"/>
      <c r="E773" s="4">
        <f>IF($D773="Active",$A773,"")</f>
        <v/>
      </c>
    </row>
    <row r="774">
      <c r="A774" s="4" t="n"/>
      <c r="B774" s="4" t="n"/>
      <c r="C774" s="4" t="n"/>
      <c r="D774" s="4" t="n"/>
      <c r="E774" s="4">
        <f>IF($D774="Active",$A774,"")</f>
        <v/>
      </c>
    </row>
    <row r="775">
      <c r="A775" s="4" t="n"/>
      <c r="B775" s="4" t="n"/>
      <c r="C775" s="4" t="n"/>
      <c r="D775" s="4" t="n"/>
      <c r="E775" s="4">
        <f>IF($D775="Active",$A775,"")</f>
        <v/>
      </c>
    </row>
    <row r="776">
      <c r="A776" s="4" t="n"/>
      <c r="B776" s="4" t="n"/>
      <c r="C776" s="4" t="n"/>
      <c r="D776" s="4" t="n"/>
      <c r="E776" s="4">
        <f>IF($D776="Active",$A776,"")</f>
        <v/>
      </c>
    </row>
    <row r="777">
      <c r="A777" s="4" t="n"/>
      <c r="B777" s="4" t="n"/>
      <c r="C777" s="4" t="n"/>
      <c r="D777" s="4" t="n"/>
      <c r="E777" s="4">
        <f>IF($D777="Active",$A777,"")</f>
        <v/>
      </c>
    </row>
    <row r="778">
      <c r="A778" s="4" t="n"/>
      <c r="B778" s="4" t="n"/>
      <c r="C778" s="4" t="n"/>
      <c r="D778" s="4" t="n"/>
      <c r="E778" s="4">
        <f>IF($D778="Active",$A778,"")</f>
        <v/>
      </c>
    </row>
    <row r="779">
      <c r="A779" s="4" t="n"/>
      <c r="B779" s="4" t="n"/>
      <c r="C779" s="4" t="n"/>
      <c r="D779" s="4" t="n"/>
      <c r="E779" s="4">
        <f>IF($D779="Active",$A779,"")</f>
        <v/>
      </c>
    </row>
    <row r="780">
      <c r="A780" s="4" t="n"/>
      <c r="B780" s="4" t="n"/>
      <c r="C780" s="4" t="n"/>
      <c r="D780" s="4" t="n"/>
      <c r="E780" s="4">
        <f>IF($D780="Active",$A780,"")</f>
        <v/>
      </c>
    </row>
    <row r="781">
      <c r="A781" s="4" t="n"/>
      <c r="B781" s="4" t="n"/>
      <c r="C781" s="4" t="n"/>
      <c r="D781" s="4" t="n"/>
      <c r="E781" s="4">
        <f>IF($D781="Active",$A781,"")</f>
        <v/>
      </c>
    </row>
    <row r="782">
      <c r="A782" s="4" t="n"/>
      <c r="B782" s="4" t="n"/>
      <c r="C782" s="4" t="n"/>
      <c r="D782" s="4" t="n"/>
      <c r="E782" s="4">
        <f>IF($D782="Active",$A782,"")</f>
        <v/>
      </c>
    </row>
    <row r="783">
      <c r="A783" s="4" t="n"/>
      <c r="B783" s="4" t="n"/>
      <c r="C783" s="4" t="n"/>
      <c r="D783" s="4" t="n"/>
      <c r="E783" s="4">
        <f>IF($D783="Active",$A783,"")</f>
        <v/>
      </c>
    </row>
    <row r="784">
      <c r="A784" s="4" t="n"/>
      <c r="B784" s="4" t="n"/>
      <c r="C784" s="4" t="n"/>
      <c r="D784" s="4" t="n"/>
      <c r="E784" s="4">
        <f>IF($D784="Active",$A784,"")</f>
        <v/>
      </c>
    </row>
    <row r="785">
      <c r="A785" s="4" t="n"/>
      <c r="B785" s="4" t="n"/>
      <c r="C785" s="4" t="n"/>
      <c r="D785" s="4" t="n"/>
      <c r="E785" s="4">
        <f>IF($D785="Active",$A785,"")</f>
        <v/>
      </c>
    </row>
    <row r="786">
      <c r="A786" s="4" t="n"/>
      <c r="B786" s="4" t="n"/>
      <c r="C786" s="4" t="n"/>
      <c r="D786" s="4" t="n"/>
      <c r="E786" s="4">
        <f>IF($D786="Active",$A786,"")</f>
        <v/>
      </c>
    </row>
    <row r="787">
      <c r="A787" s="4" t="n"/>
      <c r="B787" s="4" t="n"/>
      <c r="C787" s="4" t="n"/>
      <c r="D787" s="4" t="n"/>
      <c r="E787" s="4">
        <f>IF($D787="Active",$A787,"")</f>
        <v/>
      </c>
    </row>
    <row r="788">
      <c r="A788" s="4" t="n"/>
      <c r="B788" s="4" t="n"/>
      <c r="C788" s="4" t="n"/>
      <c r="D788" s="4" t="n"/>
      <c r="E788" s="4">
        <f>IF($D788="Active",$A788,"")</f>
        <v/>
      </c>
    </row>
    <row r="789">
      <c r="A789" s="4" t="n"/>
      <c r="B789" s="4" t="n"/>
      <c r="C789" s="4" t="n"/>
      <c r="D789" s="4" t="n"/>
      <c r="E789" s="4">
        <f>IF($D789="Active",$A789,"")</f>
        <v/>
      </c>
    </row>
    <row r="790">
      <c r="A790" s="4" t="n"/>
      <c r="B790" s="4" t="n"/>
      <c r="C790" s="4" t="n"/>
      <c r="D790" s="4" t="n"/>
      <c r="E790" s="4">
        <f>IF($D790="Active",$A790,"")</f>
        <v/>
      </c>
    </row>
    <row r="791">
      <c r="A791" s="4" t="n"/>
      <c r="B791" s="4" t="n"/>
      <c r="C791" s="4" t="n"/>
      <c r="D791" s="4" t="n"/>
      <c r="E791" s="4">
        <f>IF($D791="Active",$A791,"")</f>
        <v/>
      </c>
    </row>
    <row r="792">
      <c r="A792" s="4" t="n"/>
      <c r="B792" s="4" t="n"/>
      <c r="C792" s="4" t="n"/>
      <c r="D792" s="4" t="n"/>
      <c r="E792" s="4">
        <f>IF($D792="Active",$A792,"")</f>
        <v/>
      </c>
    </row>
    <row r="793">
      <c r="A793" s="4" t="n"/>
      <c r="B793" s="4" t="n"/>
      <c r="C793" s="4" t="n"/>
      <c r="D793" s="4" t="n"/>
      <c r="E793" s="4">
        <f>IF($D793="Active",$A793,"")</f>
        <v/>
      </c>
    </row>
    <row r="794">
      <c r="A794" s="4" t="n"/>
      <c r="B794" s="4" t="n"/>
      <c r="C794" s="4" t="n"/>
      <c r="D794" s="4" t="n"/>
      <c r="E794" s="4">
        <f>IF($D794="Active",$A794,"")</f>
        <v/>
      </c>
    </row>
    <row r="795">
      <c r="A795" s="4" t="n"/>
      <c r="B795" s="4" t="n"/>
      <c r="C795" s="4" t="n"/>
      <c r="D795" s="4" t="n"/>
      <c r="E795" s="4">
        <f>IF($D795="Active",$A795,"")</f>
        <v/>
      </c>
    </row>
    <row r="796">
      <c r="A796" s="4" t="n"/>
      <c r="B796" s="4" t="n"/>
      <c r="C796" s="4" t="n"/>
      <c r="D796" s="4" t="n"/>
      <c r="E796" s="4">
        <f>IF($D796="Active",$A796,"")</f>
        <v/>
      </c>
    </row>
    <row r="797">
      <c r="A797" s="4" t="n"/>
      <c r="B797" s="4" t="n"/>
      <c r="C797" s="4" t="n"/>
      <c r="D797" s="4" t="n"/>
      <c r="E797" s="4">
        <f>IF($D797="Active",$A797,"")</f>
        <v/>
      </c>
    </row>
    <row r="798">
      <c r="A798" s="4" t="n"/>
      <c r="B798" s="4" t="n"/>
      <c r="C798" s="4" t="n"/>
      <c r="D798" s="4" t="n"/>
      <c r="E798" s="4">
        <f>IF($D798="Active",$A798,"")</f>
        <v/>
      </c>
    </row>
    <row r="799">
      <c r="A799" s="4" t="n"/>
      <c r="B799" s="4" t="n"/>
      <c r="C799" s="4" t="n"/>
      <c r="D799" s="4" t="n"/>
      <c r="E799" s="4">
        <f>IF($D799="Active",$A799,"")</f>
        <v/>
      </c>
    </row>
    <row r="800">
      <c r="A800" s="4" t="n"/>
      <c r="B800" s="4" t="n"/>
      <c r="C800" s="4" t="n"/>
      <c r="D800" s="4" t="n"/>
      <c r="E800" s="4">
        <f>IF($D800="Active",$A800,"")</f>
        <v/>
      </c>
    </row>
    <row r="801">
      <c r="A801" s="4" t="n"/>
      <c r="B801" s="4" t="n"/>
      <c r="C801" s="4" t="n"/>
      <c r="D801" s="4" t="n"/>
      <c r="E801" s="4">
        <f>IF($D801="Active",$A801,"")</f>
        <v/>
      </c>
    </row>
    <row r="802">
      <c r="A802" s="4" t="n"/>
      <c r="B802" s="4" t="n"/>
      <c r="C802" s="4" t="n"/>
      <c r="D802" s="4" t="n"/>
      <c r="E802" s="4">
        <f>IF($D802="Active",$A802,"")</f>
        <v/>
      </c>
    </row>
    <row r="803">
      <c r="A803" s="4" t="n"/>
      <c r="B803" s="4" t="n"/>
      <c r="C803" s="4" t="n"/>
      <c r="D803" s="4" t="n"/>
      <c r="E803" s="4">
        <f>IF($D803="Active",$A803,"")</f>
        <v/>
      </c>
    </row>
    <row r="804">
      <c r="A804" s="4" t="n"/>
      <c r="B804" s="4" t="n"/>
      <c r="C804" s="4" t="n"/>
      <c r="D804" s="4" t="n"/>
      <c r="E804" s="4">
        <f>IF($D804="Active",$A804,"")</f>
        <v/>
      </c>
    </row>
    <row r="805">
      <c r="A805" s="4" t="n"/>
      <c r="B805" s="4" t="n"/>
      <c r="C805" s="4" t="n"/>
      <c r="D805" s="4" t="n"/>
      <c r="E805" s="4">
        <f>IF($D805="Active",$A805,"")</f>
        <v/>
      </c>
    </row>
    <row r="806">
      <c r="A806" s="4" t="n"/>
      <c r="B806" s="4" t="n"/>
      <c r="C806" s="4" t="n"/>
      <c r="D806" s="4" t="n"/>
      <c r="E806" s="4">
        <f>IF($D806="Active",$A806,"")</f>
        <v/>
      </c>
    </row>
    <row r="807">
      <c r="A807" s="4" t="n"/>
      <c r="B807" s="4" t="n"/>
      <c r="C807" s="4" t="n"/>
      <c r="D807" s="4" t="n"/>
      <c r="E807" s="4">
        <f>IF($D807="Active",$A807,"")</f>
        <v/>
      </c>
    </row>
    <row r="808">
      <c r="A808" s="4" t="n"/>
      <c r="B808" s="4" t="n"/>
      <c r="C808" s="4" t="n"/>
      <c r="D808" s="4" t="n"/>
      <c r="E808" s="4">
        <f>IF($D808="Active",$A808,"")</f>
        <v/>
      </c>
    </row>
    <row r="809">
      <c r="A809" s="4" t="n"/>
      <c r="B809" s="4" t="n"/>
      <c r="C809" s="4" t="n"/>
      <c r="D809" s="4" t="n"/>
      <c r="E809" s="4">
        <f>IF($D809="Active",$A809,"")</f>
        <v/>
      </c>
    </row>
    <row r="810">
      <c r="A810" s="4" t="n"/>
      <c r="B810" s="4" t="n"/>
      <c r="C810" s="4" t="n"/>
      <c r="D810" s="4" t="n"/>
      <c r="E810" s="4">
        <f>IF($D810="Active",$A810,"")</f>
        <v/>
      </c>
    </row>
    <row r="811">
      <c r="A811" s="4" t="n"/>
      <c r="B811" s="4" t="n"/>
      <c r="C811" s="4" t="n"/>
      <c r="D811" s="4" t="n"/>
      <c r="E811" s="4">
        <f>IF($D811="Active",$A811,"")</f>
        <v/>
      </c>
    </row>
    <row r="812">
      <c r="A812" s="4" t="n"/>
      <c r="B812" s="4" t="n"/>
      <c r="C812" s="4" t="n"/>
      <c r="D812" s="4" t="n"/>
      <c r="E812" s="4">
        <f>IF($D812="Active",$A812,"")</f>
        <v/>
      </c>
    </row>
    <row r="813">
      <c r="A813" s="4" t="n"/>
      <c r="B813" s="4" t="n"/>
      <c r="C813" s="4" t="n"/>
      <c r="D813" s="4" t="n"/>
      <c r="E813" s="4">
        <f>IF($D813="Active",$A813,"")</f>
        <v/>
      </c>
    </row>
    <row r="814">
      <c r="A814" s="4" t="n"/>
      <c r="B814" s="4" t="n"/>
      <c r="C814" s="4" t="n"/>
      <c r="D814" s="4" t="n"/>
      <c r="E814" s="4">
        <f>IF($D814="Active",$A814,"")</f>
        <v/>
      </c>
    </row>
    <row r="815">
      <c r="A815" s="4" t="n"/>
      <c r="B815" s="4" t="n"/>
      <c r="C815" s="4" t="n"/>
      <c r="D815" s="4" t="n"/>
      <c r="E815" s="4">
        <f>IF($D815="Active",$A815,"")</f>
        <v/>
      </c>
    </row>
    <row r="816">
      <c r="A816" s="4" t="n"/>
      <c r="B816" s="4" t="n"/>
      <c r="C816" s="4" t="n"/>
      <c r="D816" s="4" t="n"/>
      <c r="E816" s="4">
        <f>IF($D816="Active",$A816,"")</f>
        <v/>
      </c>
    </row>
    <row r="817">
      <c r="A817" s="4" t="n"/>
      <c r="B817" s="4" t="n"/>
      <c r="C817" s="4" t="n"/>
      <c r="D817" s="4" t="n"/>
      <c r="E817" s="4">
        <f>IF($D817="Active",$A817,"")</f>
        <v/>
      </c>
    </row>
    <row r="818">
      <c r="A818" s="4" t="n"/>
      <c r="B818" s="4" t="n"/>
      <c r="C818" s="4" t="n"/>
      <c r="D818" s="4" t="n"/>
      <c r="E818" s="4">
        <f>IF($D818="Active",$A818,"")</f>
        <v/>
      </c>
    </row>
    <row r="819">
      <c r="A819" s="4" t="n"/>
      <c r="B819" s="4" t="n"/>
      <c r="C819" s="4" t="n"/>
      <c r="D819" s="4" t="n"/>
      <c r="E819" s="4">
        <f>IF($D819="Active",$A819,"")</f>
        <v/>
      </c>
    </row>
    <row r="820">
      <c r="A820" s="4" t="n"/>
      <c r="B820" s="4" t="n"/>
      <c r="C820" s="4" t="n"/>
      <c r="D820" s="4" t="n"/>
      <c r="E820" s="4">
        <f>IF($D820="Active",$A820,"")</f>
        <v/>
      </c>
    </row>
    <row r="821">
      <c r="A821" s="4" t="n"/>
      <c r="B821" s="4" t="n"/>
      <c r="C821" s="4" t="n"/>
      <c r="D821" s="4" t="n"/>
      <c r="E821" s="4">
        <f>IF($D821="Active",$A821,"")</f>
        <v/>
      </c>
    </row>
    <row r="822">
      <c r="A822" s="4" t="n"/>
      <c r="B822" s="4" t="n"/>
      <c r="C822" s="4" t="n"/>
      <c r="D822" s="4" t="n"/>
      <c r="E822" s="4">
        <f>IF($D822="Active",$A822,"")</f>
        <v/>
      </c>
    </row>
    <row r="823">
      <c r="A823" s="4" t="n"/>
      <c r="B823" s="4" t="n"/>
      <c r="C823" s="4" t="n"/>
      <c r="D823" s="4" t="n"/>
      <c r="E823" s="4">
        <f>IF($D823="Active",$A823,"")</f>
        <v/>
      </c>
    </row>
    <row r="824">
      <c r="A824" s="4" t="n"/>
      <c r="B824" s="4" t="n"/>
      <c r="C824" s="4" t="n"/>
      <c r="D824" s="4" t="n"/>
      <c r="E824" s="4">
        <f>IF($D824="Active",$A824,"")</f>
        <v/>
      </c>
    </row>
    <row r="825">
      <c r="A825" s="4" t="n"/>
      <c r="B825" s="4" t="n"/>
      <c r="C825" s="4" t="n"/>
      <c r="D825" s="4" t="n"/>
      <c r="E825" s="4">
        <f>IF($D825="Active",$A825,"")</f>
        <v/>
      </c>
    </row>
    <row r="826">
      <c r="A826" s="4" t="n"/>
      <c r="B826" s="4" t="n"/>
      <c r="C826" s="4" t="n"/>
      <c r="D826" s="4" t="n"/>
      <c r="E826" s="4">
        <f>IF($D826="Active",$A826,"")</f>
        <v/>
      </c>
    </row>
    <row r="827">
      <c r="A827" s="4" t="n"/>
      <c r="B827" s="4" t="n"/>
      <c r="C827" s="4" t="n"/>
      <c r="D827" s="4" t="n"/>
      <c r="E827" s="4">
        <f>IF($D827="Active",$A827,"")</f>
        <v/>
      </c>
    </row>
    <row r="828">
      <c r="A828" s="4" t="n"/>
      <c r="B828" s="4" t="n"/>
      <c r="C828" s="4" t="n"/>
      <c r="D828" s="4" t="n"/>
      <c r="E828" s="4">
        <f>IF($D828="Active",$A828,"")</f>
        <v/>
      </c>
    </row>
    <row r="829">
      <c r="A829" s="4" t="n"/>
      <c r="B829" s="4" t="n"/>
      <c r="C829" s="4" t="n"/>
      <c r="D829" s="4" t="n"/>
      <c r="E829" s="4">
        <f>IF($D829="Active",$A829,"")</f>
        <v/>
      </c>
    </row>
    <row r="830">
      <c r="A830" s="4" t="n"/>
      <c r="B830" s="4" t="n"/>
      <c r="C830" s="4" t="n"/>
      <c r="D830" s="4" t="n"/>
      <c r="E830" s="4">
        <f>IF($D830="Active",$A830,"")</f>
        <v/>
      </c>
    </row>
    <row r="831">
      <c r="A831" s="4" t="n"/>
      <c r="B831" s="4" t="n"/>
      <c r="C831" s="4" t="n"/>
      <c r="D831" s="4" t="n"/>
      <c r="E831" s="4">
        <f>IF($D831="Active",$A831,"")</f>
        <v/>
      </c>
    </row>
    <row r="832">
      <c r="A832" s="4" t="n"/>
      <c r="B832" s="4" t="n"/>
      <c r="C832" s="4" t="n"/>
      <c r="D832" s="4" t="n"/>
      <c r="E832" s="4">
        <f>IF($D832="Active",$A832,"")</f>
        <v/>
      </c>
    </row>
    <row r="833">
      <c r="A833" s="4" t="n"/>
      <c r="B833" s="4" t="n"/>
      <c r="C833" s="4" t="n"/>
      <c r="D833" s="4" t="n"/>
      <c r="E833" s="4">
        <f>IF($D833="Active",$A833,"")</f>
        <v/>
      </c>
    </row>
    <row r="834">
      <c r="A834" s="4" t="n"/>
      <c r="B834" s="4" t="n"/>
      <c r="C834" s="4" t="n"/>
      <c r="D834" s="4" t="n"/>
      <c r="E834" s="4">
        <f>IF($D834="Active",$A834,"")</f>
        <v/>
      </c>
    </row>
    <row r="835">
      <c r="A835" s="4" t="n"/>
      <c r="B835" s="4" t="n"/>
      <c r="C835" s="4" t="n"/>
      <c r="D835" s="4" t="n"/>
      <c r="E835" s="4">
        <f>IF($D835="Active",$A835,"")</f>
        <v/>
      </c>
    </row>
    <row r="836">
      <c r="A836" s="4" t="n"/>
      <c r="B836" s="4" t="n"/>
      <c r="C836" s="4" t="n"/>
      <c r="D836" s="4" t="n"/>
      <c r="E836" s="4">
        <f>IF($D836="Active",$A836,"")</f>
        <v/>
      </c>
    </row>
    <row r="837">
      <c r="A837" s="4" t="n"/>
      <c r="B837" s="4" t="n"/>
      <c r="C837" s="4" t="n"/>
      <c r="D837" s="4" t="n"/>
      <c r="E837" s="4">
        <f>IF($D837="Active",$A837,"")</f>
        <v/>
      </c>
    </row>
    <row r="838">
      <c r="A838" s="4" t="n"/>
      <c r="B838" s="4" t="n"/>
      <c r="C838" s="4" t="n"/>
      <c r="D838" s="4" t="n"/>
      <c r="E838" s="4">
        <f>IF($D838="Active",$A838,"")</f>
        <v/>
      </c>
    </row>
    <row r="839">
      <c r="A839" s="4" t="n"/>
      <c r="B839" s="4" t="n"/>
      <c r="C839" s="4" t="n"/>
      <c r="D839" s="4" t="n"/>
      <c r="E839" s="4">
        <f>IF($D839="Active",$A839,"")</f>
        <v/>
      </c>
    </row>
    <row r="840">
      <c r="A840" s="4" t="n"/>
      <c r="B840" s="4" t="n"/>
      <c r="C840" s="4" t="n"/>
      <c r="D840" s="4" t="n"/>
      <c r="E840" s="4">
        <f>IF($D840="Active",$A840,"")</f>
        <v/>
      </c>
    </row>
    <row r="841">
      <c r="A841" s="4" t="n"/>
      <c r="B841" s="4" t="n"/>
      <c r="C841" s="4" t="n"/>
      <c r="D841" s="4" t="n"/>
      <c r="E841" s="4">
        <f>IF($D841="Active",$A841,"")</f>
        <v/>
      </c>
    </row>
    <row r="842">
      <c r="A842" s="4" t="n"/>
      <c r="B842" s="4" t="n"/>
      <c r="C842" s="4" t="n"/>
      <c r="D842" s="4" t="n"/>
      <c r="E842" s="4">
        <f>IF($D842="Active",$A842,"")</f>
        <v/>
      </c>
    </row>
    <row r="843">
      <c r="A843" s="4" t="n"/>
      <c r="B843" s="4" t="n"/>
      <c r="C843" s="4" t="n"/>
      <c r="D843" s="4" t="n"/>
      <c r="E843" s="4">
        <f>IF($D843="Active",$A843,"")</f>
        <v/>
      </c>
    </row>
    <row r="844">
      <c r="A844" s="4" t="n"/>
      <c r="B844" s="4" t="n"/>
      <c r="C844" s="4" t="n"/>
      <c r="D844" s="4" t="n"/>
      <c r="E844" s="4">
        <f>IF($D844="Active",$A844,"")</f>
        <v/>
      </c>
    </row>
    <row r="845">
      <c r="A845" s="4" t="n"/>
      <c r="B845" s="4" t="n"/>
      <c r="C845" s="4" t="n"/>
      <c r="D845" s="4" t="n"/>
      <c r="E845" s="4">
        <f>IF($D845="Active",$A845,"")</f>
        <v/>
      </c>
    </row>
    <row r="846">
      <c r="A846" s="4" t="n"/>
      <c r="B846" s="4" t="n"/>
      <c r="C846" s="4" t="n"/>
      <c r="D846" s="4" t="n"/>
      <c r="E846" s="4">
        <f>IF($D846="Active",$A846,"")</f>
        <v/>
      </c>
    </row>
    <row r="847">
      <c r="A847" s="4" t="n"/>
      <c r="B847" s="4" t="n"/>
      <c r="C847" s="4" t="n"/>
      <c r="D847" s="4" t="n"/>
      <c r="E847" s="4">
        <f>IF($D847="Active",$A847,"")</f>
        <v/>
      </c>
    </row>
    <row r="848">
      <c r="A848" s="4" t="n"/>
      <c r="B848" s="4" t="n"/>
      <c r="C848" s="4" t="n"/>
      <c r="D848" s="4" t="n"/>
      <c r="E848" s="4">
        <f>IF($D848="Active",$A848,"")</f>
        <v/>
      </c>
    </row>
    <row r="849">
      <c r="A849" s="4" t="n"/>
      <c r="B849" s="4" t="n"/>
      <c r="C849" s="4" t="n"/>
      <c r="D849" s="4" t="n"/>
      <c r="E849" s="4">
        <f>IF($D849="Active",$A849,"")</f>
        <v/>
      </c>
    </row>
    <row r="850">
      <c r="A850" s="4" t="n"/>
      <c r="B850" s="4" t="n"/>
      <c r="C850" s="4" t="n"/>
      <c r="D850" s="4" t="n"/>
      <c r="E850" s="4">
        <f>IF($D850="Active",$A850,"")</f>
        <v/>
      </c>
    </row>
    <row r="851">
      <c r="A851" s="4" t="n"/>
      <c r="B851" s="4" t="n"/>
      <c r="C851" s="4" t="n"/>
      <c r="D851" s="4" t="n"/>
      <c r="E851" s="4">
        <f>IF($D851="Active",$A851,"")</f>
        <v/>
      </c>
    </row>
    <row r="852">
      <c r="A852" s="4" t="n"/>
      <c r="B852" s="4" t="n"/>
      <c r="C852" s="4" t="n"/>
      <c r="D852" s="4" t="n"/>
      <c r="E852" s="4">
        <f>IF($D852="Active",$A852,"")</f>
        <v/>
      </c>
    </row>
    <row r="853">
      <c r="A853" s="4" t="n"/>
      <c r="B853" s="4" t="n"/>
      <c r="C853" s="4" t="n"/>
      <c r="D853" s="4" t="n"/>
      <c r="E853" s="4">
        <f>IF($D853="Active",$A853,"")</f>
        <v/>
      </c>
    </row>
    <row r="854">
      <c r="A854" s="4" t="n"/>
      <c r="B854" s="4" t="n"/>
      <c r="C854" s="4" t="n"/>
      <c r="D854" s="4" t="n"/>
      <c r="E854" s="4">
        <f>IF($D854="Active",$A854,"")</f>
        <v/>
      </c>
    </row>
    <row r="855">
      <c r="A855" s="4" t="n"/>
      <c r="B855" s="4" t="n"/>
      <c r="C855" s="4" t="n"/>
      <c r="D855" s="4" t="n"/>
      <c r="E855" s="4">
        <f>IF($D855="Active",$A855,"")</f>
        <v/>
      </c>
    </row>
    <row r="856">
      <c r="A856" s="4" t="n"/>
      <c r="B856" s="4" t="n"/>
      <c r="C856" s="4" t="n"/>
      <c r="D856" s="4" t="n"/>
      <c r="E856" s="4">
        <f>IF($D856="Active",$A856,"")</f>
        <v/>
      </c>
    </row>
    <row r="857">
      <c r="A857" s="4" t="n"/>
      <c r="B857" s="4" t="n"/>
      <c r="C857" s="4" t="n"/>
      <c r="D857" s="4" t="n"/>
      <c r="E857" s="4">
        <f>IF($D857="Active",$A857,"")</f>
        <v/>
      </c>
    </row>
    <row r="858">
      <c r="A858" s="4" t="n"/>
      <c r="B858" s="4" t="n"/>
      <c r="C858" s="4" t="n"/>
      <c r="D858" s="4" t="n"/>
      <c r="E858" s="4">
        <f>IF($D858="Active",$A858,"")</f>
        <v/>
      </c>
    </row>
    <row r="859">
      <c r="A859" s="4" t="n"/>
      <c r="B859" s="4" t="n"/>
      <c r="C859" s="4" t="n"/>
      <c r="D859" s="4" t="n"/>
      <c r="E859" s="4">
        <f>IF($D859="Active",$A859,"")</f>
        <v/>
      </c>
    </row>
    <row r="860">
      <c r="A860" s="4" t="n"/>
      <c r="B860" s="4" t="n"/>
      <c r="C860" s="4" t="n"/>
      <c r="D860" s="4" t="n"/>
      <c r="E860" s="4">
        <f>IF($D860="Active",$A860,"")</f>
        <v/>
      </c>
    </row>
    <row r="861">
      <c r="A861" s="4" t="n"/>
      <c r="B861" s="4" t="n"/>
      <c r="C861" s="4" t="n"/>
      <c r="D861" s="4" t="n"/>
      <c r="E861" s="4">
        <f>IF($D861="Active",$A861,"")</f>
        <v/>
      </c>
    </row>
    <row r="862">
      <c r="A862" s="4" t="n"/>
      <c r="B862" s="4" t="n"/>
      <c r="C862" s="4" t="n"/>
      <c r="D862" s="4" t="n"/>
      <c r="E862" s="4">
        <f>IF($D862="Active",$A862,"")</f>
        <v/>
      </c>
    </row>
    <row r="863">
      <c r="A863" s="4" t="n"/>
      <c r="B863" s="4" t="n"/>
      <c r="C863" s="4" t="n"/>
      <c r="D863" s="4" t="n"/>
      <c r="E863" s="4">
        <f>IF($D863="Active",$A863,"")</f>
        <v/>
      </c>
    </row>
    <row r="864">
      <c r="A864" s="4" t="n"/>
      <c r="B864" s="4" t="n"/>
      <c r="C864" s="4" t="n"/>
      <c r="D864" s="4" t="n"/>
      <c r="E864" s="4">
        <f>IF($D864="Active",$A864,"")</f>
        <v/>
      </c>
    </row>
    <row r="865">
      <c r="A865" s="4" t="n"/>
      <c r="B865" s="4" t="n"/>
      <c r="C865" s="4" t="n"/>
      <c r="D865" s="4" t="n"/>
      <c r="E865" s="4">
        <f>IF($D865="Active",$A865,"")</f>
        <v/>
      </c>
    </row>
    <row r="866">
      <c r="A866" s="4" t="n"/>
      <c r="B866" s="4" t="n"/>
      <c r="C866" s="4" t="n"/>
      <c r="D866" s="4" t="n"/>
      <c r="E866" s="4">
        <f>IF($D866="Active",$A866,"")</f>
        <v/>
      </c>
    </row>
    <row r="867">
      <c r="A867" s="4" t="n"/>
      <c r="B867" s="4" t="n"/>
      <c r="C867" s="4" t="n"/>
      <c r="D867" s="4" t="n"/>
      <c r="E867" s="4">
        <f>IF($D867="Active",$A867,"")</f>
        <v/>
      </c>
    </row>
    <row r="868">
      <c r="A868" s="4" t="n"/>
      <c r="B868" s="4" t="n"/>
      <c r="C868" s="4" t="n"/>
      <c r="D868" s="4" t="n"/>
      <c r="E868" s="4">
        <f>IF($D868="Active",$A868,"")</f>
        <v/>
      </c>
    </row>
    <row r="869">
      <c r="A869" s="4" t="n"/>
      <c r="B869" s="4" t="n"/>
      <c r="C869" s="4" t="n"/>
      <c r="D869" s="4" t="n"/>
      <c r="E869" s="4">
        <f>IF($D869="Active",$A869,"")</f>
        <v/>
      </c>
    </row>
    <row r="870">
      <c r="A870" s="4" t="n"/>
      <c r="B870" s="4" t="n"/>
      <c r="C870" s="4" t="n"/>
      <c r="D870" s="4" t="n"/>
      <c r="E870" s="4">
        <f>IF($D870="Active",$A870,"")</f>
        <v/>
      </c>
    </row>
    <row r="871">
      <c r="A871" s="4" t="n"/>
      <c r="B871" s="4" t="n"/>
      <c r="C871" s="4" t="n"/>
      <c r="D871" s="4" t="n"/>
      <c r="E871" s="4">
        <f>IF($D871="Active",$A871,"")</f>
        <v/>
      </c>
    </row>
    <row r="872">
      <c r="A872" s="4" t="n"/>
      <c r="B872" s="4" t="n"/>
      <c r="C872" s="4" t="n"/>
      <c r="D872" s="4" t="n"/>
      <c r="E872" s="4">
        <f>IF($D872="Active",$A872,"")</f>
        <v/>
      </c>
    </row>
    <row r="873">
      <c r="A873" s="4" t="n"/>
      <c r="B873" s="4" t="n"/>
      <c r="C873" s="4" t="n"/>
      <c r="D873" s="4" t="n"/>
      <c r="E873" s="4">
        <f>IF($D873="Active",$A873,"")</f>
        <v/>
      </c>
    </row>
    <row r="874">
      <c r="A874" s="4" t="n"/>
      <c r="B874" s="4" t="n"/>
      <c r="C874" s="4" t="n"/>
      <c r="D874" s="4" t="n"/>
      <c r="E874" s="4">
        <f>IF($D874="Active",$A874,"")</f>
        <v/>
      </c>
    </row>
    <row r="875">
      <c r="A875" s="4" t="n"/>
      <c r="B875" s="4" t="n"/>
      <c r="C875" s="4" t="n"/>
      <c r="D875" s="4" t="n"/>
      <c r="E875" s="4">
        <f>IF($D875="Active",$A875,"")</f>
        <v/>
      </c>
    </row>
    <row r="876">
      <c r="A876" s="4" t="n"/>
      <c r="B876" s="4" t="n"/>
      <c r="C876" s="4" t="n"/>
      <c r="D876" s="4" t="n"/>
      <c r="E876" s="4">
        <f>IF($D876="Active",$A876,"")</f>
        <v/>
      </c>
    </row>
    <row r="877">
      <c r="A877" s="4" t="n"/>
      <c r="B877" s="4" t="n"/>
      <c r="C877" s="4" t="n"/>
      <c r="D877" s="4" t="n"/>
      <c r="E877" s="4">
        <f>IF($D877="Active",$A877,"")</f>
        <v/>
      </c>
    </row>
    <row r="878">
      <c r="A878" s="4" t="n"/>
      <c r="B878" s="4" t="n"/>
      <c r="C878" s="4" t="n"/>
      <c r="D878" s="4" t="n"/>
      <c r="E878" s="4">
        <f>IF($D878="Active",$A878,"")</f>
        <v/>
      </c>
    </row>
    <row r="879">
      <c r="A879" s="4" t="n"/>
      <c r="B879" s="4" t="n"/>
      <c r="C879" s="4" t="n"/>
      <c r="D879" s="4" t="n"/>
      <c r="E879" s="4">
        <f>IF($D879="Active",$A879,"")</f>
        <v/>
      </c>
    </row>
    <row r="880">
      <c r="A880" s="4" t="n"/>
      <c r="B880" s="4" t="n"/>
      <c r="C880" s="4" t="n"/>
      <c r="D880" s="4" t="n"/>
      <c r="E880" s="4">
        <f>IF($D880="Active",$A880,"")</f>
        <v/>
      </c>
    </row>
    <row r="881">
      <c r="A881" s="4" t="n"/>
      <c r="B881" s="4" t="n"/>
      <c r="C881" s="4" t="n"/>
      <c r="D881" s="4" t="n"/>
      <c r="E881" s="4">
        <f>IF($D881="Active",$A881,"")</f>
        <v/>
      </c>
    </row>
    <row r="882">
      <c r="A882" s="4" t="n"/>
      <c r="B882" s="4" t="n"/>
      <c r="C882" s="4" t="n"/>
      <c r="D882" s="4" t="n"/>
      <c r="E882" s="4">
        <f>IF($D882="Active",$A882,"")</f>
        <v/>
      </c>
    </row>
    <row r="883">
      <c r="A883" s="4" t="n"/>
      <c r="B883" s="4" t="n"/>
      <c r="C883" s="4" t="n"/>
      <c r="D883" s="4" t="n"/>
      <c r="E883" s="4">
        <f>IF($D883="Active",$A883,"")</f>
        <v/>
      </c>
    </row>
    <row r="884">
      <c r="A884" s="4" t="n"/>
      <c r="B884" s="4" t="n"/>
      <c r="C884" s="4" t="n"/>
      <c r="D884" s="4" t="n"/>
      <c r="E884" s="4">
        <f>IF($D884="Active",$A884,"")</f>
        <v/>
      </c>
    </row>
    <row r="885">
      <c r="A885" s="4" t="n"/>
      <c r="B885" s="4" t="n"/>
      <c r="C885" s="4" t="n"/>
      <c r="D885" s="4" t="n"/>
      <c r="E885" s="4">
        <f>IF($D885="Active",$A885,"")</f>
        <v/>
      </c>
    </row>
    <row r="886">
      <c r="A886" s="4" t="n"/>
      <c r="B886" s="4" t="n"/>
      <c r="C886" s="4" t="n"/>
      <c r="D886" s="4" t="n"/>
      <c r="E886" s="4">
        <f>IF($D886="Active",$A886,"")</f>
        <v/>
      </c>
    </row>
    <row r="887">
      <c r="A887" s="4" t="n"/>
      <c r="B887" s="4" t="n"/>
      <c r="C887" s="4" t="n"/>
      <c r="D887" s="4" t="n"/>
      <c r="E887" s="4">
        <f>IF($D887="Active",$A887,"")</f>
        <v/>
      </c>
    </row>
    <row r="888">
      <c r="A888" s="4" t="n"/>
      <c r="B888" s="4" t="n"/>
      <c r="C888" s="4" t="n"/>
      <c r="D888" s="4" t="n"/>
      <c r="E888" s="4">
        <f>IF($D888="Active",$A888,"")</f>
        <v/>
      </c>
    </row>
    <row r="889">
      <c r="A889" s="4" t="n"/>
      <c r="B889" s="4" t="n"/>
      <c r="C889" s="4" t="n"/>
      <c r="D889" s="4" t="n"/>
      <c r="E889" s="4">
        <f>IF($D889="Active",$A889,"")</f>
        <v/>
      </c>
    </row>
    <row r="890">
      <c r="A890" s="4" t="n"/>
      <c r="B890" s="4" t="n"/>
      <c r="C890" s="4" t="n"/>
      <c r="D890" s="4" t="n"/>
      <c r="E890" s="4">
        <f>IF($D890="Active",$A890,"")</f>
        <v/>
      </c>
    </row>
    <row r="891">
      <c r="A891" s="4" t="n"/>
      <c r="B891" s="4" t="n"/>
      <c r="C891" s="4" t="n"/>
      <c r="D891" s="4" t="n"/>
      <c r="E891" s="4">
        <f>IF($D891="Active",$A891,"")</f>
        <v/>
      </c>
    </row>
    <row r="892">
      <c r="A892" s="4" t="n"/>
      <c r="B892" s="4" t="n"/>
      <c r="C892" s="4" t="n"/>
      <c r="D892" s="4" t="n"/>
      <c r="E892" s="4">
        <f>IF($D892="Active",$A892,"")</f>
        <v/>
      </c>
    </row>
    <row r="893">
      <c r="A893" s="4" t="n"/>
      <c r="B893" s="4" t="n"/>
      <c r="C893" s="4" t="n"/>
      <c r="D893" s="4" t="n"/>
      <c r="E893" s="4">
        <f>IF($D893="Active",$A893,"")</f>
        <v/>
      </c>
    </row>
    <row r="894">
      <c r="A894" s="4" t="n"/>
      <c r="B894" s="4" t="n"/>
      <c r="C894" s="4" t="n"/>
      <c r="D894" s="4" t="n"/>
      <c r="E894" s="4">
        <f>IF($D894="Active",$A894,"")</f>
        <v/>
      </c>
    </row>
    <row r="895">
      <c r="A895" s="4" t="n"/>
      <c r="B895" s="4" t="n"/>
      <c r="C895" s="4" t="n"/>
      <c r="D895" s="4" t="n"/>
      <c r="E895" s="4">
        <f>IF($D895="Active",$A895,"")</f>
        <v/>
      </c>
    </row>
    <row r="896">
      <c r="A896" s="4" t="n"/>
      <c r="B896" s="4" t="n"/>
      <c r="C896" s="4" t="n"/>
      <c r="D896" s="4" t="n"/>
      <c r="E896" s="4">
        <f>IF($D896="Active",$A896,"")</f>
        <v/>
      </c>
    </row>
    <row r="897">
      <c r="A897" s="4" t="n"/>
      <c r="B897" s="4" t="n"/>
      <c r="C897" s="4" t="n"/>
      <c r="D897" s="4" t="n"/>
      <c r="E897" s="4">
        <f>IF($D897="Active",$A897,"")</f>
        <v/>
      </c>
    </row>
    <row r="898">
      <c r="A898" s="4" t="n"/>
      <c r="B898" s="4" t="n"/>
      <c r="C898" s="4" t="n"/>
      <c r="D898" s="4" t="n"/>
      <c r="E898" s="4">
        <f>IF($D898="Active",$A898,"")</f>
        <v/>
      </c>
    </row>
    <row r="899">
      <c r="A899" s="4" t="n"/>
      <c r="B899" s="4" t="n"/>
      <c r="C899" s="4" t="n"/>
      <c r="D899" s="4" t="n"/>
      <c r="E899" s="4">
        <f>IF($D899="Active",$A899,"")</f>
        <v/>
      </c>
    </row>
    <row r="900">
      <c r="A900" s="4" t="n"/>
      <c r="B900" s="4" t="n"/>
      <c r="C900" s="4" t="n"/>
      <c r="D900" s="4" t="n"/>
      <c r="E900" s="4">
        <f>IF($D900="Active",$A900,"")</f>
        <v/>
      </c>
    </row>
    <row r="901">
      <c r="A901" s="4" t="n"/>
      <c r="B901" s="4" t="n"/>
      <c r="C901" s="4" t="n"/>
      <c r="D901" s="4" t="n"/>
      <c r="E901" s="4">
        <f>IF($D901="Active",$A901,"")</f>
        <v/>
      </c>
    </row>
    <row r="902">
      <c r="A902" s="4" t="n"/>
      <c r="B902" s="4" t="n"/>
      <c r="C902" s="4" t="n"/>
      <c r="D902" s="4" t="n"/>
      <c r="E902" s="4">
        <f>IF($D902="Active",$A902,"")</f>
        <v/>
      </c>
    </row>
    <row r="903">
      <c r="A903" s="4" t="n"/>
      <c r="B903" s="4" t="n"/>
      <c r="C903" s="4" t="n"/>
      <c r="D903" s="4" t="n"/>
      <c r="E903" s="4">
        <f>IF($D903="Active",$A903,"")</f>
        <v/>
      </c>
    </row>
    <row r="904">
      <c r="A904" s="4" t="n"/>
      <c r="B904" s="4" t="n"/>
      <c r="C904" s="4" t="n"/>
      <c r="D904" s="4" t="n"/>
      <c r="E904" s="4">
        <f>IF($D904="Active",$A904,"")</f>
        <v/>
      </c>
    </row>
    <row r="905">
      <c r="A905" s="4" t="n"/>
      <c r="B905" s="4" t="n"/>
      <c r="C905" s="4" t="n"/>
      <c r="D905" s="4" t="n"/>
      <c r="E905" s="4">
        <f>IF($D905="Active",$A905,"")</f>
        <v/>
      </c>
    </row>
    <row r="906">
      <c r="A906" s="4" t="n"/>
      <c r="B906" s="4" t="n"/>
      <c r="C906" s="4" t="n"/>
      <c r="D906" s="4" t="n"/>
      <c r="E906" s="4">
        <f>IF($D906="Active",$A906,"")</f>
        <v/>
      </c>
    </row>
    <row r="907">
      <c r="A907" s="4" t="n"/>
      <c r="B907" s="4" t="n"/>
      <c r="C907" s="4" t="n"/>
      <c r="D907" s="4" t="n"/>
      <c r="E907" s="4">
        <f>IF($D907="Active",$A907,"")</f>
        <v/>
      </c>
    </row>
    <row r="908">
      <c r="A908" s="4" t="n"/>
      <c r="B908" s="4" t="n"/>
      <c r="C908" s="4" t="n"/>
      <c r="D908" s="4" t="n"/>
      <c r="E908" s="4">
        <f>IF($D908="Active",$A908,"")</f>
        <v/>
      </c>
    </row>
    <row r="909">
      <c r="A909" s="4" t="n"/>
      <c r="B909" s="4" t="n"/>
      <c r="C909" s="4" t="n"/>
      <c r="D909" s="4" t="n"/>
      <c r="E909" s="4">
        <f>IF($D909="Active",$A909,"")</f>
        <v/>
      </c>
    </row>
    <row r="910">
      <c r="A910" s="4" t="n"/>
      <c r="B910" s="4" t="n"/>
      <c r="C910" s="4" t="n"/>
      <c r="D910" s="4" t="n"/>
      <c r="E910" s="4">
        <f>IF($D910="Active",$A910,"")</f>
        <v/>
      </c>
    </row>
    <row r="911">
      <c r="A911" s="4" t="n"/>
      <c r="B911" s="4" t="n"/>
      <c r="C911" s="4" t="n"/>
      <c r="D911" s="4" t="n"/>
      <c r="E911" s="4">
        <f>IF($D911="Active",$A911,"")</f>
        <v/>
      </c>
    </row>
    <row r="912">
      <c r="A912" s="4" t="n"/>
      <c r="B912" s="4" t="n"/>
      <c r="C912" s="4" t="n"/>
      <c r="D912" s="4" t="n"/>
      <c r="E912" s="4">
        <f>IF($D912="Active",$A912,"")</f>
        <v/>
      </c>
    </row>
    <row r="913">
      <c r="A913" s="4" t="n"/>
      <c r="B913" s="4" t="n"/>
      <c r="C913" s="4" t="n"/>
      <c r="D913" s="4" t="n"/>
      <c r="E913" s="4">
        <f>IF($D913="Active",$A913,"")</f>
        <v/>
      </c>
    </row>
    <row r="914">
      <c r="A914" s="4" t="n"/>
      <c r="B914" s="4" t="n"/>
      <c r="C914" s="4" t="n"/>
      <c r="D914" s="4" t="n"/>
      <c r="E914" s="4">
        <f>IF($D914="Active",$A914,"")</f>
        <v/>
      </c>
    </row>
    <row r="915">
      <c r="A915" s="4" t="n"/>
      <c r="B915" s="4" t="n"/>
      <c r="C915" s="4" t="n"/>
      <c r="D915" s="4" t="n"/>
      <c r="E915" s="4">
        <f>IF($D915="Active",$A915,"")</f>
        <v/>
      </c>
    </row>
    <row r="916">
      <c r="A916" s="4" t="n"/>
      <c r="B916" s="4" t="n"/>
      <c r="C916" s="4" t="n"/>
      <c r="D916" s="4" t="n"/>
      <c r="E916" s="4">
        <f>IF($D916="Active",$A916,"")</f>
        <v/>
      </c>
    </row>
    <row r="917">
      <c r="A917" s="4" t="n"/>
      <c r="B917" s="4" t="n"/>
      <c r="C917" s="4" t="n"/>
      <c r="D917" s="4" t="n"/>
      <c r="E917" s="4">
        <f>IF($D917="Active",$A917,"")</f>
        <v/>
      </c>
    </row>
    <row r="918">
      <c r="A918" s="4" t="n"/>
      <c r="B918" s="4" t="n"/>
      <c r="C918" s="4" t="n"/>
      <c r="D918" s="4" t="n"/>
      <c r="E918" s="4">
        <f>IF($D918="Active",$A918,"")</f>
        <v/>
      </c>
    </row>
    <row r="919">
      <c r="A919" s="4" t="n"/>
      <c r="B919" s="4" t="n"/>
      <c r="C919" s="4" t="n"/>
      <c r="D919" s="4" t="n"/>
      <c r="E919" s="4">
        <f>IF($D919="Active",$A919,"")</f>
        <v/>
      </c>
    </row>
    <row r="920">
      <c r="A920" s="4" t="n"/>
      <c r="B920" s="4" t="n"/>
      <c r="C920" s="4" t="n"/>
      <c r="D920" s="4" t="n"/>
      <c r="E920" s="4">
        <f>IF($D920="Active",$A920,"")</f>
        <v/>
      </c>
    </row>
    <row r="921">
      <c r="A921" s="4" t="n"/>
      <c r="B921" s="4" t="n"/>
      <c r="C921" s="4" t="n"/>
      <c r="D921" s="4" t="n"/>
      <c r="E921" s="4">
        <f>IF($D921="Active",$A921,"")</f>
        <v/>
      </c>
    </row>
    <row r="922">
      <c r="A922" s="4" t="n"/>
      <c r="B922" s="4" t="n"/>
      <c r="C922" s="4" t="n"/>
      <c r="D922" s="4" t="n"/>
      <c r="E922" s="4">
        <f>IF($D922="Active",$A922,"")</f>
        <v/>
      </c>
    </row>
    <row r="923">
      <c r="A923" s="4" t="n"/>
      <c r="B923" s="4" t="n"/>
      <c r="C923" s="4" t="n"/>
      <c r="D923" s="4" t="n"/>
      <c r="E923" s="4">
        <f>IF($D923="Active",$A923,"")</f>
        <v/>
      </c>
    </row>
    <row r="924">
      <c r="A924" s="4" t="n"/>
      <c r="B924" s="4" t="n"/>
      <c r="C924" s="4" t="n"/>
      <c r="D924" s="4" t="n"/>
      <c r="E924" s="4">
        <f>IF($D924="Active",$A924,"")</f>
        <v/>
      </c>
    </row>
    <row r="925">
      <c r="A925" s="4" t="n"/>
      <c r="B925" s="4" t="n"/>
      <c r="C925" s="4" t="n"/>
      <c r="D925" s="4" t="n"/>
      <c r="E925" s="4">
        <f>IF($D925="Active",$A925,"")</f>
        <v/>
      </c>
    </row>
    <row r="926">
      <c r="A926" s="4" t="n"/>
      <c r="B926" s="4" t="n"/>
      <c r="C926" s="4" t="n"/>
      <c r="D926" s="4" t="n"/>
      <c r="E926" s="4">
        <f>IF($D926="Active",$A926,"")</f>
        <v/>
      </c>
    </row>
    <row r="927">
      <c r="A927" s="4" t="n"/>
      <c r="B927" s="4" t="n"/>
      <c r="C927" s="4" t="n"/>
      <c r="D927" s="4" t="n"/>
      <c r="E927" s="4">
        <f>IF($D927="Active",$A927,"")</f>
        <v/>
      </c>
    </row>
    <row r="928">
      <c r="A928" s="4" t="n"/>
      <c r="B928" s="4" t="n"/>
      <c r="C928" s="4" t="n"/>
      <c r="D928" s="4" t="n"/>
      <c r="E928" s="4">
        <f>IF($D928="Active",$A928,"")</f>
        <v/>
      </c>
    </row>
    <row r="929">
      <c r="A929" s="4" t="n"/>
      <c r="B929" s="4" t="n"/>
      <c r="C929" s="4" t="n"/>
      <c r="D929" s="4" t="n"/>
      <c r="E929" s="4">
        <f>IF($D929="Active",$A929,"")</f>
        <v/>
      </c>
    </row>
    <row r="930">
      <c r="A930" s="4" t="n"/>
      <c r="B930" s="4" t="n"/>
      <c r="C930" s="4" t="n"/>
      <c r="D930" s="4" t="n"/>
      <c r="E930" s="4">
        <f>IF($D930="Active",$A930,"")</f>
        <v/>
      </c>
    </row>
    <row r="931">
      <c r="A931" s="4" t="n"/>
      <c r="B931" s="4" t="n"/>
      <c r="C931" s="4" t="n"/>
      <c r="D931" s="4" t="n"/>
      <c r="E931" s="4">
        <f>IF($D931="Active",$A931,"")</f>
        <v/>
      </c>
    </row>
    <row r="932">
      <c r="A932" s="4" t="n"/>
      <c r="B932" s="4" t="n"/>
      <c r="C932" s="4" t="n"/>
      <c r="D932" s="4" t="n"/>
      <c r="E932" s="4">
        <f>IF($D932="Active",$A932,"")</f>
        <v/>
      </c>
    </row>
    <row r="933">
      <c r="A933" s="4" t="n"/>
      <c r="B933" s="4" t="n"/>
      <c r="C933" s="4" t="n"/>
      <c r="D933" s="4" t="n"/>
      <c r="E933" s="4">
        <f>IF($D933="Active",$A933,"")</f>
        <v/>
      </c>
    </row>
    <row r="934">
      <c r="A934" s="4" t="n"/>
      <c r="B934" s="4" t="n"/>
      <c r="C934" s="4" t="n"/>
      <c r="D934" s="4" t="n"/>
      <c r="E934" s="4">
        <f>IF($D934="Active",$A934,"")</f>
        <v/>
      </c>
    </row>
    <row r="935">
      <c r="A935" s="4" t="n"/>
      <c r="B935" s="4" t="n"/>
      <c r="C935" s="4" t="n"/>
      <c r="D935" s="4" t="n"/>
      <c r="E935" s="4">
        <f>IF($D935="Active",$A935,"")</f>
        <v/>
      </c>
    </row>
    <row r="936">
      <c r="A936" s="4" t="n"/>
      <c r="B936" s="4" t="n"/>
      <c r="C936" s="4" t="n"/>
      <c r="D936" s="4" t="n"/>
      <c r="E936" s="4">
        <f>IF($D936="Active",$A936,"")</f>
        <v/>
      </c>
    </row>
    <row r="937">
      <c r="A937" s="4" t="n"/>
      <c r="B937" s="4" t="n"/>
      <c r="C937" s="4" t="n"/>
      <c r="D937" s="4" t="n"/>
      <c r="E937" s="4">
        <f>IF($D937="Active",$A937,"")</f>
        <v/>
      </c>
    </row>
    <row r="938">
      <c r="A938" s="4" t="n"/>
      <c r="B938" s="4" t="n"/>
      <c r="C938" s="4" t="n"/>
      <c r="D938" s="4" t="n"/>
      <c r="E938" s="4">
        <f>IF($D938="Active",$A938,"")</f>
        <v/>
      </c>
    </row>
    <row r="939">
      <c r="A939" s="4" t="n"/>
      <c r="B939" s="4" t="n"/>
      <c r="C939" s="4" t="n"/>
      <c r="D939" s="4" t="n"/>
      <c r="E939" s="4">
        <f>IF($D939="Active",$A939,"")</f>
        <v/>
      </c>
    </row>
    <row r="940">
      <c r="A940" s="4" t="n"/>
      <c r="B940" s="4" t="n"/>
      <c r="C940" s="4" t="n"/>
      <c r="D940" s="4" t="n"/>
      <c r="E940" s="4">
        <f>IF($D940="Active",$A940,"")</f>
        <v/>
      </c>
    </row>
    <row r="941">
      <c r="A941" s="4" t="n"/>
      <c r="B941" s="4" t="n"/>
      <c r="C941" s="4" t="n"/>
      <c r="D941" s="4" t="n"/>
      <c r="E941" s="4">
        <f>IF($D941="Active",$A941,"")</f>
        <v/>
      </c>
    </row>
    <row r="942">
      <c r="A942" s="4" t="n"/>
      <c r="B942" s="4" t="n"/>
      <c r="C942" s="4" t="n"/>
      <c r="D942" s="4" t="n"/>
      <c r="E942" s="4">
        <f>IF($D942="Active",$A942,"")</f>
        <v/>
      </c>
    </row>
    <row r="943">
      <c r="A943" s="4" t="n"/>
      <c r="B943" s="4" t="n"/>
      <c r="C943" s="4" t="n"/>
      <c r="D943" s="4" t="n"/>
      <c r="E943" s="4">
        <f>IF($D943="Active",$A943,"")</f>
        <v/>
      </c>
    </row>
    <row r="944">
      <c r="A944" s="4" t="n"/>
      <c r="B944" s="4" t="n"/>
      <c r="C944" s="4" t="n"/>
      <c r="D944" s="4" t="n"/>
      <c r="E944" s="4">
        <f>IF($D944="Active",$A944,"")</f>
        <v/>
      </c>
    </row>
    <row r="945">
      <c r="A945" s="4" t="n"/>
      <c r="B945" s="4" t="n"/>
      <c r="C945" s="4" t="n"/>
      <c r="D945" s="4" t="n"/>
      <c r="E945" s="4">
        <f>IF($D945="Active",$A945,"")</f>
        <v/>
      </c>
    </row>
    <row r="946">
      <c r="A946" s="4" t="n"/>
      <c r="B946" s="4" t="n"/>
      <c r="C946" s="4" t="n"/>
      <c r="D946" s="4" t="n"/>
      <c r="E946" s="4">
        <f>IF($D946="Active",$A946,"")</f>
        <v/>
      </c>
    </row>
    <row r="947">
      <c r="A947" s="4" t="n"/>
      <c r="B947" s="4" t="n"/>
      <c r="C947" s="4" t="n"/>
      <c r="D947" s="4" t="n"/>
      <c r="E947" s="4">
        <f>IF($D947="Active",$A947,"")</f>
        <v/>
      </c>
    </row>
    <row r="948">
      <c r="A948" s="4" t="n"/>
      <c r="B948" s="4" t="n"/>
      <c r="C948" s="4" t="n"/>
      <c r="D948" s="4" t="n"/>
      <c r="E948" s="4">
        <f>IF($D948="Active",$A948,"")</f>
        <v/>
      </c>
    </row>
    <row r="949">
      <c r="A949" s="4" t="n"/>
      <c r="B949" s="4" t="n"/>
      <c r="C949" s="4" t="n"/>
      <c r="D949" s="4" t="n"/>
      <c r="E949" s="4">
        <f>IF($D949="Active",$A949,"")</f>
        <v/>
      </c>
    </row>
    <row r="950">
      <c r="A950" s="4" t="n"/>
      <c r="B950" s="4" t="n"/>
      <c r="C950" s="4" t="n"/>
      <c r="D950" s="4" t="n"/>
      <c r="E950" s="4">
        <f>IF($D950="Active",$A950,"")</f>
        <v/>
      </c>
    </row>
    <row r="951">
      <c r="A951" s="4" t="n"/>
      <c r="B951" s="4" t="n"/>
      <c r="C951" s="4" t="n"/>
      <c r="D951" s="4" t="n"/>
      <c r="E951" s="4">
        <f>IF($D951="Active",$A951,"")</f>
        <v/>
      </c>
    </row>
    <row r="952">
      <c r="A952" s="4" t="n"/>
      <c r="B952" s="4" t="n"/>
      <c r="C952" s="4" t="n"/>
      <c r="D952" s="4" t="n"/>
      <c r="E952" s="4">
        <f>IF($D952="Active",$A952,"")</f>
        <v/>
      </c>
    </row>
    <row r="953">
      <c r="A953" s="4" t="n"/>
      <c r="B953" s="4" t="n"/>
      <c r="C953" s="4" t="n"/>
      <c r="D953" s="4" t="n"/>
      <c r="E953" s="4">
        <f>IF($D953="Active",$A953,"")</f>
        <v/>
      </c>
    </row>
    <row r="954">
      <c r="A954" s="4" t="n"/>
      <c r="B954" s="4" t="n"/>
      <c r="C954" s="4" t="n"/>
      <c r="D954" s="4" t="n"/>
      <c r="E954" s="4">
        <f>IF($D954="Active",$A954,"")</f>
        <v/>
      </c>
    </row>
    <row r="955">
      <c r="A955" s="4" t="n"/>
      <c r="B955" s="4" t="n"/>
      <c r="C955" s="4" t="n"/>
      <c r="D955" s="4" t="n"/>
      <c r="E955" s="4">
        <f>IF($D955="Active",$A955,"")</f>
        <v/>
      </c>
    </row>
    <row r="956">
      <c r="A956" s="4" t="n"/>
      <c r="B956" s="4" t="n"/>
      <c r="C956" s="4" t="n"/>
      <c r="D956" s="4" t="n"/>
      <c r="E956" s="4">
        <f>IF($D956="Active",$A956,"")</f>
        <v/>
      </c>
    </row>
    <row r="957">
      <c r="A957" s="4" t="n"/>
      <c r="B957" s="4" t="n"/>
      <c r="C957" s="4" t="n"/>
      <c r="D957" s="4" t="n"/>
      <c r="E957" s="4">
        <f>IF($D957="Active",$A957,"")</f>
        <v/>
      </c>
    </row>
    <row r="958">
      <c r="A958" s="4" t="n"/>
      <c r="B958" s="4" t="n"/>
      <c r="C958" s="4" t="n"/>
      <c r="D958" s="4" t="n"/>
      <c r="E958" s="4">
        <f>IF($D958="Active",$A958,"")</f>
        <v/>
      </c>
    </row>
    <row r="959">
      <c r="A959" s="4" t="n"/>
      <c r="B959" s="4" t="n"/>
      <c r="C959" s="4" t="n"/>
      <c r="D959" s="4" t="n"/>
      <c r="E959" s="4">
        <f>IF($D959="Active",$A959,"")</f>
        <v/>
      </c>
    </row>
    <row r="960">
      <c r="A960" s="4" t="n"/>
      <c r="B960" s="4" t="n"/>
      <c r="C960" s="4" t="n"/>
      <c r="D960" s="4" t="n"/>
      <c r="E960" s="4">
        <f>IF($D960="Active",$A960,"")</f>
        <v/>
      </c>
    </row>
    <row r="961">
      <c r="A961" s="4" t="n"/>
      <c r="B961" s="4" t="n"/>
      <c r="C961" s="4" t="n"/>
      <c r="D961" s="4" t="n"/>
      <c r="E961" s="4">
        <f>IF($D961="Active",$A961,"")</f>
        <v/>
      </c>
    </row>
    <row r="962">
      <c r="A962" s="4" t="n"/>
      <c r="B962" s="4" t="n"/>
      <c r="C962" s="4" t="n"/>
      <c r="D962" s="4" t="n"/>
      <c r="E962" s="4">
        <f>IF($D962="Active",$A962,"")</f>
        <v/>
      </c>
    </row>
    <row r="963">
      <c r="A963" s="4" t="n"/>
      <c r="B963" s="4" t="n"/>
      <c r="C963" s="4" t="n"/>
      <c r="D963" s="4" t="n"/>
      <c r="E963" s="4">
        <f>IF($D963="Active",$A963,"")</f>
        <v/>
      </c>
    </row>
    <row r="964">
      <c r="A964" s="4" t="n"/>
      <c r="B964" s="4" t="n"/>
      <c r="C964" s="4" t="n"/>
      <c r="D964" s="4" t="n"/>
      <c r="E964" s="4">
        <f>IF($D964="Active",$A964,"")</f>
        <v/>
      </c>
    </row>
    <row r="965">
      <c r="A965" s="4" t="n"/>
      <c r="B965" s="4" t="n"/>
      <c r="C965" s="4" t="n"/>
      <c r="D965" s="4" t="n"/>
      <c r="E965" s="4">
        <f>IF($D965="Active",$A965,"")</f>
        <v/>
      </c>
    </row>
    <row r="966">
      <c r="A966" s="4" t="n"/>
      <c r="B966" s="4" t="n"/>
      <c r="C966" s="4" t="n"/>
      <c r="D966" s="4" t="n"/>
      <c r="E966" s="4">
        <f>IF($D966="Active",$A966,"")</f>
        <v/>
      </c>
    </row>
    <row r="967">
      <c r="A967" s="4" t="n"/>
      <c r="B967" s="4" t="n"/>
      <c r="C967" s="4" t="n"/>
      <c r="D967" s="4" t="n"/>
      <c r="E967" s="4">
        <f>IF($D967="Active",$A967,"")</f>
        <v/>
      </c>
    </row>
    <row r="968">
      <c r="A968" s="4" t="n"/>
      <c r="B968" s="4" t="n"/>
      <c r="C968" s="4" t="n"/>
      <c r="D968" s="4" t="n"/>
      <c r="E968" s="4">
        <f>IF($D968="Active",$A968,"")</f>
        <v/>
      </c>
    </row>
    <row r="969">
      <c r="A969" s="4" t="n"/>
      <c r="B969" s="4" t="n"/>
      <c r="C969" s="4" t="n"/>
      <c r="D969" s="4" t="n"/>
      <c r="E969" s="4">
        <f>IF($D969="Active",$A969,"")</f>
        <v/>
      </c>
    </row>
    <row r="970">
      <c r="A970" s="4" t="n"/>
      <c r="B970" s="4" t="n"/>
      <c r="C970" s="4" t="n"/>
      <c r="D970" s="4" t="n"/>
      <c r="E970" s="4">
        <f>IF($D970="Active",$A970,"")</f>
        <v/>
      </c>
    </row>
    <row r="971">
      <c r="A971" s="4" t="n"/>
      <c r="B971" s="4" t="n"/>
      <c r="C971" s="4" t="n"/>
      <c r="D971" s="4" t="n"/>
      <c r="E971" s="4">
        <f>IF($D971="Active",$A971,"")</f>
        <v/>
      </c>
    </row>
    <row r="972">
      <c r="A972" s="4" t="n"/>
      <c r="B972" s="4" t="n"/>
      <c r="C972" s="4" t="n"/>
      <c r="D972" s="4" t="n"/>
      <c r="E972" s="4">
        <f>IF($D972="Active",$A972,"")</f>
        <v/>
      </c>
    </row>
    <row r="973">
      <c r="A973" s="4" t="n"/>
      <c r="B973" s="4" t="n"/>
      <c r="C973" s="4" t="n"/>
      <c r="D973" s="4" t="n"/>
      <c r="E973" s="4">
        <f>IF($D973="Active",$A973,"")</f>
        <v/>
      </c>
    </row>
    <row r="974">
      <c r="A974" s="4" t="n"/>
      <c r="B974" s="4" t="n"/>
      <c r="C974" s="4" t="n"/>
      <c r="D974" s="4" t="n"/>
      <c r="E974" s="4">
        <f>IF($D974="Active",$A974,"")</f>
        <v/>
      </c>
    </row>
    <row r="975">
      <c r="A975" s="4" t="n"/>
      <c r="B975" s="4" t="n"/>
      <c r="C975" s="4" t="n"/>
      <c r="D975" s="4" t="n"/>
      <c r="E975" s="4">
        <f>IF($D975="Active",$A975,"")</f>
        <v/>
      </c>
    </row>
    <row r="976">
      <c r="A976" s="4" t="n"/>
      <c r="B976" s="4" t="n"/>
      <c r="C976" s="4" t="n"/>
      <c r="D976" s="4" t="n"/>
      <c r="E976" s="4">
        <f>IF($D976="Active",$A976,"")</f>
        <v/>
      </c>
    </row>
    <row r="977">
      <c r="A977" s="4" t="n"/>
      <c r="B977" s="4" t="n"/>
      <c r="C977" s="4" t="n"/>
      <c r="D977" s="4" t="n"/>
      <c r="E977" s="4">
        <f>IF($D977="Active",$A977,"")</f>
        <v/>
      </c>
    </row>
    <row r="978">
      <c r="A978" s="4" t="n"/>
      <c r="B978" s="4" t="n"/>
      <c r="C978" s="4" t="n"/>
      <c r="D978" s="4" t="n"/>
      <c r="E978" s="4">
        <f>IF($D978="Active",$A978,"")</f>
        <v/>
      </c>
    </row>
    <row r="979">
      <c r="A979" s="4" t="n"/>
      <c r="B979" s="4" t="n"/>
      <c r="C979" s="4" t="n"/>
      <c r="D979" s="4" t="n"/>
      <c r="E979" s="4">
        <f>IF($D979="Active",$A979,"")</f>
        <v/>
      </c>
    </row>
    <row r="980">
      <c r="A980" s="4" t="n"/>
      <c r="B980" s="4" t="n"/>
      <c r="C980" s="4" t="n"/>
      <c r="D980" s="4" t="n"/>
      <c r="E980" s="4">
        <f>IF($D980="Active",$A980,"")</f>
        <v/>
      </c>
    </row>
    <row r="981">
      <c r="A981" s="4" t="n"/>
      <c r="B981" s="4" t="n"/>
      <c r="C981" s="4" t="n"/>
      <c r="D981" s="4" t="n"/>
      <c r="E981" s="4">
        <f>IF($D981="Active",$A981,"")</f>
        <v/>
      </c>
    </row>
    <row r="982">
      <c r="A982" s="4" t="n"/>
      <c r="B982" s="4" t="n"/>
      <c r="C982" s="4" t="n"/>
      <c r="D982" s="4" t="n"/>
      <c r="E982" s="4">
        <f>IF($D982="Active",$A982,"")</f>
        <v/>
      </c>
    </row>
    <row r="983">
      <c r="A983" s="4" t="n"/>
      <c r="B983" s="4" t="n"/>
      <c r="C983" s="4" t="n"/>
      <c r="D983" s="4" t="n"/>
      <c r="E983" s="4">
        <f>IF($D983="Active",$A983,"")</f>
        <v/>
      </c>
    </row>
    <row r="984">
      <c r="A984" s="4" t="n"/>
      <c r="B984" s="4" t="n"/>
      <c r="C984" s="4" t="n"/>
      <c r="D984" s="4" t="n"/>
      <c r="E984" s="4">
        <f>IF($D984="Active",$A984,"")</f>
        <v/>
      </c>
    </row>
    <row r="985">
      <c r="A985" s="4" t="n"/>
      <c r="B985" s="4" t="n"/>
      <c r="C985" s="4" t="n"/>
      <c r="D985" s="4" t="n"/>
      <c r="E985" s="4">
        <f>IF($D985="Active",$A985,"")</f>
        <v/>
      </c>
    </row>
    <row r="986">
      <c r="A986" s="4" t="n"/>
      <c r="B986" s="4" t="n"/>
      <c r="C986" s="4" t="n"/>
      <c r="D986" s="4" t="n"/>
      <c r="E986" s="4">
        <f>IF($D986="Active",$A986,"")</f>
        <v/>
      </c>
    </row>
    <row r="987">
      <c r="A987" s="4" t="n"/>
      <c r="B987" s="4" t="n"/>
      <c r="C987" s="4" t="n"/>
      <c r="D987" s="4" t="n"/>
      <c r="E987" s="4">
        <f>IF($D987="Active",$A987,"")</f>
        <v/>
      </c>
    </row>
    <row r="988">
      <c r="A988" s="4" t="n"/>
      <c r="B988" s="4" t="n"/>
      <c r="C988" s="4" t="n"/>
      <c r="D988" s="4" t="n"/>
      <c r="E988" s="4">
        <f>IF($D988="Active",$A988,"")</f>
        <v/>
      </c>
    </row>
    <row r="989">
      <c r="A989" s="4" t="n"/>
      <c r="B989" s="4" t="n"/>
      <c r="C989" s="4" t="n"/>
      <c r="D989" s="4" t="n"/>
      <c r="E989" s="4">
        <f>IF($D989="Active",$A989,"")</f>
        <v/>
      </c>
    </row>
    <row r="990">
      <c r="A990" s="4" t="n"/>
      <c r="B990" s="4" t="n"/>
      <c r="C990" s="4" t="n"/>
      <c r="D990" s="4" t="n"/>
      <c r="E990" s="4">
        <f>IF($D990="Active",$A990,"")</f>
        <v/>
      </c>
    </row>
    <row r="991">
      <c r="A991" s="4" t="n"/>
      <c r="B991" s="4" t="n"/>
      <c r="C991" s="4" t="n"/>
      <c r="D991" s="4" t="n"/>
      <c r="E991" s="4">
        <f>IF($D991="Active",$A991,"")</f>
        <v/>
      </c>
    </row>
    <row r="992">
      <c r="A992" s="4" t="n"/>
      <c r="B992" s="4" t="n"/>
      <c r="C992" s="4" t="n"/>
      <c r="D992" s="4" t="n"/>
      <c r="E992" s="4">
        <f>IF($D992="Active",$A992,"")</f>
        <v/>
      </c>
    </row>
    <row r="993">
      <c r="A993" s="4" t="n"/>
      <c r="B993" s="4" t="n"/>
      <c r="C993" s="4" t="n"/>
      <c r="D993" s="4" t="n"/>
      <c r="E993" s="4">
        <f>IF($D993="Active",$A993,"")</f>
        <v/>
      </c>
    </row>
    <row r="994">
      <c r="A994" s="4" t="n"/>
      <c r="B994" s="4" t="n"/>
      <c r="C994" s="4" t="n"/>
      <c r="D994" s="4" t="n"/>
      <c r="E994" s="4">
        <f>IF($D994="Active",$A994,"")</f>
        <v/>
      </c>
    </row>
    <row r="995">
      <c r="A995" s="4" t="n"/>
      <c r="B995" s="4" t="n"/>
      <c r="C995" s="4" t="n"/>
      <c r="D995" s="4" t="n"/>
      <c r="E995" s="4">
        <f>IF($D995="Active",$A995,"")</f>
        <v/>
      </c>
    </row>
    <row r="996">
      <c r="A996" s="4" t="n"/>
      <c r="B996" s="4" t="n"/>
      <c r="C996" s="4" t="n"/>
      <c r="D996" s="4" t="n"/>
      <c r="E996" s="4">
        <f>IF($D996="Active",$A996,"")</f>
        <v/>
      </c>
    </row>
    <row r="997">
      <c r="A997" s="4" t="n"/>
      <c r="B997" s="4" t="n"/>
      <c r="C997" s="4" t="n"/>
      <c r="D997" s="4" t="n"/>
      <c r="E997" s="4">
        <f>IF($D997="Active",$A997,"")</f>
        <v/>
      </c>
    </row>
    <row r="998">
      <c r="A998" s="4" t="n"/>
      <c r="B998" s="4" t="n"/>
      <c r="C998" s="4" t="n"/>
      <c r="D998" s="4" t="n"/>
      <c r="E998" s="4">
        <f>IF($D998="Active",$A998,"")</f>
        <v/>
      </c>
    </row>
    <row r="999">
      <c r="A999" s="4" t="n"/>
      <c r="B999" s="4" t="n"/>
      <c r="C999" s="4" t="n"/>
      <c r="D999" s="4" t="n"/>
      <c r="E999" s="4">
        <f>IF($D999="Active",$A999,"")</f>
        <v/>
      </c>
    </row>
    <row r="1000">
      <c r="A1000" s="5" t="n"/>
      <c r="B1000" s="5" t="n"/>
      <c r="C1000" s="5" t="n"/>
      <c r="D1000" s="5" t="n"/>
      <c r="E1000" s="5">
        <f>IF($D1000="Active",$A1000,"")</f>
        <v/>
      </c>
    </row>
  </sheetData>
  <dataValidations count="2">
    <dataValidation sqref="C2:C1000" showDropDown="0" showInputMessage="0" showErrorMessage="0" allowBlank="1" type="list">
      <formula1>"Quest,Classic"</formula1>
    </dataValidation>
    <dataValidation sqref="D2:D1000" showDropDown="0" showInputMessage="0" showErrorMessage="0" allowBlank="1" type="list">
      <formula1>"Active,Inactive"</formula1>
    </dataValidation>
  </dataValidations>
  <pageMargins left="0.75" right="0.75" top="1" bottom="1" header="0.5" footer="0.5"/>
</worksheet>
</file>

<file path=xl/worksheets/sheet2.xml><?xml version="1.0" encoding="utf-8"?>
<worksheet xmlns="http://schemas.openxmlformats.org/spreadsheetml/2006/main">
  <sheetPr>
    <tabColor rgb="FFFF9900"/>
    <outlinePr summaryBelow="0" summaryRight="0"/>
    <pageSetUpPr/>
  </sheetPr>
  <dimension ref="A1:Z1000"/>
  <sheetViews>
    <sheetView workbookViewId="0">
      <pane ySplit="1" topLeftCell="A2" activePane="bottomLeft" state="frozen"/>
      <selection pane="bottomLeft" activeCell="B3" sqref="B3"/>
    </sheetView>
  </sheetViews>
  <sheetFormatPr baseColWidth="8" defaultColWidth="12.63" defaultRowHeight="15.75" customHeight="1"/>
  <cols>
    <col width="14" customWidth="1" style="64" min="1" max="1"/>
    <col width="14" customWidth="1" style="64" min="2" max="2"/>
    <col width="16" customWidth="1" style="64" min="3" max="3"/>
    <col width="14" customWidth="1" style="64" min="4" max="4"/>
    <col hidden="1" width="28.88" customWidth="1" style="64" min="5" max="5"/>
    <col width="33.38" customWidth="1" style="64" min="6" max="6"/>
    <col width="14" customWidth="1" style="64" min="7" max="7"/>
    <col width="14" customWidth="1" style="64" min="8" max="8"/>
    <col width="14" customWidth="1" style="64" min="9" max="9"/>
    <col width="14" customWidth="1" style="64" min="10" max="10"/>
    <col width="14" customWidth="1" style="64" min="11" max="11"/>
    <col width="14" customWidth="1" style="64" min="12" max="12"/>
    <col width="14" customWidth="1" style="64" min="13" max="13"/>
    <col width="14" customWidth="1" style="64" min="14" max="14"/>
    <col hidden="1" width="14" customWidth="1" style="64" min="15" max="15"/>
    <col width="14" customWidth="1" style="64" min="16" max="16"/>
    <col hidden="1" width="14" customWidth="1" style="64" min="17" max="17"/>
    <col width="14" customWidth="1" style="64" min="18" max="18"/>
    <col width="14" customWidth="1" style="64" min="19" max="19"/>
    <col width="14" customWidth="1" style="64" min="20" max="20"/>
    <col width="14" customWidth="1" style="64" min="21" max="21"/>
    <col width="14" customWidth="1" style="64" min="22" max="22"/>
    <col width="14" customWidth="1" style="64" min="23" max="23"/>
    <col width="14" customWidth="1" style="64" min="24" max="24"/>
    <col width="14" customWidth="1" style="64" min="25" max="25"/>
    <col width="14" customWidth="1" style="64" min="26" max="26"/>
  </cols>
  <sheetData>
    <row r="1">
      <c r="A1" s="6" t="inlineStr">
        <is>
          <t>Date</t>
        </is>
      </c>
      <c r="B1" s="1" t="inlineStr">
        <is>
          <t>MemberID</t>
        </is>
      </c>
      <c r="C1" s="1" t="inlineStr">
        <is>
          <t>Member Name</t>
        </is>
      </c>
      <c r="D1" s="1" t="inlineStr">
        <is>
          <t>Mode</t>
        </is>
      </c>
      <c r="E1" s="1" t="inlineStr">
        <is>
          <t>Action ID</t>
        </is>
      </c>
      <c r="F1" s="1" t="inlineStr">
        <is>
          <t>Action Name</t>
        </is>
      </c>
      <c r="G1" s="7" t="inlineStr">
        <is>
          <t>Type</t>
        </is>
      </c>
      <c r="H1" s="1" t="inlineStr">
        <is>
          <t>Qty</t>
        </is>
      </c>
      <c r="I1" s="7" t="inlineStr">
        <is>
          <t>XP Per</t>
        </is>
      </c>
      <c r="J1" s="7" t="inlineStr">
        <is>
          <t>Coins Per</t>
        </is>
      </c>
      <c r="K1" s="7" t="inlineStr">
        <is>
          <t>XP Raw</t>
        </is>
      </c>
      <c r="L1" s="7" t="inlineStr">
        <is>
          <t>Coins Raw</t>
        </is>
      </c>
      <c r="M1" s="1" t="inlineStr">
        <is>
          <t>Verified</t>
        </is>
      </c>
      <c r="N1" s="1" t="inlineStr">
        <is>
          <t>Coach</t>
        </is>
      </c>
      <c r="O1" s="1" t="inlineStr">
        <is>
          <t>Week Key</t>
        </is>
      </c>
      <c r="P1" s="1" t="inlineStr">
        <is>
          <t>Notes</t>
        </is>
      </c>
      <c r="Q1" s="8" t="inlineStr">
        <is>
          <t>MonthKey</t>
        </is>
      </c>
      <c r="R1" s="9" t="n"/>
      <c r="S1" s="9" t="n"/>
      <c r="T1" s="9" t="n"/>
      <c r="U1" s="9" t="n"/>
      <c r="V1" s="9" t="n"/>
      <c r="W1" s="9" t="n"/>
      <c r="X1" s="9" t="n"/>
      <c r="Y1" s="9" t="n"/>
      <c r="Z1" s="9" t="n"/>
    </row>
    <row r="2">
      <c r="A2" s="65" t="n"/>
      <c r="B2" s="11" t="n"/>
      <c r="C2" s="11">
        <f>IFERROR(VLOOKUP($B2,Members!$A:$C,2,FALSE),"")</f>
        <v/>
      </c>
      <c r="D2" s="11">
        <f>IFERROR(VLOOKUP($B2,Members!$A:$C,3,FALSE),"")</f>
        <v/>
      </c>
      <c r="E2" s="11">
        <f>IF($F2="","",IFERROR(VLOOKUP($F2,ActionMap!$A:$B,2,FALSE),"INVALID ACTION"))</f>
        <v/>
      </c>
      <c r="F2" s="11" t="n"/>
      <c r="G2" s="11">
        <f>IFERROR(VLOOKUP($E2,ActionsCatalog!$A:$B,2,FALSE),"")</f>
        <v/>
      </c>
      <c r="H2" s="11" t="n"/>
      <c r="I2" s="11">
        <f>IFERROR(VLOOKUP($E2,ActionsCatalog!$A:$D,3,FALSE),0)</f>
        <v/>
      </c>
      <c r="J2" s="11">
        <f>IFERROR(VLOOKUP($E2,ActionsCatalog!$A:$D,4,FALSE),0)</f>
        <v/>
      </c>
      <c r="K2" s="11">
        <f>IF($M2&lt;&gt;"Yes",0,IF($H2="",0,$H2*$I2))</f>
        <v/>
      </c>
      <c r="L2" s="11">
        <f>IF($M2&lt;&gt;"Yes",0,IF($H2="",0,$H2*$J2))</f>
        <v/>
      </c>
      <c r="M2" s="11" t="n"/>
      <c r="N2" s="11" t="n"/>
      <c r="O2" s="11">
        <f>IF($A2="","",TEXT($A2,"yyyy")&amp;"-W"&amp;TEXT(ISOWEEKNUM($A2),"00"))</f>
        <v/>
      </c>
      <c r="P2" s="11" t="n"/>
      <c r="Q2" s="12">
        <f>IF($A2="","",TEXT($A2,"yyyy-mm"))</f>
        <v/>
      </c>
    </row>
    <row r="3">
      <c r="A3" s="66" t="n"/>
      <c r="B3" s="4" t="n"/>
      <c r="C3" s="11">
        <f>IFERROR(VLOOKUP($B3,Members!$A:$C,2,FALSE),"")</f>
        <v/>
      </c>
      <c r="D3" s="11">
        <f>IFERROR(VLOOKUP($B3,Members!$A:$C,3,FALSE),"")</f>
        <v/>
      </c>
      <c r="E3" s="11">
        <f>IF($F3="","",IFERROR(VLOOKUP($F3,ActionMap!$A:$B,2,FALSE),"INVALID ACTION"))</f>
        <v/>
      </c>
      <c r="F3" s="4" t="n"/>
      <c r="G3" s="11">
        <f>IFERROR(VLOOKUP($E3,ActionsCatalog!$A:$B,2,FALSE),"")</f>
        <v/>
      </c>
      <c r="H3" s="4" t="n"/>
      <c r="I3" s="4">
        <f>IFERROR(VLOOKUP($E3,ActionsCatalog!$A:$D,3,FALSE),0)</f>
        <v/>
      </c>
      <c r="J3" s="4">
        <f>IFERROR(VLOOKUP($E3,ActionsCatalog!$A:$D,4,FALSE),0)</f>
        <v/>
      </c>
      <c r="K3" s="4">
        <f>IF($M3&lt;&gt;"Yes",0,IF($H3="",0,$H3*$I3))</f>
        <v/>
      </c>
      <c r="L3" s="4">
        <f>IF($M3&lt;&gt;"Yes",0,IF($H3="",0,$H3*$J3))</f>
        <v/>
      </c>
      <c r="M3" s="4" t="n"/>
      <c r="N3" s="4" t="n"/>
      <c r="O3" s="4">
        <f>IF($A3="","",TEXT($A3,"yyyy")&amp;"-W"&amp;TEXT(ISOWEEKNUM($A3),"00"))</f>
        <v/>
      </c>
      <c r="P3" s="4" t="n"/>
      <c r="Q3" s="14">
        <f>IF($A3="","",TEXT($A3,"yyyy-mm"))</f>
        <v/>
      </c>
    </row>
    <row r="4">
      <c r="A4" s="66" t="n"/>
      <c r="B4" s="4" t="n"/>
      <c r="C4" s="11">
        <f>IFERROR(VLOOKUP($B4,Members!$A:$C,2,FALSE),"")</f>
        <v/>
      </c>
      <c r="D4" s="11">
        <f>IFERROR(VLOOKUP($B4,Members!$A:$C,3,FALSE),"")</f>
        <v/>
      </c>
      <c r="E4" s="11">
        <f>IF($F4="","",IFERROR(VLOOKUP($F4,ActionMap!$A:$B,2,FALSE),"INVALID ACTION"))</f>
        <v/>
      </c>
      <c r="F4" s="4" t="n"/>
      <c r="G4" s="11">
        <f>IFERROR(VLOOKUP($E4,ActionsCatalog!$A:$B,2,FALSE),"")</f>
        <v/>
      </c>
      <c r="H4" s="4" t="n"/>
      <c r="I4" s="4">
        <f>IFERROR(VLOOKUP($E4,ActionsCatalog!$A:$D,3,FALSE),0)</f>
        <v/>
      </c>
      <c r="J4" s="4">
        <f>IFERROR(VLOOKUP($E4,ActionsCatalog!$A:$D,4,FALSE),0)</f>
        <v/>
      </c>
      <c r="K4" s="4">
        <f>IF($M4&lt;&gt;"Yes",0,IF($H4="",0,$H4*$I4))</f>
        <v/>
      </c>
      <c r="L4" s="4">
        <f>IF($M4&lt;&gt;"Yes",0,IF($H4="",0,$H4*$J4))</f>
        <v/>
      </c>
      <c r="M4" s="4" t="n"/>
      <c r="N4" s="4" t="n"/>
      <c r="O4" s="4">
        <f>IF($A4="","",TEXT($A4,"yyyy")&amp;"-W"&amp;TEXT(ISOWEEKNUM($A4),"00"))</f>
        <v/>
      </c>
      <c r="P4" s="4" t="n"/>
      <c r="Q4" s="14">
        <f>IF($A4="","",TEXT($A4,"yyyy-mm"))</f>
        <v/>
      </c>
    </row>
    <row r="5">
      <c r="A5" s="66" t="n"/>
      <c r="B5" s="4" t="n"/>
      <c r="C5" s="11">
        <f>IFERROR(VLOOKUP($B5,Members!$A:$C,2,FALSE),"")</f>
        <v/>
      </c>
      <c r="D5" s="11">
        <f>IFERROR(VLOOKUP($B5,Members!$A:$C,3,FALSE),"")</f>
        <v/>
      </c>
      <c r="E5" s="11">
        <f>IF($F5="","",IFERROR(VLOOKUP($F5,ActionMap!$A:$B,2,FALSE),"INVALID ACTION"))</f>
        <v/>
      </c>
      <c r="F5" s="4" t="n"/>
      <c r="G5" s="11">
        <f>IFERROR(VLOOKUP($E5,ActionsCatalog!$A:$B,2,FALSE),"")</f>
        <v/>
      </c>
      <c r="H5" s="4" t="n"/>
      <c r="I5" s="4">
        <f>IFERROR(VLOOKUP($E5,ActionsCatalog!$A:$D,3,FALSE),0)</f>
        <v/>
      </c>
      <c r="J5" s="4">
        <f>IFERROR(VLOOKUP($E5,ActionsCatalog!$A:$D,4,FALSE),0)</f>
        <v/>
      </c>
      <c r="K5" s="4">
        <f>IF($M5&lt;&gt;"Yes",0,IF($H5="",0,$H5*$I5))</f>
        <v/>
      </c>
      <c r="L5" s="4">
        <f>IF($M5&lt;&gt;"Yes",0,IF($H5="",0,$H5*$J5))</f>
        <v/>
      </c>
      <c r="M5" s="4" t="n"/>
      <c r="N5" s="4" t="n"/>
      <c r="O5" s="4">
        <f>IF($A5="","",TEXT($A5,"yyyy")&amp;"-W"&amp;TEXT(ISOWEEKNUM($A5),"00"))</f>
        <v/>
      </c>
      <c r="P5" s="4" t="n"/>
      <c r="Q5" s="14">
        <f>IF($A5="","",TEXT($A5,"yyyy-mm"))</f>
        <v/>
      </c>
    </row>
    <row r="6">
      <c r="A6" s="66" t="n"/>
      <c r="B6" s="4" t="n"/>
      <c r="C6" s="11">
        <f>IFERROR(VLOOKUP($B6,Members!$A:$C,2,FALSE),"")</f>
        <v/>
      </c>
      <c r="D6" s="11">
        <f>IFERROR(VLOOKUP($B6,Members!$A:$C,3,FALSE),"")</f>
        <v/>
      </c>
      <c r="E6" s="11">
        <f>IF($F6="","",IFERROR(VLOOKUP($F6,ActionMap!$A:$B,2,FALSE),"INVALID ACTION"))</f>
        <v/>
      </c>
      <c r="F6" s="4" t="n"/>
      <c r="G6" s="11">
        <f>IFERROR(VLOOKUP($E6,ActionsCatalog!$A:$B,2,FALSE),"")</f>
        <v/>
      </c>
      <c r="H6" s="4" t="n"/>
      <c r="I6" s="4">
        <f>IFERROR(VLOOKUP($E6,ActionsCatalog!$A:$D,3,FALSE),0)</f>
        <v/>
      </c>
      <c r="J6" s="4">
        <f>IFERROR(VLOOKUP($E6,ActionsCatalog!$A:$D,4,FALSE),0)</f>
        <v/>
      </c>
      <c r="K6" s="4">
        <f>IF($M6&lt;&gt;"Yes",0,IF($H6="",0,$H6*$I6))</f>
        <v/>
      </c>
      <c r="L6" s="4">
        <f>IF($M6&lt;&gt;"Yes",0,IF($H6="",0,$H6*$J6))</f>
        <v/>
      </c>
      <c r="M6" s="4" t="n"/>
      <c r="N6" s="4" t="n"/>
      <c r="O6" s="4">
        <f>IF($A6="","",TEXT($A6,"yyyy")&amp;"-W"&amp;TEXT(ISOWEEKNUM($A6),"00"))</f>
        <v/>
      </c>
      <c r="P6" s="4" t="n"/>
      <c r="Q6" s="14">
        <f>IF($A6="","",TEXT($A6,"yyyy-mm"))</f>
        <v/>
      </c>
    </row>
    <row r="7">
      <c r="A7" s="66" t="n"/>
      <c r="B7" s="4" t="n"/>
      <c r="C7" s="11">
        <f>IFERROR(VLOOKUP($B7,Members!$A:$C,2,FALSE),"")</f>
        <v/>
      </c>
      <c r="D7" s="11">
        <f>IFERROR(VLOOKUP($B7,Members!$A:$C,3,FALSE),"")</f>
        <v/>
      </c>
      <c r="E7" s="11">
        <f>IF($F7="","",IFERROR(VLOOKUP($F7,ActionMap!$A:$B,2,FALSE),"INVALID ACTION"))</f>
        <v/>
      </c>
      <c r="F7" s="4" t="n"/>
      <c r="G7" s="11">
        <f>IFERROR(VLOOKUP($E7,ActionsCatalog!$A:$B,2,FALSE),"")</f>
        <v/>
      </c>
      <c r="H7" s="4" t="n"/>
      <c r="I7" s="4">
        <f>IFERROR(VLOOKUP($E7,ActionsCatalog!$A:$D,3,FALSE),0)</f>
        <v/>
      </c>
      <c r="J7" s="4">
        <f>IFERROR(VLOOKUP($E7,ActionsCatalog!$A:$D,4,FALSE),0)</f>
        <v/>
      </c>
      <c r="K7" s="4">
        <f>IF($M7&lt;&gt;"Yes",0,IF($H7="",0,$H7*$I7))</f>
        <v/>
      </c>
      <c r="L7" s="4">
        <f>IF($M7&lt;&gt;"Yes",0,IF($H7="",0,$H7*$J7))</f>
        <v/>
      </c>
      <c r="M7" s="4" t="n"/>
      <c r="N7" s="4" t="n"/>
      <c r="O7" s="4">
        <f>IF($A7="","",TEXT($A7,"yyyy")&amp;"-W"&amp;TEXT(ISOWEEKNUM($A7),"00"))</f>
        <v/>
      </c>
      <c r="P7" s="4" t="n"/>
      <c r="Q7" s="14">
        <f>IF($A7="","",TEXT($A7,"yyyy-mm"))</f>
        <v/>
      </c>
      <c r="S7" s="59" t="n"/>
    </row>
    <row r="8">
      <c r="A8" s="66" t="n"/>
      <c r="B8" s="4" t="n"/>
      <c r="C8" s="11">
        <f>IFERROR(VLOOKUP($B8,Members!$A:$C,2,FALSE),"")</f>
        <v/>
      </c>
      <c r="D8" s="11">
        <f>IFERROR(VLOOKUP($B8,Members!$A:$C,3,FALSE),"")</f>
        <v/>
      </c>
      <c r="E8" s="11">
        <f>IF($F8="","",IFERROR(VLOOKUP($F8,ActionMap!$A:$B,2,FALSE),"INVALID ACTION"))</f>
        <v/>
      </c>
      <c r="F8" s="4" t="n"/>
      <c r="G8" s="11">
        <f>IFERROR(VLOOKUP($E8,ActionsCatalog!$A:$B,2,FALSE),"")</f>
        <v/>
      </c>
      <c r="H8" s="4" t="n"/>
      <c r="I8" s="4">
        <f>IFERROR(VLOOKUP($E8,ActionsCatalog!$A:$D,3,FALSE),0)</f>
        <v/>
      </c>
      <c r="J8" s="4">
        <f>IFERROR(VLOOKUP($E8,ActionsCatalog!$A:$D,4,FALSE),0)</f>
        <v/>
      </c>
      <c r="K8" s="4">
        <f>IF($M8&lt;&gt;"Yes",0,IF($H8="",0,$H8*$I8))</f>
        <v/>
      </c>
      <c r="L8" s="4">
        <f>IF($M8&lt;&gt;"Yes",0,IF($H8="",0,$H8*$J8))</f>
        <v/>
      </c>
      <c r="M8" s="4" t="n"/>
      <c r="N8" s="4" t="n"/>
      <c r="O8" s="4">
        <f>IF($A8="","",TEXT($A8,"yyyy")&amp;"-W"&amp;TEXT(ISOWEEKNUM($A8),"00"))</f>
        <v/>
      </c>
      <c r="P8" s="4" t="n"/>
      <c r="Q8" s="14">
        <f>IF($A8="","",TEXT($A8,"yyyy-mm"))</f>
        <v/>
      </c>
    </row>
    <row r="9">
      <c r="A9" s="66" t="n"/>
      <c r="B9" s="4" t="n"/>
      <c r="C9" s="11">
        <f>IFERROR(VLOOKUP($B9,Members!$A:$C,2,FALSE),"")</f>
        <v/>
      </c>
      <c r="D9" s="11">
        <f>IFERROR(VLOOKUP($B9,Members!$A:$C,3,FALSE),"")</f>
        <v/>
      </c>
      <c r="E9" s="11">
        <f>IF($F9="","",IFERROR(VLOOKUP($F9,ActionMap!$A:$B,2,FALSE),"INVALID ACTION"))</f>
        <v/>
      </c>
      <c r="F9" s="4" t="n"/>
      <c r="G9" s="11">
        <f>IFERROR(VLOOKUP($E9,ActionsCatalog!$A:$B,2,FALSE),"")</f>
        <v/>
      </c>
      <c r="H9" s="4" t="n"/>
      <c r="I9" s="4">
        <f>IFERROR(VLOOKUP($E9,ActionsCatalog!$A:$D,3,FALSE),0)</f>
        <v/>
      </c>
      <c r="J9" s="4">
        <f>IFERROR(VLOOKUP($E9,ActionsCatalog!$A:$D,4,FALSE),0)</f>
        <v/>
      </c>
      <c r="K9" s="4">
        <f>IF($M9&lt;&gt;"Yes",0,IF($H9="",0,$H9*$I9))</f>
        <v/>
      </c>
      <c r="L9" s="4">
        <f>IF($M9&lt;&gt;"Yes",0,IF($H9="",0,$H9*$J9))</f>
        <v/>
      </c>
      <c r="M9" s="4" t="n"/>
      <c r="N9" s="4" t="n"/>
      <c r="O9" s="4">
        <f>IF($A9="","",TEXT($A9,"yyyy")&amp;"-W"&amp;TEXT(ISOWEEKNUM($A9),"00"))</f>
        <v/>
      </c>
      <c r="P9" s="4" t="n"/>
      <c r="Q9" s="14">
        <f>IF($A9="","",TEXT($A9,"yyyy-mm"))</f>
        <v/>
      </c>
    </row>
    <row r="10">
      <c r="A10" s="66" t="n"/>
      <c r="B10" s="4" t="n"/>
      <c r="C10" s="11">
        <f>IFERROR(VLOOKUP($B10,Members!$A:$C,2,FALSE),"")</f>
        <v/>
      </c>
      <c r="D10" s="11">
        <f>IFERROR(VLOOKUP($B10,Members!$A:$C,3,FALSE),"")</f>
        <v/>
      </c>
      <c r="E10" s="11">
        <f>IF($F10="","",IFERROR(VLOOKUP($F10,ActionMap!$A:$B,2,FALSE),"INVALID ACTION"))</f>
        <v/>
      </c>
      <c r="F10" s="4" t="n"/>
      <c r="G10" s="11">
        <f>IFERROR(VLOOKUP($E10,ActionsCatalog!$A:$B,2,FALSE),"")</f>
        <v/>
      </c>
      <c r="H10" s="4" t="n"/>
      <c r="I10" s="4">
        <f>IFERROR(VLOOKUP($E10,ActionsCatalog!$A:$D,3,FALSE),0)</f>
        <v/>
      </c>
      <c r="J10" s="4">
        <f>IFERROR(VLOOKUP($E10,ActionsCatalog!$A:$D,4,FALSE),0)</f>
        <v/>
      </c>
      <c r="K10" s="4">
        <f>IF($M10&lt;&gt;"Yes",0,IF($H10="",0,$H10*$I10))</f>
        <v/>
      </c>
      <c r="L10" s="4">
        <f>IF($M10&lt;&gt;"Yes",0,IF($H10="",0,$H10*$J10))</f>
        <v/>
      </c>
      <c r="M10" s="4" t="n"/>
      <c r="N10" s="4" t="n"/>
      <c r="O10" s="4">
        <f>IF($A10="","",TEXT($A10,"yyyy")&amp;"-W"&amp;TEXT(ISOWEEKNUM($A10),"00"))</f>
        <v/>
      </c>
      <c r="P10" s="4" t="n"/>
      <c r="Q10" s="14">
        <f>IF($A10="","",TEXT($A10,"yyyy-mm"))</f>
        <v/>
      </c>
    </row>
    <row r="11">
      <c r="A11" s="66" t="n"/>
      <c r="B11" s="4" t="n"/>
      <c r="C11" s="11">
        <f>IFERROR(VLOOKUP($B11,Members!$A:$C,2,FALSE),"")</f>
        <v/>
      </c>
      <c r="D11" s="11">
        <f>IFERROR(VLOOKUP($B11,Members!$A:$C,3,FALSE),"")</f>
        <v/>
      </c>
      <c r="E11" s="11">
        <f>IF($F11="","",IFERROR(VLOOKUP($F11,ActionMap!$A:$B,2,FALSE),"INVALID ACTION"))</f>
        <v/>
      </c>
      <c r="F11" s="4" t="n"/>
      <c r="G11" s="11">
        <f>IFERROR(VLOOKUP($E11,ActionsCatalog!$A:$B,2,FALSE),"")</f>
        <v/>
      </c>
      <c r="H11" s="4" t="n"/>
      <c r="I11" s="4">
        <f>IFERROR(VLOOKUP($E11,ActionsCatalog!$A:$D,3,FALSE),0)</f>
        <v/>
      </c>
      <c r="J11" s="4">
        <f>IFERROR(VLOOKUP($E11,ActionsCatalog!$A:$D,4,FALSE),0)</f>
        <v/>
      </c>
      <c r="K11" s="4">
        <f>IF($M11&lt;&gt;"Yes",0,IF($H11="",0,$H11*$I11))</f>
        <v/>
      </c>
      <c r="L11" s="4">
        <f>IF($M11&lt;&gt;"Yes",0,IF($H11="",0,$H11*$J11))</f>
        <v/>
      </c>
      <c r="M11" s="4" t="n"/>
      <c r="N11" s="4" t="n"/>
      <c r="O11" s="4">
        <f>IF($A11="","",TEXT($A11,"yyyy")&amp;"-W"&amp;TEXT(ISOWEEKNUM($A11),"00"))</f>
        <v/>
      </c>
      <c r="P11" s="4" t="n"/>
      <c r="Q11" s="14">
        <f>IF($A11="","",TEXT($A11,"yyyy-mm"))</f>
        <v/>
      </c>
    </row>
    <row r="12">
      <c r="A12" s="66" t="n"/>
      <c r="B12" s="4" t="n"/>
      <c r="C12" s="11">
        <f>IFERROR(VLOOKUP($B12,Members!$A:$C,2,FALSE),"")</f>
        <v/>
      </c>
      <c r="D12" s="11">
        <f>IFERROR(VLOOKUP($B12,Members!$A:$C,3,FALSE),"")</f>
        <v/>
      </c>
      <c r="E12" s="11">
        <f>IF($F12="","",IFERROR(VLOOKUP($F12,ActionMap!$A:$B,2,FALSE),"INVALID ACTION"))</f>
        <v/>
      </c>
      <c r="F12" s="4" t="n"/>
      <c r="G12" s="11">
        <f>IFERROR(VLOOKUP($E12,ActionsCatalog!$A:$B,2,FALSE),"")</f>
        <v/>
      </c>
      <c r="H12" s="4" t="n"/>
      <c r="I12" s="4">
        <f>IFERROR(VLOOKUP($E12,ActionsCatalog!$A:$D,3,FALSE),0)</f>
        <v/>
      </c>
      <c r="J12" s="4">
        <f>IFERROR(VLOOKUP($E12,ActionsCatalog!$A:$D,4,FALSE),0)</f>
        <v/>
      </c>
      <c r="K12" s="4">
        <f>IF($M12&lt;&gt;"Yes",0,IF($H12="",0,$H12*$I12))</f>
        <v/>
      </c>
      <c r="L12" s="4">
        <f>IF($M12&lt;&gt;"Yes",0,IF($H12="",0,$H12*$J12))</f>
        <v/>
      </c>
      <c r="M12" s="4" t="n"/>
      <c r="N12" s="4" t="n"/>
      <c r="O12" s="4">
        <f>IF($A12="","",TEXT($A12,"yyyy")&amp;"-W"&amp;TEXT(ISOWEEKNUM($A12),"00"))</f>
        <v/>
      </c>
      <c r="P12" s="4" t="n"/>
      <c r="Q12" s="14">
        <f>IF($A12="","",TEXT($A12,"yyyy-mm"))</f>
        <v/>
      </c>
    </row>
    <row r="13">
      <c r="A13" s="66" t="n"/>
      <c r="B13" s="4" t="n"/>
      <c r="C13" s="11">
        <f>IFERROR(VLOOKUP($B13,Members!$A:$C,2,FALSE),"")</f>
        <v/>
      </c>
      <c r="D13" s="11">
        <f>IFERROR(VLOOKUP($B13,Members!$A:$C,3,FALSE),"")</f>
        <v/>
      </c>
      <c r="E13" s="11">
        <f>IF($F13="","",IFERROR(VLOOKUP($F13,ActionMap!$A:$B,2,FALSE),"INVALID ACTION"))</f>
        <v/>
      </c>
      <c r="F13" s="4" t="n"/>
      <c r="G13" s="11">
        <f>IFERROR(VLOOKUP($E13,ActionsCatalog!$A:$B,2,FALSE),"")</f>
        <v/>
      </c>
      <c r="H13" s="4" t="n"/>
      <c r="I13" s="4">
        <f>IFERROR(VLOOKUP($E13,ActionsCatalog!$A:$D,3,FALSE),0)</f>
        <v/>
      </c>
      <c r="J13" s="4">
        <f>IFERROR(VLOOKUP($E13,ActionsCatalog!$A:$D,4,FALSE),0)</f>
        <v/>
      </c>
      <c r="K13" s="4">
        <f>IF($M13&lt;&gt;"Yes",0,IF($H13="",0,$H13*$I13))</f>
        <v/>
      </c>
      <c r="L13" s="4">
        <f>IF($M13&lt;&gt;"Yes",0,IF($H13="",0,$H13*$J13))</f>
        <v/>
      </c>
      <c r="M13" s="4" t="n"/>
      <c r="N13" s="4" t="n"/>
      <c r="O13" s="4">
        <f>IF($A13="","",TEXT($A13,"yyyy")&amp;"-W"&amp;TEXT(ISOWEEKNUM($A13),"00"))</f>
        <v/>
      </c>
      <c r="P13" s="4" t="n"/>
      <c r="Q13" s="14">
        <f>IF($A13="","",TEXT($A13,"yyyy-mm"))</f>
        <v/>
      </c>
    </row>
    <row r="14">
      <c r="A14" s="66" t="n"/>
      <c r="B14" s="4" t="n"/>
      <c r="C14" s="11">
        <f>IFERROR(VLOOKUP($B14,Members!$A:$C,2,FALSE),"")</f>
        <v/>
      </c>
      <c r="D14" s="11">
        <f>IFERROR(VLOOKUP($B14,Members!$A:$C,3,FALSE),"")</f>
        <v/>
      </c>
      <c r="E14" s="11">
        <f>IF($F14="","",IFERROR(VLOOKUP($F14,ActionMap!$A:$B,2,FALSE),"INVALID ACTION"))</f>
        <v/>
      </c>
      <c r="F14" s="4" t="n"/>
      <c r="G14" s="11">
        <f>IFERROR(VLOOKUP($E14,ActionsCatalog!$A:$B,2,FALSE),"")</f>
        <v/>
      </c>
      <c r="H14" s="4" t="n"/>
      <c r="I14" s="4">
        <f>IFERROR(VLOOKUP($E14,ActionsCatalog!$A:$D,3,FALSE),0)</f>
        <v/>
      </c>
      <c r="J14" s="4">
        <f>IFERROR(VLOOKUP($E14,ActionsCatalog!$A:$D,4,FALSE),0)</f>
        <v/>
      </c>
      <c r="K14" s="4">
        <f>IF($M14&lt;&gt;"Yes",0,IF($H14="",0,$H14*$I14))</f>
        <v/>
      </c>
      <c r="L14" s="4">
        <f>IF($M14&lt;&gt;"Yes",0,IF($H14="",0,$H14*$J14))</f>
        <v/>
      </c>
      <c r="M14" s="4" t="n"/>
      <c r="N14" s="4" t="n"/>
      <c r="O14" s="4">
        <f>IF($A14="","",TEXT($A14,"yyyy")&amp;"-W"&amp;TEXT(ISOWEEKNUM($A14),"00"))</f>
        <v/>
      </c>
      <c r="P14" s="4" t="n"/>
      <c r="Q14" s="14">
        <f>IF($A14="","",TEXT($A14,"yyyy-mm"))</f>
        <v/>
      </c>
    </row>
    <row r="15">
      <c r="A15" s="66" t="n"/>
      <c r="B15" s="4" t="n"/>
      <c r="C15" s="11">
        <f>IFERROR(VLOOKUP($B15,Members!$A:$C,2,FALSE),"")</f>
        <v/>
      </c>
      <c r="D15" s="11">
        <f>IFERROR(VLOOKUP($B15,Members!$A:$C,3,FALSE),"")</f>
        <v/>
      </c>
      <c r="E15" s="11">
        <f>IF($F15="","",IFERROR(VLOOKUP($F15,ActionMap!$A:$B,2,FALSE),"INVALID ACTION"))</f>
        <v/>
      </c>
      <c r="F15" s="4" t="n"/>
      <c r="G15" s="11">
        <f>IFERROR(VLOOKUP($E15,ActionsCatalog!$A:$B,2,FALSE),"")</f>
        <v/>
      </c>
      <c r="H15" s="4" t="n"/>
      <c r="I15" s="4">
        <f>IFERROR(VLOOKUP($E15,ActionsCatalog!$A:$D,3,FALSE),0)</f>
        <v/>
      </c>
      <c r="J15" s="4">
        <f>IFERROR(VLOOKUP($E15,ActionsCatalog!$A:$D,4,FALSE),0)</f>
        <v/>
      </c>
      <c r="K15" s="4">
        <f>IF($M15&lt;&gt;"Yes",0,IF($H15="",0,$H15*$I15))</f>
        <v/>
      </c>
      <c r="L15" s="4">
        <f>IF($M15&lt;&gt;"Yes",0,IF($H15="",0,$H15*$J15))</f>
        <v/>
      </c>
      <c r="M15" s="4" t="n"/>
      <c r="N15" s="4" t="n"/>
      <c r="O15" s="4">
        <f>IF($A15="","",TEXT($A15,"yyyy")&amp;"-W"&amp;TEXT(ISOWEEKNUM($A15),"00"))</f>
        <v/>
      </c>
      <c r="P15" s="4" t="n"/>
      <c r="Q15" s="14">
        <f>IF($A15="","",TEXT($A15,"yyyy-mm"))</f>
        <v/>
      </c>
    </row>
    <row r="16">
      <c r="A16" s="66" t="n"/>
      <c r="B16" s="4" t="n"/>
      <c r="C16" s="11">
        <f>IFERROR(VLOOKUP($B16,Members!$A:$C,2,FALSE),"")</f>
        <v/>
      </c>
      <c r="D16" s="11">
        <f>IFERROR(VLOOKUP($B16,Members!$A:$C,3,FALSE),"")</f>
        <v/>
      </c>
      <c r="E16" s="11">
        <f>IF($F16="","",IFERROR(VLOOKUP($F16,ActionMap!$A:$B,2,FALSE),"INVALID ACTION"))</f>
        <v/>
      </c>
      <c r="F16" s="4" t="n"/>
      <c r="G16" s="11">
        <f>IFERROR(VLOOKUP($E16,ActionsCatalog!$A:$B,2,FALSE),"")</f>
        <v/>
      </c>
      <c r="H16" s="4" t="n"/>
      <c r="I16" s="4">
        <f>IFERROR(VLOOKUP($E16,ActionsCatalog!$A:$D,3,FALSE),0)</f>
        <v/>
      </c>
      <c r="J16" s="4">
        <f>IFERROR(VLOOKUP($E16,ActionsCatalog!$A:$D,4,FALSE),0)</f>
        <v/>
      </c>
      <c r="K16" s="4">
        <f>IF($M16&lt;&gt;"Yes",0,IF($H16="",0,$H16*$I16))</f>
        <v/>
      </c>
      <c r="L16" s="4">
        <f>IF($M16&lt;&gt;"Yes",0,IF($H16="",0,$H16*$J16))</f>
        <v/>
      </c>
      <c r="M16" s="4" t="n"/>
      <c r="N16" s="4" t="n"/>
      <c r="O16" s="4">
        <f>IF($A16="","",TEXT($A16,"yyyy")&amp;"-W"&amp;TEXT(ISOWEEKNUM($A16),"00"))</f>
        <v/>
      </c>
      <c r="P16" s="4" t="n"/>
      <c r="Q16" s="14">
        <f>IF($A16="","",TEXT($A16,"yyyy-mm"))</f>
        <v/>
      </c>
    </row>
    <row r="17">
      <c r="A17" s="66" t="n"/>
      <c r="B17" s="4" t="n"/>
      <c r="C17" s="11">
        <f>IFERROR(VLOOKUP($B17,Members!$A:$C,2,FALSE),"")</f>
        <v/>
      </c>
      <c r="D17" s="11">
        <f>IFERROR(VLOOKUP($B17,Members!$A:$C,3,FALSE),"")</f>
        <v/>
      </c>
      <c r="E17" s="11">
        <f>IF($F17="","",IFERROR(VLOOKUP($F17,ActionMap!$A:$B,2,FALSE),"INVALID ACTION"))</f>
        <v/>
      </c>
      <c r="F17" s="4" t="n"/>
      <c r="G17" s="11">
        <f>IFERROR(VLOOKUP($E17,ActionsCatalog!$A:$B,2,FALSE),"")</f>
        <v/>
      </c>
      <c r="H17" s="4" t="n"/>
      <c r="I17" s="4">
        <f>IFERROR(VLOOKUP($E17,ActionsCatalog!$A:$D,3,FALSE),0)</f>
        <v/>
      </c>
      <c r="J17" s="4">
        <f>IFERROR(VLOOKUP($E17,ActionsCatalog!$A:$D,4,FALSE),0)</f>
        <v/>
      </c>
      <c r="K17" s="4">
        <f>IF($M17&lt;&gt;"Yes",0,IF($H17="",0,$H17*$I17))</f>
        <v/>
      </c>
      <c r="L17" s="4">
        <f>IF($M17&lt;&gt;"Yes",0,IF($H17="",0,$H17*$J17))</f>
        <v/>
      </c>
      <c r="M17" s="4" t="n"/>
      <c r="N17" s="4" t="n"/>
      <c r="O17" s="4">
        <f>IF($A17="","",TEXT($A17,"yyyy")&amp;"-W"&amp;TEXT(ISOWEEKNUM($A17),"00"))</f>
        <v/>
      </c>
      <c r="P17" s="4" t="n"/>
      <c r="Q17" s="14">
        <f>IF($A17="","",TEXT($A17,"yyyy-mm"))</f>
        <v/>
      </c>
    </row>
    <row r="18">
      <c r="A18" s="66" t="n"/>
      <c r="B18" s="4" t="n"/>
      <c r="C18" s="11">
        <f>IFERROR(VLOOKUP($B18,Members!$A:$C,2,FALSE),"")</f>
        <v/>
      </c>
      <c r="D18" s="11">
        <f>IFERROR(VLOOKUP($B18,Members!$A:$C,3,FALSE),"")</f>
        <v/>
      </c>
      <c r="E18" s="11">
        <f>IF($F18="","",IFERROR(VLOOKUP($F18,ActionMap!$A:$B,2,FALSE),"INVALID ACTION"))</f>
        <v/>
      </c>
      <c r="F18" s="4" t="n"/>
      <c r="G18" s="11">
        <f>IFERROR(VLOOKUP($E18,ActionsCatalog!$A:$B,2,FALSE),"")</f>
        <v/>
      </c>
      <c r="H18" s="4" t="n"/>
      <c r="I18" s="4">
        <f>IFERROR(VLOOKUP($E18,ActionsCatalog!$A:$D,3,FALSE),0)</f>
        <v/>
      </c>
      <c r="J18" s="4">
        <f>IFERROR(VLOOKUP($E18,ActionsCatalog!$A:$D,4,FALSE),0)</f>
        <v/>
      </c>
      <c r="K18" s="4">
        <f>IF($M18&lt;&gt;"Yes",0,IF($H18="",0,$H18*$I18))</f>
        <v/>
      </c>
      <c r="L18" s="4">
        <f>IF($M18&lt;&gt;"Yes",0,IF($H18="",0,$H18*$J18))</f>
        <v/>
      </c>
      <c r="M18" s="4" t="n"/>
      <c r="N18" s="4" t="n"/>
      <c r="O18" s="4">
        <f>IF($A18="","",TEXT($A18,"yyyy")&amp;"-W"&amp;TEXT(ISOWEEKNUM($A18),"00"))</f>
        <v/>
      </c>
      <c r="P18" s="4" t="n"/>
      <c r="Q18" s="14">
        <f>IF($A18="","",TEXT($A18,"yyyy-mm"))</f>
        <v/>
      </c>
    </row>
    <row r="19">
      <c r="A19" s="66" t="n"/>
      <c r="B19" s="4" t="n"/>
      <c r="C19" s="11">
        <f>IFERROR(VLOOKUP($B19,Members!$A:$C,2,FALSE),"")</f>
        <v/>
      </c>
      <c r="D19" s="11">
        <f>IFERROR(VLOOKUP($B19,Members!$A:$C,3,FALSE),"")</f>
        <v/>
      </c>
      <c r="E19" s="11">
        <f>IF($F19="","",IFERROR(VLOOKUP($F19,ActionMap!$A:$B,2,FALSE),"INVALID ACTION"))</f>
        <v/>
      </c>
      <c r="F19" s="4" t="n"/>
      <c r="G19" s="11">
        <f>IFERROR(VLOOKUP($E19,ActionsCatalog!$A:$B,2,FALSE),"")</f>
        <v/>
      </c>
      <c r="H19" s="4" t="n"/>
      <c r="I19" s="4">
        <f>IFERROR(VLOOKUP($E19,ActionsCatalog!$A:$D,3,FALSE),0)</f>
        <v/>
      </c>
      <c r="J19" s="4">
        <f>IFERROR(VLOOKUP($E19,ActionsCatalog!$A:$D,4,FALSE),0)</f>
        <v/>
      </c>
      <c r="K19" s="4">
        <f>IF($M19&lt;&gt;"Yes",0,IF($H19="",0,$H19*$I19))</f>
        <v/>
      </c>
      <c r="L19" s="4">
        <f>IF($M19&lt;&gt;"Yes",0,IF($H19="",0,$H19*$J19))</f>
        <v/>
      </c>
      <c r="M19" s="4" t="n"/>
      <c r="N19" s="4" t="n"/>
      <c r="O19" s="4">
        <f>IF($A19="","",TEXT($A19,"yyyy")&amp;"-W"&amp;TEXT(ISOWEEKNUM($A19),"00"))</f>
        <v/>
      </c>
      <c r="P19" s="4" t="n"/>
      <c r="Q19" s="14">
        <f>IF($A19="","",TEXT($A19,"yyyy-mm"))</f>
        <v/>
      </c>
    </row>
    <row r="20">
      <c r="A20" s="66" t="n"/>
      <c r="B20" s="4" t="n"/>
      <c r="C20" s="11">
        <f>IFERROR(VLOOKUP($B20,Members!$A:$C,2,FALSE),"")</f>
        <v/>
      </c>
      <c r="D20" s="11">
        <f>IFERROR(VLOOKUP($B20,Members!$A:$C,3,FALSE),"")</f>
        <v/>
      </c>
      <c r="E20" s="11">
        <f>IF($F20="","",IFERROR(VLOOKUP($F20,ActionMap!$A:$B,2,FALSE),"INVALID ACTION"))</f>
        <v/>
      </c>
      <c r="F20" s="4" t="n"/>
      <c r="G20" s="11">
        <f>IFERROR(VLOOKUP($E20,ActionsCatalog!$A:$B,2,FALSE),"")</f>
        <v/>
      </c>
      <c r="H20" s="4" t="n"/>
      <c r="I20" s="4">
        <f>IFERROR(VLOOKUP($E20,ActionsCatalog!$A:$D,3,FALSE),0)</f>
        <v/>
      </c>
      <c r="J20" s="4">
        <f>IFERROR(VLOOKUP($E20,ActionsCatalog!$A:$D,4,FALSE),0)</f>
        <v/>
      </c>
      <c r="K20" s="4">
        <f>IF($M20&lt;&gt;"Yes",0,IF($H20="",0,$H20*$I20))</f>
        <v/>
      </c>
      <c r="L20" s="4">
        <f>IF($M20&lt;&gt;"Yes",0,IF($H20="",0,$H20*$J20))</f>
        <v/>
      </c>
      <c r="M20" s="4" t="n"/>
      <c r="N20" s="4" t="n"/>
      <c r="O20" s="4">
        <f>IF($A20="","",TEXT($A20,"yyyy")&amp;"-W"&amp;TEXT(ISOWEEKNUM($A20),"00"))</f>
        <v/>
      </c>
      <c r="P20" s="4" t="n"/>
      <c r="Q20" s="14">
        <f>IF($A20="","",TEXT($A20,"yyyy-mm"))</f>
        <v/>
      </c>
    </row>
    <row r="21">
      <c r="A21" s="66" t="n"/>
      <c r="B21" s="4" t="n"/>
      <c r="C21" s="11">
        <f>IFERROR(VLOOKUP($B21,Members!$A:$C,2,FALSE),"")</f>
        <v/>
      </c>
      <c r="D21" s="11">
        <f>IFERROR(VLOOKUP($B21,Members!$A:$C,3,FALSE),"")</f>
        <v/>
      </c>
      <c r="E21" s="11">
        <f>IF($F21="","",IFERROR(VLOOKUP($F21,ActionMap!$A:$B,2,FALSE),"INVALID ACTION"))</f>
        <v/>
      </c>
      <c r="F21" s="4" t="n"/>
      <c r="G21" s="11">
        <f>IFERROR(VLOOKUP($E21,ActionsCatalog!$A:$B,2,FALSE),"")</f>
        <v/>
      </c>
      <c r="H21" s="4" t="n"/>
      <c r="I21" s="4">
        <f>IFERROR(VLOOKUP($E21,ActionsCatalog!$A:$D,3,FALSE),0)</f>
        <v/>
      </c>
      <c r="J21" s="4">
        <f>IFERROR(VLOOKUP($E21,ActionsCatalog!$A:$D,4,FALSE),0)</f>
        <v/>
      </c>
      <c r="K21" s="4">
        <f>IF($M21&lt;&gt;"Yes",0,IF($H21="",0,$H21*$I21))</f>
        <v/>
      </c>
      <c r="L21" s="4">
        <f>IF($M21&lt;&gt;"Yes",0,IF($H21="",0,$H21*$J21))</f>
        <v/>
      </c>
      <c r="M21" s="4" t="n"/>
      <c r="N21" s="4" t="n"/>
      <c r="O21" s="4">
        <f>IF($A21="","",TEXT($A21,"yyyy")&amp;"-W"&amp;TEXT(ISOWEEKNUM($A21),"00"))</f>
        <v/>
      </c>
      <c r="P21" s="4" t="n"/>
      <c r="Q21" s="14">
        <f>IF($A21="","",TEXT($A21,"yyyy-mm"))</f>
        <v/>
      </c>
    </row>
    <row r="22">
      <c r="A22" s="66" t="n"/>
      <c r="B22" s="4" t="n"/>
      <c r="C22" s="11">
        <f>IFERROR(VLOOKUP($B22,Members!$A:$C,2,FALSE),"")</f>
        <v/>
      </c>
      <c r="D22" s="11">
        <f>IFERROR(VLOOKUP($B22,Members!$A:$C,3,FALSE),"")</f>
        <v/>
      </c>
      <c r="E22" s="11">
        <f>IF($F22="","",IFERROR(VLOOKUP($F22,ActionMap!$A:$B,2,FALSE),"INVALID ACTION"))</f>
        <v/>
      </c>
      <c r="F22" s="4" t="n"/>
      <c r="G22" s="11">
        <f>IFERROR(VLOOKUP($E22,ActionsCatalog!$A:$B,2,FALSE),"")</f>
        <v/>
      </c>
      <c r="H22" s="4" t="n"/>
      <c r="I22" s="4">
        <f>IFERROR(VLOOKUP($E22,ActionsCatalog!$A:$D,3,FALSE),0)</f>
        <v/>
      </c>
      <c r="J22" s="4">
        <f>IFERROR(VLOOKUP($E22,ActionsCatalog!$A:$D,4,FALSE),0)</f>
        <v/>
      </c>
      <c r="K22" s="4">
        <f>IF($M22&lt;&gt;"Yes",0,IF($H22="",0,$H22*$I22))</f>
        <v/>
      </c>
      <c r="L22" s="4">
        <f>IF($M22&lt;&gt;"Yes",0,IF($H22="",0,$H22*$J22))</f>
        <v/>
      </c>
      <c r="M22" s="4" t="n"/>
      <c r="N22" s="4" t="n"/>
      <c r="O22" s="4">
        <f>IF($A22="","",TEXT($A22,"yyyy")&amp;"-W"&amp;TEXT(ISOWEEKNUM($A22),"00"))</f>
        <v/>
      </c>
      <c r="P22" s="4" t="n"/>
      <c r="Q22" s="14">
        <f>IF($A22="","",TEXT($A22,"yyyy-mm"))</f>
        <v/>
      </c>
    </row>
    <row r="23">
      <c r="A23" s="66" t="n"/>
      <c r="B23" s="4" t="n"/>
      <c r="C23" s="11">
        <f>IFERROR(VLOOKUP($B23,Members!$A:$C,2,FALSE),"")</f>
        <v/>
      </c>
      <c r="D23" s="11">
        <f>IFERROR(VLOOKUP($B23,Members!$A:$C,3,FALSE),"")</f>
        <v/>
      </c>
      <c r="E23" s="11">
        <f>IF($F23="","",IFERROR(VLOOKUP($F23,ActionMap!$A:$B,2,FALSE),"INVALID ACTION"))</f>
        <v/>
      </c>
      <c r="F23" s="4" t="n"/>
      <c r="G23" s="11">
        <f>IFERROR(VLOOKUP($E23,ActionsCatalog!$A:$B,2,FALSE),"")</f>
        <v/>
      </c>
      <c r="H23" s="4" t="n"/>
      <c r="I23" s="4">
        <f>IFERROR(VLOOKUP($E23,ActionsCatalog!$A:$D,3,FALSE),0)</f>
        <v/>
      </c>
      <c r="J23" s="4">
        <f>IFERROR(VLOOKUP($E23,ActionsCatalog!$A:$D,4,FALSE),0)</f>
        <v/>
      </c>
      <c r="K23" s="4">
        <f>IF($M23&lt;&gt;"Yes",0,IF($H23="",0,$H23*$I23))</f>
        <v/>
      </c>
      <c r="L23" s="4">
        <f>IF($M23&lt;&gt;"Yes",0,IF($H23="",0,$H23*$J23))</f>
        <v/>
      </c>
      <c r="M23" s="4" t="n"/>
      <c r="N23" s="4" t="n"/>
      <c r="O23" s="4">
        <f>IF($A23="","",TEXT($A23,"yyyy")&amp;"-W"&amp;TEXT(ISOWEEKNUM($A23),"00"))</f>
        <v/>
      </c>
      <c r="P23" s="4" t="n"/>
      <c r="Q23" s="14">
        <f>IF($A23="","",TEXT($A23,"yyyy-mm"))</f>
        <v/>
      </c>
    </row>
    <row r="24">
      <c r="A24" s="66" t="n"/>
      <c r="B24" s="4" t="n"/>
      <c r="C24" s="11">
        <f>IFERROR(VLOOKUP($B24,Members!$A:$C,2,FALSE),"")</f>
        <v/>
      </c>
      <c r="D24" s="11">
        <f>IFERROR(VLOOKUP($B24,Members!$A:$C,3,FALSE),"")</f>
        <v/>
      </c>
      <c r="E24" s="11">
        <f>IF($F24="","",IFERROR(VLOOKUP($F24,ActionMap!$A:$B,2,FALSE),"INVALID ACTION"))</f>
        <v/>
      </c>
      <c r="F24" s="4" t="n"/>
      <c r="G24" s="11">
        <f>IFERROR(VLOOKUP($E24,ActionsCatalog!$A:$B,2,FALSE),"")</f>
        <v/>
      </c>
      <c r="H24" s="4" t="n"/>
      <c r="I24" s="4">
        <f>IFERROR(VLOOKUP($E24,ActionsCatalog!$A:$D,3,FALSE),0)</f>
        <v/>
      </c>
      <c r="J24" s="4">
        <f>IFERROR(VLOOKUP($E24,ActionsCatalog!$A:$D,4,FALSE),0)</f>
        <v/>
      </c>
      <c r="K24" s="4">
        <f>IF($M24&lt;&gt;"Yes",0,IF($H24="",0,$H24*$I24))</f>
        <v/>
      </c>
      <c r="L24" s="4">
        <f>IF($M24&lt;&gt;"Yes",0,IF($H24="",0,$H24*$J24))</f>
        <v/>
      </c>
      <c r="M24" s="4" t="n"/>
      <c r="N24" s="4" t="n"/>
      <c r="O24" s="4">
        <f>IF($A24="","",TEXT($A24,"yyyy")&amp;"-W"&amp;TEXT(ISOWEEKNUM($A24),"00"))</f>
        <v/>
      </c>
      <c r="P24" s="4" t="n"/>
      <c r="Q24" s="14">
        <f>IF($A24="","",TEXT($A24,"yyyy-mm"))</f>
        <v/>
      </c>
    </row>
    <row r="25">
      <c r="A25" s="66" t="n"/>
      <c r="B25" s="4" t="n"/>
      <c r="C25" s="11">
        <f>IFERROR(VLOOKUP($B25,Members!$A:$C,2,FALSE),"")</f>
        <v/>
      </c>
      <c r="D25" s="11">
        <f>IFERROR(VLOOKUP($B25,Members!$A:$C,3,FALSE),"")</f>
        <v/>
      </c>
      <c r="E25" s="11">
        <f>IF($F25="","",IFERROR(VLOOKUP($F25,ActionMap!$A:$B,2,FALSE),"INVALID ACTION"))</f>
        <v/>
      </c>
      <c r="F25" s="4" t="n"/>
      <c r="G25" s="11">
        <f>IFERROR(VLOOKUP($E25,ActionsCatalog!$A:$B,2,FALSE),"")</f>
        <v/>
      </c>
      <c r="H25" s="4" t="n"/>
      <c r="I25" s="4">
        <f>IFERROR(VLOOKUP($E25,ActionsCatalog!$A:$D,3,FALSE),0)</f>
        <v/>
      </c>
      <c r="J25" s="4">
        <f>IFERROR(VLOOKUP($E25,ActionsCatalog!$A:$D,4,FALSE),0)</f>
        <v/>
      </c>
      <c r="K25" s="4">
        <f>IF($M25&lt;&gt;"Yes",0,IF($H25="",0,$H25*$I25))</f>
        <v/>
      </c>
      <c r="L25" s="4">
        <f>IF($M25&lt;&gt;"Yes",0,IF($H25="",0,$H25*$J25))</f>
        <v/>
      </c>
      <c r="M25" s="4" t="n"/>
      <c r="N25" s="4" t="n"/>
      <c r="O25" s="4">
        <f>IF($A25="","",TEXT($A25,"yyyy")&amp;"-W"&amp;TEXT(ISOWEEKNUM($A25),"00"))</f>
        <v/>
      </c>
      <c r="P25" s="4" t="n"/>
      <c r="Q25" s="14">
        <f>IF($A25="","",TEXT($A25,"yyyy-mm"))</f>
        <v/>
      </c>
    </row>
    <row r="26">
      <c r="A26" s="66" t="n"/>
      <c r="B26" s="4" t="n"/>
      <c r="C26" s="11">
        <f>IFERROR(VLOOKUP($B26,Members!$A:$C,2,FALSE),"")</f>
        <v/>
      </c>
      <c r="D26" s="11">
        <f>IFERROR(VLOOKUP($B26,Members!$A:$C,3,FALSE),"")</f>
        <v/>
      </c>
      <c r="E26" s="11">
        <f>IF($F26="","",IFERROR(VLOOKUP($F26,ActionMap!$A:$B,2,FALSE),"INVALID ACTION"))</f>
        <v/>
      </c>
      <c r="F26" s="4" t="n"/>
      <c r="G26" s="11">
        <f>IFERROR(VLOOKUP($E26,ActionsCatalog!$A:$B,2,FALSE),"")</f>
        <v/>
      </c>
      <c r="H26" s="4" t="n"/>
      <c r="I26" s="4">
        <f>IFERROR(VLOOKUP($E26,ActionsCatalog!$A:$D,3,FALSE),0)</f>
        <v/>
      </c>
      <c r="J26" s="4">
        <f>IFERROR(VLOOKUP($E26,ActionsCatalog!$A:$D,4,FALSE),0)</f>
        <v/>
      </c>
      <c r="K26" s="4">
        <f>IF($M26&lt;&gt;"Yes",0,IF($H26="",0,$H26*$I26))</f>
        <v/>
      </c>
      <c r="L26" s="4">
        <f>IF($M26&lt;&gt;"Yes",0,IF($H26="",0,$H26*$J26))</f>
        <v/>
      </c>
      <c r="M26" s="4" t="n"/>
      <c r="N26" s="4" t="n"/>
      <c r="O26" s="4">
        <f>IF($A26="","",TEXT($A26,"yyyy")&amp;"-W"&amp;TEXT(ISOWEEKNUM($A26),"00"))</f>
        <v/>
      </c>
      <c r="P26" s="4" t="n"/>
      <c r="Q26" s="14">
        <f>IF($A26="","",TEXT($A26,"yyyy-mm"))</f>
        <v/>
      </c>
    </row>
    <row r="27">
      <c r="A27" s="66" t="n"/>
      <c r="B27" s="4" t="n"/>
      <c r="C27" s="11">
        <f>IFERROR(VLOOKUP($B27,Members!$A:$C,2,FALSE),"")</f>
        <v/>
      </c>
      <c r="D27" s="11">
        <f>IFERROR(VLOOKUP($B27,Members!$A:$C,3,FALSE),"")</f>
        <v/>
      </c>
      <c r="E27" s="11">
        <f>IF($F27="","",IFERROR(VLOOKUP($F27,ActionMap!$A:$B,2,FALSE),"INVALID ACTION"))</f>
        <v/>
      </c>
      <c r="F27" s="4" t="n"/>
      <c r="G27" s="11">
        <f>IFERROR(VLOOKUP($E27,ActionsCatalog!$A:$B,2,FALSE),"")</f>
        <v/>
      </c>
      <c r="H27" s="4" t="n"/>
      <c r="I27" s="4">
        <f>IFERROR(VLOOKUP($E27,ActionsCatalog!$A:$D,3,FALSE),0)</f>
        <v/>
      </c>
      <c r="J27" s="4">
        <f>IFERROR(VLOOKUP($E27,ActionsCatalog!$A:$D,4,FALSE),0)</f>
        <v/>
      </c>
      <c r="K27" s="4">
        <f>IF($M27&lt;&gt;"Yes",0,IF($H27="",0,$H27*$I27))</f>
        <v/>
      </c>
      <c r="L27" s="4">
        <f>IF($M27&lt;&gt;"Yes",0,IF($H27="",0,$H27*$J27))</f>
        <v/>
      </c>
      <c r="M27" s="4" t="n"/>
      <c r="N27" s="4" t="n"/>
      <c r="O27" s="4">
        <f>IF($A27="","",TEXT($A27,"yyyy")&amp;"-W"&amp;TEXT(ISOWEEKNUM($A27),"00"))</f>
        <v/>
      </c>
      <c r="P27" s="4" t="n"/>
      <c r="Q27" s="14">
        <f>IF($A27="","",TEXT($A27,"yyyy-mm"))</f>
        <v/>
      </c>
    </row>
    <row r="28">
      <c r="A28" s="66" t="n"/>
      <c r="B28" s="4" t="n"/>
      <c r="C28" s="11">
        <f>IFERROR(VLOOKUP($B28,Members!$A:$C,2,FALSE),"")</f>
        <v/>
      </c>
      <c r="D28" s="11">
        <f>IFERROR(VLOOKUP($B28,Members!$A:$C,3,FALSE),"")</f>
        <v/>
      </c>
      <c r="E28" s="11">
        <f>IF($F28="","",IFERROR(VLOOKUP($F28,ActionMap!$A:$B,2,FALSE),"INVALID ACTION"))</f>
        <v/>
      </c>
      <c r="F28" s="4" t="n"/>
      <c r="G28" s="11">
        <f>IFERROR(VLOOKUP($E28,ActionsCatalog!$A:$B,2,FALSE),"")</f>
        <v/>
      </c>
      <c r="H28" s="4" t="n"/>
      <c r="I28" s="4">
        <f>IFERROR(VLOOKUP($E28,ActionsCatalog!$A:$D,3,FALSE),0)</f>
        <v/>
      </c>
      <c r="J28" s="4">
        <f>IFERROR(VLOOKUP($E28,ActionsCatalog!$A:$D,4,FALSE),0)</f>
        <v/>
      </c>
      <c r="K28" s="4">
        <f>IF($M28&lt;&gt;"Yes",0,IF($H28="",0,$H28*$I28))</f>
        <v/>
      </c>
      <c r="L28" s="4">
        <f>IF($M28&lt;&gt;"Yes",0,IF($H28="",0,$H28*$J28))</f>
        <v/>
      </c>
      <c r="M28" s="4" t="n"/>
      <c r="N28" s="4" t="n"/>
      <c r="O28" s="4">
        <f>IF($A28="","",TEXT($A28,"yyyy")&amp;"-W"&amp;TEXT(ISOWEEKNUM($A28),"00"))</f>
        <v/>
      </c>
      <c r="P28" s="4" t="n"/>
      <c r="Q28" s="14">
        <f>IF($A28="","",TEXT($A28,"yyyy-mm"))</f>
        <v/>
      </c>
    </row>
    <row r="29">
      <c r="A29" s="66" t="n"/>
      <c r="B29" s="4" t="n"/>
      <c r="C29" s="11">
        <f>IFERROR(VLOOKUP($B29,Members!$A:$C,2,FALSE),"")</f>
        <v/>
      </c>
      <c r="D29" s="11">
        <f>IFERROR(VLOOKUP($B29,Members!$A:$C,3,FALSE),"")</f>
        <v/>
      </c>
      <c r="E29" s="11">
        <f>IF($F29="","",IFERROR(VLOOKUP($F29,ActionMap!$A:$B,2,FALSE),"INVALID ACTION"))</f>
        <v/>
      </c>
      <c r="F29" s="4" t="n"/>
      <c r="G29" s="11">
        <f>IFERROR(VLOOKUP($E29,ActionsCatalog!$A:$B,2,FALSE),"")</f>
        <v/>
      </c>
      <c r="H29" s="4" t="n"/>
      <c r="I29" s="4">
        <f>IFERROR(VLOOKUP($E29,ActionsCatalog!$A:$D,3,FALSE),0)</f>
        <v/>
      </c>
      <c r="J29" s="4">
        <f>IFERROR(VLOOKUP($E29,ActionsCatalog!$A:$D,4,FALSE),0)</f>
        <v/>
      </c>
      <c r="K29" s="4">
        <f>IF($M29&lt;&gt;"Yes",0,IF($H29="",0,$H29*$I29))</f>
        <v/>
      </c>
      <c r="L29" s="4">
        <f>IF($M29&lt;&gt;"Yes",0,IF($H29="",0,$H29*$J29))</f>
        <v/>
      </c>
      <c r="M29" s="4" t="n"/>
      <c r="N29" s="4" t="n"/>
      <c r="O29" s="4">
        <f>IF($A29="","",TEXT($A29,"yyyy")&amp;"-W"&amp;TEXT(ISOWEEKNUM($A29),"00"))</f>
        <v/>
      </c>
      <c r="P29" s="4" t="n"/>
      <c r="Q29" s="14">
        <f>IF($A29="","",TEXT($A29,"yyyy-mm"))</f>
        <v/>
      </c>
    </row>
    <row r="30">
      <c r="A30" s="66" t="n"/>
      <c r="B30" s="4" t="n"/>
      <c r="C30" s="11">
        <f>IFERROR(VLOOKUP($B30,Members!$A:$C,2,FALSE),"")</f>
        <v/>
      </c>
      <c r="D30" s="11">
        <f>IFERROR(VLOOKUP($B30,Members!$A:$C,3,FALSE),"")</f>
        <v/>
      </c>
      <c r="E30" s="11">
        <f>IF($F30="","",IFERROR(VLOOKUP($F30,ActionMap!$A:$B,2,FALSE),"INVALID ACTION"))</f>
        <v/>
      </c>
      <c r="F30" s="4" t="n"/>
      <c r="G30" s="11">
        <f>IFERROR(VLOOKUP($E30,ActionsCatalog!$A:$B,2,FALSE),"")</f>
        <v/>
      </c>
      <c r="H30" s="4" t="n"/>
      <c r="I30" s="4">
        <f>IFERROR(VLOOKUP($E30,ActionsCatalog!$A:$D,3,FALSE),0)</f>
        <v/>
      </c>
      <c r="J30" s="4">
        <f>IFERROR(VLOOKUP($E30,ActionsCatalog!$A:$D,4,FALSE),0)</f>
        <v/>
      </c>
      <c r="K30" s="4">
        <f>IF($M30&lt;&gt;"Yes",0,IF($H30="",0,$H30*$I30))</f>
        <v/>
      </c>
      <c r="L30" s="4">
        <f>IF($M30&lt;&gt;"Yes",0,IF($H30="",0,$H30*$J30))</f>
        <v/>
      </c>
      <c r="M30" s="4" t="n"/>
      <c r="N30" s="4" t="n"/>
      <c r="O30" s="4">
        <f>IF($A30="","",TEXT($A30,"yyyy")&amp;"-W"&amp;TEXT(ISOWEEKNUM($A30),"00"))</f>
        <v/>
      </c>
      <c r="P30" s="4" t="n"/>
      <c r="Q30" s="14">
        <f>IF($A30="","",TEXT($A30,"yyyy-mm"))</f>
        <v/>
      </c>
    </row>
    <row r="31">
      <c r="A31" s="66" t="n"/>
      <c r="B31" s="4" t="n"/>
      <c r="C31" s="11">
        <f>IFERROR(VLOOKUP($B31,Members!$A:$C,2,FALSE),"")</f>
        <v/>
      </c>
      <c r="D31" s="11">
        <f>IFERROR(VLOOKUP($B31,Members!$A:$C,3,FALSE),"")</f>
        <v/>
      </c>
      <c r="E31" s="11">
        <f>IF($F31="","",IFERROR(VLOOKUP($F31,ActionMap!$A:$B,2,FALSE),"INVALID ACTION"))</f>
        <v/>
      </c>
      <c r="F31" s="4" t="n"/>
      <c r="G31" s="11">
        <f>IFERROR(VLOOKUP($E31,ActionsCatalog!$A:$B,2,FALSE),"")</f>
        <v/>
      </c>
      <c r="H31" s="4" t="n"/>
      <c r="I31" s="4">
        <f>IFERROR(VLOOKUP($E31,ActionsCatalog!$A:$D,3,FALSE),0)</f>
        <v/>
      </c>
      <c r="J31" s="4">
        <f>IFERROR(VLOOKUP($E31,ActionsCatalog!$A:$D,4,FALSE),0)</f>
        <v/>
      </c>
      <c r="K31" s="4">
        <f>IF($M31&lt;&gt;"Yes",0,IF($H31="",0,$H31*$I31))</f>
        <v/>
      </c>
      <c r="L31" s="4">
        <f>IF($M31&lt;&gt;"Yes",0,IF($H31="",0,$H31*$J31))</f>
        <v/>
      </c>
      <c r="M31" s="4" t="n"/>
      <c r="N31" s="4" t="n"/>
      <c r="O31" s="4">
        <f>IF($A31="","",TEXT($A31,"yyyy")&amp;"-W"&amp;TEXT(ISOWEEKNUM($A31),"00"))</f>
        <v/>
      </c>
      <c r="P31" s="4" t="n"/>
      <c r="Q31" s="14">
        <f>IF($A31="","",TEXT($A31,"yyyy-mm"))</f>
        <v/>
      </c>
    </row>
    <row r="32">
      <c r="A32" s="66" t="n"/>
      <c r="B32" s="4" t="n"/>
      <c r="C32" s="11">
        <f>IFERROR(VLOOKUP($B32,Members!$A:$C,2,FALSE),"")</f>
        <v/>
      </c>
      <c r="D32" s="11">
        <f>IFERROR(VLOOKUP($B32,Members!$A:$C,3,FALSE),"")</f>
        <v/>
      </c>
      <c r="E32" s="11">
        <f>IF($F32="","",IFERROR(VLOOKUP($F32,ActionMap!$A:$B,2,FALSE),"INVALID ACTION"))</f>
        <v/>
      </c>
      <c r="F32" s="4" t="n"/>
      <c r="G32" s="11">
        <f>IFERROR(VLOOKUP($E32,ActionsCatalog!$A:$B,2,FALSE),"")</f>
        <v/>
      </c>
      <c r="H32" s="4" t="n"/>
      <c r="I32" s="4">
        <f>IFERROR(VLOOKUP($E32,ActionsCatalog!$A:$D,3,FALSE),0)</f>
        <v/>
      </c>
      <c r="J32" s="4">
        <f>IFERROR(VLOOKUP($E32,ActionsCatalog!$A:$D,4,FALSE),0)</f>
        <v/>
      </c>
      <c r="K32" s="4">
        <f>IF($M32&lt;&gt;"Yes",0,IF($H32="",0,$H32*$I32))</f>
        <v/>
      </c>
      <c r="L32" s="4">
        <f>IF($M32&lt;&gt;"Yes",0,IF($H32="",0,$H32*$J32))</f>
        <v/>
      </c>
      <c r="M32" s="4" t="n"/>
      <c r="N32" s="4" t="n"/>
      <c r="O32" s="4">
        <f>IF($A32="","",TEXT($A32,"yyyy")&amp;"-W"&amp;TEXT(ISOWEEKNUM($A32),"00"))</f>
        <v/>
      </c>
      <c r="P32" s="4" t="n"/>
      <c r="Q32" s="14">
        <f>IF($A32="","",TEXT($A32,"yyyy-mm"))</f>
        <v/>
      </c>
    </row>
    <row r="33">
      <c r="A33" s="66" t="n"/>
      <c r="B33" s="4" t="n"/>
      <c r="C33" s="11">
        <f>IFERROR(VLOOKUP($B33,Members!$A:$C,2,FALSE),"")</f>
        <v/>
      </c>
      <c r="D33" s="11">
        <f>IFERROR(VLOOKUP($B33,Members!$A:$C,3,FALSE),"")</f>
        <v/>
      </c>
      <c r="E33" s="11">
        <f>IF($F33="","",IFERROR(VLOOKUP($F33,ActionMap!$A:$B,2,FALSE),"INVALID ACTION"))</f>
        <v/>
      </c>
      <c r="F33" s="4" t="n"/>
      <c r="G33" s="11">
        <f>IFERROR(VLOOKUP($E33,ActionsCatalog!$A:$B,2,FALSE),"")</f>
        <v/>
      </c>
      <c r="H33" s="4" t="n"/>
      <c r="I33" s="4">
        <f>IFERROR(VLOOKUP($E33,ActionsCatalog!$A:$D,3,FALSE),0)</f>
        <v/>
      </c>
      <c r="J33" s="4">
        <f>IFERROR(VLOOKUP($E33,ActionsCatalog!$A:$D,4,FALSE),0)</f>
        <v/>
      </c>
      <c r="K33" s="4">
        <f>IF($M33&lt;&gt;"Yes",0,IF($H33="",0,$H33*$I33))</f>
        <v/>
      </c>
      <c r="L33" s="4">
        <f>IF($M33&lt;&gt;"Yes",0,IF($H33="",0,$H33*$J33))</f>
        <v/>
      </c>
      <c r="M33" s="4" t="n"/>
      <c r="N33" s="4" t="n"/>
      <c r="O33" s="4">
        <f>IF($A33="","",TEXT($A33,"yyyy")&amp;"-W"&amp;TEXT(ISOWEEKNUM($A33),"00"))</f>
        <v/>
      </c>
      <c r="P33" s="4" t="n"/>
      <c r="Q33" s="14">
        <f>IF($A33="","",TEXT($A33,"yyyy-mm"))</f>
        <v/>
      </c>
    </row>
    <row r="34">
      <c r="A34" s="66" t="n"/>
      <c r="B34" s="4" t="n"/>
      <c r="C34" s="11">
        <f>IFERROR(VLOOKUP($B34,Members!$A:$C,2,FALSE),"")</f>
        <v/>
      </c>
      <c r="D34" s="11">
        <f>IFERROR(VLOOKUP($B34,Members!$A:$C,3,FALSE),"")</f>
        <v/>
      </c>
      <c r="E34" s="11">
        <f>IF($F34="","",IFERROR(VLOOKUP($F34,ActionMap!$A:$B,2,FALSE),"INVALID ACTION"))</f>
        <v/>
      </c>
      <c r="F34" s="4" t="n"/>
      <c r="G34" s="11">
        <f>IFERROR(VLOOKUP($E34,ActionsCatalog!$A:$B,2,FALSE),"")</f>
        <v/>
      </c>
      <c r="H34" s="4" t="n"/>
      <c r="I34" s="4">
        <f>IFERROR(VLOOKUP($E34,ActionsCatalog!$A:$D,3,FALSE),0)</f>
        <v/>
      </c>
      <c r="J34" s="4">
        <f>IFERROR(VLOOKUP($E34,ActionsCatalog!$A:$D,4,FALSE),0)</f>
        <v/>
      </c>
      <c r="K34" s="4">
        <f>IF($M34&lt;&gt;"Yes",0,IF($H34="",0,$H34*$I34))</f>
        <v/>
      </c>
      <c r="L34" s="4">
        <f>IF($M34&lt;&gt;"Yes",0,IF($H34="",0,$H34*$J34))</f>
        <v/>
      </c>
      <c r="M34" s="4" t="n"/>
      <c r="N34" s="4" t="n"/>
      <c r="O34" s="4">
        <f>IF($A34="","",TEXT($A34,"yyyy")&amp;"-W"&amp;TEXT(ISOWEEKNUM($A34),"00"))</f>
        <v/>
      </c>
      <c r="P34" s="4" t="n"/>
      <c r="Q34" s="14">
        <f>IF($A34="","",TEXT($A34,"yyyy-mm"))</f>
        <v/>
      </c>
    </row>
    <row r="35">
      <c r="A35" s="66" t="n"/>
      <c r="B35" s="4" t="n"/>
      <c r="C35" s="11">
        <f>IFERROR(VLOOKUP($B35,Members!$A:$C,2,FALSE),"")</f>
        <v/>
      </c>
      <c r="D35" s="11">
        <f>IFERROR(VLOOKUP($B35,Members!$A:$C,3,FALSE),"")</f>
        <v/>
      </c>
      <c r="E35" s="11">
        <f>IF($F35="","",IFERROR(VLOOKUP($F35,ActionMap!$A:$B,2,FALSE),"INVALID ACTION"))</f>
        <v/>
      </c>
      <c r="F35" s="4" t="n"/>
      <c r="G35" s="11">
        <f>IFERROR(VLOOKUP($E35,ActionsCatalog!$A:$B,2,FALSE),"")</f>
        <v/>
      </c>
      <c r="H35" s="4" t="n"/>
      <c r="I35" s="4">
        <f>IFERROR(VLOOKUP($E35,ActionsCatalog!$A:$D,3,FALSE),0)</f>
        <v/>
      </c>
      <c r="J35" s="4">
        <f>IFERROR(VLOOKUP($E35,ActionsCatalog!$A:$D,4,FALSE),0)</f>
        <v/>
      </c>
      <c r="K35" s="4">
        <f>IF($M35&lt;&gt;"Yes",0,IF($H35="",0,$H35*$I35))</f>
        <v/>
      </c>
      <c r="L35" s="4">
        <f>IF($M35&lt;&gt;"Yes",0,IF($H35="",0,$H35*$J35))</f>
        <v/>
      </c>
      <c r="M35" s="4" t="n"/>
      <c r="N35" s="4" t="n"/>
      <c r="O35" s="4">
        <f>IF($A35="","",TEXT($A35,"yyyy")&amp;"-W"&amp;TEXT(ISOWEEKNUM($A35),"00"))</f>
        <v/>
      </c>
      <c r="P35" s="4" t="n"/>
      <c r="Q35" s="14">
        <f>IF($A35="","",TEXT($A35,"yyyy-mm"))</f>
        <v/>
      </c>
    </row>
    <row r="36">
      <c r="A36" s="66" t="n"/>
      <c r="B36" s="4" t="n"/>
      <c r="C36" s="11">
        <f>IFERROR(VLOOKUP($B36,Members!$A:$C,2,FALSE),"")</f>
        <v/>
      </c>
      <c r="D36" s="11">
        <f>IFERROR(VLOOKUP($B36,Members!$A:$C,3,FALSE),"")</f>
        <v/>
      </c>
      <c r="E36" s="11">
        <f>IF($F36="","",IFERROR(VLOOKUP($F36,ActionMap!$A:$B,2,FALSE),"INVALID ACTION"))</f>
        <v/>
      </c>
      <c r="F36" s="4" t="n"/>
      <c r="G36" s="11">
        <f>IFERROR(VLOOKUP($E36,ActionsCatalog!$A:$B,2,FALSE),"")</f>
        <v/>
      </c>
      <c r="H36" s="4" t="n"/>
      <c r="I36" s="4">
        <f>IFERROR(VLOOKUP($E36,ActionsCatalog!$A:$D,3,FALSE),0)</f>
        <v/>
      </c>
      <c r="J36" s="4">
        <f>IFERROR(VLOOKUP($E36,ActionsCatalog!$A:$D,4,FALSE),0)</f>
        <v/>
      </c>
      <c r="K36" s="4">
        <f>IF($M36&lt;&gt;"Yes",0,IF($H36="",0,$H36*$I36))</f>
        <v/>
      </c>
      <c r="L36" s="4">
        <f>IF($M36&lt;&gt;"Yes",0,IF($H36="",0,$H36*$J36))</f>
        <v/>
      </c>
      <c r="M36" s="4" t="n"/>
      <c r="N36" s="4" t="n"/>
      <c r="O36" s="4">
        <f>IF($A36="","",TEXT($A36,"yyyy")&amp;"-W"&amp;TEXT(ISOWEEKNUM($A36),"00"))</f>
        <v/>
      </c>
      <c r="P36" s="4" t="n"/>
      <c r="Q36" s="14">
        <f>IF($A36="","",TEXT($A36,"yyyy-mm"))</f>
        <v/>
      </c>
    </row>
    <row r="37">
      <c r="A37" s="66" t="n"/>
      <c r="B37" s="4" t="n"/>
      <c r="C37" s="11">
        <f>IFERROR(VLOOKUP($B37,Members!$A:$C,2,FALSE),"")</f>
        <v/>
      </c>
      <c r="D37" s="11">
        <f>IFERROR(VLOOKUP($B37,Members!$A:$C,3,FALSE),"")</f>
        <v/>
      </c>
      <c r="E37" s="11">
        <f>IF($F37="","",IFERROR(VLOOKUP($F37,ActionMap!$A:$B,2,FALSE),"INVALID ACTION"))</f>
        <v/>
      </c>
      <c r="F37" s="4" t="n"/>
      <c r="G37" s="11">
        <f>IFERROR(VLOOKUP($E37,ActionsCatalog!$A:$B,2,FALSE),"")</f>
        <v/>
      </c>
      <c r="H37" s="4" t="n"/>
      <c r="I37" s="4">
        <f>IFERROR(VLOOKUP($E37,ActionsCatalog!$A:$D,3,FALSE),0)</f>
        <v/>
      </c>
      <c r="J37" s="4">
        <f>IFERROR(VLOOKUP($E37,ActionsCatalog!$A:$D,4,FALSE),0)</f>
        <v/>
      </c>
      <c r="K37" s="4">
        <f>IF($M37&lt;&gt;"Yes",0,IF($H37="",0,$H37*$I37))</f>
        <v/>
      </c>
      <c r="L37" s="4">
        <f>IF($M37&lt;&gt;"Yes",0,IF($H37="",0,$H37*$J37))</f>
        <v/>
      </c>
      <c r="M37" s="4" t="n"/>
      <c r="N37" s="4" t="n"/>
      <c r="O37" s="4">
        <f>IF($A37="","",TEXT($A37,"yyyy")&amp;"-W"&amp;TEXT(ISOWEEKNUM($A37),"00"))</f>
        <v/>
      </c>
      <c r="P37" s="4" t="n"/>
      <c r="Q37" s="14">
        <f>IF($A37="","",TEXT($A37,"yyyy-mm"))</f>
        <v/>
      </c>
    </row>
    <row r="38">
      <c r="A38" s="66" t="n"/>
      <c r="B38" s="4" t="n"/>
      <c r="C38" s="11">
        <f>IFERROR(VLOOKUP($B38,Members!$A:$C,2,FALSE),"")</f>
        <v/>
      </c>
      <c r="D38" s="11">
        <f>IFERROR(VLOOKUP($B38,Members!$A:$C,3,FALSE),"")</f>
        <v/>
      </c>
      <c r="E38" s="11">
        <f>IF($F38="","",IFERROR(VLOOKUP($F38,ActionMap!$A:$B,2,FALSE),"INVALID ACTION"))</f>
        <v/>
      </c>
      <c r="F38" s="4" t="n"/>
      <c r="G38" s="11">
        <f>IFERROR(VLOOKUP($E38,ActionsCatalog!$A:$B,2,FALSE),"")</f>
        <v/>
      </c>
      <c r="H38" s="4" t="n"/>
      <c r="I38" s="4">
        <f>IFERROR(VLOOKUP($E38,ActionsCatalog!$A:$D,3,FALSE),0)</f>
        <v/>
      </c>
      <c r="J38" s="4">
        <f>IFERROR(VLOOKUP($E38,ActionsCatalog!$A:$D,4,FALSE),0)</f>
        <v/>
      </c>
      <c r="K38" s="4">
        <f>IF($M38&lt;&gt;"Yes",0,IF($H38="",0,$H38*$I38))</f>
        <v/>
      </c>
      <c r="L38" s="4">
        <f>IF($M38&lt;&gt;"Yes",0,IF($H38="",0,$H38*$J38))</f>
        <v/>
      </c>
      <c r="M38" s="4" t="n"/>
      <c r="N38" s="4" t="n"/>
      <c r="O38" s="4">
        <f>IF($A38="","",TEXT($A38,"yyyy")&amp;"-W"&amp;TEXT(ISOWEEKNUM($A38),"00"))</f>
        <v/>
      </c>
      <c r="P38" s="4" t="n"/>
      <c r="Q38" s="14">
        <f>IF($A38="","",TEXT($A38,"yyyy-mm"))</f>
        <v/>
      </c>
    </row>
    <row r="39">
      <c r="A39" s="66" t="n"/>
      <c r="B39" s="4" t="n"/>
      <c r="C39" s="11">
        <f>IFERROR(VLOOKUP($B39,Members!$A:$C,2,FALSE),"")</f>
        <v/>
      </c>
      <c r="D39" s="11">
        <f>IFERROR(VLOOKUP($B39,Members!$A:$C,3,FALSE),"")</f>
        <v/>
      </c>
      <c r="E39" s="11">
        <f>IF($F39="","",IFERROR(VLOOKUP($F39,ActionMap!$A:$B,2,FALSE),"INVALID ACTION"))</f>
        <v/>
      </c>
      <c r="F39" s="4" t="n"/>
      <c r="G39" s="11">
        <f>IFERROR(VLOOKUP($E39,ActionsCatalog!$A:$B,2,FALSE),"")</f>
        <v/>
      </c>
      <c r="H39" s="4" t="n"/>
      <c r="I39" s="4">
        <f>IFERROR(VLOOKUP($E39,ActionsCatalog!$A:$D,3,FALSE),0)</f>
        <v/>
      </c>
      <c r="J39" s="4">
        <f>IFERROR(VLOOKUP($E39,ActionsCatalog!$A:$D,4,FALSE),0)</f>
        <v/>
      </c>
      <c r="K39" s="4">
        <f>IF($M39&lt;&gt;"Yes",0,IF($H39="",0,$H39*$I39))</f>
        <v/>
      </c>
      <c r="L39" s="4">
        <f>IF($M39&lt;&gt;"Yes",0,IF($H39="",0,$H39*$J39))</f>
        <v/>
      </c>
      <c r="M39" s="4" t="n"/>
      <c r="N39" s="4" t="n"/>
      <c r="O39" s="4">
        <f>IF($A39="","",TEXT($A39,"yyyy")&amp;"-W"&amp;TEXT(ISOWEEKNUM($A39),"00"))</f>
        <v/>
      </c>
      <c r="P39" s="4" t="n"/>
      <c r="Q39" s="14">
        <f>IF($A39="","",TEXT($A39,"yyyy-mm"))</f>
        <v/>
      </c>
    </row>
    <row r="40">
      <c r="A40" s="66" t="n"/>
      <c r="B40" s="4" t="n"/>
      <c r="C40" s="11">
        <f>IFERROR(VLOOKUP($B40,Members!$A:$C,2,FALSE),"")</f>
        <v/>
      </c>
      <c r="D40" s="11">
        <f>IFERROR(VLOOKUP($B40,Members!$A:$C,3,FALSE),"")</f>
        <v/>
      </c>
      <c r="E40" s="11">
        <f>IF($F40="","",IFERROR(VLOOKUP($F40,ActionMap!$A:$B,2,FALSE),"INVALID ACTION"))</f>
        <v/>
      </c>
      <c r="F40" s="4" t="n"/>
      <c r="G40" s="11">
        <f>IFERROR(VLOOKUP($E40,ActionsCatalog!$A:$B,2,FALSE),"")</f>
        <v/>
      </c>
      <c r="H40" s="4" t="n"/>
      <c r="I40" s="4">
        <f>IFERROR(VLOOKUP($E40,ActionsCatalog!$A:$D,3,FALSE),0)</f>
        <v/>
      </c>
      <c r="J40" s="4">
        <f>IFERROR(VLOOKUP($E40,ActionsCatalog!$A:$D,4,FALSE),0)</f>
        <v/>
      </c>
      <c r="K40" s="4">
        <f>IF($M40&lt;&gt;"Yes",0,IF($H40="",0,$H40*$I40))</f>
        <v/>
      </c>
      <c r="L40" s="4">
        <f>IF($M40&lt;&gt;"Yes",0,IF($H40="",0,$H40*$J40))</f>
        <v/>
      </c>
      <c r="M40" s="4" t="n"/>
      <c r="N40" s="4" t="n"/>
      <c r="O40" s="4">
        <f>IF($A40="","",TEXT($A40,"yyyy")&amp;"-W"&amp;TEXT(ISOWEEKNUM($A40),"00"))</f>
        <v/>
      </c>
      <c r="P40" s="4" t="n"/>
      <c r="Q40" s="14">
        <f>IF($A40="","",TEXT($A40,"yyyy-mm"))</f>
        <v/>
      </c>
    </row>
    <row r="41">
      <c r="A41" s="66" t="n"/>
      <c r="B41" s="4" t="n"/>
      <c r="C41" s="11">
        <f>IFERROR(VLOOKUP($B41,Members!$A:$C,2,FALSE),"")</f>
        <v/>
      </c>
      <c r="D41" s="11">
        <f>IFERROR(VLOOKUP($B41,Members!$A:$C,3,FALSE),"")</f>
        <v/>
      </c>
      <c r="E41" s="11">
        <f>IF($F41="","",IFERROR(VLOOKUP($F41,ActionMap!$A:$B,2,FALSE),"INVALID ACTION"))</f>
        <v/>
      </c>
      <c r="F41" s="4" t="n"/>
      <c r="G41" s="11">
        <f>IFERROR(VLOOKUP($E41,ActionsCatalog!$A:$B,2,FALSE),"")</f>
        <v/>
      </c>
      <c r="H41" s="4" t="n"/>
      <c r="I41" s="4">
        <f>IFERROR(VLOOKUP($E41,ActionsCatalog!$A:$D,3,FALSE),0)</f>
        <v/>
      </c>
      <c r="J41" s="4">
        <f>IFERROR(VLOOKUP($E41,ActionsCatalog!$A:$D,4,FALSE),0)</f>
        <v/>
      </c>
      <c r="K41" s="4">
        <f>IF($M41&lt;&gt;"Yes",0,IF($H41="",0,$H41*$I41))</f>
        <v/>
      </c>
      <c r="L41" s="4">
        <f>IF($M41&lt;&gt;"Yes",0,IF($H41="",0,$H41*$J41))</f>
        <v/>
      </c>
      <c r="M41" s="4" t="n"/>
      <c r="N41" s="4" t="n"/>
      <c r="O41" s="4">
        <f>IF($A41="","",TEXT($A41,"yyyy")&amp;"-W"&amp;TEXT(ISOWEEKNUM($A41),"00"))</f>
        <v/>
      </c>
      <c r="P41" s="4" t="n"/>
      <c r="Q41" s="14">
        <f>IF($A41="","",TEXT($A41,"yyyy-mm"))</f>
        <v/>
      </c>
    </row>
    <row r="42">
      <c r="A42" s="66" t="n"/>
      <c r="B42" s="4" t="n"/>
      <c r="C42" s="11">
        <f>IFERROR(VLOOKUP($B42,Members!$A:$C,2,FALSE),"")</f>
        <v/>
      </c>
      <c r="D42" s="11">
        <f>IFERROR(VLOOKUP($B42,Members!$A:$C,3,FALSE),"")</f>
        <v/>
      </c>
      <c r="E42" s="11">
        <f>IF($F42="","",IFERROR(VLOOKUP($F42,ActionMap!$A:$B,2,FALSE),"INVALID ACTION"))</f>
        <v/>
      </c>
      <c r="F42" s="4" t="n"/>
      <c r="G42" s="11">
        <f>IFERROR(VLOOKUP($E42,ActionsCatalog!$A:$B,2,FALSE),"")</f>
        <v/>
      </c>
      <c r="H42" s="4" t="n"/>
      <c r="I42" s="4">
        <f>IFERROR(VLOOKUP($E42,ActionsCatalog!$A:$D,3,FALSE),0)</f>
        <v/>
      </c>
      <c r="J42" s="4">
        <f>IFERROR(VLOOKUP($E42,ActionsCatalog!$A:$D,4,FALSE),0)</f>
        <v/>
      </c>
      <c r="K42" s="4">
        <f>IF($M42&lt;&gt;"Yes",0,IF($H42="",0,$H42*$I42))</f>
        <v/>
      </c>
      <c r="L42" s="4">
        <f>IF($M42&lt;&gt;"Yes",0,IF($H42="",0,$H42*$J42))</f>
        <v/>
      </c>
      <c r="M42" s="4" t="n"/>
      <c r="N42" s="4" t="n"/>
      <c r="O42" s="4">
        <f>IF($A42="","",TEXT($A42,"yyyy")&amp;"-W"&amp;TEXT(ISOWEEKNUM($A42),"00"))</f>
        <v/>
      </c>
      <c r="P42" s="4" t="n"/>
      <c r="Q42" s="14">
        <f>IF($A42="","",TEXT($A42,"yyyy-mm"))</f>
        <v/>
      </c>
    </row>
    <row r="43">
      <c r="A43" s="66" t="n"/>
      <c r="B43" s="4" t="n"/>
      <c r="C43" s="11">
        <f>IFERROR(VLOOKUP($B43,Members!$A:$C,2,FALSE),"")</f>
        <v/>
      </c>
      <c r="D43" s="11">
        <f>IFERROR(VLOOKUP($B43,Members!$A:$C,3,FALSE),"")</f>
        <v/>
      </c>
      <c r="E43" s="11">
        <f>IF($F43="","",IFERROR(VLOOKUP($F43,ActionMap!$A:$B,2,FALSE),"INVALID ACTION"))</f>
        <v/>
      </c>
      <c r="F43" s="4" t="n"/>
      <c r="G43" s="11">
        <f>IFERROR(VLOOKUP($E43,ActionsCatalog!$A:$B,2,FALSE),"")</f>
        <v/>
      </c>
      <c r="H43" s="4" t="n"/>
      <c r="I43" s="4">
        <f>IFERROR(VLOOKUP($E43,ActionsCatalog!$A:$D,3,FALSE),0)</f>
        <v/>
      </c>
      <c r="J43" s="4">
        <f>IFERROR(VLOOKUP($E43,ActionsCatalog!$A:$D,4,FALSE),0)</f>
        <v/>
      </c>
      <c r="K43" s="4">
        <f>IF($M43&lt;&gt;"Yes",0,IF($H43="",0,$H43*$I43))</f>
        <v/>
      </c>
      <c r="L43" s="4">
        <f>IF($M43&lt;&gt;"Yes",0,IF($H43="",0,$H43*$J43))</f>
        <v/>
      </c>
      <c r="M43" s="4" t="n"/>
      <c r="N43" s="4" t="n"/>
      <c r="O43" s="4">
        <f>IF($A43="","",TEXT($A43,"yyyy")&amp;"-W"&amp;TEXT(ISOWEEKNUM($A43),"00"))</f>
        <v/>
      </c>
      <c r="P43" s="4" t="n"/>
      <c r="Q43" s="14">
        <f>IF($A43="","",TEXT($A43,"yyyy-mm"))</f>
        <v/>
      </c>
    </row>
    <row r="44">
      <c r="A44" s="66" t="n"/>
      <c r="B44" s="4" t="n"/>
      <c r="C44" s="11">
        <f>IFERROR(VLOOKUP($B44,Members!$A:$C,2,FALSE),"")</f>
        <v/>
      </c>
      <c r="D44" s="11">
        <f>IFERROR(VLOOKUP($B44,Members!$A:$C,3,FALSE),"")</f>
        <v/>
      </c>
      <c r="E44" s="11">
        <f>IF($F44="","",IFERROR(VLOOKUP($F44,ActionMap!$A:$B,2,FALSE),"INVALID ACTION"))</f>
        <v/>
      </c>
      <c r="F44" s="4" t="n"/>
      <c r="G44" s="11">
        <f>IFERROR(VLOOKUP($E44,ActionsCatalog!$A:$B,2,FALSE),"")</f>
        <v/>
      </c>
      <c r="H44" s="4" t="n"/>
      <c r="I44" s="4">
        <f>IFERROR(VLOOKUP($E44,ActionsCatalog!$A:$D,3,FALSE),0)</f>
        <v/>
      </c>
      <c r="J44" s="4">
        <f>IFERROR(VLOOKUP($E44,ActionsCatalog!$A:$D,4,FALSE),0)</f>
        <v/>
      </c>
      <c r="K44" s="4">
        <f>IF($M44&lt;&gt;"Yes",0,IF($H44="",0,$H44*$I44))</f>
        <v/>
      </c>
      <c r="L44" s="4">
        <f>IF($M44&lt;&gt;"Yes",0,IF($H44="",0,$H44*$J44))</f>
        <v/>
      </c>
      <c r="M44" s="4" t="n"/>
      <c r="N44" s="4" t="n"/>
      <c r="O44" s="4">
        <f>IF($A44="","",TEXT($A44,"yyyy")&amp;"-W"&amp;TEXT(ISOWEEKNUM($A44),"00"))</f>
        <v/>
      </c>
      <c r="P44" s="4" t="n"/>
      <c r="Q44" s="14">
        <f>IF($A44="","",TEXT($A44,"yyyy-mm"))</f>
        <v/>
      </c>
    </row>
    <row r="45">
      <c r="A45" s="66" t="n"/>
      <c r="B45" s="4" t="n"/>
      <c r="C45" s="11">
        <f>IFERROR(VLOOKUP($B45,Members!$A:$C,2,FALSE),"")</f>
        <v/>
      </c>
      <c r="D45" s="11">
        <f>IFERROR(VLOOKUP($B45,Members!$A:$C,3,FALSE),"")</f>
        <v/>
      </c>
      <c r="E45" s="11">
        <f>IF($F45="","",IFERROR(VLOOKUP($F45,ActionMap!$A:$B,2,FALSE),"INVALID ACTION"))</f>
        <v/>
      </c>
      <c r="F45" s="4" t="n"/>
      <c r="G45" s="11">
        <f>IFERROR(VLOOKUP($E45,ActionsCatalog!$A:$B,2,FALSE),"")</f>
        <v/>
      </c>
      <c r="H45" s="4" t="n"/>
      <c r="I45" s="4">
        <f>IFERROR(VLOOKUP($E45,ActionsCatalog!$A:$D,3,FALSE),0)</f>
        <v/>
      </c>
      <c r="J45" s="4">
        <f>IFERROR(VLOOKUP($E45,ActionsCatalog!$A:$D,4,FALSE),0)</f>
        <v/>
      </c>
      <c r="K45" s="4">
        <f>IF($M45&lt;&gt;"Yes",0,IF($H45="",0,$H45*$I45))</f>
        <v/>
      </c>
      <c r="L45" s="4">
        <f>IF($M45&lt;&gt;"Yes",0,IF($H45="",0,$H45*$J45))</f>
        <v/>
      </c>
      <c r="M45" s="4" t="n"/>
      <c r="N45" s="4" t="n"/>
      <c r="O45" s="4">
        <f>IF($A45="","",TEXT($A45,"yyyy")&amp;"-W"&amp;TEXT(ISOWEEKNUM($A45),"00"))</f>
        <v/>
      </c>
      <c r="P45" s="4" t="n"/>
      <c r="Q45" s="14">
        <f>IF($A45="","",TEXT($A45,"yyyy-mm"))</f>
        <v/>
      </c>
    </row>
    <row r="46">
      <c r="A46" s="66" t="n"/>
      <c r="B46" s="4" t="n"/>
      <c r="C46" s="11">
        <f>IFERROR(VLOOKUP($B46,Members!$A:$C,2,FALSE),"")</f>
        <v/>
      </c>
      <c r="D46" s="11">
        <f>IFERROR(VLOOKUP($B46,Members!$A:$C,3,FALSE),"")</f>
        <v/>
      </c>
      <c r="E46" s="11">
        <f>IF($F46="","",IFERROR(VLOOKUP($F46,ActionMap!$A:$B,2,FALSE),"INVALID ACTION"))</f>
        <v/>
      </c>
      <c r="F46" s="4" t="n"/>
      <c r="G46" s="11">
        <f>IFERROR(VLOOKUP($E46,ActionsCatalog!$A:$B,2,FALSE),"")</f>
        <v/>
      </c>
      <c r="H46" s="4" t="n"/>
      <c r="I46" s="4">
        <f>IFERROR(VLOOKUP($E46,ActionsCatalog!$A:$D,3,FALSE),0)</f>
        <v/>
      </c>
      <c r="J46" s="4">
        <f>IFERROR(VLOOKUP($E46,ActionsCatalog!$A:$D,4,FALSE),0)</f>
        <v/>
      </c>
      <c r="K46" s="4">
        <f>IF($M46&lt;&gt;"Yes",0,IF($H46="",0,$H46*$I46))</f>
        <v/>
      </c>
      <c r="L46" s="4">
        <f>IF($M46&lt;&gt;"Yes",0,IF($H46="",0,$H46*$J46))</f>
        <v/>
      </c>
      <c r="M46" s="4" t="n"/>
      <c r="N46" s="4" t="n"/>
      <c r="O46" s="4">
        <f>IF($A46="","",TEXT($A46,"yyyy")&amp;"-W"&amp;TEXT(ISOWEEKNUM($A46),"00"))</f>
        <v/>
      </c>
      <c r="P46" s="4" t="n"/>
      <c r="Q46" s="14">
        <f>IF($A46="","",TEXT($A46,"yyyy-mm"))</f>
        <v/>
      </c>
    </row>
    <row r="47">
      <c r="A47" s="66" t="n"/>
      <c r="B47" s="4" t="n"/>
      <c r="C47" s="11">
        <f>IFERROR(VLOOKUP($B47,Members!$A:$C,2,FALSE),"")</f>
        <v/>
      </c>
      <c r="D47" s="11">
        <f>IFERROR(VLOOKUP($B47,Members!$A:$C,3,FALSE),"")</f>
        <v/>
      </c>
      <c r="E47" s="11">
        <f>IF($F47="","",IFERROR(VLOOKUP($F47,ActionMap!$A:$B,2,FALSE),"INVALID ACTION"))</f>
        <v/>
      </c>
      <c r="F47" s="4" t="n"/>
      <c r="G47" s="11">
        <f>IFERROR(VLOOKUP($E47,ActionsCatalog!$A:$B,2,FALSE),"")</f>
        <v/>
      </c>
      <c r="H47" s="4" t="n"/>
      <c r="I47" s="4">
        <f>IFERROR(VLOOKUP($E47,ActionsCatalog!$A:$D,3,FALSE),0)</f>
        <v/>
      </c>
      <c r="J47" s="4">
        <f>IFERROR(VLOOKUP($E47,ActionsCatalog!$A:$D,4,FALSE),0)</f>
        <v/>
      </c>
      <c r="K47" s="4">
        <f>IF($M47&lt;&gt;"Yes",0,IF($H47="",0,$H47*$I47))</f>
        <v/>
      </c>
      <c r="L47" s="4">
        <f>IF($M47&lt;&gt;"Yes",0,IF($H47="",0,$H47*$J47))</f>
        <v/>
      </c>
      <c r="M47" s="4" t="n"/>
      <c r="N47" s="4" t="n"/>
      <c r="O47" s="4">
        <f>IF($A47="","",TEXT($A47,"yyyy")&amp;"-W"&amp;TEXT(ISOWEEKNUM($A47),"00"))</f>
        <v/>
      </c>
      <c r="P47" s="4" t="n"/>
      <c r="Q47" s="14">
        <f>IF($A47="","",TEXT($A47,"yyyy-mm"))</f>
        <v/>
      </c>
    </row>
    <row r="48">
      <c r="A48" s="66" t="n"/>
      <c r="B48" s="4" t="n"/>
      <c r="C48" s="11">
        <f>IFERROR(VLOOKUP($B48,Members!$A:$C,2,FALSE),"")</f>
        <v/>
      </c>
      <c r="D48" s="11">
        <f>IFERROR(VLOOKUP($B48,Members!$A:$C,3,FALSE),"")</f>
        <v/>
      </c>
      <c r="E48" s="11">
        <f>IF($F48="","",IFERROR(VLOOKUP($F48,ActionMap!$A:$B,2,FALSE),"INVALID ACTION"))</f>
        <v/>
      </c>
      <c r="F48" s="4" t="n"/>
      <c r="G48" s="11">
        <f>IFERROR(VLOOKUP($E48,ActionsCatalog!$A:$B,2,FALSE),"")</f>
        <v/>
      </c>
      <c r="H48" s="4" t="n"/>
      <c r="I48" s="4">
        <f>IFERROR(VLOOKUP($E48,ActionsCatalog!$A:$D,3,FALSE),0)</f>
        <v/>
      </c>
      <c r="J48" s="4">
        <f>IFERROR(VLOOKUP($E48,ActionsCatalog!$A:$D,4,FALSE),0)</f>
        <v/>
      </c>
      <c r="K48" s="4">
        <f>IF($M48&lt;&gt;"Yes",0,IF($H48="",0,$H48*$I48))</f>
        <v/>
      </c>
      <c r="L48" s="4">
        <f>IF($M48&lt;&gt;"Yes",0,IF($H48="",0,$H48*$J48))</f>
        <v/>
      </c>
      <c r="M48" s="4" t="n"/>
      <c r="N48" s="4" t="n"/>
      <c r="O48" s="4">
        <f>IF($A48="","",TEXT($A48,"yyyy")&amp;"-W"&amp;TEXT(ISOWEEKNUM($A48),"00"))</f>
        <v/>
      </c>
      <c r="P48" s="4" t="n"/>
      <c r="Q48" s="14">
        <f>IF($A48="","",TEXT($A48,"yyyy-mm"))</f>
        <v/>
      </c>
    </row>
    <row r="49">
      <c r="A49" s="66" t="n"/>
      <c r="B49" s="4" t="n"/>
      <c r="C49" s="11">
        <f>IFERROR(VLOOKUP($B49,Members!$A:$C,2,FALSE),"")</f>
        <v/>
      </c>
      <c r="D49" s="11">
        <f>IFERROR(VLOOKUP($B49,Members!$A:$C,3,FALSE),"")</f>
        <v/>
      </c>
      <c r="E49" s="11">
        <f>IF($F49="","",IFERROR(VLOOKUP($F49,ActionMap!$A:$B,2,FALSE),"INVALID ACTION"))</f>
        <v/>
      </c>
      <c r="F49" s="4" t="n"/>
      <c r="G49" s="11">
        <f>IFERROR(VLOOKUP($E49,ActionsCatalog!$A:$B,2,FALSE),"")</f>
        <v/>
      </c>
      <c r="H49" s="4" t="n"/>
      <c r="I49" s="4">
        <f>IFERROR(VLOOKUP($E49,ActionsCatalog!$A:$D,3,FALSE),0)</f>
        <v/>
      </c>
      <c r="J49" s="4">
        <f>IFERROR(VLOOKUP($E49,ActionsCatalog!$A:$D,4,FALSE),0)</f>
        <v/>
      </c>
      <c r="K49" s="4">
        <f>IF($M49&lt;&gt;"Yes",0,IF($H49="",0,$H49*$I49))</f>
        <v/>
      </c>
      <c r="L49" s="4">
        <f>IF($M49&lt;&gt;"Yes",0,IF($H49="",0,$H49*$J49))</f>
        <v/>
      </c>
      <c r="M49" s="4" t="n"/>
      <c r="N49" s="4" t="n"/>
      <c r="O49" s="4">
        <f>IF($A49="","",TEXT($A49,"yyyy")&amp;"-W"&amp;TEXT(ISOWEEKNUM($A49),"00"))</f>
        <v/>
      </c>
      <c r="P49" s="4" t="n"/>
      <c r="Q49" s="14">
        <f>IF($A49="","",TEXT($A49,"yyyy-mm"))</f>
        <v/>
      </c>
    </row>
    <row r="50">
      <c r="A50" s="66" t="n"/>
      <c r="B50" s="4" t="n"/>
      <c r="C50" s="11">
        <f>IFERROR(VLOOKUP($B50,Members!$A:$C,2,FALSE),"")</f>
        <v/>
      </c>
      <c r="D50" s="11">
        <f>IFERROR(VLOOKUP($B50,Members!$A:$C,3,FALSE),"")</f>
        <v/>
      </c>
      <c r="E50" s="11">
        <f>IF($F50="","",IFERROR(VLOOKUP($F50,ActionMap!$A:$B,2,FALSE),"INVALID ACTION"))</f>
        <v/>
      </c>
      <c r="F50" s="4" t="n"/>
      <c r="G50" s="11">
        <f>IFERROR(VLOOKUP($E50,ActionsCatalog!$A:$B,2,FALSE),"")</f>
        <v/>
      </c>
      <c r="H50" s="4" t="n"/>
      <c r="I50" s="4">
        <f>IFERROR(VLOOKUP($E50,ActionsCatalog!$A:$D,3,FALSE),0)</f>
        <v/>
      </c>
      <c r="J50" s="4">
        <f>IFERROR(VLOOKUP($E50,ActionsCatalog!$A:$D,4,FALSE),0)</f>
        <v/>
      </c>
      <c r="K50" s="4">
        <f>IF($M50&lt;&gt;"Yes",0,IF($H50="",0,$H50*$I50))</f>
        <v/>
      </c>
      <c r="L50" s="4">
        <f>IF($M50&lt;&gt;"Yes",0,IF($H50="",0,$H50*$J50))</f>
        <v/>
      </c>
      <c r="M50" s="4" t="n"/>
      <c r="N50" s="4" t="n"/>
      <c r="O50" s="4">
        <f>IF($A50="","",TEXT($A50,"yyyy")&amp;"-W"&amp;TEXT(ISOWEEKNUM($A50),"00"))</f>
        <v/>
      </c>
      <c r="P50" s="4" t="n"/>
      <c r="Q50" s="14">
        <f>IF($A50="","",TEXT($A50,"yyyy-mm"))</f>
        <v/>
      </c>
    </row>
    <row r="51">
      <c r="A51" s="66" t="n"/>
      <c r="B51" s="4" t="n"/>
      <c r="C51" s="11">
        <f>IFERROR(VLOOKUP($B51,Members!$A:$C,2,FALSE),"")</f>
        <v/>
      </c>
      <c r="D51" s="11">
        <f>IFERROR(VLOOKUP($B51,Members!$A:$C,3,FALSE),"")</f>
        <v/>
      </c>
      <c r="E51" s="11">
        <f>IF($F51="","",IFERROR(VLOOKUP($F51,ActionMap!$A:$B,2,FALSE),"INVALID ACTION"))</f>
        <v/>
      </c>
      <c r="F51" s="4" t="n"/>
      <c r="G51" s="11">
        <f>IFERROR(VLOOKUP($E51,ActionsCatalog!$A:$B,2,FALSE),"")</f>
        <v/>
      </c>
      <c r="H51" s="4" t="n"/>
      <c r="I51" s="4">
        <f>IFERROR(VLOOKUP($E51,ActionsCatalog!$A:$D,3,FALSE),0)</f>
        <v/>
      </c>
      <c r="J51" s="4">
        <f>IFERROR(VLOOKUP($E51,ActionsCatalog!$A:$D,4,FALSE),0)</f>
        <v/>
      </c>
      <c r="K51" s="4">
        <f>IF($M51&lt;&gt;"Yes",0,IF($H51="",0,$H51*$I51))</f>
        <v/>
      </c>
      <c r="L51" s="4">
        <f>IF($M51&lt;&gt;"Yes",0,IF($H51="",0,$H51*$J51))</f>
        <v/>
      </c>
      <c r="M51" s="4" t="n"/>
      <c r="N51" s="4" t="n"/>
      <c r="O51" s="4">
        <f>IF($A51="","",TEXT($A51,"yyyy")&amp;"-W"&amp;TEXT(ISOWEEKNUM($A51),"00"))</f>
        <v/>
      </c>
      <c r="P51" s="4" t="n"/>
      <c r="Q51" s="14">
        <f>IF($A51="","",TEXT($A51,"yyyy-mm"))</f>
        <v/>
      </c>
    </row>
    <row r="52">
      <c r="A52" s="66" t="n"/>
      <c r="B52" s="4" t="n"/>
      <c r="C52" s="11">
        <f>IFERROR(VLOOKUP($B52,Members!$A:$C,2,FALSE),"")</f>
        <v/>
      </c>
      <c r="D52" s="11">
        <f>IFERROR(VLOOKUP($B52,Members!$A:$C,3,FALSE),"")</f>
        <v/>
      </c>
      <c r="E52" s="11">
        <f>IF($F52="","",IFERROR(VLOOKUP($F52,ActionMap!$A:$B,2,FALSE),"INVALID ACTION"))</f>
        <v/>
      </c>
      <c r="F52" s="4" t="n"/>
      <c r="G52" s="11">
        <f>IFERROR(VLOOKUP($E52,ActionsCatalog!$A:$B,2,FALSE),"")</f>
        <v/>
      </c>
      <c r="H52" s="4" t="n"/>
      <c r="I52" s="4">
        <f>IFERROR(VLOOKUP($E52,ActionsCatalog!$A:$D,3,FALSE),0)</f>
        <v/>
      </c>
      <c r="J52" s="4">
        <f>IFERROR(VLOOKUP($E52,ActionsCatalog!$A:$D,4,FALSE),0)</f>
        <v/>
      </c>
      <c r="K52" s="4">
        <f>IF($M52&lt;&gt;"Yes",0,IF($H52="",0,$H52*$I52))</f>
        <v/>
      </c>
      <c r="L52" s="4">
        <f>IF($M52&lt;&gt;"Yes",0,IF($H52="",0,$H52*$J52))</f>
        <v/>
      </c>
      <c r="M52" s="4" t="n"/>
      <c r="N52" s="4" t="n"/>
      <c r="O52" s="4">
        <f>IF($A52="","",TEXT($A52,"yyyy")&amp;"-W"&amp;TEXT(ISOWEEKNUM($A52),"00"))</f>
        <v/>
      </c>
      <c r="P52" s="4" t="n"/>
      <c r="Q52" s="14">
        <f>IF($A52="","",TEXT($A52,"yyyy-mm"))</f>
        <v/>
      </c>
    </row>
    <row r="53">
      <c r="A53" s="66" t="n"/>
      <c r="B53" s="4" t="n"/>
      <c r="C53" s="11">
        <f>IFERROR(VLOOKUP($B53,Members!$A:$C,2,FALSE),"")</f>
        <v/>
      </c>
      <c r="D53" s="11">
        <f>IFERROR(VLOOKUP($B53,Members!$A:$C,3,FALSE),"")</f>
        <v/>
      </c>
      <c r="E53" s="11">
        <f>IF($F53="","",IFERROR(VLOOKUP($F53,ActionMap!$A:$B,2,FALSE),"INVALID ACTION"))</f>
        <v/>
      </c>
      <c r="F53" s="4" t="n"/>
      <c r="G53" s="11">
        <f>IFERROR(VLOOKUP($E53,ActionsCatalog!$A:$B,2,FALSE),"")</f>
        <v/>
      </c>
      <c r="H53" s="4" t="n"/>
      <c r="I53" s="4">
        <f>IFERROR(VLOOKUP($E53,ActionsCatalog!$A:$D,3,FALSE),0)</f>
        <v/>
      </c>
      <c r="J53" s="4">
        <f>IFERROR(VLOOKUP($E53,ActionsCatalog!$A:$D,4,FALSE),0)</f>
        <v/>
      </c>
      <c r="K53" s="4">
        <f>IF($M53&lt;&gt;"Yes",0,IF($H53="",0,$H53*$I53))</f>
        <v/>
      </c>
      <c r="L53" s="4">
        <f>IF($M53&lt;&gt;"Yes",0,IF($H53="",0,$H53*$J53))</f>
        <v/>
      </c>
      <c r="M53" s="4" t="n"/>
      <c r="N53" s="4" t="n"/>
      <c r="O53" s="4">
        <f>IF($A53="","",TEXT($A53,"yyyy")&amp;"-W"&amp;TEXT(ISOWEEKNUM($A53),"00"))</f>
        <v/>
      </c>
      <c r="P53" s="4" t="n"/>
      <c r="Q53" s="14">
        <f>IF($A53="","",TEXT($A53,"yyyy-mm"))</f>
        <v/>
      </c>
    </row>
    <row r="54">
      <c r="A54" s="66" t="n"/>
      <c r="B54" s="4" t="n"/>
      <c r="C54" s="11">
        <f>IFERROR(VLOOKUP($B54,Members!$A:$C,2,FALSE),"")</f>
        <v/>
      </c>
      <c r="D54" s="11">
        <f>IFERROR(VLOOKUP($B54,Members!$A:$C,3,FALSE),"")</f>
        <v/>
      </c>
      <c r="E54" s="11">
        <f>IF($F54="","",IFERROR(VLOOKUP($F54,ActionMap!$A:$B,2,FALSE),"INVALID ACTION"))</f>
        <v/>
      </c>
      <c r="F54" s="4" t="n"/>
      <c r="G54" s="11">
        <f>IFERROR(VLOOKUP($E54,ActionsCatalog!$A:$B,2,FALSE),"")</f>
        <v/>
      </c>
      <c r="H54" s="4" t="n"/>
      <c r="I54" s="4">
        <f>IFERROR(VLOOKUP($E54,ActionsCatalog!$A:$D,3,FALSE),0)</f>
        <v/>
      </c>
      <c r="J54" s="4">
        <f>IFERROR(VLOOKUP($E54,ActionsCatalog!$A:$D,4,FALSE),0)</f>
        <v/>
      </c>
      <c r="K54" s="4">
        <f>IF($M54&lt;&gt;"Yes",0,IF($H54="",0,$H54*$I54))</f>
        <v/>
      </c>
      <c r="L54" s="4">
        <f>IF($M54&lt;&gt;"Yes",0,IF($H54="",0,$H54*$J54))</f>
        <v/>
      </c>
      <c r="M54" s="4" t="n"/>
      <c r="N54" s="4" t="n"/>
      <c r="O54" s="4">
        <f>IF($A54="","",TEXT($A54,"yyyy")&amp;"-W"&amp;TEXT(ISOWEEKNUM($A54),"00"))</f>
        <v/>
      </c>
      <c r="P54" s="4" t="n"/>
      <c r="Q54" s="14">
        <f>IF($A54="","",TEXT($A54,"yyyy-mm"))</f>
        <v/>
      </c>
    </row>
    <row r="55">
      <c r="A55" s="66" t="n"/>
      <c r="B55" s="4" t="n"/>
      <c r="C55" s="11">
        <f>IFERROR(VLOOKUP($B55,Members!$A:$C,2,FALSE),"")</f>
        <v/>
      </c>
      <c r="D55" s="11">
        <f>IFERROR(VLOOKUP($B55,Members!$A:$C,3,FALSE),"")</f>
        <v/>
      </c>
      <c r="E55" s="11">
        <f>IF($F55="","",IFERROR(VLOOKUP($F55,ActionMap!$A:$B,2,FALSE),"INVALID ACTION"))</f>
        <v/>
      </c>
      <c r="F55" s="4" t="n"/>
      <c r="G55" s="11">
        <f>IFERROR(VLOOKUP($E55,ActionsCatalog!$A:$B,2,FALSE),"")</f>
        <v/>
      </c>
      <c r="H55" s="4" t="n"/>
      <c r="I55" s="4">
        <f>IFERROR(VLOOKUP($E55,ActionsCatalog!$A:$D,3,FALSE),0)</f>
        <v/>
      </c>
      <c r="J55" s="4">
        <f>IFERROR(VLOOKUP($E55,ActionsCatalog!$A:$D,4,FALSE),0)</f>
        <v/>
      </c>
      <c r="K55" s="4">
        <f>IF($M55&lt;&gt;"Yes",0,IF($H55="",0,$H55*$I55))</f>
        <v/>
      </c>
      <c r="L55" s="4">
        <f>IF($M55&lt;&gt;"Yes",0,IF($H55="",0,$H55*$J55))</f>
        <v/>
      </c>
      <c r="M55" s="4" t="n"/>
      <c r="N55" s="4" t="n"/>
      <c r="O55" s="4">
        <f>IF($A55="","",TEXT($A55,"yyyy")&amp;"-W"&amp;TEXT(ISOWEEKNUM($A55),"00"))</f>
        <v/>
      </c>
      <c r="P55" s="4" t="n"/>
      <c r="Q55" s="14">
        <f>IF($A55="","",TEXT($A55,"yyyy-mm"))</f>
        <v/>
      </c>
    </row>
    <row r="56">
      <c r="A56" s="66" t="n"/>
      <c r="B56" s="4" t="n"/>
      <c r="C56" s="11">
        <f>IFERROR(VLOOKUP($B56,Members!$A:$C,2,FALSE),"")</f>
        <v/>
      </c>
      <c r="D56" s="11">
        <f>IFERROR(VLOOKUP($B56,Members!$A:$C,3,FALSE),"")</f>
        <v/>
      </c>
      <c r="E56" s="11">
        <f>IF($F56="","",IFERROR(VLOOKUP($F56,ActionMap!$A:$B,2,FALSE),"INVALID ACTION"))</f>
        <v/>
      </c>
      <c r="F56" s="4" t="n"/>
      <c r="G56" s="11">
        <f>IFERROR(VLOOKUP($E56,ActionsCatalog!$A:$B,2,FALSE),"")</f>
        <v/>
      </c>
      <c r="H56" s="4" t="n"/>
      <c r="I56" s="4">
        <f>IFERROR(VLOOKUP($E56,ActionsCatalog!$A:$D,3,FALSE),0)</f>
        <v/>
      </c>
      <c r="J56" s="4">
        <f>IFERROR(VLOOKUP($E56,ActionsCatalog!$A:$D,4,FALSE),0)</f>
        <v/>
      </c>
      <c r="K56" s="4">
        <f>IF($M56&lt;&gt;"Yes",0,IF($H56="",0,$H56*$I56))</f>
        <v/>
      </c>
      <c r="L56" s="4">
        <f>IF($M56&lt;&gt;"Yes",0,IF($H56="",0,$H56*$J56))</f>
        <v/>
      </c>
      <c r="M56" s="4" t="n"/>
      <c r="N56" s="4" t="n"/>
      <c r="O56" s="4">
        <f>IF($A56="","",TEXT($A56,"yyyy")&amp;"-W"&amp;TEXT(ISOWEEKNUM($A56),"00"))</f>
        <v/>
      </c>
      <c r="P56" s="4" t="n"/>
      <c r="Q56" s="14">
        <f>IF($A56="","",TEXT($A56,"yyyy-mm"))</f>
        <v/>
      </c>
    </row>
    <row r="57">
      <c r="A57" s="66" t="n"/>
      <c r="B57" s="4" t="n"/>
      <c r="C57" s="11">
        <f>IFERROR(VLOOKUP($B57,Members!$A:$C,2,FALSE),"")</f>
        <v/>
      </c>
      <c r="D57" s="11">
        <f>IFERROR(VLOOKUP($B57,Members!$A:$C,3,FALSE),"")</f>
        <v/>
      </c>
      <c r="E57" s="11">
        <f>IF($F57="","",IFERROR(VLOOKUP($F57,ActionMap!$A:$B,2,FALSE),"INVALID ACTION"))</f>
        <v/>
      </c>
      <c r="F57" s="4" t="n"/>
      <c r="G57" s="11">
        <f>IFERROR(VLOOKUP($E57,ActionsCatalog!$A:$B,2,FALSE),"")</f>
        <v/>
      </c>
      <c r="H57" s="4" t="n"/>
      <c r="I57" s="4">
        <f>IFERROR(VLOOKUP($E57,ActionsCatalog!$A:$D,3,FALSE),0)</f>
        <v/>
      </c>
      <c r="J57" s="4">
        <f>IFERROR(VLOOKUP($E57,ActionsCatalog!$A:$D,4,FALSE),0)</f>
        <v/>
      </c>
      <c r="K57" s="4">
        <f>IF($M57&lt;&gt;"Yes",0,IF($H57="",0,$H57*$I57))</f>
        <v/>
      </c>
      <c r="L57" s="4">
        <f>IF($M57&lt;&gt;"Yes",0,IF($H57="",0,$H57*$J57))</f>
        <v/>
      </c>
      <c r="M57" s="4" t="n"/>
      <c r="N57" s="4" t="n"/>
      <c r="O57" s="4">
        <f>IF($A57="","",TEXT($A57,"yyyy")&amp;"-W"&amp;TEXT(ISOWEEKNUM($A57),"00"))</f>
        <v/>
      </c>
      <c r="P57" s="4" t="n"/>
      <c r="Q57" s="14">
        <f>IF($A57="","",TEXT($A57,"yyyy-mm"))</f>
        <v/>
      </c>
    </row>
    <row r="58">
      <c r="A58" s="66" t="n"/>
      <c r="B58" s="4" t="n"/>
      <c r="C58" s="11">
        <f>IFERROR(VLOOKUP($B58,Members!$A:$C,2,FALSE),"")</f>
        <v/>
      </c>
      <c r="D58" s="11">
        <f>IFERROR(VLOOKUP($B58,Members!$A:$C,3,FALSE),"")</f>
        <v/>
      </c>
      <c r="E58" s="11">
        <f>IF($F58="","",IFERROR(VLOOKUP($F58,ActionMap!$A:$B,2,FALSE),"INVALID ACTION"))</f>
        <v/>
      </c>
      <c r="F58" s="4" t="n"/>
      <c r="G58" s="11">
        <f>IFERROR(VLOOKUP($E58,ActionsCatalog!$A:$B,2,FALSE),"")</f>
        <v/>
      </c>
      <c r="H58" s="4" t="n"/>
      <c r="I58" s="4">
        <f>IFERROR(VLOOKUP($E58,ActionsCatalog!$A:$D,3,FALSE),0)</f>
        <v/>
      </c>
      <c r="J58" s="4">
        <f>IFERROR(VLOOKUP($E58,ActionsCatalog!$A:$D,4,FALSE),0)</f>
        <v/>
      </c>
      <c r="K58" s="4">
        <f>IF($M58&lt;&gt;"Yes",0,IF($H58="",0,$H58*$I58))</f>
        <v/>
      </c>
      <c r="L58" s="4">
        <f>IF($M58&lt;&gt;"Yes",0,IF($H58="",0,$H58*$J58))</f>
        <v/>
      </c>
      <c r="M58" s="4" t="n"/>
      <c r="N58" s="4" t="n"/>
      <c r="O58" s="4">
        <f>IF($A58="","",TEXT($A58,"yyyy")&amp;"-W"&amp;TEXT(ISOWEEKNUM($A58),"00"))</f>
        <v/>
      </c>
      <c r="P58" s="4" t="n"/>
      <c r="Q58" s="14">
        <f>IF($A58="","",TEXT($A58,"yyyy-mm"))</f>
        <v/>
      </c>
    </row>
    <row r="59">
      <c r="A59" s="66" t="n"/>
      <c r="B59" s="4" t="n"/>
      <c r="C59" s="11">
        <f>IFERROR(VLOOKUP($B59,Members!$A:$C,2,FALSE),"")</f>
        <v/>
      </c>
      <c r="D59" s="11">
        <f>IFERROR(VLOOKUP($B59,Members!$A:$C,3,FALSE),"")</f>
        <v/>
      </c>
      <c r="E59" s="11">
        <f>IF($F59="","",IFERROR(VLOOKUP($F59,ActionMap!$A:$B,2,FALSE),"INVALID ACTION"))</f>
        <v/>
      </c>
      <c r="F59" s="4" t="n"/>
      <c r="G59" s="11">
        <f>IFERROR(VLOOKUP($E59,ActionsCatalog!$A:$B,2,FALSE),"")</f>
        <v/>
      </c>
      <c r="H59" s="4" t="n"/>
      <c r="I59" s="4">
        <f>IFERROR(VLOOKUP($E59,ActionsCatalog!$A:$D,3,FALSE),0)</f>
        <v/>
      </c>
      <c r="J59" s="4">
        <f>IFERROR(VLOOKUP($E59,ActionsCatalog!$A:$D,4,FALSE),0)</f>
        <v/>
      </c>
      <c r="K59" s="4">
        <f>IF($M59&lt;&gt;"Yes",0,IF($H59="",0,$H59*$I59))</f>
        <v/>
      </c>
      <c r="L59" s="4">
        <f>IF($M59&lt;&gt;"Yes",0,IF($H59="",0,$H59*$J59))</f>
        <v/>
      </c>
      <c r="M59" s="4" t="n"/>
      <c r="N59" s="4" t="n"/>
      <c r="O59" s="4">
        <f>IF($A59="","",TEXT($A59,"yyyy")&amp;"-W"&amp;TEXT(ISOWEEKNUM($A59),"00"))</f>
        <v/>
      </c>
      <c r="P59" s="4" t="n"/>
      <c r="Q59" s="14">
        <f>IF($A59="","",TEXT($A59,"yyyy-mm"))</f>
        <v/>
      </c>
    </row>
    <row r="60">
      <c r="A60" s="66" t="n"/>
      <c r="B60" s="4" t="n"/>
      <c r="C60" s="11">
        <f>IFERROR(VLOOKUP($B60,Members!$A:$C,2,FALSE),"")</f>
        <v/>
      </c>
      <c r="D60" s="11">
        <f>IFERROR(VLOOKUP($B60,Members!$A:$C,3,FALSE),"")</f>
        <v/>
      </c>
      <c r="E60" s="11">
        <f>IF($F60="","",IFERROR(VLOOKUP($F60,ActionMap!$A:$B,2,FALSE),"INVALID ACTION"))</f>
        <v/>
      </c>
      <c r="F60" s="4" t="n"/>
      <c r="G60" s="11">
        <f>IFERROR(VLOOKUP($E60,ActionsCatalog!$A:$B,2,FALSE),"")</f>
        <v/>
      </c>
      <c r="H60" s="4" t="n"/>
      <c r="I60" s="4">
        <f>IFERROR(VLOOKUP($E60,ActionsCatalog!$A:$D,3,FALSE),0)</f>
        <v/>
      </c>
      <c r="J60" s="4">
        <f>IFERROR(VLOOKUP($E60,ActionsCatalog!$A:$D,4,FALSE),0)</f>
        <v/>
      </c>
      <c r="K60" s="4">
        <f>IF($M60&lt;&gt;"Yes",0,IF($H60="",0,$H60*$I60))</f>
        <v/>
      </c>
      <c r="L60" s="4">
        <f>IF($M60&lt;&gt;"Yes",0,IF($H60="",0,$H60*$J60))</f>
        <v/>
      </c>
      <c r="M60" s="4" t="n"/>
      <c r="N60" s="4" t="n"/>
      <c r="O60" s="4">
        <f>IF($A60="","",TEXT($A60,"yyyy")&amp;"-W"&amp;TEXT(ISOWEEKNUM($A60),"00"))</f>
        <v/>
      </c>
      <c r="P60" s="4" t="n"/>
      <c r="Q60" s="14">
        <f>IF($A60="","",TEXT($A60,"yyyy-mm"))</f>
        <v/>
      </c>
    </row>
    <row r="61">
      <c r="A61" s="66" t="n"/>
      <c r="B61" s="4" t="n"/>
      <c r="C61" s="11">
        <f>IFERROR(VLOOKUP($B61,Members!$A:$C,2,FALSE),"")</f>
        <v/>
      </c>
      <c r="D61" s="11">
        <f>IFERROR(VLOOKUP($B61,Members!$A:$C,3,FALSE),"")</f>
        <v/>
      </c>
      <c r="E61" s="11">
        <f>IF($F61="","",IFERROR(VLOOKUP($F61,ActionMap!$A:$B,2,FALSE),"INVALID ACTION"))</f>
        <v/>
      </c>
      <c r="F61" s="4" t="n"/>
      <c r="G61" s="11">
        <f>IFERROR(VLOOKUP($E61,ActionsCatalog!$A:$B,2,FALSE),"")</f>
        <v/>
      </c>
      <c r="H61" s="4" t="n"/>
      <c r="I61" s="4">
        <f>IFERROR(VLOOKUP($E61,ActionsCatalog!$A:$D,3,FALSE),0)</f>
        <v/>
      </c>
      <c r="J61" s="4">
        <f>IFERROR(VLOOKUP($E61,ActionsCatalog!$A:$D,4,FALSE),0)</f>
        <v/>
      </c>
      <c r="K61" s="4">
        <f>IF($M61&lt;&gt;"Yes",0,IF($H61="",0,$H61*$I61))</f>
        <v/>
      </c>
      <c r="L61" s="4">
        <f>IF($M61&lt;&gt;"Yes",0,IF($H61="",0,$H61*$J61))</f>
        <v/>
      </c>
      <c r="M61" s="4" t="n"/>
      <c r="N61" s="4" t="n"/>
      <c r="O61" s="4">
        <f>IF($A61="","",TEXT($A61,"yyyy")&amp;"-W"&amp;TEXT(ISOWEEKNUM($A61),"00"))</f>
        <v/>
      </c>
      <c r="P61" s="4" t="n"/>
      <c r="Q61" s="14">
        <f>IF($A61="","",TEXT($A61,"yyyy-mm"))</f>
        <v/>
      </c>
    </row>
    <row r="62">
      <c r="A62" s="66" t="n"/>
      <c r="B62" s="4" t="n"/>
      <c r="C62" s="11">
        <f>IFERROR(VLOOKUP($B62,Members!$A:$C,2,FALSE),"")</f>
        <v/>
      </c>
      <c r="D62" s="11">
        <f>IFERROR(VLOOKUP($B62,Members!$A:$C,3,FALSE),"")</f>
        <v/>
      </c>
      <c r="E62" s="11">
        <f>IF($F62="","",IFERROR(VLOOKUP($F62,ActionMap!$A:$B,2,FALSE),"INVALID ACTION"))</f>
        <v/>
      </c>
      <c r="F62" s="4" t="n"/>
      <c r="G62" s="11">
        <f>IFERROR(VLOOKUP($E62,ActionsCatalog!$A:$B,2,FALSE),"")</f>
        <v/>
      </c>
      <c r="H62" s="4" t="n"/>
      <c r="I62" s="4">
        <f>IFERROR(VLOOKUP($E62,ActionsCatalog!$A:$D,3,FALSE),0)</f>
        <v/>
      </c>
      <c r="J62" s="4">
        <f>IFERROR(VLOOKUP($E62,ActionsCatalog!$A:$D,4,FALSE),0)</f>
        <v/>
      </c>
      <c r="K62" s="4">
        <f>IF($M62&lt;&gt;"Yes",0,IF($H62="",0,$H62*$I62))</f>
        <v/>
      </c>
      <c r="L62" s="4">
        <f>IF($M62&lt;&gt;"Yes",0,IF($H62="",0,$H62*$J62))</f>
        <v/>
      </c>
      <c r="M62" s="4" t="n"/>
      <c r="N62" s="4" t="n"/>
      <c r="O62" s="4">
        <f>IF($A62="","",TEXT($A62,"yyyy")&amp;"-W"&amp;TEXT(ISOWEEKNUM($A62),"00"))</f>
        <v/>
      </c>
      <c r="P62" s="4" t="n"/>
      <c r="Q62" s="14">
        <f>IF($A62="","",TEXT($A62,"yyyy-mm"))</f>
        <v/>
      </c>
    </row>
    <row r="63">
      <c r="A63" s="66" t="n"/>
      <c r="B63" s="4" t="n"/>
      <c r="C63" s="11">
        <f>IFERROR(VLOOKUP($B63,Members!$A:$C,2,FALSE),"")</f>
        <v/>
      </c>
      <c r="D63" s="11">
        <f>IFERROR(VLOOKUP($B63,Members!$A:$C,3,FALSE),"")</f>
        <v/>
      </c>
      <c r="E63" s="11">
        <f>IF($F63="","",IFERROR(VLOOKUP($F63,ActionMap!$A:$B,2,FALSE),"INVALID ACTION"))</f>
        <v/>
      </c>
      <c r="F63" s="4" t="n"/>
      <c r="G63" s="11">
        <f>IFERROR(VLOOKUP($E63,ActionsCatalog!$A:$B,2,FALSE),"")</f>
        <v/>
      </c>
      <c r="H63" s="4" t="n"/>
      <c r="I63" s="4">
        <f>IFERROR(VLOOKUP($E63,ActionsCatalog!$A:$D,3,FALSE),0)</f>
        <v/>
      </c>
      <c r="J63" s="4">
        <f>IFERROR(VLOOKUP($E63,ActionsCatalog!$A:$D,4,FALSE),0)</f>
        <v/>
      </c>
      <c r="K63" s="4">
        <f>IF($M63&lt;&gt;"Yes",0,IF($H63="",0,$H63*$I63))</f>
        <v/>
      </c>
      <c r="L63" s="4">
        <f>IF($M63&lt;&gt;"Yes",0,IF($H63="",0,$H63*$J63))</f>
        <v/>
      </c>
      <c r="M63" s="4" t="n"/>
      <c r="N63" s="4" t="n"/>
      <c r="O63" s="4">
        <f>IF($A63="","",TEXT($A63,"yyyy")&amp;"-W"&amp;TEXT(ISOWEEKNUM($A63),"00"))</f>
        <v/>
      </c>
      <c r="P63" s="4" t="n"/>
      <c r="Q63" s="14">
        <f>IF($A63="","",TEXT($A63,"yyyy-mm"))</f>
        <v/>
      </c>
    </row>
    <row r="64">
      <c r="A64" s="66" t="n"/>
      <c r="B64" s="4" t="n"/>
      <c r="C64" s="11">
        <f>IFERROR(VLOOKUP($B64,Members!$A:$C,2,FALSE),"")</f>
        <v/>
      </c>
      <c r="D64" s="11">
        <f>IFERROR(VLOOKUP($B64,Members!$A:$C,3,FALSE),"")</f>
        <v/>
      </c>
      <c r="E64" s="11">
        <f>IF($F64="","",IFERROR(VLOOKUP($F64,ActionMap!$A:$B,2,FALSE),"INVALID ACTION"))</f>
        <v/>
      </c>
      <c r="F64" s="4" t="n"/>
      <c r="G64" s="11">
        <f>IFERROR(VLOOKUP($E64,ActionsCatalog!$A:$B,2,FALSE),"")</f>
        <v/>
      </c>
      <c r="H64" s="4" t="n"/>
      <c r="I64" s="4">
        <f>IFERROR(VLOOKUP($E64,ActionsCatalog!$A:$D,3,FALSE),0)</f>
        <v/>
      </c>
      <c r="J64" s="4">
        <f>IFERROR(VLOOKUP($E64,ActionsCatalog!$A:$D,4,FALSE),0)</f>
        <v/>
      </c>
      <c r="K64" s="4">
        <f>IF($M64&lt;&gt;"Yes",0,IF($H64="",0,$H64*$I64))</f>
        <v/>
      </c>
      <c r="L64" s="4">
        <f>IF($M64&lt;&gt;"Yes",0,IF($H64="",0,$H64*$J64))</f>
        <v/>
      </c>
      <c r="M64" s="4" t="n"/>
      <c r="N64" s="4" t="n"/>
      <c r="O64" s="4">
        <f>IF($A64="","",TEXT($A64,"yyyy")&amp;"-W"&amp;TEXT(ISOWEEKNUM($A64),"00"))</f>
        <v/>
      </c>
      <c r="P64" s="4" t="n"/>
      <c r="Q64" s="14">
        <f>IF($A64="","",TEXT($A64,"yyyy-mm"))</f>
        <v/>
      </c>
    </row>
    <row r="65">
      <c r="A65" s="66" t="n"/>
      <c r="B65" s="4" t="n"/>
      <c r="C65" s="11">
        <f>IFERROR(VLOOKUP($B65,Members!$A:$C,2,FALSE),"")</f>
        <v/>
      </c>
      <c r="D65" s="11">
        <f>IFERROR(VLOOKUP($B65,Members!$A:$C,3,FALSE),"")</f>
        <v/>
      </c>
      <c r="E65" s="11">
        <f>IF($F65="","",IFERROR(VLOOKUP($F65,ActionMap!$A:$B,2,FALSE),"INVALID ACTION"))</f>
        <v/>
      </c>
      <c r="F65" s="4" t="n"/>
      <c r="G65" s="11">
        <f>IFERROR(VLOOKUP($E65,ActionsCatalog!$A:$B,2,FALSE),"")</f>
        <v/>
      </c>
      <c r="H65" s="4" t="n"/>
      <c r="I65" s="4">
        <f>IFERROR(VLOOKUP($E65,ActionsCatalog!$A:$D,3,FALSE),0)</f>
        <v/>
      </c>
      <c r="J65" s="4">
        <f>IFERROR(VLOOKUP($E65,ActionsCatalog!$A:$D,4,FALSE),0)</f>
        <v/>
      </c>
      <c r="K65" s="4">
        <f>IF($M65&lt;&gt;"Yes",0,IF($H65="",0,$H65*$I65))</f>
        <v/>
      </c>
      <c r="L65" s="4">
        <f>IF($M65&lt;&gt;"Yes",0,IF($H65="",0,$H65*$J65))</f>
        <v/>
      </c>
      <c r="M65" s="4" t="n"/>
      <c r="N65" s="4" t="n"/>
      <c r="O65" s="4">
        <f>IF($A65="","",TEXT($A65,"yyyy")&amp;"-W"&amp;TEXT(ISOWEEKNUM($A65),"00"))</f>
        <v/>
      </c>
      <c r="P65" s="4" t="n"/>
      <c r="Q65" s="14">
        <f>IF($A65="","",TEXT($A65,"yyyy-mm"))</f>
        <v/>
      </c>
    </row>
    <row r="66">
      <c r="A66" s="66" t="n"/>
      <c r="B66" s="4" t="n"/>
      <c r="C66" s="11">
        <f>IFERROR(VLOOKUP($B66,Members!$A:$C,2,FALSE),"")</f>
        <v/>
      </c>
      <c r="D66" s="11">
        <f>IFERROR(VLOOKUP($B66,Members!$A:$C,3,FALSE),"")</f>
        <v/>
      </c>
      <c r="E66" s="11">
        <f>IF($F66="","",IFERROR(VLOOKUP($F66,ActionMap!$A:$B,2,FALSE),"INVALID ACTION"))</f>
        <v/>
      </c>
      <c r="F66" s="4" t="n"/>
      <c r="G66" s="11">
        <f>IFERROR(VLOOKUP($E66,ActionsCatalog!$A:$B,2,FALSE),"")</f>
        <v/>
      </c>
      <c r="H66" s="4" t="n"/>
      <c r="I66" s="4">
        <f>IFERROR(VLOOKUP($E66,ActionsCatalog!$A:$D,3,FALSE),0)</f>
        <v/>
      </c>
      <c r="J66" s="4">
        <f>IFERROR(VLOOKUP($E66,ActionsCatalog!$A:$D,4,FALSE),0)</f>
        <v/>
      </c>
      <c r="K66" s="4">
        <f>IF($M66&lt;&gt;"Yes",0,IF($H66="",0,$H66*$I66))</f>
        <v/>
      </c>
      <c r="L66" s="4">
        <f>IF($M66&lt;&gt;"Yes",0,IF($H66="",0,$H66*$J66))</f>
        <v/>
      </c>
      <c r="M66" s="4" t="n"/>
      <c r="N66" s="4" t="n"/>
      <c r="O66" s="4">
        <f>IF($A66="","",TEXT($A66,"yyyy")&amp;"-W"&amp;TEXT(ISOWEEKNUM($A66),"00"))</f>
        <v/>
      </c>
      <c r="P66" s="4" t="n"/>
      <c r="Q66" s="14">
        <f>IF($A66="","",TEXT($A66,"yyyy-mm"))</f>
        <v/>
      </c>
    </row>
    <row r="67">
      <c r="A67" s="66" t="n"/>
      <c r="B67" s="4" t="n"/>
      <c r="C67" s="11">
        <f>IFERROR(VLOOKUP($B67,Members!$A:$C,2,FALSE),"")</f>
        <v/>
      </c>
      <c r="D67" s="11">
        <f>IFERROR(VLOOKUP($B67,Members!$A:$C,3,FALSE),"")</f>
        <v/>
      </c>
      <c r="E67" s="11">
        <f>IF($F67="","",IFERROR(VLOOKUP($F67,ActionMap!$A:$B,2,FALSE),"INVALID ACTION"))</f>
        <v/>
      </c>
      <c r="F67" s="4" t="n"/>
      <c r="G67" s="11">
        <f>IFERROR(VLOOKUP($E67,ActionsCatalog!$A:$B,2,FALSE),"")</f>
        <v/>
      </c>
      <c r="H67" s="4" t="n"/>
      <c r="I67" s="4">
        <f>IFERROR(VLOOKUP($E67,ActionsCatalog!$A:$D,3,FALSE),0)</f>
        <v/>
      </c>
      <c r="J67" s="4">
        <f>IFERROR(VLOOKUP($E67,ActionsCatalog!$A:$D,4,FALSE),0)</f>
        <v/>
      </c>
      <c r="K67" s="4">
        <f>IF($M67&lt;&gt;"Yes",0,IF($H67="",0,$H67*$I67))</f>
        <v/>
      </c>
      <c r="L67" s="4">
        <f>IF($M67&lt;&gt;"Yes",0,IF($H67="",0,$H67*$J67))</f>
        <v/>
      </c>
      <c r="M67" s="4" t="n"/>
      <c r="N67" s="4" t="n"/>
      <c r="O67" s="4">
        <f>IF($A67="","",TEXT($A67,"yyyy")&amp;"-W"&amp;TEXT(ISOWEEKNUM($A67),"00"))</f>
        <v/>
      </c>
      <c r="P67" s="4" t="n"/>
      <c r="Q67" s="14">
        <f>IF($A67="","",TEXT($A67,"yyyy-mm"))</f>
        <v/>
      </c>
    </row>
    <row r="68">
      <c r="A68" s="66" t="n"/>
      <c r="B68" s="4" t="n"/>
      <c r="C68" s="11">
        <f>IFERROR(VLOOKUP($B68,Members!$A:$C,2,FALSE),"")</f>
        <v/>
      </c>
      <c r="D68" s="11">
        <f>IFERROR(VLOOKUP($B68,Members!$A:$C,3,FALSE),"")</f>
        <v/>
      </c>
      <c r="E68" s="11">
        <f>IF($F68="","",IFERROR(VLOOKUP($F68,ActionMap!$A:$B,2,FALSE),"INVALID ACTION"))</f>
        <v/>
      </c>
      <c r="F68" s="4" t="n"/>
      <c r="G68" s="11">
        <f>IFERROR(VLOOKUP($E68,ActionsCatalog!$A:$B,2,FALSE),"")</f>
        <v/>
      </c>
      <c r="H68" s="4" t="n"/>
      <c r="I68" s="4">
        <f>IFERROR(VLOOKUP($E68,ActionsCatalog!$A:$D,3,FALSE),0)</f>
        <v/>
      </c>
      <c r="J68" s="4">
        <f>IFERROR(VLOOKUP($E68,ActionsCatalog!$A:$D,4,FALSE),0)</f>
        <v/>
      </c>
      <c r="K68" s="4">
        <f>IF($M68&lt;&gt;"Yes",0,IF($H68="",0,$H68*$I68))</f>
        <v/>
      </c>
      <c r="L68" s="4">
        <f>IF($M68&lt;&gt;"Yes",0,IF($H68="",0,$H68*$J68))</f>
        <v/>
      </c>
      <c r="M68" s="4" t="n"/>
      <c r="N68" s="4" t="n"/>
      <c r="O68" s="4">
        <f>IF($A68="","",TEXT($A68,"yyyy")&amp;"-W"&amp;TEXT(ISOWEEKNUM($A68),"00"))</f>
        <v/>
      </c>
      <c r="P68" s="4" t="n"/>
      <c r="Q68" s="14">
        <f>IF($A68="","",TEXT($A68,"yyyy-mm"))</f>
        <v/>
      </c>
    </row>
    <row r="69">
      <c r="A69" s="66" t="n"/>
      <c r="B69" s="4" t="n"/>
      <c r="C69" s="11">
        <f>IFERROR(VLOOKUP($B69,Members!$A:$C,2,FALSE),"")</f>
        <v/>
      </c>
      <c r="D69" s="11">
        <f>IFERROR(VLOOKUP($B69,Members!$A:$C,3,FALSE),"")</f>
        <v/>
      </c>
      <c r="E69" s="11">
        <f>IF($F69="","",IFERROR(VLOOKUP($F69,ActionMap!$A:$B,2,FALSE),"INVALID ACTION"))</f>
        <v/>
      </c>
      <c r="F69" s="4" t="n"/>
      <c r="G69" s="11">
        <f>IFERROR(VLOOKUP($E69,ActionsCatalog!$A:$B,2,FALSE),"")</f>
        <v/>
      </c>
      <c r="H69" s="4" t="n"/>
      <c r="I69" s="4">
        <f>IFERROR(VLOOKUP($E69,ActionsCatalog!$A:$D,3,FALSE),0)</f>
        <v/>
      </c>
      <c r="J69" s="4">
        <f>IFERROR(VLOOKUP($E69,ActionsCatalog!$A:$D,4,FALSE),0)</f>
        <v/>
      </c>
      <c r="K69" s="4">
        <f>IF($M69&lt;&gt;"Yes",0,IF($H69="",0,$H69*$I69))</f>
        <v/>
      </c>
      <c r="L69" s="4">
        <f>IF($M69&lt;&gt;"Yes",0,IF($H69="",0,$H69*$J69))</f>
        <v/>
      </c>
      <c r="M69" s="4" t="n"/>
      <c r="N69" s="4" t="n"/>
      <c r="O69" s="4">
        <f>IF($A69="","",TEXT($A69,"yyyy")&amp;"-W"&amp;TEXT(ISOWEEKNUM($A69),"00"))</f>
        <v/>
      </c>
      <c r="P69" s="4" t="n"/>
      <c r="Q69" s="14">
        <f>IF($A69="","",TEXT($A69,"yyyy-mm"))</f>
        <v/>
      </c>
    </row>
    <row r="70">
      <c r="A70" s="66" t="n"/>
      <c r="B70" s="4" t="n"/>
      <c r="C70" s="11">
        <f>IFERROR(VLOOKUP($B70,Members!$A:$C,2,FALSE),"")</f>
        <v/>
      </c>
      <c r="D70" s="11">
        <f>IFERROR(VLOOKUP($B70,Members!$A:$C,3,FALSE),"")</f>
        <v/>
      </c>
      <c r="E70" s="11">
        <f>IF($F70="","",IFERROR(VLOOKUP($F70,ActionMap!$A:$B,2,FALSE),"INVALID ACTION"))</f>
        <v/>
      </c>
      <c r="F70" s="4" t="n"/>
      <c r="G70" s="11">
        <f>IFERROR(VLOOKUP($E70,ActionsCatalog!$A:$B,2,FALSE),"")</f>
        <v/>
      </c>
      <c r="H70" s="4" t="n"/>
      <c r="I70" s="4">
        <f>IFERROR(VLOOKUP($E70,ActionsCatalog!$A:$D,3,FALSE),0)</f>
        <v/>
      </c>
      <c r="J70" s="4">
        <f>IFERROR(VLOOKUP($E70,ActionsCatalog!$A:$D,4,FALSE),0)</f>
        <v/>
      </c>
      <c r="K70" s="4">
        <f>IF($M70&lt;&gt;"Yes",0,IF($H70="",0,$H70*$I70))</f>
        <v/>
      </c>
      <c r="L70" s="4">
        <f>IF($M70&lt;&gt;"Yes",0,IF($H70="",0,$H70*$J70))</f>
        <v/>
      </c>
      <c r="M70" s="4" t="n"/>
      <c r="N70" s="4" t="n"/>
      <c r="O70" s="4">
        <f>IF($A70="","",TEXT($A70,"yyyy")&amp;"-W"&amp;TEXT(ISOWEEKNUM($A70),"00"))</f>
        <v/>
      </c>
      <c r="P70" s="4" t="n"/>
      <c r="Q70" s="14">
        <f>IF($A70="","",TEXT($A70,"yyyy-mm"))</f>
        <v/>
      </c>
    </row>
    <row r="71">
      <c r="A71" s="66" t="n"/>
      <c r="B71" s="4" t="n"/>
      <c r="C71" s="11">
        <f>IFERROR(VLOOKUP($B71,Members!$A:$C,2,FALSE),"")</f>
        <v/>
      </c>
      <c r="D71" s="11">
        <f>IFERROR(VLOOKUP($B71,Members!$A:$C,3,FALSE),"")</f>
        <v/>
      </c>
      <c r="E71" s="11">
        <f>IF($F71="","",IFERROR(VLOOKUP($F71,ActionMap!$A:$B,2,FALSE),"INVALID ACTION"))</f>
        <v/>
      </c>
      <c r="F71" s="4" t="n"/>
      <c r="G71" s="11">
        <f>IFERROR(VLOOKUP($E71,ActionsCatalog!$A:$B,2,FALSE),"")</f>
        <v/>
      </c>
      <c r="H71" s="4" t="n"/>
      <c r="I71" s="4">
        <f>IFERROR(VLOOKUP($E71,ActionsCatalog!$A:$D,3,FALSE),0)</f>
        <v/>
      </c>
      <c r="J71" s="4">
        <f>IFERROR(VLOOKUP($E71,ActionsCatalog!$A:$D,4,FALSE),0)</f>
        <v/>
      </c>
      <c r="K71" s="4">
        <f>IF($M71&lt;&gt;"Yes",0,IF($H71="",0,$H71*$I71))</f>
        <v/>
      </c>
      <c r="L71" s="4">
        <f>IF($M71&lt;&gt;"Yes",0,IF($H71="",0,$H71*$J71))</f>
        <v/>
      </c>
      <c r="M71" s="4" t="n"/>
      <c r="N71" s="4" t="n"/>
      <c r="O71" s="4">
        <f>IF($A71="","",TEXT($A71,"yyyy")&amp;"-W"&amp;TEXT(ISOWEEKNUM($A71),"00"))</f>
        <v/>
      </c>
      <c r="P71" s="4" t="n"/>
      <c r="Q71" s="14">
        <f>IF($A71="","",TEXT($A71,"yyyy-mm"))</f>
        <v/>
      </c>
    </row>
    <row r="72">
      <c r="A72" s="66" t="n"/>
      <c r="B72" s="4" t="n"/>
      <c r="C72" s="11">
        <f>IFERROR(VLOOKUP($B72,Members!$A:$C,2,FALSE),"")</f>
        <v/>
      </c>
      <c r="D72" s="11">
        <f>IFERROR(VLOOKUP($B72,Members!$A:$C,3,FALSE),"")</f>
        <v/>
      </c>
      <c r="E72" s="11">
        <f>IF($F72="","",IFERROR(VLOOKUP($F72,ActionMap!$A:$B,2,FALSE),"INVALID ACTION"))</f>
        <v/>
      </c>
      <c r="F72" s="4" t="n"/>
      <c r="G72" s="11">
        <f>IFERROR(VLOOKUP($E72,ActionsCatalog!$A:$B,2,FALSE),"")</f>
        <v/>
      </c>
      <c r="H72" s="4" t="n"/>
      <c r="I72" s="4">
        <f>IFERROR(VLOOKUP($E72,ActionsCatalog!$A:$D,3,FALSE),0)</f>
        <v/>
      </c>
      <c r="J72" s="4">
        <f>IFERROR(VLOOKUP($E72,ActionsCatalog!$A:$D,4,FALSE),0)</f>
        <v/>
      </c>
      <c r="K72" s="4">
        <f>IF($M72&lt;&gt;"Yes",0,IF($H72="",0,$H72*$I72))</f>
        <v/>
      </c>
      <c r="L72" s="4">
        <f>IF($M72&lt;&gt;"Yes",0,IF($H72="",0,$H72*$J72))</f>
        <v/>
      </c>
      <c r="M72" s="4" t="n"/>
      <c r="N72" s="4" t="n"/>
      <c r="O72" s="4">
        <f>IF($A72="","",TEXT($A72,"yyyy")&amp;"-W"&amp;TEXT(ISOWEEKNUM($A72),"00"))</f>
        <v/>
      </c>
      <c r="P72" s="4" t="n"/>
      <c r="Q72" s="14">
        <f>IF($A72="","",TEXT($A72,"yyyy-mm"))</f>
        <v/>
      </c>
    </row>
    <row r="73">
      <c r="A73" s="66" t="n"/>
      <c r="B73" s="4" t="n"/>
      <c r="C73" s="11">
        <f>IFERROR(VLOOKUP($B73,Members!$A:$C,2,FALSE),"")</f>
        <v/>
      </c>
      <c r="D73" s="11">
        <f>IFERROR(VLOOKUP($B73,Members!$A:$C,3,FALSE),"")</f>
        <v/>
      </c>
      <c r="E73" s="11">
        <f>IF($F73="","",IFERROR(VLOOKUP($F73,ActionMap!$A:$B,2,FALSE),"INVALID ACTION"))</f>
        <v/>
      </c>
      <c r="F73" s="4" t="n"/>
      <c r="G73" s="11">
        <f>IFERROR(VLOOKUP($E73,ActionsCatalog!$A:$B,2,FALSE),"")</f>
        <v/>
      </c>
      <c r="H73" s="4" t="n"/>
      <c r="I73" s="4">
        <f>IFERROR(VLOOKUP($E73,ActionsCatalog!$A:$D,3,FALSE),0)</f>
        <v/>
      </c>
      <c r="J73" s="4">
        <f>IFERROR(VLOOKUP($E73,ActionsCatalog!$A:$D,4,FALSE),0)</f>
        <v/>
      </c>
      <c r="K73" s="4">
        <f>IF($M73&lt;&gt;"Yes",0,IF($H73="",0,$H73*$I73))</f>
        <v/>
      </c>
      <c r="L73" s="4">
        <f>IF($M73&lt;&gt;"Yes",0,IF($H73="",0,$H73*$J73))</f>
        <v/>
      </c>
      <c r="M73" s="4" t="n"/>
      <c r="N73" s="4" t="n"/>
      <c r="O73" s="4">
        <f>IF($A73="","",TEXT($A73,"yyyy")&amp;"-W"&amp;TEXT(ISOWEEKNUM($A73),"00"))</f>
        <v/>
      </c>
      <c r="P73" s="4" t="n"/>
      <c r="Q73" s="14">
        <f>IF($A73="","",TEXT($A73,"yyyy-mm"))</f>
        <v/>
      </c>
    </row>
    <row r="74">
      <c r="A74" s="66" t="n"/>
      <c r="B74" s="4" t="n"/>
      <c r="C74" s="11">
        <f>IFERROR(VLOOKUP($B74,Members!$A:$C,2,FALSE),"")</f>
        <v/>
      </c>
      <c r="D74" s="11">
        <f>IFERROR(VLOOKUP($B74,Members!$A:$C,3,FALSE),"")</f>
        <v/>
      </c>
      <c r="E74" s="11">
        <f>IF($F74="","",IFERROR(VLOOKUP($F74,ActionMap!$A:$B,2,FALSE),"INVALID ACTION"))</f>
        <v/>
      </c>
      <c r="F74" s="4" t="n"/>
      <c r="G74" s="11">
        <f>IFERROR(VLOOKUP($E74,ActionsCatalog!$A:$B,2,FALSE),"")</f>
        <v/>
      </c>
      <c r="H74" s="4" t="n"/>
      <c r="I74" s="4">
        <f>IFERROR(VLOOKUP($E74,ActionsCatalog!$A:$D,3,FALSE),0)</f>
        <v/>
      </c>
      <c r="J74" s="4">
        <f>IFERROR(VLOOKUP($E74,ActionsCatalog!$A:$D,4,FALSE),0)</f>
        <v/>
      </c>
      <c r="K74" s="4">
        <f>IF($M74&lt;&gt;"Yes",0,IF($H74="",0,$H74*$I74))</f>
        <v/>
      </c>
      <c r="L74" s="4">
        <f>IF($M74&lt;&gt;"Yes",0,IF($H74="",0,$H74*$J74))</f>
        <v/>
      </c>
      <c r="M74" s="4" t="n"/>
      <c r="N74" s="4" t="n"/>
      <c r="O74" s="4">
        <f>IF($A74="","",TEXT($A74,"yyyy")&amp;"-W"&amp;TEXT(ISOWEEKNUM($A74),"00"))</f>
        <v/>
      </c>
      <c r="P74" s="4" t="n"/>
      <c r="Q74" s="14">
        <f>IF($A74="","",TEXT($A74,"yyyy-mm"))</f>
        <v/>
      </c>
    </row>
    <row r="75">
      <c r="A75" s="66" t="n"/>
      <c r="B75" s="4" t="n"/>
      <c r="C75" s="11">
        <f>IFERROR(VLOOKUP($B75,Members!$A:$C,2,FALSE),"")</f>
        <v/>
      </c>
      <c r="D75" s="11">
        <f>IFERROR(VLOOKUP($B75,Members!$A:$C,3,FALSE),"")</f>
        <v/>
      </c>
      <c r="E75" s="11">
        <f>IF($F75="","",IFERROR(VLOOKUP($F75,ActionMap!$A:$B,2,FALSE),"INVALID ACTION"))</f>
        <v/>
      </c>
      <c r="F75" s="4" t="n"/>
      <c r="G75" s="11">
        <f>IFERROR(VLOOKUP($E75,ActionsCatalog!$A:$B,2,FALSE),"")</f>
        <v/>
      </c>
      <c r="H75" s="4" t="n"/>
      <c r="I75" s="4">
        <f>IFERROR(VLOOKUP($E75,ActionsCatalog!$A:$D,3,FALSE),0)</f>
        <v/>
      </c>
      <c r="J75" s="4">
        <f>IFERROR(VLOOKUP($E75,ActionsCatalog!$A:$D,4,FALSE),0)</f>
        <v/>
      </c>
      <c r="K75" s="4">
        <f>IF($M75&lt;&gt;"Yes",0,IF($H75="",0,$H75*$I75))</f>
        <v/>
      </c>
      <c r="L75" s="4">
        <f>IF($M75&lt;&gt;"Yes",0,IF($H75="",0,$H75*$J75))</f>
        <v/>
      </c>
      <c r="M75" s="4" t="n"/>
      <c r="N75" s="4" t="n"/>
      <c r="O75" s="4">
        <f>IF($A75="","",TEXT($A75,"yyyy")&amp;"-W"&amp;TEXT(ISOWEEKNUM($A75),"00"))</f>
        <v/>
      </c>
      <c r="P75" s="4" t="n"/>
      <c r="Q75" s="14">
        <f>IF($A75="","",TEXT($A75,"yyyy-mm"))</f>
        <v/>
      </c>
    </row>
    <row r="76">
      <c r="A76" s="66" t="n"/>
      <c r="B76" s="4" t="n"/>
      <c r="C76" s="11">
        <f>IFERROR(VLOOKUP($B76,Members!$A:$C,2,FALSE),"")</f>
        <v/>
      </c>
      <c r="D76" s="11">
        <f>IFERROR(VLOOKUP($B76,Members!$A:$C,3,FALSE),"")</f>
        <v/>
      </c>
      <c r="E76" s="11">
        <f>IF($F76="","",IFERROR(VLOOKUP($F76,ActionMap!$A:$B,2,FALSE),"INVALID ACTION"))</f>
        <v/>
      </c>
      <c r="F76" s="4" t="n"/>
      <c r="G76" s="11">
        <f>IFERROR(VLOOKUP($E76,ActionsCatalog!$A:$B,2,FALSE),"")</f>
        <v/>
      </c>
      <c r="H76" s="4" t="n"/>
      <c r="I76" s="4">
        <f>IFERROR(VLOOKUP($E76,ActionsCatalog!$A:$D,3,FALSE),0)</f>
        <v/>
      </c>
      <c r="J76" s="4">
        <f>IFERROR(VLOOKUP($E76,ActionsCatalog!$A:$D,4,FALSE),0)</f>
        <v/>
      </c>
      <c r="K76" s="4">
        <f>IF($M76&lt;&gt;"Yes",0,IF($H76="",0,$H76*$I76))</f>
        <v/>
      </c>
      <c r="L76" s="4">
        <f>IF($M76&lt;&gt;"Yes",0,IF($H76="",0,$H76*$J76))</f>
        <v/>
      </c>
      <c r="M76" s="4" t="n"/>
      <c r="N76" s="4" t="n"/>
      <c r="O76" s="4">
        <f>IF($A76="","",TEXT($A76,"yyyy")&amp;"-W"&amp;TEXT(ISOWEEKNUM($A76),"00"))</f>
        <v/>
      </c>
      <c r="P76" s="4" t="n"/>
      <c r="Q76" s="14">
        <f>IF($A76="","",TEXT($A76,"yyyy-mm"))</f>
        <v/>
      </c>
    </row>
    <row r="77">
      <c r="A77" s="66" t="n"/>
      <c r="B77" s="4" t="n"/>
      <c r="C77" s="11">
        <f>IFERROR(VLOOKUP($B77,Members!$A:$C,2,FALSE),"")</f>
        <v/>
      </c>
      <c r="D77" s="11">
        <f>IFERROR(VLOOKUP($B77,Members!$A:$C,3,FALSE),"")</f>
        <v/>
      </c>
      <c r="E77" s="11">
        <f>IF($F77="","",IFERROR(VLOOKUP($F77,ActionMap!$A:$B,2,FALSE),"INVALID ACTION"))</f>
        <v/>
      </c>
      <c r="F77" s="4" t="n"/>
      <c r="G77" s="11">
        <f>IFERROR(VLOOKUP($E77,ActionsCatalog!$A:$B,2,FALSE),"")</f>
        <v/>
      </c>
      <c r="H77" s="4" t="n"/>
      <c r="I77" s="4">
        <f>IFERROR(VLOOKUP($E77,ActionsCatalog!$A:$D,3,FALSE),0)</f>
        <v/>
      </c>
      <c r="J77" s="4">
        <f>IFERROR(VLOOKUP($E77,ActionsCatalog!$A:$D,4,FALSE),0)</f>
        <v/>
      </c>
      <c r="K77" s="4">
        <f>IF($M77&lt;&gt;"Yes",0,IF($H77="",0,$H77*$I77))</f>
        <v/>
      </c>
      <c r="L77" s="4">
        <f>IF($M77&lt;&gt;"Yes",0,IF($H77="",0,$H77*$J77))</f>
        <v/>
      </c>
      <c r="M77" s="4" t="n"/>
      <c r="N77" s="4" t="n"/>
      <c r="O77" s="4">
        <f>IF($A77="","",TEXT($A77,"yyyy")&amp;"-W"&amp;TEXT(ISOWEEKNUM($A77),"00"))</f>
        <v/>
      </c>
      <c r="P77" s="4" t="n"/>
      <c r="Q77" s="14">
        <f>IF($A77="","",TEXT($A77,"yyyy-mm"))</f>
        <v/>
      </c>
    </row>
    <row r="78">
      <c r="A78" s="66" t="n"/>
      <c r="B78" s="4" t="n"/>
      <c r="C78" s="11">
        <f>IFERROR(VLOOKUP($B78,Members!$A:$C,2,FALSE),"")</f>
        <v/>
      </c>
      <c r="D78" s="11">
        <f>IFERROR(VLOOKUP($B78,Members!$A:$C,3,FALSE),"")</f>
        <v/>
      </c>
      <c r="E78" s="11">
        <f>IF($F78="","",IFERROR(VLOOKUP($F78,ActionMap!$A:$B,2,FALSE),"INVALID ACTION"))</f>
        <v/>
      </c>
      <c r="F78" s="4" t="n"/>
      <c r="G78" s="11">
        <f>IFERROR(VLOOKUP($E78,ActionsCatalog!$A:$B,2,FALSE),"")</f>
        <v/>
      </c>
      <c r="H78" s="4" t="n"/>
      <c r="I78" s="4">
        <f>IFERROR(VLOOKUP($E78,ActionsCatalog!$A:$D,3,FALSE),0)</f>
        <v/>
      </c>
      <c r="J78" s="4">
        <f>IFERROR(VLOOKUP($E78,ActionsCatalog!$A:$D,4,FALSE),0)</f>
        <v/>
      </c>
      <c r="K78" s="4">
        <f>IF($M78&lt;&gt;"Yes",0,IF($H78="",0,$H78*$I78))</f>
        <v/>
      </c>
      <c r="L78" s="4">
        <f>IF($M78&lt;&gt;"Yes",0,IF($H78="",0,$H78*$J78))</f>
        <v/>
      </c>
      <c r="M78" s="4" t="n"/>
      <c r="N78" s="4" t="n"/>
      <c r="O78" s="4">
        <f>IF($A78="","",TEXT($A78,"yyyy")&amp;"-W"&amp;TEXT(ISOWEEKNUM($A78),"00"))</f>
        <v/>
      </c>
      <c r="P78" s="4" t="n"/>
      <c r="Q78" s="14">
        <f>IF($A78="","",TEXT($A78,"yyyy-mm"))</f>
        <v/>
      </c>
    </row>
    <row r="79">
      <c r="A79" s="66" t="n"/>
      <c r="B79" s="4" t="n"/>
      <c r="C79" s="11">
        <f>IFERROR(VLOOKUP($B79,Members!$A:$C,2,FALSE),"")</f>
        <v/>
      </c>
      <c r="D79" s="11">
        <f>IFERROR(VLOOKUP($B79,Members!$A:$C,3,FALSE),"")</f>
        <v/>
      </c>
      <c r="E79" s="11">
        <f>IF($F79="","",IFERROR(VLOOKUP($F79,ActionMap!$A:$B,2,FALSE),"INVALID ACTION"))</f>
        <v/>
      </c>
      <c r="F79" s="4" t="n"/>
      <c r="G79" s="11">
        <f>IFERROR(VLOOKUP($E79,ActionsCatalog!$A:$B,2,FALSE),"")</f>
        <v/>
      </c>
      <c r="H79" s="4" t="n"/>
      <c r="I79" s="4">
        <f>IFERROR(VLOOKUP($E79,ActionsCatalog!$A:$D,3,FALSE),0)</f>
        <v/>
      </c>
      <c r="J79" s="4">
        <f>IFERROR(VLOOKUP($E79,ActionsCatalog!$A:$D,4,FALSE),0)</f>
        <v/>
      </c>
      <c r="K79" s="4">
        <f>IF($M79&lt;&gt;"Yes",0,IF($H79="",0,$H79*$I79))</f>
        <v/>
      </c>
      <c r="L79" s="4">
        <f>IF($M79&lt;&gt;"Yes",0,IF($H79="",0,$H79*$J79))</f>
        <v/>
      </c>
      <c r="M79" s="4" t="n"/>
      <c r="N79" s="4" t="n"/>
      <c r="O79" s="4">
        <f>IF($A79="","",TEXT($A79,"yyyy")&amp;"-W"&amp;TEXT(ISOWEEKNUM($A79),"00"))</f>
        <v/>
      </c>
      <c r="P79" s="4" t="n"/>
      <c r="Q79" s="14">
        <f>IF($A79="","",TEXT($A79,"yyyy-mm"))</f>
        <v/>
      </c>
    </row>
    <row r="80">
      <c r="A80" s="66" t="n"/>
      <c r="B80" s="4" t="n"/>
      <c r="C80" s="11">
        <f>IFERROR(VLOOKUP($B80,Members!$A:$C,2,FALSE),"")</f>
        <v/>
      </c>
      <c r="D80" s="11">
        <f>IFERROR(VLOOKUP($B80,Members!$A:$C,3,FALSE),"")</f>
        <v/>
      </c>
      <c r="E80" s="11">
        <f>IF($F80="","",IFERROR(VLOOKUP($F80,ActionMap!$A:$B,2,FALSE),"INVALID ACTION"))</f>
        <v/>
      </c>
      <c r="F80" s="4" t="n"/>
      <c r="G80" s="11">
        <f>IFERROR(VLOOKUP($E80,ActionsCatalog!$A:$B,2,FALSE),"")</f>
        <v/>
      </c>
      <c r="H80" s="4" t="n"/>
      <c r="I80" s="4">
        <f>IFERROR(VLOOKUP($E80,ActionsCatalog!$A:$D,3,FALSE),0)</f>
        <v/>
      </c>
      <c r="J80" s="4">
        <f>IFERROR(VLOOKUP($E80,ActionsCatalog!$A:$D,4,FALSE),0)</f>
        <v/>
      </c>
      <c r="K80" s="4">
        <f>IF($M80&lt;&gt;"Yes",0,IF($H80="",0,$H80*$I80))</f>
        <v/>
      </c>
      <c r="L80" s="4">
        <f>IF($M80&lt;&gt;"Yes",0,IF($H80="",0,$H80*$J80))</f>
        <v/>
      </c>
      <c r="M80" s="4" t="n"/>
      <c r="N80" s="4" t="n"/>
      <c r="O80" s="4">
        <f>IF($A80="","",TEXT($A80,"yyyy")&amp;"-W"&amp;TEXT(ISOWEEKNUM($A80),"00"))</f>
        <v/>
      </c>
      <c r="P80" s="4" t="n"/>
      <c r="Q80" s="14">
        <f>IF($A80="","",TEXT($A80,"yyyy-mm"))</f>
        <v/>
      </c>
    </row>
    <row r="81">
      <c r="A81" s="66" t="n"/>
      <c r="B81" s="4" t="n"/>
      <c r="C81" s="11">
        <f>IFERROR(VLOOKUP($B81,Members!$A:$C,2,FALSE),"")</f>
        <v/>
      </c>
      <c r="D81" s="11">
        <f>IFERROR(VLOOKUP($B81,Members!$A:$C,3,FALSE),"")</f>
        <v/>
      </c>
      <c r="E81" s="11">
        <f>IF($F81="","",IFERROR(VLOOKUP($F81,ActionMap!$A:$B,2,FALSE),"INVALID ACTION"))</f>
        <v/>
      </c>
      <c r="F81" s="4" t="n"/>
      <c r="G81" s="11">
        <f>IFERROR(VLOOKUP($E81,ActionsCatalog!$A:$B,2,FALSE),"")</f>
        <v/>
      </c>
      <c r="H81" s="4" t="n"/>
      <c r="I81" s="4">
        <f>IFERROR(VLOOKUP($E81,ActionsCatalog!$A:$D,3,FALSE),0)</f>
        <v/>
      </c>
      <c r="J81" s="4">
        <f>IFERROR(VLOOKUP($E81,ActionsCatalog!$A:$D,4,FALSE),0)</f>
        <v/>
      </c>
      <c r="K81" s="4">
        <f>IF($M81&lt;&gt;"Yes",0,IF($H81="",0,$H81*$I81))</f>
        <v/>
      </c>
      <c r="L81" s="4">
        <f>IF($M81&lt;&gt;"Yes",0,IF($H81="",0,$H81*$J81))</f>
        <v/>
      </c>
      <c r="M81" s="4" t="n"/>
      <c r="N81" s="4" t="n"/>
      <c r="O81" s="4">
        <f>IF($A81="","",TEXT($A81,"yyyy")&amp;"-W"&amp;TEXT(ISOWEEKNUM($A81),"00"))</f>
        <v/>
      </c>
      <c r="P81" s="4" t="n"/>
      <c r="Q81" s="14">
        <f>IF($A81="","",TEXT($A81,"yyyy-mm"))</f>
        <v/>
      </c>
    </row>
    <row r="82">
      <c r="A82" s="66" t="n"/>
      <c r="B82" s="4" t="n"/>
      <c r="C82" s="11">
        <f>IFERROR(VLOOKUP($B82,Members!$A:$C,2,FALSE),"")</f>
        <v/>
      </c>
      <c r="D82" s="11">
        <f>IFERROR(VLOOKUP($B82,Members!$A:$C,3,FALSE),"")</f>
        <v/>
      </c>
      <c r="E82" s="11">
        <f>IF($F82="","",IFERROR(VLOOKUP($F82,ActionMap!$A:$B,2,FALSE),"INVALID ACTION"))</f>
        <v/>
      </c>
      <c r="F82" s="4" t="n"/>
      <c r="G82" s="11">
        <f>IFERROR(VLOOKUP($E82,ActionsCatalog!$A:$B,2,FALSE),"")</f>
        <v/>
      </c>
      <c r="H82" s="4" t="n"/>
      <c r="I82" s="4">
        <f>IFERROR(VLOOKUP($E82,ActionsCatalog!$A:$D,3,FALSE),0)</f>
        <v/>
      </c>
      <c r="J82" s="4">
        <f>IFERROR(VLOOKUP($E82,ActionsCatalog!$A:$D,4,FALSE),0)</f>
        <v/>
      </c>
      <c r="K82" s="4">
        <f>IF($M82&lt;&gt;"Yes",0,IF($H82="",0,$H82*$I82))</f>
        <v/>
      </c>
      <c r="L82" s="4">
        <f>IF($M82&lt;&gt;"Yes",0,IF($H82="",0,$H82*$J82))</f>
        <v/>
      </c>
      <c r="M82" s="4" t="n"/>
      <c r="N82" s="4" t="n"/>
      <c r="O82" s="4">
        <f>IF($A82="","",TEXT($A82,"yyyy")&amp;"-W"&amp;TEXT(ISOWEEKNUM($A82),"00"))</f>
        <v/>
      </c>
      <c r="P82" s="4" t="n"/>
      <c r="Q82" s="14">
        <f>IF($A82="","",TEXT($A82,"yyyy-mm"))</f>
        <v/>
      </c>
    </row>
    <row r="83">
      <c r="A83" s="66" t="n"/>
      <c r="B83" s="4" t="n"/>
      <c r="C83" s="11">
        <f>IFERROR(VLOOKUP($B83,Members!$A:$C,2,FALSE),"")</f>
        <v/>
      </c>
      <c r="D83" s="11">
        <f>IFERROR(VLOOKUP($B83,Members!$A:$C,3,FALSE),"")</f>
        <v/>
      </c>
      <c r="E83" s="11">
        <f>IF($F83="","",IFERROR(VLOOKUP($F83,ActionMap!$A:$B,2,FALSE),"INVALID ACTION"))</f>
        <v/>
      </c>
      <c r="F83" s="4" t="n"/>
      <c r="G83" s="11">
        <f>IFERROR(VLOOKUP($E83,ActionsCatalog!$A:$B,2,FALSE),"")</f>
        <v/>
      </c>
      <c r="H83" s="4" t="n"/>
      <c r="I83" s="4">
        <f>IFERROR(VLOOKUP($E83,ActionsCatalog!$A:$D,3,FALSE),0)</f>
        <v/>
      </c>
      <c r="J83" s="4">
        <f>IFERROR(VLOOKUP($E83,ActionsCatalog!$A:$D,4,FALSE),0)</f>
        <v/>
      </c>
      <c r="K83" s="4">
        <f>IF($M83&lt;&gt;"Yes",0,IF($H83="",0,$H83*$I83))</f>
        <v/>
      </c>
      <c r="L83" s="4">
        <f>IF($M83&lt;&gt;"Yes",0,IF($H83="",0,$H83*$J83))</f>
        <v/>
      </c>
      <c r="M83" s="4" t="n"/>
      <c r="N83" s="4" t="n"/>
      <c r="O83" s="4">
        <f>IF($A83="","",TEXT($A83,"yyyy")&amp;"-W"&amp;TEXT(ISOWEEKNUM($A83),"00"))</f>
        <v/>
      </c>
      <c r="P83" s="4" t="n"/>
      <c r="Q83" s="14">
        <f>IF($A83="","",TEXT($A83,"yyyy-mm"))</f>
        <v/>
      </c>
    </row>
    <row r="84">
      <c r="A84" s="66" t="n"/>
      <c r="B84" s="4" t="n"/>
      <c r="C84" s="11">
        <f>IFERROR(VLOOKUP($B84,Members!$A:$C,2,FALSE),"")</f>
        <v/>
      </c>
      <c r="D84" s="11">
        <f>IFERROR(VLOOKUP($B84,Members!$A:$C,3,FALSE),"")</f>
        <v/>
      </c>
      <c r="E84" s="11">
        <f>IF($F84="","",IFERROR(VLOOKUP($F84,ActionMap!$A:$B,2,FALSE),"INVALID ACTION"))</f>
        <v/>
      </c>
      <c r="F84" s="4" t="n"/>
      <c r="G84" s="11">
        <f>IFERROR(VLOOKUP($E84,ActionsCatalog!$A:$B,2,FALSE),"")</f>
        <v/>
      </c>
      <c r="H84" s="4" t="n"/>
      <c r="I84" s="4">
        <f>IFERROR(VLOOKUP($E84,ActionsCatalog!$A:$D,3,FALSE),0)</f>
        <v/>
      </c>
      <c r="J84" s="4">
        <f>IFERROR(VLOOKUP($E84,ActionsCatalog!$A:$D,4,FALSE),0)</f>
        <v/>
      </c>
      <c r="K84" s="4">
        <f>IF($M84&lt;&gt;"Yes",0,IF($H84="",0,$H84*$I84))</f>
        <v/>
      </c>
      <c r="L84" s="4">
        <f>IF($M84&lt;&gt;"Yes",0,IF($H84="",0,$H84*$J84))</f>
        <v/>
      </c>
      <c r="M84" s="4" t="n"/>
      <c r="N84" s="4" t="n"/>
      <c r="O84" s="4">
        <f>IF($A84="","",TEXT($A84,"yyyy")&amp;"-W"&amp;TEXT(ISOWEEKNUM($A84),"00"))</f>
        <v/>
      </c>
      <c r="P84" s="4" t="n"/>
      <c r="Q84" s="14">
        <f>IF($A84="","",TEXT($A84,"yyyy-mm"))</f>
        <v/>
      </c>
    </row>
    <row r="85">
      <c r="A85" s="66" t="n"/>
      <c r="B85" s="4" t="n"/>
      <c r="C85" s="11">
        <f>IFERROR(VLOOKUP($B85,Members!$A:$C,2,FALSE),"")</f>
        <v/>
      </c>
      <c r="D85" s="11">
        <f>IFERROR(VLOOKUP($B85,Members!$A:$C,3,FALSE),"")</f>
        <v/>
      </c>
      <c r="E85" s="11">
        <f>IF($F85="","",IFERROR(VLOOKUP($F85,ActionMap!$A:$B,2,FALSE),"INVALID ACTION"))</f>
        <v/>
      </c>
      <c r="F85" s="4" t="n"/>
      <c r="G85" s="11">
        <f>IFERROR(VLOOKUP($E85,ActionsCatalog!$A:$B,2,FALSE),"")</f>
        <v/>
      </c>
      <c r="H85" s="4" t="n"/>
      <c r="I85" s="4">
        <f>IFERROR(VLOOKUP($E85,ActionsCatalog!$A:$D,3,FALSE),0)</f>
        <v/>
      </c>
      <c r="J85" s="4">
        <f>IFERROR(VLOOKUP($E85,ActionsCatalog!$A:$D,4,FALSE),0)</f>
        <v/>
      </c>
      <c r="K85" s="4">
        <f>IF($M85&lt;&gt;"Yes",0,IF($H85="",0,$H85*$I85))</f>
        <v/>
      </c>
      <c r="L85" s="4">
        <f>IF($M85&lt;&gt;"Yes",0,IF($H85="",0,$H85*$J85))</f>
        <v/>
      </c>
      <c r="M85" s="4" t="n"/>
      <c r="N85" s="4" t="n"/>
      <c r="O85" s="4">
        <f>IF($A85="","",TEXT($A85,"yyyy")&amp;"-W"&amp;TEXT(ISOWEEKNUM($A85),"00"))</f>
        <v/>
      </c>
      <c r="P85" s="4" t="n"/>
      <c r="Q85" s="14">
        <f>IF($A85="","",TEXT($A85,"yyyy-mm"))</f>
        <v/>
      </c>
    </row>
    <row r="86">
      <c r="A86" s="66" t="n"/>
      <c r="B86" s="4" t="n"/>
      <c r="C86" s="11">
        <f>IFERROR(VLOOKUP($B86,Members!$A:$C,2,FALSE),"")</f>
        <v/>
      </c>
      <c r="D86" s="11">
        <f>IFERROR(VLOOKUP($B86,Members!$A:$C,3,FALSE),"")</f>
        <v/>
      </c>
      <c r="E86" s="11">
        <f>IF($F86="","",IFERROR(VLOOKUP($F86,ActionMap!$A:$B,2,FALSE),"INVALID ACTION"))</f>
        <v/>
      </c>
      <c r="F86" s="4" t="n"/>
      <c r="G86" s="11">
        <f>IFERROR(VLOOKUP($E86,ActionsCatalog!$A:$B,2,FALSE),"")</f>
        <v/>
      </c>
      <c r="H86" s="4" t="n"/>
      <c r="I86" s="4">
        <f>IFERROR(VLOOKUP($E86,ActionsCatalog!$A:$D,3,FALSE),0)</f>
        <v/>
      </c>
      <c r="J86" s="4">
        <f>IFERROR(VLOOKUP($E86,ActionsCatalog!$A:$D,4,FALSE),0)</f>
        <v/>
      </c>
      <c r="K86" s="4">
        <f>IF($M86&lt;&gt;"Yes",0,IF($H86="",0,$H86*$I86))</f>
        <v/>
      </c>
      <c r="L86" s="4">
        <f>IF($M86&lt;&gt;"Yes",0,IF($H86="",0,$H86*$J86))</f>
        <v/>
      </c>
      <c r="M86" s="4" t="n"/>
      <c r="N86" s="4" t="n"/>
      <c r="O86" s="4">
        <f>IF($A86="","",TEXT($A86,"yyyy")&amp;"-W"&amp;TEXT(ISOWEEKNUM($A86),"00"))</f>
        <v/>
      </c>
      <c r="P86" s="4" t="n"/>
      <c r="Q86" s="14">
        <f>IF($A86="","",TEXT($A86,"yyyy-mm"))</f>
        <v/>
      </c>
    </row>
    <row r="87">
      <c r="A87" s="66" t="n"/>
      <c r="B87" s="4" t="n"/>
      <c r="C87" s="11">
        <f>IFERROR(VLOOKUP($B87,Members!$A:$C,2,FALSE),"")</f>
        <v/>
      </c>
      <c r="D87" s="11">
        <f>IFERROR(VLOOKUP($B87,Members!$A:$C,3,FALSE),"")</f>
        <v/>
      </c>
      <c r="E87" s="11">
        <f>IF($F87="","",IFERROR(VLOOKUP($F87,ActionMap!$A:$B,2,FALSE),"INVALID ACTION"))</f>
        <v/>
      </c>
      <c r="F87" s="4" t="n"/>
      <c r="G87" s="11">
        <f>IFERROR(VLOOKUP($E87,ActionsCatalog!$A:$B,2,FALSE),"")</f>
        <v/>
      </c>
      <c r="H87" s="4" t="n"/>
      <c r="I87" s="4">
        <f>IFERROR(VLOOKUP($E87,ActionsCatalog!$A:$D,3,FALSE),0)</f>
        <v/>
      </c>
      <c r="J87" s="4">
        <f>IFERROR(VLOOKUP($E87,ActionsCatalog!$A:$D,4,FALSE),0)</f>
        <v/>
      </c>
      <c r="K87" s="4">
        <f>IF($M87&lt;&gt;"Yes",0,IF($H87="",0,$H87*$I87))</f>
        <v/>
      </c>
      <c r="L87" s="4">
        <f>IF($M87&lt;&gt;"Yes",0,IF($H87="",0,$H87*$J87))</f>
        <v/>
      </c>
      <c r="M87" s="4" t="n"/>
      <c r="N87" s="4" t="n"/>
      <c r="O87" s="4">
        <f>IF($A87="","",TEXT($A87,"yyyy")&amp;"-W"&amp;TEXT(ISOWEEKNUM($A87),"00"))</f>
        <v/>
      </c>
      <c r="P87" s="4" t="n"/>
      <c r="Q87" s="14">
        <f>IF($A87="","",TEXT($A87,"yyyy-mm"))</f>
        <v/>
      </c>
    </row>
    <row r="88">
      <c r="A88" s="66" t="n"/>
      <c r="B88" s="4" t="n"/>
      <c r="C88" s="11">
        <f>IFERROR(VLOOKUP($B88,Members!$A:$C,2,FALSE),"")</f>
        <v/>
      </c>
      <c r="D88" s="11">
        <f>IFERROR(VLOOKUP($B88,Members!$A:$C,3,FALSE),"")</f>
        <v/>
      </c>
      <c r="E88" s="11">
        <f>IF($F88="","",IFERROR(VLOOKUP($F88,ActionMap!$A:$B,2,FALSE),"INVALID ACTION"))</f>
        <v/>
      </c>
      <c r="F88" s="4" t="n"/>
      <c r="G88" s="11">
        <f>IFERROR(VLOOKUP($E88,ActionsCatalog!$A:$B,2,FALSE),"")</f>
        <v/>
      </c>
      <c r="H88" s="4" t="n"/>
      <c r="I88" s="4">
        <f>IFERROR(VLOOKUP($E88,ActionsCatalog!$A:$D,3,FALSE),0)</f>
        <v/>
      </c>
      <c r="J88" s="4">
        <f>IFERROR(VLOOKUP($E88,ActionsCatalog!$A:$D,4,FALSE),0)</f>
        <v/>
      </c>
      <c r="K88" s="4">
        <f>IF($M88&lt;&gt;"Yes",0,IF($H88="",0,$H88*$I88))</f>
        <v/>
      </c>
      <c r="L88" s="4">
        <f>IF($M88&lt;&gt;"Yes",0,IF($H88="",0,$H88*$J88))</f>
        <v/>
      </c>
      <c r="M88" s="4" t="n"/>
      <c r="N88" s="4" t="n"/>
      <c r="O88" s="4">
        <f>IF($A88="","",TEXT($A88,"yyyy")&amp;"-W"&amp;TEXT(ISOWEEKNUM($A88),"00"))</f>
        <v/>
      </c>
      <c r="P88" s="4" t="n"/>
      <c r="Q88" s="14">
        <f>IF($A88="","",TEXT($A88,"yyyy-mm"))</f>
        <v/>
      </c>
    </row>
    <row r="89">
      <c r="A89" s="66" t="n"/>
      <c r="B89" s="4" t="n"/>
      <c r="C89" s="11">
        <f>IFERROR(VLOOKUP($B89,Members!$A:$C,2,FALSE),"")</f>
        <v/>
      </c>
      <c r="D89" s="11">
        <f>IFERROR(VLOOKUP($B89,Members!$A:$C,3,FALSE),"")</f>
        <v/>
      </c>
      <c r="E89" s="11">
        <f>IF($F89="","",IFERROR(VLOOKUP($F89,ActionMap!$A:$B,2,FALSE),"INVALID ACTION"))</f>
        <v/>
      </c>
      <c r="F89" s="4" t="n"/>
      <c r="G89" s="11">
        <f>IFERROR(VLOOKUP($E89,ActionsCatalog!$A:$B,2,FALSE),"")</f>
        <v/>
      </c>
      <c r="H89" s="4" t="n"/>
      <c r="I89" s="4">
        <f>IFERROR(VLOOKUP($E89,ActionsCatalog!$A:$D,3,FALSE),0)</f>
        <v/>
      </c>
      <c r="J89" s="4">
        <f>IFERROR(VLOOKUP($E89,ActionsCatalog!$A:$D,4,FALSE),0)</f>
        <v/>
      </c>
      <c r="K89" s="4">
        <f>IF($M89&lt;&gt;"Yes",0,IF($H89="",0,$H89*$I89))</f>
        <v/>
      </c>
      <c r="L89" s="4">
        <f>IF($M89&lt;&gt;"Yes",0,IF($H89="",0,$H89*$J89))</f>
        <v/>
      </c>
      <c r="M89" s="4" t="n"/>
      <c r="N89" s="4" t="n"/>
      <c r="O89" s="4">
        <f>IF($A89="","",TEXT($A89,"yyyy")&amp;"-W"&amp;TEXT(ISOWEEKNUM($A89),"00"))</f>
        <v/>
      </c>
      <c r="P89" s="4" t="n"/>
      <c r="Q89" s="14">
        <f>IF($A89="","",TEXT($A89,"yyyy-mm"))</f>
        <v/>
      </c>
    </row>
    <row r="90">
      <c r="A90" s="66" t="n"/>
      <c r="B90" s="4" t="n"/>
      <c r="C90" s="11">
        <f>IFERROR(VLOOKUP($B90,Members!$A:$C,2,FALSE),"")</f>
        <v/>
      </c>
      <c r="D90" s="11">
        <f>IFERROR(VLOOKUP($B90,Members!$A:$C,3,FALSE),"")</f>
        <v/>
      </c>
      <c r="E90" s="11">
        <f>IF($F90="","",IFERROR(VLOOKUP($F90,ActionMap!$A:$B,2,FALSE),"INVALID ACTION"))</f>
        <v/>
      </c>
      <c r="F90" s="4" t="n"/>
      <c r="G90" s="11">
        <f>IFERROR(VLOOKUP($E90,ActionsCatalog!$A:$B,2,FALSE),"")</f>
        <v/>
      </c>
      <c r="H90" s="4" t="n"/>
      <c r="I90" s="4">
        <f>IFERROR(VLOOKUP($E90,ActionsCatalog!$A:$D,3,FALSE),0)</f>
        <v/>
      </c>
      <c r="J90" s="4">
        <f>IFERROR(VLOOKUP($E90,ActionsCatalog!$A:$D,4,FALSE),0)</f>
        <v/>
      </c>
      <c r="K90" s="4">
        <f>IF($M90&lt;&gt;"Yes",0,IF($H90="",0,$H90*$I90))</f>
        <v/>
      </c>
      <c r="L90" s="4">
        <f>IF($M90&lt;&gt;"Yes",0,IF($H90="",0,$H90*$J90))</f>
        <v/>
      </c>
      <c r="M90" s="4" t="n"/>
      <c r="N90" s="4" t="n"/>
      <c r="O90" s="4">
        <f>IF($A90="","",TEXT($A90,"yyyy")&amp;"-W"&amp;TEXT(ISOWEEKNUM($A90),"00"))</f>
        <v/>
      </c>
      <c r="P90" s="4" t="n"/>
      <c r="Q90" s="14">
        <f>IF($A90="","",TEXT($A90,"yyyy-mm"))</f>
        <v/>
      </c>
    </row>
    <row r="91">
      <c r="A91" s="66" t="n"/>
      <c r="B91" s="4" t="n"/>
      <c r="C91" s="11">
        <f>IFERROR(VLOOKUP($B91,Members!$A:$C,2,FALSE),"")</f>
        <v/>
      </c>
      <c r="D91" s="11">
        <f>IFERROR(VLOOKUP($B91,Members!$A:$C,3,FALSE),"")</f>
        <v/>
      </c>
      <c r="E91" s="11">
        <f>IF($F91="","",IFERROR(VLOOKUP($F91,ActionMap!$A:$B,2,FALSE),"INVALID ACTION"))</f>
        <v/>
      </c>
      <c r="F91" s="4" t="n"/>
      <c r="G91" s="11">
        <f>IFERROR(VLOOKUP($E91,ActionsCatalog!$A:$B,2,FALSE),"")</f>
        <v/>
      </c>
      <c r="H91" s="4" t="n"/>
      <c r="I91" s="4">
        <f>IFERROR(VLOOKUP($E91,ActionsCatalog!$A:$D,3,FALSE),0)</f>
        <v/>
      </c>
      <c r="J91" s="4">
        <f>IFERROR(VLOOKUP($E91,ActionsCatalog!$A:$D,4,FALSE),0)</f>
        <v/>
      </c>
      <c r="K91" s="4">
        <f>IF($M91&lt;&gt;"Yes",0,IF($H91="",0,$H91*$I91))</f>
        <v/>
      </c>
      <c r="L91" s="4">
        <f>IF($M91&lt;&gt;"Yes",0,IF($H91="",0,$H91*$J91))</f>
        <v/>
      </c>
      <c r="M91" s="4" t="n"/>
      <c r="N91" s="4" t="n"/>
      <c r="O91" s="4">
        <f>IF($A91="","",TEXT($A91,"yyyy")&amp;"-W"&amp;TEXT(ISOWEEKNUM($A91),"00"))</f>
        <v/>
      </c>
      <c r="P91" s="4" t="n"/>
      <c r="Q91" s="14">
        <f>IF($A91="","",TEXT($A91,"yyyy-mm"))</f>
        <v/>
      </c>
    </row>
    <row r="92">
      <c r="A92" s="66" t="n"/>
      <c r="B92" s="4" t="n"/>
      <c r="C92" s="11">
        <f>IFERROR(VLOOKUP($B92,Members!$A:$C,2,FALSE),"")</f>
        <v/>
      </c>
      <c r="D92" s="11">
        <f>IFERROR(VLOOKUP($B92,Members!$A:$C,3,FALSE),"")</f>
        <v/>
      </c>
      <c r="E92" s="11">
        <f>IF($F92="","",IFERROR(VLOOKUP($F92,ActionMap!$A:$B,2,FALSE),"INVALID ACTION"))</f>
        <v/>
      </c>
      <c r="F92" s="4" t="n"/>
      <c r="G92" s="11">
        <f>IFERROR(VLOOKUP($E92,ActionsCatalog!$A:$B,2,FALSE),"")</f>
        <v/>
      </c>
      <c r="H92" s="4" t="n"/>
      <c r="I92" s="4">
        <f>IFERROR(VLOOKUP($E92,ActionsCatalog!$A:$D,3,FALSE),0)</f>
        <v/>
      </c>
      <c r="J92" s="4">
        <f>IFERROR(VLOOKUP($E92,ActionsCatalog!$A:$D,4,FALSE),0)</f>
        <v/>
      </c>
      <c r="K92" s="4">
        <f>IF($M92&lt;&gt;"Yes",0,IF($H92="",0,$H92*$I92))</f>
        <v/>
      </c>
      <c r="L92" s="4">
        <f>IF($M92&lt;&gt;"Yes",0,IF($H92="",0,$H92*$J92))</f>
        <v/>
      </c>
      <c r="M92" s="4" t="n"/>
      <c r="N92" s="4" t="n"/>
      <c r="O92" s="4">
        <f>IF($A92="","",TEXT($A92,"yyyy")&amp;"-W"&amp;TEXT(ISOWEEKNUM($A92),"00"))</f>
        <v/>
      </c>
      <c r="P92" s="4" t="n"/>
      <c r="Q92" s="14">
        <f>IF($A92="","",TEXT($A92,"yyyy-mm"))</f>
        <v/>
      </c>
    </row>
    <row r="93">
      <c r="A93" s="66" t="n"/>
      <c r="B93" s="4" t="n"/>
      <c r="C93" s="11">
        <f>IFERROR(VLOOKUP($B93,Members!$A:$C,2,FALSE),"")</f>
        <v/>
      </c>
      <c r="D93" s="11">
        <f>IFERROR(VLOOKUP($B93,Members!$A:$C,3,FALSE),"")</f>
        <v/>
      </c>
      <c r="E93" s="11">
        <f>IF($F93="","",IFERROR(VLOOKUP($F93,ActionMap!$A:$B,2,FALSE),"INVALID ACTION"))</f>
        <v/>
      </c>
      <c r="F93" s="4" t="n"/>
      <c r="G93" s="11">
        <f>IFERROR(VLOOKUP($E93,ActionsCatalog!$A:$B,2,FALSE),"")</f>
        <v/>
      </c>
      <c r="H93" s="4" t="n"/>
      <c r="I93" s="4">
        <f>IFERROR(VLOOKUP($E93,ActionsCatalog!$A:$D,3,FALSE),0)</f>
        <v/>
      </c>
      <c r="J93" s="4">
        <f>IFERROR(VLOOKUP($E93,ActionsCatalog!$A:$D,4,FALSE),0)</f>
        <v/>
      </c>
      <c r="K93" s="4">
        <f>IF($M93&lt;&gt;"Yes",0,IF($H93="",0,$H93*$I93))</f>
        <v/>
      </c>
      <c r="L93" s="4">
        <f>IF($M93&lt;&gt;"Yes",0,IF($H93="",0,$H93*$J93))</f>
        <v/>
      </c>
      <c r="M93" s="4" t="n"/>
      <c r="N93" s="4" t="n"/>
      <c r="O93" s="4">
        <f>IF($A93="","",TEXT($A93,"yyyy")&amp;"-W"&amp;TEXT(ISOWEEKNUM($A93),"00"))</f>
        <v/>
      </c>
      <c r="P93" s="4" t="n"/>
      <c r="Q93" s="14">
        <f>IF($A93="","",TEXT($A93,"yyyy-mm"))</f>
        <v/>
      </c>
    </row>
    <row r="94">
      <c r="A94" s="66" t="n"/>
      <c r="B94" s="4" t="n"/>
      <c r="C94" s="11">
        <f>IFERROR(VLOOKUP($B94,Members!$A:$C,2,FALSE),"")</f>
        <v/>
      </c>
      <c r="D94" s="11">
        <f>IFERROR(VLOOKUP($B94,Members!$A:$C,3,FALSE),"")</f>
        <v/>
      </c>
      <c r="E94" s="11">
        <f>IF($F94="","",IFERROR(VLOOKUP($F94,ActionMap!$A:$B,2,FALSE),"INVALID ACTION"))</f>
        <v/>
      </c>
      <c r="F94" s="4" t="n"/>
      <c r="G94" s="11">
        <f>IFERROR(VLOOKUP($E94,ActionsCatalog!$A:$B,2,FALSE),"")</f>
        <v/>
      </c>
      <c r="H94" s="4" t="n"/>
      <c r="I94" s="4">
        <f>IFERROR(VLOOKUP($E94,ActionsCatalog!$A:$D,3,FALSE),0)</f>
        <v/>
      </c>
      <c r="J94" s="4">
        <f>IFERROR(VLOOKUP($E94,ActionsCatalog!$A:$D,4,FALSE),0)</f>
        <v/>
      </c>
      <c r="K94" s="4">
        <f>IF($M94&lt;&gt;"Yes",0,IF($H94="",0,$H94*$I94))</f>
        <v/>
      </c>
      <c r="L94" s="4">
        <f>IF($M94&lt;&gt;"Yes",0,IF($H94="",0,$H94*$J94))</f>
        <v/>
      </c>
      <c r="M94" s="4" t="n"/>
      <c r="N94" s="4" t="n"/>
      <c r="O94" s="4">
        <f>IF($A94="","",TEXT($A94,"yyyy")&amp;"-W"&amp;TEXT(ISOWEEKNUM($A94),"00"))</f>
        <v/>
      </c>
      <c r="P94" s="4" t="n"/>
      <c r="Q94" s="14">
        <f>IF($A94="","",TEXT($A94,"yyyy-mm"))</f>
        <v/>
      </c>
    </row>
    <row r="95">
      <c r="A95" s="66" t="n"/>
      <c r="B95" s="4" t="n"/>
      <c r="C95" s="11">
        <f>IFERROR(VLOOKUP($B95,Members!$A:$C,2,FALSE),"")</f>
        <v/>
      </c>
      <c r="D95" s="11">
        <f>IFERROR(VLOOKUP($B95,Members!$A:$C,3,FALSE),"")</f>
        <v/>
      </c>
      <c r="E95" s="11">
        <f>IF($F95="","",IFERROR(VLOOKUP($F95,ActionMap!$A:$B,2,FALSE),"INVALID ACTION"))</f>
        <v/>
      </c>
      <c r="F95" s="4" t="n"/>
      <c r="G95" s="11">
        <f>IFERROR(VLOOKUP($E95,ActionsCatalog!$A:$B,2,FALSE),"")</f>
        <v/>
      </c>
      <c r="H95" s="4" t="n"/>
      <c r="I95" s="4">
        <f>IFERROR(VLOOKUP($E95,ActionsCatalog!$A:$D,3,FALSE),0)</f>
        <v/>
      </c>
      <c r="J95" s="4">
        <f>IFERROR(VLOOKUP($E95,ActionsCatalog!$A:$D,4,FALSE),0)</f>
        <v/>
      </c>
      <c r="K95" s="4">
        <f>IF($M95&lt;&gt;"Yes",0,IF($H95="",0,$H95*$I95))</f>
        <v/>
      </c>
      <c r="L95" s="4">
        <f>IF($M95&lt;&gt;"Yes",0,IF($H95="",0,$H95*$J95))</f>
        <v/>
      </c>
      <c r="M95" s="4" t="n"/>
      <c r="N95" s="4" t="n"/>
      <c r="O95" s="4">
        <f>IF($A95="","",TEXT($A95,"yyyy")&amp;"-W"&amp;TEXT(ISOWEEKNUM($A95),"00"))</f>
        <v/>
      </c>
      <c r="P95" s="4" t="n"/>
      <c r="Q95" s="14">
        <f>IF($A95="","",TEXT($A95,"yyyy-mm"))</f>
        <v/>
      </c>
    </row>
    <row r="96">
      <c r="A96" s="66" t="n"/>
      <c r="B96" s="4" t="n"/>
      <c r="C96" s="11">
        <f>IFERROR(VLOOKUP($B96,Members!$A:$C,2,FALSE),"")</f>
        <v/>
      </c>
      <c r="D96" s="11">
        <f>IFERROR(VLOOKUP($B96,Members!$A:$C,3,FALSE),"")</f>
        <v/>
      </c>
      <c r="E96" s="11">
        <f>IF($F96="","",IFERROR(VLOOKUP($F96,ActionMap!$A:$B,2,FALSE),"INVALID ACTION"))</f>
        <v/>
      </c>
      <c r="F96" s="4" t="n"/>
      <c r="G96" s="11">
        <f>IFERROR(VLOOKUP($E96,ActionsCatalog!$A:$B,2,FALSE),"")</f>
        <v/>
      </c>
      <c r="H96" s="4" t="n"/>
      <c r="I96" s="4">
        <f>IFERROR(VLOOKUP($E96,ActionsCatalog!$A:$D,3,FALSE),0)</f>
        <v/>
      </c>
      <c r="J96" s="4">
        <f>IFERROR(VLOOKUP($E96,ActionsCatalog!$A:$D,4,FALSE),0)</f>
        <v/>
      </c>
      <c r="K96" s="4">
        <f>IF($M96&lt;&gt;"Yes",0,IF($H96="",0,$H96*$I96))</f>
        <v/>
      </c>
      <c r="L96" s="4">
        <f>IF($M96&lt;&gt;"Yes",0,IF($H96="",0,$H96*$J96))</f>
        <v/>
      </c>
      <c r="M96" s="4" t="n"/>
      <c r="N96" s="4" t="n"/>
      <c r="O96" s="4">
        <f>IF($A96="","",TEXT($A96,"yyyy")&amp;"-W"&amp;TEXT(ISOWEEKNUM($A96),"00"))</f>
        <v/>
      </c>
      <c r="P96" s="4" t="n"/>
      <c r="Q96" s="14">
        <f>IF($A96="","",TEXT($A96,"yyyy-mm"))</f>
        <v/>
      </c>
    </row>
    <row r="97">
      <c r="A97" s="66" t="n"/>
      <c r="B97" s="4" t="n"/>
      <c r="C97" s="11">
        <f>IFERROR(VLOOKUP($B97,Members!$A:$C,2,FALSE),"")</f>
        <v/>
      </c>
      <c r="D97" s="11">
        <f>IFERROR(VLOOKUP($B97,Members!$A:$C,3,FALSE),"")</f>
        <v/>
      </c>
      <c r="E97" s="11">
        <f>IF($F97="","",IFERROR(VLOOKUP($F97,ActionMap!$A:$B,2,FALSE),"INVALID ACTION"))</f>
        <v/>
      </c>
      <c r="F97" s="4" t="n"/>
      <c r="G97" s="11">
        <f>IFERROR(VLOOKUP($E97,ActionsCatalog!$A:$B,2,FALSE),"")</f>
        <v/>
      </c>
      <c r="H97" s="4" t="n"/>
      <c r="I97" s="4">
        <f>IFERROR(VLOOKUP($E97,ActionsCatalog!$A:$D,3,FALSE),0)</f>
        <v/>
      </c>
      <c r="J97" s="4">
        <f>IFERROR(VLOOKUP($E97,ActionsCatalog!$A:$D,4,FALSE),0)</f>
        <v/>
      </c>
      <c r="K97" s="4">
        <f>IF($M97&lt;&gt;"Yes",0,IF($H97="",0,$H97*$I97))</f>
        <v/>
      </c>
      <c r="L97" s="4">
        <f>IF($M97&lt;&gt;"Yes",0,IF($H97="",0,$H97*$J97))</f>
        <v/>
      </c>
      <c r="M97" s="4" t="n"/>
      <c r="N97" s="4" t="n"/>
      <c r="O97" s="4">
        <f>IF($A97="","",TEXT($A97,"yyyy")&amp;"-W"&amp;TEXT(ISOWEEKNUM($A97),"00"))</f>
        <v/>
      </c>
      <c r="P97" s="4" t="n"/>
      <c r="Q97" s="14">
        <f>IF($A97="","",TEXT($A97,"yyyy-mm"))</f>
        <v/>
      </c>
    </row>
    <row r="98">
      <c r="A98" s="66" t="n"/>
      <c r="B98" s="4" t="n"/>
      <c r="C98" s="11">
        <f>IFERROR(VLOOKUP($B98,Members!$A:$C,2,FALSE),"")</f>
        <v/>
      </c>
      <c r="D98" s="11">
        <f>IFERROR(VLOOKUP($B98,Members!$A:$C,3,FALSE),"")</f>
        <v/>
      </c>
      <c r="E98" s="11">
        <f>IF($F98="","",IFERROR(VLOOKUP($F98,ActionMap!$A:$B,2,FALSE),"INVALID ACTION"))</f>
        <v/>
      </c>
      <c r="F98" s="4" t="n"/>
      <c r="G98" s="11">
        <f>IFERROR(VLOOKUP($E98,ActionsCatalog!$A:$B,2,FALSE),"")</f>
        <v/>
      </c>
      <c r="H98" s="4" t="n"/>
      <c r="I98" s="4">
        <f>IFERROR(VLOOKUP($E98,ActionsCatalog!$A:$D,3,FALSE),0)</f>
        <v/>
      </c>
      <c r="J98" s="4">
        <f>IFERROR(VLOOKUP($E98,ActionsCatalog!$A:$D,4,FALSE),0)</f>
        <v/>
      </c>
      <c r="K98" s="4">
        <f>IF($M98&lt;&gt;"Yes",0,IF($H98="",0,$H98*$I98))</f>
        <v/>
      </c>
      <c r="L98" s="4">
        <f>IF($M98&lt;&gt;"Yes",0,IF($H98="",0,$H98*$J98))</f>
        <v/>
      </c>
      <c r="M98" s="4" t="n"/>
      <c r="N98" s="4" t="n"/>
      <c r="O98" s="4">
        <f>IF($A98="","",TEXT($A98,"yyyy")&amp;"-W"&amp;TEXT(ISOWEEKNUM($A98),"00"))</f>
        <v/>
      </c>
      <c r="P98" s="4" t="n"/>
      <c r="Q98" s="14">
        <f>IF($A98="","",TEXT($A98,"yyyy-mm"))</f>
        <v/>
      </c>
    </row>
    <row r="99">
      <c r="A99" s="66" t="n"/>
      <c r="B99" s="4" t="n"/>
      <c r="C99" s="11">
        <f>IFERROR(VLOOKUP($B99,Members!$A:$C,2,FALSE),"")</f>
        <v/>
      </c>
      <c r="D99" s="11">
        <f>IFERROR(VLOOKUP($B99,Members!$A:$C,3,FALSE),"")</f>
        <v/>
      </c>
      <c r="E99" s="11">
        <f>IF($F99="","",IFERROR(VLOOKUP($F99,ActionMap!$A:$B,2,FALSE),"INVALID ACTION"))</f>
        <v/>
      </c>
      <c r="F99" s="4" t="n"/>
      <c r="G99" s="11">
        <f>IFERROR(VLOOKUP($E99,ActionsCatalog!$A:$B,2,FALSE),"")</f>
        <v/>
      </c>
      <c r="H99" s="4" t="n"/>
      <c r="I99" s="4">
        <f>IFERROR(VLOOKUP($E99,ActionsCatalog!$A:$D,3,FALSE),0)</f>
        <v/>
      </c>
      <c r="J99" s="4">
        <f>IFERROR(VLOOKUP($E99,ActionsCatalog!$A:$D,4,FALSE),0)</f>
        <v/>
      </c>
      <c r="K99" s="4">
        <f>IF($M99&lt;&gt;"Yes",0,IF($H99="",0,$H99*$I99))</f>
        <v/>
      </c>
      <c r="L99" s="4">
        <f>IF($M99&lt;&gt;"Yes",0,IF($H99="",0,$H99*$J99))</f>
        <v/>
      </c>
      <c r="M99" s="4" t="n"/>
      <c r="N99" s="4" t="n"/>
      <c r="O99" s="4">
        <f>IF($A99="","",TEXT($A99,"yyyy")&amp;"-W"&amp;TEXT(ISOWEEKNUM($A99),"00"))</f>
        <v/>
      </c>
      <c r="P99" s="4" t="n"/>
      <c r="Q99" s="14">
        <f>IF($A99="","",TEXT($A99,"yyyy-mm"))</f>
        <v/>
      </c>
    </row>
    <row r="100">
      <c r="A100" s="66" t="n"/>
      <c r="B100" s="4" t="n"/>
      <c r="C100" s="11">
        <f>IFERROR(VLOOKUP($B100,Members!$A:$C,2,FALSE),"")</f>
        <v/>
      </c>
      <c r="D100" s="11">
        <f>IFERROR(VLOOKUP($B100,Members!$A:$C,3,FALSE),"")</f>
        <v/>
      </c>
      <c r="E100" s="11">
        <f>IF($F100="","",IFERROR(VLOOKUP($F100,ActionMap!$A:$B,2,FALSE),"INVALID ACTION"))</f>
        <v/>
      </c>
      <c r="F100" s="4" t="n"/>
      <c r="G100" s="11">
        <f>IFERROR(VLOOKUP($E100,ActionsCatalog!$A:$B,2,FALSE),"")</f>
        <v/>
      </c>
      <c r="H100" s="4" t="n"/>
      <c r="I100" s="4">
        <f>IFERROR(VLOOKUP($E100,ActionsCatalog!$A:$D,3,FALSE),0)</f>
        <v/>
      </c>
      <c r="J100" s="4">
        <f>IFERROR(VLOOKUP($E100,ActionsCatalog!$A:$D,4,FALSE),0)</f>
        <v/>
      </c>
      <c r="K100" s="4">
        <f>IF($M100&lt;&gt;"Yes",0,IF($H100="",0,$H100*$I100))</f>
        <v/>
      </c>
      <c r="L100" s="4">
        <f>IF($M100&lt;&gt;"Yes",0,IF($H100="",0,$H100*$J100))</f>
        <v/>
      </c>
      <c r="M100" s="4" t="n"/>
      <c r="N100" s="4" t="n"/>
      <c r="O100" s="4">
        <f>IF($A100="","",TEXT($A100,"yyyy")&amp;"-W"&amp;TEXT(ISOWEEKNUM($A100),"00"))</f>
        <v/>
      </c>
      <c r="P100" s="4" t="n"/>
      <c r="Q100" s="14">
        <f>IF($A100="","",TEXT($A100,"yyyy-mm"))</f>
        <v/>
      </c>
    </row>
    <row r="101">
      <c r="A101" s="66" t="n"/>
      <c r="B101" s="4" t="n"/>
      <c r="C101" s="11">
        <f>IFERROR(VLOOKUP($B101,Members!$A:$C,2,FALSE),"")</f>
        <v/>
      </c>
      <c r="D101" s="11">
        <f>IFERROR(VLOOKUP($B101,Members!$A:$C,3,FALSE),"")</f>
        <v/>
      </c>
      <c r="E101" s="11">
        <f>IF($F101="","",IFERROR(VLOOKUP($F101,ActionMap!$A:$B,2,FALSE),"INVALID ACTION"))</f>
        <v/>
      </c>
      <c r="F101" s="4" t="n"/>
      <c r="G101" s="11">
        <f>IFERROR(VLOOKUP($E101,ActionsCatalog!$A:$B,2,FALSE),"")</f>
        <v/>
      </c>
      <c r="H101" s="4" t="n"/>
      <c r="I101" s="4">
        <f>IFERROR(VLOOKUP($E101,ActionsCatalog!$A:$D,3,FALSE),0)</f>
        <v/>
      </c>
      <c r="J101" s="4">
        <f>IFERROR(VLOOKUP($E101,ActionsCatalog!$A:$D,4,FALSE),0)</f>
        <v/>
      </c>
      <c r="K101" s="4">
        <f>IF($M101&lt;&gt;"Yes",0,IF($H101="",0,$H101*$I101))</f>
        <v/>
      </c>
      <c r="L101" s="4">
        <f>IF($M101&lt;&gt;"Yes",0,IF($H101="",0,$H101*$J101))</f>
        <v/>
      </c>
      <c r="M101" s="4" t="n"/>
      <c r="N101" s="4" t="n"/>
      <c r="O101" s="4">
        <f>IF($A101="","",TEXT($A101,"yyyy")&amp;"-W"&amp;TEXT(ISOWEEKNUM($A101),"00"))</f>
        <v/>
      </c>
      <c r="P101" s="4" t="n"/>
      <c r="Q101" s="14">
        <f>IF($A101="","",TEXT($A101,"yyyy-mm"))</f>
        <v/>
      </c>
    </row>
    <row r="102">
      <c r="A102" s="66" t="n"/>
      <c r="B102" s="4" t="n"/>
      <c r="C102" s="11">
        <f>IFERROR(VLOOKUP($B102,Members!$A:$C,2,FALSE),"")</f>
        <v/>
      </c>
      <c r="D102" s="11">
        <f>IFERROR(VLOOKUP($B102,Members!$A:$C,3,FALSE),"")</f>
        <v/>
      </c>
      <c r="E102" s="11">
        <f>IF($F102="","",IFERROR(VLOOKUP($F102,ActionMap!$A:$B,2,FALSE),"INVALID ACTION"))</f>
        <v/>
      </c>
      <c r="F102" s="4" t="n"/>
      <c r="G102" s="11">
        <f>IFERROR(VLOOKUP($E102,ActionsCatalog!$A:$B,2,FALSE),"")</f>
        <v/>
      </c>
      <c r="H102" s="4" t="n"/>
      <c r="I102" s="4">
        <f>IFERROR(VLOOKUP($E102,ActionsCatalog!$A:$D,3,FALSE),0)</f>
        <v/>
      </c>
      <c r="J102" s="4">
        <f>IFERROR(VLOOKUP($E102,ActionsCatalog!$A:$D,4,FALSE),0)</f>
        <v/>
      </c>
      <c r="K102" s="4">
        <f>IF($M102&lt;&gt;"Yes",0,IF($H102="",0,$H102*$I102))</f>
        <v/>
      </c>
      <c r="L102" s="4">
        <f>IF($M102&lt;&gt;"Yes",0,IF($H102="",0,$H102*$J102))</f>
        <v/>
      </c>
      <c r="M102" s="4" t="n"/>
      <c r="N102" s="4" t="n"/>
      <c r="O102" s="4">
        <f>IF($A102="","",TEXT($A102,"yyyy")&amp;"-W"&amp;TEXT(ISOWEEKNUM($A102),"00"))</f>
        <v/>
      </c>
      <c r="P102" s="4" t="n"/>
      <c r="Q102" s="14">
        <f>IF($A102="","",TEXT($A102,"yyyy-mm"))</f>
        <v/>
      </c>
    </row>
    <row r="103">
      <c r="A103" s="66" t="n"/>
      <c r="B103" s="4" t="n"/>
      <c r="C103" s="11">
        <f>IFERROR(VLOOKUP($B103,Members!$A:$C,2,FALSE),"")</f>
        <v/>
      </c>
      <c r="D103" s="11">
        <f>IFERROR(VLOOKUP($B103,Members!$A:$C,3,FALSE),"")</f>
        <v/>
      </c>
      <c r="E103" s="11">
        <f>IF($F103="","",IFERROR(VLOOKUP($F103,ActionMap!$A:$B,2,FALSE),"INVALID ACTION"))</f>
        <v/>
      </c>
      <c r="F103" s="4" t="n"/>
      <c r="G103" s="11">
        <f>IFERROR(VLOOKUP($E103,ActionsCatalog!$A:$B,2,FALSE),"")</f>
        <v/>
      </c>
      <c r="H103" s="4" t="n"/>
      <c r="I103" s="4">
        <f>IFERROR(VLOOKUP($E103,ActionsCatalog!$A:$D,3,FALSE),0)</f>
        <v/>
      </c>
      <c r="J103" s="4">
        <f>IFERROR(VLOOKUP($E103,ActionsCatalog!$A:$D,4,FALSE),0)</f>
        <v/>
      </c>
      <c r="K103" s="4">
        <f>IF($M103&lt;&gt;"Yes",0,IF($H103="",0,$H103*$I103))</f>
        <v/>
      </c>
      <c r="L103" s="4">
        <f>IF($M103&lt;&gt;"Yes",0,IF($H103="",0,$H103*$J103))</f>
        <v/>
      </c>
      <c r="M103" s="4" t="n"/>
      <c r="N103" s="4" t="n"/>
      <c r="O103" s="4">
        <f>IF($A103="","",TEXT($A103,"yyyy")&amp;"-W"&amp;TEXT(ISOWEEKNUM($A103),"00"))</f>
        <v/>
      </c>
      <c r="P103" s="4" t="n"/>
      <c r="Q103" s="14">
        <f>IF($A103="","",TEXT($A103,"yyyy-mm"))</f>
        <v/>
      </c>
    </row>
    <row r="104">
      <c r="A104" s="66" t="n"/>
      <c r="B104" s="4" t="n"/>
      <c r="C104" s="11">
        <f>IFERROR(VLOOKUP($B104,Members!$A:$C,2,FALSE),"")</f>
        <v/>
      </c>
      <c r="D104" s="11">
        <f>IFERROR(VLOOKUP($B104,Members!$A:$C,3,FALSE),"")</f>
        <v/>
      </c>
      <c r="E104" s="11">
        <f>IF($F104="","",IFERROR(VLOOKUP($F104,ActionMap!$A:$B,2,FALSE),"INVALID ACTION"))</f>
        <v/>
      </c>
      <c r="F104" s="4" t="n"/>
      <c r="G104" s="11">
        <f>IFERROR(VLOOKUP($E104,ActionsCatalog!$A:$B,2,FALSE),"")</f>
        <v/>
      </c>
      <c r="H104" s="4" t="n"/>
      <c r="I104" s="4">
        <f>IFERROR(VLOOKUP($E104,ActionsCatalog!$A:$D,3,FALSE),0)</f>
        <v/>
      </c>
      <c r="J104" s="4">
        <f>IFERROR(VLOOKUP($E104,ActionsCatalog!$A:$D,4,FALSE),0)</f>
        <v/>
      </c>
      <c r="K104" s="4">
        <f>IF($M104&lt;&gt;"Yes",0,IF($H104="",0,$H104*$I104))</f>
        <v/>
      </c>
      <c r="L104" s="4">
        <f>IF($M104&lt;&gt;"Yes",0,IF($H104="",0,$H104*$J104))</f>
        <v/>
      </c>
      <c r="M104" s="4" t="n"/>
      <c r="N104" s="4" t="n"/>
      <c r="O104" s="4">
        <f>IF($A104="","",TEXT($A104,"yyyy")&amp;"-W"&amp;TEXT(ISOWEEKNUM($A104),"00"))</f>
        <v/>
      </c>
      <c r="P104" s="4" t="n"/>
      <c r="Q104" s="14">
        <f>IF($A104="","",TEXT($A104,"yyyy-mm"))</f>
        <v/>
      </c>
    </row>
    <row r="105">
      <c r="A105" s="66" t="n"/>
      <c r="B105" s="4" t="n"/>
      <c r="C105" s="11">
        <f>IFERROR(VLOOKUP($B105,Members!$A:$C,2,FALSE),"")</f>
        <v/>
      </c>
      <c r="D105" s="11">
        <f>IFERROR(VLOOKUP($B105,Members!$A:$C,3,FALSE),"")</f>
        <v/>
      </c>
      <c r="E105" s="11">
        <f>IF($F105="","",IFERROR(VLOOKUP($F105,ActionMap!$A:$B,2,FALSE),"INVALID ACTION"))</f>
        <v/>
      </c>
      <c r="F105" s="4" t="n"/>
      <c r="G105" s="11">
        <f>IFERROR(VLOOKUP($E105,ActionsCatalog!$A:$B,2,FALSE),"")</f>
        <v/>
      </c>
      <c r="H105" s="4" t="n"/>
      <c r="I105" s="4">
        <f>IFERROR(VLOOKUP($E105,ActionsCatalog!$A:$D,3,FALSE),0)</f>
        <v/>
      </c>
      <c r="J105" s="4">
        <f>IFERROR(VLOOKUP($E105,ActionsCatalog!$A:$D,4,FALSE),0)</f>
        <v/>
      </c>
      <c r="K105" s="4">
        <f>IF($M105&lt;&gt;"Yes",0,IF($H105="",0,$H105*$I105))</f>
        <v/>
      </c>
      <c r="L105" s="4">
        <f>IF($M105&lt;&gt;"Yes",0,IF($H105="",0,$H105*$J105))</f>
        <v/>
      </c>
      <c r="M105" s="4" t="n"/>
      <c r="N105" s="4" t="n"/>
      <c r="O105" s="4">
        <f>IF($A105="","",TEXT($A105,"yyyy")&amp;"-W"&amp;TEXT(ISOWEEKNUM($A105),"00"))</f>
        <v/>
      </c>
      <c r="P105" s="4" t="n"/>
      <c r="Q105" s="14">
        <f>IF($A105="","",TEXT($A105,"yyyy-mm"))</f>
        <v/>
      </c>
    </row>
    <row r="106">
      <c r="A106" s="66" t="n"/>
      <c r="B106" s="4" t="n"/>
      <c r="C106" s="11">
        <f>IFERROR(VLOOKUP($B106,Members!$A:$C,2,FALSE),"")</f>
        <v/>
      </c>
      <c r="D106" s="11">
        <f>IFERROR(VLOOKUP($B106,Members!$A:$C,3,FALSE),"")</f>
        <v/>
      </c>
      <c r="E106" s="11">
        <f>IF($F106="","",IFERROR(VLOOKUP($F106,ActionMap!$A:$B,2,FALSE),"INVALID ACTION"))</f>
        <v/>
      </c>
      <c r="F106" s="4" t="n"/>
      <c r="G106" s="11">
        <f>IFERROR(VLOOKUP($E106,ActionsCatalog!$A:$B,2,FALSE),"")</f>
        <v/>
      </c>
      <c r="H106" s="4" t="n"/>
      <c r="I106" s="4">
        <f>IFERROR(VLOOKUP($E106,ActionsCatalog!$A:$D,3,FALSE),0)</f>
        <v/>
      </c>
      <c r="J106" s="4">
        <f>IFERROR(VLOOKUP($E106,ActionsCatalog!$A:$D,4,FALSE),0)</f>
        <v/>
      </c>
      <c r="K106" s="4">
        <f>IF($M106&lt;&gt;"Yes",0,IF($H106="",0,$H106*$I106))</f>
        <v/>
      </c>
      <c r="L106" s="4">
        <f>IF($M106&lt;&gt;"Yes",0,IF($H106="",0,$H106*$J106))</f>
        <v/>
      </c>
      <c r="M106" s="4" t="n"/>
      <c r="N106" s="4" t="n"/>
      <c r="O106" s="4">
        <f>IF($A106="","",TEXT($A106,"yyyy")&amp;"-W"&amp;TEXT(ISOWEEKNUM($A106),"00"))</f>
        <v/>
      </c>
      <c r="P106" s="4" t="n"/>
      <c r="Q106" s="14">
        <f>IF($A106="","",TEXT($A106,"yyyy-mm"))</f>
        <v/>
      </c>
    </row>
    <row r="107">
      <c r="A107" s="66" t="n"/>
      <c r="B107" s="4" t="n"/>
      <c r="C107" s="11">
        <f>IFERROR(VLOOKUP($B107,Members!$A:$C,2,FALSE),"")</f>
        <v/>
      </c>
      <c r="D107" s="11">
        <f>IFERROR(VLOOKUP($B107,Members!$A:$C,3,FALSE),"")</f>
        <v/>
      </c>
      <c r="E107" s="11">
        <f>IF($F107="","",IFERROR(VLOOKUP($F107,ActionMap!$A:$B,2,FALSE),"INVALID ACTION"))</f>
        <v/>
      </c>
      <c r="F107" s="4" t="n"/>
      <c r="G107" s="11">
        <f>IFERROR(VLOOKUP($E107,ActionsCatalog!$A:$B,2,FALSE),"")</f>
        <v/>
      </c>
      <c r="H107" s="4" t="n"/>
      <c r="I107" s="4">
        <f>IFERROR(VLOOKUP($E107,ActionsCatalog!$A:$D,3,FALSE),0)</f>
        <v/>
      </c>
      <c r="J107" s="4">
        <f>IFERROR(VLOOKUP($E107,ActionsCatalog!$A:$D,4,FALSE),0)</f>
        <v/>
      </c>
      <c r="K107" s="4">
        <f>IF($M107&lt;&gt;"Yes",0,IF($H107="",0,$H107*$I107))</f>
        <v/>
      </c>
      <c r="L107" s="4">
        <f>IF($M107&lt;&gt;"Yes",0,IF($H107="",0,$H107*$J107))</f>
        <v/>
      </c>
      <c r="M107" s="4" t="n"/>
      <c r="N107" s="4" t="n"/>
      <c r="O107" s="4">
        <f>IF($A107="","",TEXT($A107,"yyyy")&amp;"-W"&amp;TEXT(ISOWEEKNUM($A107),"00"))</f>
        <v/>
      </c>
      <c r="P107" s="4" t="n"/>
      <c r="Q107" s="14">
        <f>IF($A107="","",TEXT($A107,"yyyy-mm"))</f>
        <v/>
      </c>
    </row>
    <row r="108">
      <c r="A108" s="66" t="n"/>
      <c r="B108" s="4" t="n"/>
      <c r="C108" s="11">
        <f>IFERROR(VLOOKUP($B108,Members!$A:$C,2,FALSE),"")</f>
        <v/>
      </c>
      <c r="D108" s="11">
        <f>IFERROR(VLOOKUP($B108,Members!$A:$C,3,FALSE),"")</f>
        <v/>
      </c>
      <c r="E108" s="11">
        <f>IF($F108="","",IFERROR(VLOOKUP($F108,ActionMap!$A:$B,2,FALSE),"INVALID ACTION"))</f>
        <v/>
      </c>
      <c r="F108" s="4" t="n"/>
      <c r="G108" s="11">
        <f>IFERROR(VLOOKUP($E108,ActionsCatalog!$A:$B,2,FALSE),"")</f>
        <v/>
      </c>
      <c r="H108" s="4" t="n"/>
      <c r="I108" s="4">
        <f>IFERROR(VLOOKUP($E108,ActionsCatalog!$A:$D,3,FALSE),0)</f>
        <v/>
      </c>
      <c r="J108" s="4">
        <f>IFERROR(VLOOKUP($E108,ActionsCatalog!$A:$D,4,FALSE),0)</f>
        <v/>
      </c>
      <c r="K108" s="4">
        <f>IF($M108&lt;&gt;"Yes",0,IF($H108="",0,$H108*$I108))</f>
        <v/>
      </c>
      <c r="L108" s="4">
        <f>IF($M108&lt;&gt;"Yes",0,IF($H108="",0,$H108*$J108))</f>
        <v/>
      </c>
      <c r="M108" s="4" t="n"/>
      <c r="N108" s="4" t="n"/>
      <c r="O108" s="4">
        <f>IF($A108="","",TEXT($A108,"yyyy")&amp;"-W"&amp;TEXT(ISOWEEKNUM($A108),"00"))</f>
        <v/>
      </c>
      <c r="P108" s="4" t="n"/>
      <c r="Q108" s="14">
        <f>IF($A108="","",TEXT($A108,"yyyy-mm"))</f>
        <v/>
      </c>
    </row>
    <row r="109">
      <c r="A109" s="66" t="n"/>
      <c r="B109" s="4" t="n"/>
      <c r="C109" s="11">
        <f>IFERROR(VLOOKUP($B109,Members!$A:$C,2,FALSE),"")</f>
        <v/>
      </c>
      <c r="D109" s="11">
        <f>IFERROR(VLOOKUP($B109,Members!$A:$C,3,FALSE),"")</f>
        <v/>
      </c>
      <c r="E109" s="11">
        <f>IF($F109="","",IFERROR(VLOOKUP($F109,ActionMap!$A:$B,2,FALSE),"INVALID ACTION"))</f>
        <v/>
      </c>
      <c r="F109" s="4" t="n"/>
      <c r="G109" s="11">
        <f>IFERROR(VLOOKUP($E109,ActionsCatalog!$A:$B,2,FALSE),"")</f>
        <v/>
      </c>
      <c r="H109" s="4" t="n"/>
      <c r="I109" s="4">
        <f>IFERROR(VLOOKUP($E109,ActionsCatalog!$A:$D,3,FALSE),0)</f>
        <v/>
      </c>
      <c r="J109" s="4">
        <f>IFERROR(VLOOKUP($E109,ActionsCatalog!$A:$D,4,FALSE),0)</f>
        <v/>
      </c>
      <c r="K109" s="4">
        <f>IF($M109&lt;&gt;"Yes",0,IF($H109="",0,$H109*$I109))</f>
        <v/>
      </c>
      <c r="L109" s="4">
        <f>IF($M109&lt;&gt;"Yes",0,IF($H109="",0,$H109*$J109))</f>
        <v/>
      </c>
      <c r="M109" s="4" t="n"/>
      <c r="N109" s="4" t="n"/>
      <c r="O109" s="4">
        <f>IF($A109="","",TEXT($A109,"yyyy")&amp;"-W"&amp;TEXT(ISOWEEKNUM($A109),"00"))</f>
        <v/>
      </c>
      <c r="P109" s="4" t="n"/>
      <c r="Q109" s="14">
        <f>IF($A109="","",TEXT($A109,"yyyy-mm"))</f>
        <v/>
      </c>
    </row>
    <row r="110">
      <c r="A110" s="66" t="n"/>
      <c r="B110" s="4" t="n"/>
      <c r="C110" s="11">
        <f>IFERROR(VLOOKUP($B110,Members!$A:$C,2,FALSE),"")</f>
        <v/>
      </c>
      <c r="D110" s="11">
        <f>IFERROR(VLOOKUP($B110,Members!$A:$C,3,FALSE),"")</f>
        <v/>
      </c>
      <c r="E110" s="11">
        <f>IF($F110="","",IFERROR(VLOOKUP($F110,ActionMap!$A:$B,2,FALSE),"INVALID ACTION"))</f>
        <v/>
      </c>
      <c r="F110" s="4" t="n"/>
      <c r="G110" s="11">
        <f>IFERROR(VLOOKUP($E110,ActionsCatalog!$A:$B,2,FALSE),"")</f>
        <v/>
      </c>
      <c r="H110" s="4" t="n"/>
      <c r="I110" s="4">
        <f>IFERROR(VLOOKUP($E110,ActionsCatalog!$A:$D,3,FALSE),0)</f>
        <v/>
      </c>
      <c r="J110" s="4">
        <f>IFERROR(VLOOKUP($E110,ActionsCatalog!$A:$D,4,FALSE),0)</f>
        <v/>
      </c>
      <c r="K110" s="4">
        <f>IF($M110&lt;&gt;"Yes",0,IF($H110="",0,$H110*$I110))</f>
        <v/>
      </c>
      <c r="L110" s="4">
        <f>IF($M110&lt;&gt;"Yes",0,IF($H110="",0,$H110*$J110))</f>
        <v/>
      </c>
      <c r="M110" s="4" t="n"/>
      <c r="N110" s="4" t="n"/>
      <c r="O110" s="4">
        <f>IF($A110="","",TEXT($A110,"yyyy")&amp;"-W"&amp;TEXT(ISOWEEKNUM($A110),"00"))</f>
        <v/>
      </c>
      <c r="P110" s="4" t="n"/>
      <c r="Q110" s="14">
        <f>IF($A110="","",TEXT($A110,"yyyy-mm"))</f>
        <v/>
      </c>
    </row>
    <row r="111">
      <c r="A111" s="66" t="n"/>
      <c r="B111" s="4" t="n"/>
      <c r="C111" s="11">
        <f>IFERROR(VLOOKUP($B111,Members!$A:$C,2,FALSE),"")</f>
        <v/>
      </c>
      <c r="D111" s="11">
        <f>IFERROR(VLOOKUP($B111,Members!$A:$C,3,FALSE),"")</f>
        <v/>
      </c>
      <c r="E111" s="11">
        <f>IF($F111="","",IFERROR(VLOOKUP($F111,ActionMap!$A:$B,2,FALSE),"INVALID ACTION"))</f>
        <v/>
      </c>
      <c r="F111" s="4" t="n"/>
      <c r="G111" s="11">
        <f>IFERROR(VLOOKUP($E111,ActionsCatalog!$A:$B,2,FALSE),"")</f>
        <v/>
      </c>
      <c r="H111" s="4" t="n"/>
      <c r="I111" s="4">
        <f>IFERROR(VLOOKUP($E111,ActionsCatalog!$A:$D,3,FALSE),0)</f>
        <v/>
      </c>
      <c r="J111" s="4">
        <f>IFERROR(VLOOKUP($E111,ActionsCatalog!$A:$D,4,FALSE),0)</f>
        <v/>
      </c>
      <c r="K111" s="4">
        <f>IF($M111&lt;&gt;"Yes",0,IF($H111="",0,$H111*$I111))</f>
        <v/>
      </c>
      <c r="L111" s="4">
        <f>IF($M111&lt;&gt;"Yes",0,IF($H111="",0,$H111*$J111))</f>
        <v/>
      </c>
      <c r="M111" s="4" t="n"/>
      <c r="N111" s="4" t="n"/>
      <c r="O111" s="4">
        <f>IF($A111="","",TEXT($A111,"yyyy")&amp;"-W"&amp;TEXT(ISOWEEKNUM($A111),"00"))</f>
        <v/>
      </c>
      <c r="P111" s="4" t="n"/>
      <c r="Q111" s="14">
        <f>IF($A111="","",TEXT($A111,"yyyy-mm"))</f>
        <v/>
      </c>
    </row>
    <row r="112">
      <c r="A112" s="66" t="n"/>
      <c r="B112" s="4" t="n"/>
      <c r="C112" s="11">
        <f>IFERROR(VLOOKUP($B112,Members!$A:$C,2,FALSE),"")</f>
        <v/>
      </c>
      <c r="D112" s="11">
        <f>IFERROR(VLOOKUP($B112,Members!$A:$C,3,FALSE),"")</f>
        <v/>
      </c>
      <c r="E112" s="11">
        <f>IF($F112="","",IFERROR(VLOOKUP($F112,ActionMap!$A:$B,2,FALSE),"INVALID ACTION"))</f>
        <v/>
      </c>
      <c r="F112" s="4" t="n"/>
      <c r="G112" s="11">
        <f>IFERROR(VLOOKUP($E112,ActionsCatalog!$A:$B,2,FALSE),"")</f>
        <v/>
      </c>
      <c r="H112" s="4" t="n"/>
      <c r="I112" s="4">
        <f>IFERROR(VLOOKUP($E112,ActionsCatalog!$A:$D,3,FALSE),0)</f>
        <v/>
      </c>
      <c r="J112" s="4">
        <f>IFERROR(VLOOKUP($E112,ActionsCatalog!$A:$D,4,FALSE),0)</f>
        <v/>
      </c>
      <c r="K112" s="4">
        <f>IF($M112&lt;&gt;"Yes",0,IF($H112="",0,$H112*$I112))</f>
        <v/>
      </c>
      <c r="L112" s="4">
        <f>IF($M112&lt;&gt;"Yes",0,IF($H112="",0,$H112*$J112))</f>
        <v/>
      </c>
      <c r="M112" s="4" t="n"/>
      <c r="N112" s="4" t="n"/>
      <c r="O112" s="4">
        <f>IF($A112="","",TEXT($A112,"yyyy")&amp;"-W"&amp;TEXT(ISOWEEKNUM($A112),"00"))</f>
        <v/>
      </c>
      <c r="P112" s="4" t="n"/>
      <c r="Q112" s="14">
        <f>IF($A112="","",TEXT($A112,"yyyy-mm"))</f>
        <v/>
      </c>
    </row>
    <row r="113">
      <c r="A113" s="66" t="n"/>
      <c r="B113" s="4" t="n"/>
      <c r="C113" s="11">
        <f>IFERROR(VLOOKUP($B113,Members!$A:$C,2,FALSE),"")</f>
        <v/>
      </c>
      <c r="D113" s="11">
        <f>IFERROR(VLOOKUP($B113,Members!$A:$C,3,FALSE),"")</f>
        <v/>
      </c>
      <c r="E113" s="11">
        <f>IF($F113="","",IFERROR(VLOOKUP($F113,ActionMap!$A:$B,2,FALSE),"INVALID ACTION"))</f>
        <v/>
      </c>
      <c r="F113" s="4" t="n"/>
      <c r="G113" s="11">
        <f>IFERROR(VLOOKUP($E113,ActionsCatalog!$A:$B,2,FALSE),"")</f>
        <v/>
      </c>
      <c r="H113" s="4" t="n"/>
      <c r="I113" s="4">
        <f>IFERROR(VLOOKUP($E113,ActionsCatalog!$A:$D,3,FALSE),0)</f>
        <v/>
      </c>
      <c r="J113" s="4">
        <f>IFERROR(VLOOKUP($E113,ActionsCatalog!$A:$D,4,FALSE),0)</f>
        <v/>
      </c>
      <c r="K113" s="4">
        <f>IF($M113&lt;&gt;"Yes",0,IF($H113="",0,$H113*$I113))</f>
        <v/>
      </c>
      <c r="L113" s="4">
        <f>IF($M113&lt;&gt;"Yes",0,IF($H113="",0,$H113*$J113))</f>
        <v/>
      </c>
      <c r="M113" s="4" t="n"/>
      <c r="N113" s="4" t="n"/>
      <c r="O113" s="4">
        <f>IF($A113="","",TEXT($A113,"yyyy")&amp;"-W"&amp;TEXT(ISOWEEKNUM($A113),"00"))</f>
        <v/>
      </c>
      <c r="P113" s="4" t="n"/>
      <c r="Q113" s="14">
        <f>IF($A113="","",TEXT($A113,"yyyy-mm"))</f>
        <v/>
      </c>
    </row>
    <row r="114">
      <c r="A114" s="66" t="n"/>
      <c r="B114" s="4" t="n"/>
      <c r="C114" s="11">
        <f>IFERROR(VLOOKUP($B114,Members!$A:$C,2,FALSE),"")</f>
        <v/>
      </c>
      <c r="D114" s="11">
        <f>IFERROR(VLOOKUP($B114,Members!$A:$C,3,FALSE),"")</f>
        <v/>
      </c>
      <c r="E114" s="11">
        <f>IF($F114="","",IFERROR(VLOOKUP($F114,ActionMap!$A:$B,2,FALSE),"INVALID ACTION"))</f>
        <v/>
      </c>
      <c r="F114" s="4" t="n"/>
      <c r="G114" s="11">
        <f>IFERROR(VLOOKUP($E114,ActionsCatalog!$A:$B,2,FALSE),"")</f>
        <v/>
      </c>
      <c r="H114" s="4" t="n"/>
      <c r="I114" s="4">
        <f>IFERROR(VLOOKUP($E114,ActionsCatalog!$A:$D,3,FALSE),0)</f>
        <v/>
      </c>
      <c r="J114" s="4">
        <f>IFERROR(VLOOKUP($E114,ActionsCatalog!$A:$D,4,FALSE),0)</f>
        <v/>
      </c>
      <c r="K114" s="4">
        <f>IF($M114&lt;&gt;"Yes",0,IF($H114="",0,$H114*$I114))</f>
        <v/>
      </c>
      <c r="L114" s="4">
        <f>IF($M114&lt;&gt;"Yes",0,IF($H114="",0,$H114*$J114))</f>
        <v/>
      </c>
      <c r="M114" s="4" t="n"/>
      <c r="N114" s="4" t="n"/>
      <c r="O114" s="4">
        <f>IF($A114="","",TEXT($A114,"yyyy")&amp;"-W"&amp;TEXT(ISOWEEKNUM($A114),"00"))</f>
        <v/>
      </c>
      <c r="P114" s="4" t="n"/>
      <c r="Q114" s="14">
        <f>IF($A114="","",TEXT($A114,"yyyy-mm"))</f>
        <v/>
      </c>
    </row>
    <row r="115">
      <c r="A115" s="66" t="n"/>
      <c r="B115" s="4" t="n"/>
      <c r="C115" s="11">
        <f>IFERROR(VLOOKUP($B115,Members!$A:$C,2,FALSE),"")</f>
        <v/>
      </c>
      <c r="D115" s="11">
        <f>IFERROR(VLOOKUP($B115,Members!$A:$C,3,FALSE),"")</f>
        <v/>
      </c>
      <c r="E115" s="11">
        <f>IF($F115="","",IFERROR(VLOOKUP($F115,ActionMap!$A:$B,2,FALSE),"INVALID ACTION"))</f>
        <v/>
      </c>
      <c r="F115" s="4" t="n"/>
      <c r="G115" s="11">
        <f>IFERROR(VLOOKUP($E115,ActionsCatalog!$A:$B,2,FALSE),"")</f>
        <v/>
      </c>
      <c r="H115" s="4" t="n"/>
      <c r="I115" s="4">
        <f>IFERROR(VLOOKUP($E115,ActionsCatalog!$A:$D,3,FALSE),0)</f>
        <v/>
      </c>
      <c r="J115" s="4">
        <f>IFERROR(VLOOKUP($E115,ActionsCatalog!$A:$D,4,FALSE),0)</f>
        <v/>
      </c>
      <c r="K115" s="4">
        <f>IF($M115&lt;&gt;"Yes",0,IF($H115="",0,$H115*$I115))</f>
        <v/>
      </c>
      <c r="L115" s="4">
        <f>IF($M115&lt;&gt;"Yes",0,IF($H115="",0,$H115*$J115))</f>
        <v/>
      </c>
      <c r="M115" s="4" t="n"/>
      <c r="N115" s="4" t="n"/>
      <c r="O115" s="4">
        <f>IF($A115="","",TEXT($A115,"yyyy")&amp;"-W"&amp;TEXT(ISOWEEKNUM($A115),"00"))</f>
        <v/>
      </c>
      <c r="P115" s="4" t="n"/>
      <c r="Q115" s="14">
        <f>IF($A115="","",TEXT($A115,"yyyy-mm"))</f>
        <v/>
      </c>
    </row>
    <row r="116">
      <c r="A116" s="66" t="n"/>
      <c r="B116" s="4" t="n"/>
      <c r="C116" s="11">
        <f>IFERROR(VLOOKUP($B116,Members!$A:$C,2,FALSE),"")</f>
        <v/>
      </c>
      <c r="D116" s="11">
        <f>IFERROR(VLOOKUP($B116,Members!$A:$C,3,FALSE),"")</f>
        <v/>
      </c>
      <c r="E116" s="11">
        <f>IF($F116="","",IFERROR(VLOOKUP($F116,ActionMap!$A:$B,2,FALSE),"INVALID ACTION"))</f>
        <v/>
      </c>
      <c r="F116" s="4" t="n"/>
      <c r="G116" s="11">
        <f>IFERROR(VLOOKUP($E116,ActionsCatalog!$A:$B,2,FALSE),"")</f>
        <v/>
      </c>
      <c r="H116" s="4" t="n"/>
      <c r="I116" s="4">
        <f>IFERROR(VLOOKUP($E116,ActionsCatalog!$A:$D,3,FALSE),0)</f>
        <v/>
      </c>
      <c r="J116" s="4">
        <f>IFERROR(VLOOKUP($E116,ActionsCatalog!$A:$D,4,FALSE),0)</f>
        <v/>
      </c>
      <c r="K116" s="4">
        <f>IF($M116&lt;&gt;"Yes",0,IF($H116="",0,$H116*$I116))</f>
        <v/>
      </c>
      <c r="L116" s="4">
        <f>IF($M116&lt;&gt;"Yes",0,IF($H116="",0,$H116*$J116))</f>
        <v/>
      </c>
      <c r="M116" s="4" t="n"/>
      <c r="N116" s="4" t="n"/>
      <c r="O116" s="4">
        <f>IF($A116="","",TEXT($A116,"yyyy")&amp;"-W"&amp;TEXT(ISOWEEKNUM($A116),"00"))</f>
        <v/>
      </c>
      <c r="P116" s="4" t="n"/>
      <c r="Q116" s="14">
        <f>IF($A116="","",TEXT($A116,"yyyy-mm"))</f>
        <v/>
      </c>
    </row>
    <row r="117">
      <c r="A117" s="66" t="n"/>
      <c r="B117" s="4" t="n"/>
      <c r="C117" s="11">
        <f>IFERROR(VLOOKUP($B117,Members!$A:$C,2,FALSE),"")</f>
        <v/>
      </c>
      <c r="D117" s="11">
        <f>IFERROR(VLOOKUP($B117,Members!$A:$C,3,FALSE),"")</f>
        <v/>
      </c>
      <c r="E117" s="11">
        <f>IF($F117="","",IFERROR(VLOOKUP($F117,ActionMap!$A:$B,2,FALSE),"INVALID ACTION"))</f>
        <v/>
      </c>
      <c r="F117" s="4" t="n"/>
      <c r="G117" s="11">
        <f>IFERROR(VLOOKUP($E117,ActionsCatalog!$A:$B,2,FALSE),"")</f>
        <v/>
      </c>
      <c r="H117" s="4" t="n"/>
      <c r="I117" s="4">
        <f>IFERROR(VLOOKUP($E117,ActionsCatalog!$A:$D,3,FALSE),0)</f>
        <v/>
      </c>
      <c r="J117" s="4">
        <f>IFERROR(VLOOKUP($E117,ActionsCatalog!$A:$D,4,FALSE),0)</f>
        <v/>
      </c>
      <c r="K117" s="4">
        <f>IF($M117&lt;&gt;"Yes",0,IF($H117="",0,$H117*$I117))</f>
        <v/>
      </c>
      <c r="L117" s="4">
        <f>IF($M117&lt;&gt;"Yes",0,IF($H117="",0,$H117*$J117))</f>
        <v/>
      </c>
      <c r="M117" s="4" t="n"/>
      <c r="N117" s="4" t="n"/>
      <c r="O117" s="4">
        <f>IF($A117="","",TEXT($A117,"yyyy")&amp;"-W"&amp;TEXT(ISOWEEKNUM($A117),"00"))</f>
        <v/>
      </c>
      <c r="P117" s="4" t="n"/>
      <c r="Q117" s="14">
        <f>IF($A117="","",TEXT($A117,"yyyy-mm"))</f>
        <v/>
      </c>
    </row>
    <row r="118">
      <c r="A118" s="66" t="n"/>
      <c r="B118" s="4" t="n"/>
      <c r="C118" s="11">
        <f>IFERROR(VLOOKUP($B118,Members!$A:$C,2,FALSE),"")</f>
        <v/>
      </c>
      <c r="D118" s="11">
        <f>IFERROR(VLOOKUP($B118,Members!$A:$C,3,FALSE),"")</f>
        <v/>
      </c>
      <c r="E118" s="11">
        <f>IF($F118="","",IFERROR(VLOOKUP($F118,ActionMap!$A:$B,2,FALSE),"INVALID ACTION"))</f>
        <v/>
      </c>
      <c r="F118" s="4" t="n"/>
      <c r="G118" s="11">
        <f>IFERROR(VLOOKUP($E118,ActionsCatalog!$A:$B,2,FALSE),"")</f>
        <v/>
      </c>
      <c r="H118" s="4" t="n"/>
      <c r="I118" s="4">
        <f>IFERROR(VLOOKUP($E118,ActionsCatalog!$A:$D,3,FALSE),0)</f>
        <v/>
      </c>
      <c r="J118" s="4">
        <f>IFERROR(VLOOKUP($E118,ActionsCatalog!$A:$D,4,FALSE),0)</f>
        <v/>
      </c>
      <c r="K118" s="4">
        <f>IF($M118&lt;&gt;"Yes",0,IF($H118="",0,$H118*$I118))</f>
        <v/>
      </c>
      <c r="L118" s="4">
        <f>IF($M118&lt;&gt;"Yes",0,IF($H118="",0,$H118*$J118))</f>
        <v/>
      </c>
      <c r="M118" s="4" t="n"/>
      <c r="N118" s="4" t="n"/>
      <c r="O118" s="4">
        <f>IF($A118="","",TEXT($A118,"yyyy")&amp;"-W"&amp;TEXT(ISOWEEKNUM($A118),"00"))</f>
        <v/>
      </c>
      <c r="P118" s="4" t="n"/>
      <c r="Q118" s="14">
        <f>IF($A118="","",TEXT($A118,"yyyy-mm"))</f>
        <v/>
      </c>
    </row>
    <row r="119">
      <c r="A119" s="66" t="n"/>
      <c r="B119" s="4" t="n"/>
      <c r="C119" s="11">
        <f>IFERROR(VLOOKUP($B119,Members!$A:$C,2,FALSE),"")</f>
        <v/>
      </c>
      <c r="D119" s="11">
        <f>IFERROR(VLOOKUP($B119,Members!$A:$C,3,FALSE),"")</f>
        <v/>
      </c>
      <c r="E119" s="11">
        <f>IF($F119="","",IFERROR(VLOOKUP($F119,ActionMap!$A:$B,2,FALSE),"INVALID ACTION"))</f>
        <v/>
      </c>
      <c r="F119" s="4" t="n"/>
      <c r="G119" s="11">
        <f>IFERROR(VLOOKUP($E119,ActionsCatalog!$A:$B,2,FALSE),"")</f>
        <v/>
      </c>
      <c r="H119" s="4" t="n"/>
      <c r="I119" s="4">
        <f>IFERROR(VLOOKUP($E119,ActionsCatalog!$A:$D,3,FALSE),0)</f>
        <v/>
      </c>
      <c r="J119" s="4">
        <f>IFERROR(VLOOKUP($E119,ActionsCatalog!$A:$D,4,FALSE),0)</f>
        <v/>
      </c>
      <c r="K119" s="4">
        <f>IF($M119&lt;&gt;"Yes",0,IF($H119="",0,$H119*$I119))</f>
        <v/>
      </c>
      <c r="L119" s="4">
        <f>IF($M119&lt;&gt;"Yes",0,IF($H119="",0,$H119*$J119))</f>
        <v/>
      </c>
      <c r="M119" s="4" t="n"/>
      <c r="N119" s="4" t="n"/>
      <c r="O119" s="4">
        <f>IF($A119="","",TEXT($A119,"yyyy")&amp;"-W"&amp;TEXT(ISOWEEKNUM($A119),"00"))</f>
        <v/>
      </c>
      <c r="P119" s="4" t="n"/>
      <c r="Q119" s="14">
        <f>IF($A119="","",TEXT($A119,"yyyy-mm"))</f>
        <v/>
      </c>
    </row>
    <row r="120">
      <c r="A120" s="66" t="n"/>
      <c r="B120" s="4" t="n"/>
      <c r="C120" s="11">
        <f>IFERROR(VLOOKUP($B120,Members!$A:$C,2,FALSE),"")</f>
        <v/>
      </c>
      <c r="D120" s="11">
        <f>IFERROR(VLOOKUP($B120,Members!$A:$C,3,FALSE),"")</f>
        <v/>
      </c>
      <c r="E120" s="11">
        <f>IF($F120="","",IFERROR(VLOOKUP($F120,ActionMap!$A:$B,2,FALSE),"INVALID ACTION"))</f>
        <v/>
      </c>
      <c r="F120" s="4" t="n"/>
      <c r="G120" s="11">
        <f>IFERROR(VLOOKUP($E120,ActionsCatalog!$A:$B,2,FALSE),"")</f>
        <v/>
      </c>
      <c r="H120" s="4" t="n"/>
      <c r="I120" s="4">
        <f>IFERROR(VLOOKUP($E120,ActionsCatalog!$A:$D,3,FALSE),0)</f>
        <v/>
      </c>
      <c r="J120" s="4">
        <f>IFERROR(VLOOKUP($E120,ActionsCatalog!$A:$D,4,FALSE),0)</f>
        <v/>
      </c>
      <c r="K120" s="4">
        <f>IF($M120&lt;&gt;"Yes",0,IF($H120="",0,$H120*$I120))</f>
        <v/>
      </c>
      <c r="L120" s="4">
        <f>IF($M120&lt;&gt;"Yes",0,IF($H120="",0,$H120*$J120))</f>
        <v/>
      </c>
      <c r="M120" s="4" t="n"/>
      <c r="N120" s="4" t="n"/>
      <c r="O120" s="4">
        <f>IF($A120="","",TEXT($A120,"yyyy")&amp;"-W"&amp;TEXT(ISOWEEKNUM($A120),"00"))</f>
        <v/>
      </c>
      <c r="P120" s="4" t="n"/>
      <c r="Q120" s="14">
        <f>IF($A120="","",TEXT($A120,"yyyy-mm"))</f>
        <v/>
      </c>
    </row>
    <row r="121">
      <c r="A121" s="66" t="n"/>
      <c r="B121" s="4" t="n"/>
      <c r="C121" s="11">
        <f>IFERROR(VLOOKUP($B121,Members!$A:$C,2,FALSE),"")</f>
        <v/>
      </c>
      <c r="D121" s="11">
        <f>IFERROR(VLOOKUP($B121,Members!$A:$C,3,FALSE),"")</f>
        <v/>
      </c>
      <c r="E121" s="11">
        <f>IF($F121="","",IFERROR(VLOOKUP($F121,ActionMap!$A:$B,2,FALSE),"INVALID ACTION"))</f>
        <v/>
      </c>
      <c r="F121" s="4" t="n"/>
      <c r="G121" s="11">
        <f>IFERROR(VLOOKUP($E121,ActionsCatalog!$A:$B,2,FALSE),"")</f>
        <v/>
      </c>
      <c r="H121" s="4" t="n"/>
      <c r="I121" s="4">
        <f>IFERROR(VLOOKUP($E121,ActionsCatalog!$A:$D,3,FALSE),0)</f>
        <v/>
      </c>
      <c r="J121" s="4">
        <f>IFERROR(VLOOKUP($E121,ActionsCatalog!$A:$D,4,FALSE),0)</f>
        <v/>
      </c>
      <c r="K121" s="4">
        <f>IF($M121&lt;&gt;"Yes",0,IF($H121="",0,$H121*$I121))</f>
        <v/>
      </c>
      <c r="L121" s="4">
        <f>IF($M121&lt;&gt;"Yes",0,IF($H121="",0,$H121*$J121))</f>
        <v/>
      </c>
      <c r="M121" s="4" t="n"/>
      <c r="N121" s="4" t="n"/>
      <c r="O121" s="4">
        <f>IF($A121="","",TEXT($A121,"yyyy")&amp;"-W"&amp;TEXT(ISOWEEKNUM($A121),"00"))</f>
        <v/>
      </c>
      <c r="P121" s="4" t="n"/>
      <c r="Q121" s="14">
        <f>IF($A121="","",TEXT($A121,"yyyy-mm"))</f>
        <v/>
      </c>
    </row>
    <row r="122">
      <c r="A122" s="66" t="n"/>
      <c r="B122" s="4" t="n"/>
      <c r="C122" s="11">
        <f>IFERROR(VLOOKUP($B122,Members!$A:$C,2,FALSE),"")</f>
        <v/>
      </c>
      <c r="D122" s="11">
        <f>IFERROR(VLOOKUP($B122,Members!$A:$C,3,FALSE),"")</f>
        <v/>
      </c>
      <c r="E122" s="11">
        <f>IF($F122="","",IFERROR(VLOOKUP($F122,ActionMap!$A:$B,2,FALSE),"INVALID ACTION"))</f>
        <v/>
      </c>
      <c r="F122" s="4" t="n"/>
      <c r="G122" s="11">
        <f>IFERROR(VLOOKUP($E122,ActionsCatalog!$A:$B,2,FALSE),"")</f>
        <v/>
      </c>
      <c r="H122" s="4" t="n"/>
      <c r="I122" s="4">
        <f>IFERROR(VLOOKUP($E122,ActionsCatalog!$A:$D,3,FALSE),0)</f>
        <v/>
      </c>
      <c r="J122" s="4">
        <f>IFERROR(VLOOKUP($E122,ActionsCatalog!$A:$D,4,FALSE),0)</f>
        <v/>
      </c>
      <c r="K122" s="4">
        <f>IF($M122&lt;&gt;"Yes",0,IF($H122="",0,$H122*$I122))</f>
        <v/>
      </c>
      <c r="L122" s="4">
        <f>IF($M122&lt;&gt;"Yes",0,IF($H122="",0,$H122*$J122))</f>
        <v/>
      </c>
      <c r="M122" s="4" t="n"/>
      <c r="N122" s="4" t="n"/>
      <c r="O122" s="4">
        <f>IF($A122="","",TEXT($A122,"yyyy")&amp;"-W"&amp;TEXT(ISOWEEKNUM($A122),"00"))</f>
        <v/>
      </c>
      <c r="P122" s="4" t="n"/>
      <c r="Q122" s="14">
        <f>IF($A122="","",TEXT($A122,"yyyy-mm"))</f>
        <v/>
      </c>
    </row>
    <row r="123">
      <c r="A123" s="66" t="n"/>
      <c r="B123" s="4" t="n"/>
      <c r="C123" s="11">
        <f>IFERROR(VLOOKUP($B123,Members!$A:$C,2,FALSE),"")</f>
        <v/>
      </c>
      <c r="D123" s="11">
        <f>IFERROR(VLOOKUP($B123,Members!$A:$C,3,FALSE),"")</f>
        <v/>
      </c>
      <c r="E123" s="11">
        <f>IF($F123="","",IFERROR(VLOOKUP($F123,ActionMap!$A:$B,2,FALSE),"INVALID ACTION"))</f>
        <v/>
      </c>
      <c r="F123" s="4" t="n"/>
      <c r="G123" s="11">
        <f>IFERROR(VLOOKUP($E123,ActionsCatalog!$A:$B,2,FALSE),"")</f>
        <v/>
      </c>
      <c r="H123" s="4" t="n"/>
      <c r="I123" s="4">
        <f>IFERROR(VLOOKUP($E123,ActionsCatalog!$A:$D,3,FALSE),0)</f>
        <v/>
      </c>
      <c r="J123" s="4">
        <f>IFERROR(VLOOKUP($E123,ActionsCatalog!$A:$D,4,FALSE),0)</f>
        <v/>
      </c>
      <c r="K123" s="4">
        <f>IF($M123&lt;&gt;"Yes",0,IF($H123="",0,$H123*$I123))</f>
        <v/>
      </c>
      <c r="L123" s="4">
        <f>IF($M123&lt;&gt;"Yes",0,IF($H123="",0,$H123*$J123))</f>
        <v/>
      </c>
      <c r="M123" s="4" t="n"/>
      <c r="N123" s="4" t="n"/>
      <c r="O123" s="4">
        <f>IF($A123="","",TEXT($A123,"yyyy")&amp;"-W"&amp;TEXT(ISOWEEKNUM($A123),"00"))</f>
        <v/>
      </c>
      <c r="P123" s="4" t="n"/>
      <c r="Q123" s="14">
        <f>IF($A123="","",TEXT($A123,"yyyy-mm"))</f>
        <v/>
      </c>
    </row>
    <row r="124">
      <c r="A124" s="66" t="n"/>
      <c r="B124" s="4" t="n"/>
      <c r="C124" s="11">
        <f>IFERROR(VLOOKUP($B124,Members!$A:$C,2,FALSE),"")</f>
        <v/>
      </c>
      <c r="D124" s="11">
        <f>IFERROR(VLOOKUP($B124,Members!$A:$C,3,FALSE),"")</f>
        <v/>
      </c>
      <c r="E124" s="11">
        <f>IF($F124="","",IFERROR(VLOOKUP($F124,ActionMap!$A:$B,2,FALSE),"INVALID ACTION"))</f>
        <v/>
      </c>
      <c r="F124" s="4" t="n"/>
      <c r="G124" s="11">
        <f>IFERROR(VLOOKUP($E124,ActionsCatalog!$A:$B,2,FALSE),"")</f>
        <v/>
      </c>
      <c r="H124" s="4" t="n"/>
      <c r="I124" s="4">
        <f>IFERROR(VLOOKUP($E124,ActionsCatalog!$A:$D,3,FALSE),0)</f>
        <v/>
      </c>
      <c r="J124" s="4">
        <f>IFERROR(VLOOKUP($E124,ActionsCatalog!$A:$D,4,FALSE),0)</f>
        <v/>
      </c>
      <c r="K124" s="4">
        <f>IF($M124&lt;&gt;"Yes",0,IF($H124="",0,$H124*$I124))</f>
        <v/>
      </c>
      <c r="L124" s="4">
        <f>IF($M124&lt;&gt;"Yes",0,IF($H124="",0,$H124*$J124))</f>
        <v/>
      </c>
      <c r="M124" s="4" t="n"/>
      <c r="N124" s="4" t="n"/>
      <c r="O124" s="4">
        <f>IF($A124="","",TEXT($A124,"yyyy")&amp;"-W"&amp;TEXT(ISOWEEKNUM($A124),"00"))</f>
        <v/>
      </c>
      <c r="P124" s="4" t="n"/>
      <c r="Q124" s="14">
        <f>IF($A124="","",TEXT($A124,"yyyy-mm"))</f>
        <v/>
      </c>
    </row>
    <row r="125">
      <c r="A125" s="66" t="n"/>
      <c r="B125" s="4" t="n"/>
      <c r="C125" s="11">
        <f>IFERROR(VLOOKUP($B125,Members!$A:$C,2,FALSE),"")</f>
        <v/>
      </c>
      <c r="D125" s="11">
        <f>IFERROR(VLOOKUP($B125,Members!$A:$C,3,FALSE),"")</f>
        <v/>
      </c>
      <c r="E125" s="11">
        <f>IF($F125="","",IFERROR(VLOOKUP($F125,ActionMap!$A:$B,2,FALSE),"INVALID ACTION"))</f>
        <v/>
      </c>
      <c r="F125" s="4" t="n"/>
      <c r="G125" s="11">
        <f>IFERROR(VLOOKUP($E125,ActionsCatalog!$A:$B,2,FALSE),"")</f>
        <v/>
      </c>
      <c r="H125" s="4" t="n"/>
      <c r="I125" s="4">
        <f>IFERROR(VLOOKUP($E125,ActionsCatalog!$A:$D,3,FALSE),0)</f>
        <v/>
      </c>
      <c r="J125" s="4">
        <f>IFERROR(VLOOKUP($E125,ActionsCatalog!$A:$D,4,FALSE),0)</f>
        <v/>
      </c>
      <c r="K125" s="4">
        <f>IF($M125&lt;&gt;"Yes",0,IF($H125="",0,$H125*$I125))</f>
        <v/>
      </c>
      <c r="L125" s="4">
        <f>IF($M125&lt;&gt;"Yes",0,IF($H125="",0,$H125*$J125))</f>
        <v/>
      </c>
      <c r="M125" s="4" t="n"/>
      <c r="N125" s="4" t="n"/>
      <c r="O125" s="4">
        <f>IF($A125="","",TEXT($A125,"yyyy")&amp;"-W"&amp;TEXT(ISOWEEKNUM($A125),"00"))</f>
        <v/>
      </c>
      <c r="P125" s="4" t="n"/>
      <c r="Q125" s="14">
        <f>IF($A125="","",TEXT($A125,"yyyy-mm"))</f>
        <v/>
      </c>
    </row>
    <row r="126">
      <c r="A126" s="66" t="n"/>
      <c r="B126" s="4" t="n"/>
      <c r="C126" s="11">
        <f>IFERROR(VLOOKUP($B126,Members!$A:$C,2,FALSE),"")</f>
        <v/>
      </c>
      <c r="D126" s="11">
        <f>IFERROR(VLOOKUP($B126,Members!$A:$C,3,FALSE),"")</f>
        <v/>
      </c>
      <c r="E126" s="11">
        <f>IF($F126="","",IFERROR(VLOOKUP($F126,ActionMap!$A:$B,2,FALSE),"INVALID ACTION"))</f>
        <v/>
      </c>
      <c r="F126" s="4" t="n"/>
      <c r="G126" s="11">
        <f>IFERROR(VLOOKUP($E126,ActionsCatalog!$A:$B,2,FALSE),"")</f>
        <v/>
      </c>
      <c r="H126" s="4" t="n"/>
      <c r="I126" s="4">
        <f>IFERROR(VLOOKUP($E126,ActionsCatalog!$A:$D,3,FALSE),0)</f>
        <v/>
      </c>
      <c r="J126" s="4">
        <f>IFERROR(VLOOKUP($E126,ActionsCatalog!$A:$D,4,FALSE),0)</f>
        <v/>
      </c>
      <c r="K126" s="4">
        <f>IF($M126&lt;&gt;"Yes",0,IF($H126="",0,$H126*$I126))</f>
        <v/>
      </c>
      <c r="L126" s="4">
        <f>IF($M126&lt;&gt;"Yes",0,IF($H126="",0,$H126*$J126))</f>
        <v/>
      </c>
      <c r="M126" s="4" t="n"/>
      <c r="N126" s="4" t="n"/>
      <c r="O126" s="4">
        <f>IF($A126="","",TEXT($A126,"yyyy")&amp;"-W"&amp;TEXT(ISOWEEKNUM($A126),"00"))</f>
        <v/>
      </c>
      <c r="P126" s="4" t="n"/>
      <c r="Q126" s="14">
        <f>IF($A126="","",TEXT($A126,"yyyy-mm"))</f>
        <v/>
      </c>
    </row>
    <row r="127">
      <c r="A127" s="66" t="n"/>
      <c r="B127" s="4" t="n"/>
      <c r="C127" s="11">
        <f>IFERROR(VLOOKUP($B127,Members!$A:$C,2,FALSE),"")</f>
        <v/>
      </c>
      <c r="D127" s="11">
        <f>IFERROR(VLOOKUP($B127,Members!$A:$C,3,FALSE),"")</f>
        <v/>
      </c>
      <c r="E127" s="11">
        <f>IF($F127="","",IFERROR(VLOOKUP($F127,ActionMap!$A:$B,2,FALSE),"INVALID ACTION"))</f>
        <v/>
      </c>
      <c r="F127" s="4" t="n"/>
      <c r="G127" s="11">
        <f>IFERROR(VLOOKUP($E127,ActionsCatalog!$A:$B,2,FALSE),"")</f>
        <v/>
      </c>
      <c r="H127" s="4" t="n"/>
      <c r="I127" s="4">
        <f>IFERROR(VLOOKUP($E127,ActionsCatalog!$A:$D,3,FALSE),0)</f>
        <v/>
      </c>
      <c r="J127" s="4">
        <f>IFERROR(VLOOKUP($E127,ActionsCatalog!$A:$D,4,FALSE),0)</f>
        <v/>
      </c>
      <c r="K127" s="4">
        <f>IF($M127&lt;&gt;"Yes",0,IF($H127="",0,$H127*$I127))</f>
        <v/>
      </c>
      <c r="L127" s="4">
        <f>IF($M127&lt;&gt;"Yes",0,IF($H127="",0,$H127*$J127))</f>
        <v/>
      </c>
      <c r="M127" s="4" t="n"/>
      <c r="N127" s="4" t="n"/>
      <c r="O127" s="4">
        <f>IF($A127="","",TEXT($A127,"yyyy")&amp;"-W"&amp;TEXT(ISOWEEKNUM($A127),"00"))</f>
        <v/>
      </c>
      <c r="P127" s="4" t="n"/>
      <c r="Q127" s="14">
        <f>IF($A127="","",TEXT($A127,"yyyy-mm"))</f>
        <v/>
      </c>
    </row>
    <row r="128">
      <c r="A128" s="66" t="n"/>
      <c r="B128" s="4" t="n"/>
      <c r="C128" s="11">
        <f>IFERROR(VLOOKUP($B128,Members!$A:$C,2,FALSE),"")</f>
        <v/>
      </c>
      <c r="D128" s="11">
        <f>IFERROR(VLOOKUP($B128,Members!$A:$C,3,FALSE),"")</f>
        <v/>
      </c>
      <c r="E128" s="11">
        <f>IF($F128="","",IFERROR(VLOOKUP($F128,ActionMap!$A:$B,2,FALSE),"INVALID ACTION"))</f>
        <v/>
      </c>
      <c r="F128" s="4" t="n"/>
      <c r="G128" s="11">
        <f>IFERROR(VLOOKUP($E128,ActionsCatalog!$A:$B,2,FALSE),"")</f>
        <v/>
      </c>
      <c r="H128" s="4" t="n"/>
      <c r="I128" s="4">
        <f>IFERROR(VLOOKUP($E128,ActionsCatalog!$A:$D,3,FALSE),0)</f>
        <v/>
      </c>
      <c r="J128" s="4">
        <f>IFERROR(VLOOKUP($E128,ActionsCatalog!$A:$D,4,FALSE),0)</f>
        <v/>
      </c>
      <c r="K128" s="4">
        <f>IF($M128&lt;&gt;"Yes",0,IF($H128="",0,$H128*$I128))</f>
        <v/>
      </c>
      <c r="L128" s="4">
        <f>IF($M128&lt;&gt;"Yes",0,IF($H128="",0,$H128*$J128))</f>
        <v/>
      </c>
      <c r="M128" s="4" t="n"/>
      <c r="N128" s="4" t="n"/>
      <c r="O128" s="4">
        <f>IF($A128="","",TEXT($A128,"yyyy")&amp;"-W"&amp;TEXT(ISOWEEKNUM($A128),"00"))</f>
        <v/>
      </c>
      <c r="P128" s="4" t="n"/>
      <c r="Q128" s="14">
        <f>IF($A128="","",TEXT($A128,"yyyy-mm"))</f>
        <v/>
      </c>
    </row>
    <row r="129">
      <c r="A129" s="66" t="n"/>
      <c r="B129" s="4" t="n"/>
      <c r="C129" s="11">
        <f>IFERROR(VLOOKUP($B129,Members!$A:$C,2,FALSE),"")</f>
        <v/>
      </c>
      <c r="D129" s="11">
        <f>IFERROR(VLOOKUP($B129,Members!$A:$C,3,FALSE),"")</f>
        <v/>
      </c>
      <c r="E129" s="11">
        <f>IF($F129="","",IFERROR(VLOOKUP($F129,ActionMap!$A:$B,2,FALSE),"INVALID ACTION"))</f>
        <v/>
      </c>
      <c r="F129" s="4" t="n"/>
      <c r="G129" s="11">
        <f>IFERROR(VLOOKUP($E129,ActionsCatalog!$A:$B,2,FALSE),"")</f>
        <v/>
      </c>
      <c r="H129" s="4" t="n"/>
      <c r="I129" s="4">
        <f>IFERROR(VLOOKUP($E129,ActionsCatalog!$A:$D,3,FALSE),0)</f>
        <v/>
      </c>
      <c r="J129" s="4">
        <f>IFERROR(VLOOKUP($E129,ActionsCatalog!$A:$D,4,FALSE),0)</f>
        <v/>
      </c>
      <c r="K129" s="4">
        <f>IF($M129&lt;&gt;"Yes",0,IF($H129="",0,$H129*$I129))</f>
        <v/>
      </c>
      <c r="L129" s="4">
        <f>IF($M129&lt;&gt;"Yes",0,IF($H129="",0,$H129*$J129))</f>
        <v/>
      </c>
      <c r="M129" s="4" t="n"/>
      <c r="N129" s="4" t="n"/>
      <c r="O129" s="4">
        <f>IF($A129="","",TEXT($A129,"yyyy")&amp;"-W"&amp;TEXT(ISOWEEKNUM($A129),"00"))</f>
        <v/>
      </c>
      <c r="P129" s="4" t="n"/>
      <c r="Q129" s="14">
        <f>IF($A129="","",TEXT($A129,"yyyy-mm"))</f>
        <v/>
      </c>
    </row>
    <row r="130">
      <c r="A130" s="66" t="n"/>
      <c r="B130" s="4" t="n"/>
      <c r="C130" s="11">
        <f>IFERROR(VLOOKUP($B130,Members!$A:$C,2,FALSE),"")</f>
        <v/>
      </c>
      <c r="D130" s="11">
        <f>IFERROR(VLOOKUP($B130,Members!$A:$C,3,FALSE),"")</f>
        <v/>
      </c>
      <c r="E130" s="11">
        <f>IF($F130="","",IFERROR(VLOOKUP($F130,ActionMap!$A:$B,2,FALSE),"INVALID ACTION"))</f>
        <v/>
      </c>
      <c r="F130" s="4" t="n"/>
      <c r="G130" s="11">
        <f>IFERROR(VLOOKUP($E130,ActionsCatalog!$A:$B,2,FALSE),"")</f>
        <v/>
      </c>
      <c r="H130" s="4" t="n"/>
      <c r="I130" s="4">
        <f>IFERROR(VLOOKUP($E130,ActionsCatalog!$A:$D,3,FALSE),0)</f>
        <v/>
      </c>
      <c r="J130" s="4">
        <f>IFERROR(VLOOKUP($E130,ActionsCatalog!$A:$D,4,FALSE),0)</f>
        <v/>
      </c>
      <c r="K130" s="4">
        <f>IF($M130&lt;&gt;"Yes",0,IF($H130="",0,$H130*$I130))</f>
        <v/>
      </c>
      <c r="L130" s="4">
        <f>IF($M130&lt;&gt;"Yes",0,IF($H130="",0,$H130*$J130))</f>
        <v/>
      </c>
      <c r="M130" s="4" t="n"/>
      <c r="N130" s="4" t="n"/>
      <c r="O130" s="4">
        <f>IF($A130="","",TEXT($A130,"yyyy")&amp;"-W"&amp;TEXT(ISOWEEKNUM($A130),"00"))</f>
        <v/>
      </c>
      <c r="P130" s="4" t="n"/>
      <c r="Q130" s="14">
        <f>IF($A130="","",TEXT($A130,"yyyy-mm"))</f>
        <v/>
      </c>
    </row>
    <row r="131">
      <c r="A131" s="66" t="n"/>
      <c r="B131" s="4" t="n"/>
      <c r="C131" s="11">
        <f>IFERROR(VLOOKUP($B131,Members!$A:$C,2,FALSE),"")</f>
        <v/>
      </c>
      <c r="D131" s="11">
        <f>IFERROR(VLOOKUP($B131,Members!$A:$C,3,FALSE),"")</f>
        <v/>
      </c>
      <c r="E131" s="11">
        <f>IF($F131="","",IFERROR(VLOOKUP($F131,ActionMap!$A:$B,2,FALSE),"INVALID ACTION"))</f>
        <v/>
      </c>
      <c r="F131" s="4" t="n"/>
      <c r="G131" s="11">
        <f>IFERROR(VLOOKUP($E131,ActionsCatalog!$A:$B,2,FALSE),"")</f>
        <v/>
      </c>
      <c r="H131" s="4" t="n"/>
      <c r="I131" s="4">
        <f>IFERROR(VLOOKUP($E131,ActionsCatalog!$A:$D,3,FALSE),0)</f>
        <v/>
      </c>
      <c r="J131" s="4">
        <f>IFERROR(VLOOKUP($E131,ActionsCatalog!$A:$D,4,FALSE),0)</f>
        <v/>
      </c>
      <c r="K131" s="4">
        <f>IF($M131&lt;&gt;"Yes",0,IF($H131="",0,$H131*$I131))</f>
        <v/>
      </c>
      <c r="L131" s="4">
        <f>IF($M131&lt;&gt;"Yes",0,IF($H131="",0,$H131*$J131))</f>
        <v/>
      </c>
      <c r="M131" s="4" t="n"/>
      <c r="N131" s="4" t="n"/>
      <c r="O131" s="4">
        <f>IF($A131="","",TEXT($A131,"yyyy")&amp;"-W"&amp;TEXT(ISOWEEKNUM($A131),"00"))</f>
        <v/>
      </c>
      <c r="P131" s="4" t="n"/>
      <c r="Q131" s="14">
        <f>IF($A131="","",TEXT($A131,"yyyy-mm"))</f>
        <v/>
      </c>
    </row>
    <row r="132">
      <c r="A132" s="66" t="n"/>
      <c r="B132" s="4" t="n"/>
      <c r="C132" s="11">
        <f>IFERROR(VLOOKUP($B132,Members!$A:$C,2,FALSE),"")</f>
        <v/>
      </c>
      <c r="D132" s="11">
        <f>IFERROR(VLOOKUP($B132,Members!$A:$C,3,FALSE),"")</f>
        <v/>
      </c>
      <c r="E132" s="11">
        <f>IF($F132="","",IFERROR(VLOOKUP($F132,ActionMap!$A:$B,2,FALSE),"INVALID ACTION"))</f>
        <v/>
      </c>
      <c r="F132" s="4" t="n"/>
      <c r="G132" s="11">
        <f>IFERROR(VLOOKUP($E132,ActionsCatalog!$A:$B,2,FALSE),"")</f>
        <v/>
      </c>
      <c r="H132" s="4" t="n"/>
      <c r="I132" s="4">
        <f>IFERROR(VLOOKUP($E132,ActionsCatalog!$A:$D,3,FALSE),0)</f>
        <v/>
      </c>
      <c r="J132" s="4">
        <f>IFERROR(VLOOKUP($E132,ActionsCatalog!$A:$D,4,FALSE),0)</f>
        <v/>
      </c>
      <c r="K132" s="4">
        <f>IF($M132&lt;&gt;"Yes",0,IF($H132="",0,$H132*$I132))</f>
        <v/>
      </c>
      <c r="L132" s="4">
        <f>IF($M132&lt;&gt;"Yes",0,IF($H132="",0,$H132*$J132))</f>
        <v/>
      </c>
      <c r="M132" s="4" t="n"/>
      <c r="N132" s="4" t="n"/>
      <c r="O132" s="4">
        <f>IF($A132="","",TEXT($A132,"yyyy")&amp;"-W"&amp;TEXT(ISOWEEKNUM($A132),"00"))</f>
        <v/>
      </c>
      <c r="P132" s="4" t="n"/>
      <c r="Q132" s="14">
        <f>IF($A132="","",TEXT($A132,"yyyy-mm"))</f>
        <v/>
      </c>
    </row>
    <row r="133">
      <c r="A133" s="66" t="n"/>
      <c r="B133" s="4" t="n"/>
      <c r="C133" s="11">
        <f>IFERROR(VLOOKUP($B133,Members!$A:$C,2,FALSE),"")</f>
        <v/>
      </c>
      <c r="D133" s="11">
        <f>IFERROR(VLOOKUP($B133,Members!$A:$C,3,FALSE),"")</f>
        <v/>
      </c>
      <c r="E133" s="11">
        <f>IF($F133="","",IFERROR(VLOOKUP($F133,ActionMap!$A:$B,2,FALSE),"INVALID ACTION"))</f>
        <v/>
      </c>
      <c r="F133" s="4" t="n"/>
      <c r="G133" s="11">
        <f>IFERROR(VLOOKUP($E133,ActionsCatalog!$A:$B,2,FALSE),"")</f>
        <v/>
      </c>
      <c r="H133" s="4" t="n"/>
      <c r="I133" s="4">
        <f>IFERROR(VLOOKUP($E133,ActionsCatalog!$A:$D,3,FALSE),0)</f>
        <v/>
      </c>
      <c r="J133" s="4">
        <f>IFERROR(VLOOKUP($E133,ActionsCatalog!$A:$D,4,FALSE),0)</f>
        <v/>
      </c>
      <c r="K133" s="4">
        <f>IF($M133&lt;&gt;"Yes",0,IF($H133="",0,$H133*$I133))</f>
        <v/>
      </c>
      <c r="L133" s="4">
        <f>IF($M133&lt;&gt;"Yes",0,IF($H133="",0,$H133*$J133))</f>
        <v/>
      </c>
      <c r="M133" s="4" t="n"/>
      <c r="N133" s="4" t="n"/>
      <c r="O133" s="4">
        <f>IF($A133="","",TEXT($A133,"yyyy")&amp;"-W"&amp;TEXT(ISOWEEKNUM($A133),"00"))</f>
        <v/>
      </c>
      <c r="P133" s="4" t="n"/>
      <c r="Q133" s="14">
        <f>IF($A133="","",TEXT($A133,"yyyy-mm"))</f>
        <v/>
      </c>
    </row>
    <row r="134">
      <c r="A134" s="66" t="n"/>
      <c r="B134" s="4" t="n"/>
      <c r="C134" s="11">
        <f>IFERROR(VLOOKUP($B134,Members!$A:$C,2,FALSE),"")</f>
        <v/>
      </c>
      <c r="D134" s="11">
        <f>IFERROR(VLOOKUP($B134,Members!$A:$C,3,FALSE),"")</f>
        <v/>
      </c>
      <c r="E134" s="11">
        <f>IF($F134="","",IFERROR(VLOOKUP($F134,ActionMap!$A:$B,2,FALSE),"INVALID ACTION"))</f>
        <v/>
      </c>
      <c r="F134" s="4" t="n"/>
      <c r="G134" s="11">
        <f>IFERROR(VLOOKUP($E134,ActionsCatalog!$A:$B,2,FALSE),"")</f>
        <v/>
      </c>
      <c r="H134" s="4" t="n"/>
      <c r="I134" s="4">
        <f>IFERROR(VLOOKUP($E134,ActionsCatalog!$A:$D,3,FALSE),0)</f>
        <v/>
      </c>
      <c r="J134" s="4">
        <f>IFERROR(VLOOKUP($E134,ActionsCatalog!$A:$D,4,FALSE),0)</f>
        <v/>
      </c>
      <c r="K134" s="4">
        <f>IF($M134&lt;&gt;"Yes",0,IF($H134="",0,$H134*$I134))</f>
        <v/>
      </c>
      <c r="L134" s="4">
        <f>IF($M134&lt;&gt;"Yes",0,IF($H134="",0,$H134*$J134))</f>
        <v/>
      </c>
      <c r="M134" s="4" t="n"/>
      <c r="N134" s="4" t="n"/>
      <c r="O134" s="4">
        <f>IF($A134="","",TEXT($A134,"yyyy")&amp;"-W"&amp;TEXT(ISOWEEKNUM($A134),"00"))</f>
        <v/>
      </c>
      <c r="P134" s="4" t="n"/>
      <c r="Q134" s="14">
        <f>IF($A134="","",TEXT($A134,"yyyy-mm"))</f>
        <v/>
      </c>
    </row>
    <row r="135">
      <c r="A135" s="66" t="n"/>
      <c r="B135" s="4" t="n"/>
      <c r="C135" s="11">
        <f>IFERROR(VLOOKUP($B135,Members!$A:$C,2,FALSE),"")</f>
        <v/>
      </c>
      <c r="D135" s="11">
        <f>IFERROR(VLOOKUP($B135,Members!$A:$C,3,FALSE),"")</f>
        <v/>
      </c>
      <c r="E135" s="11">
        <f>IF($F135="","",IFERROR(VLOOKUP($F135,ActionMap!$A:$B,2,FALSE),"INVALID ACTION"))</f>
        <v/>
      </c>
      <c r="F135" s="4" t="n"/>
      <c r="G135" s="11">
        <f>IFERROR(VLOOKUP($E135,ActionsCatalog!$A:$B,2,FALSE),"")</f>
        <v/>
      </c>
      <c r="H135" s="4" t="n"/>
      <c r="I135" s="4">
        <f>IFERROR(VLOOKUP($E135,ActionsCatalog!$A:$D,3,FALSE),0)</f>
        <v/>
      </c>
      <c r="J135" s="4">
        <f>IFERROR(VLOOKUP($E135,ActionsCatalog!$A:$D,4,FALSE),0)</f>
        <v/>
      </c>
      <c r="K135" s="4">
        <f>IF($M135&lt;&gt;"Yes",0,IF($H135="",0,$H135*$I135))</f>
        <v/>
      </c>
      <c r="L135" s="4">
        <f>IF($M135&lt;&gt;"Yes",0,IF($H135="",0,$H135*$J135))</f>
        <v/>
      </c>
      <c r="M135" s="4" t="n"/>
      <c r="N135" s="4" t="n"/>
      <c r="O135" s="4">
        <f>IF($A135="","",TEXT($A135,"yyyy")&amp;"-W"&amp;TEXT(ISOWEEKNUM($A135),"00"))</f>
        <v/>
      </c>
      <c r="P135" s="4" t="n"/>
      <c r="Q135" s="14">
        <f>IF($A135="","",TEXT($A135,"yyyy-mm"))</f>
        <v/>
      </c>
    </row>
    <row r="136">
      <c r="A136" s="66" t="n"/>
      <c r="B136" s="4" t="n"/>
      <c r="C136" s="11">
        <f>IFERROR(VLOOKUP($B136,Members!$A:$C,2,FALSE),"")</f>
        <v/>
      </c>
      <c r="D136" s="11">
        <f>IFERROR(VLOOKUP($B136,Members!$A:$C,3,FALSE),"")</f>
        <v/>
      </c>
      <c r="E136" s="11">
        <f>IF($F136="","",IFERROR(VLOOKUP($F136,ActionMap!$A:$B,2,FALSE),"INVALID ACTION"))</f>
        <v/>
      </c>
      <c r="F136" s="4" t="n"/>
      <c r="G136" s="11">
        <f>IFERROR(VLOOKUP($E136,ActionsCatalog!$A:$B,2,FALSE),"")</f>
        <v/>
      </c>
      <c r="H136" s="4" t="n"/>
      <c r="I136" s="4">
        <f>IFERROR(VLOOKUP($E136,ActionsCatalog!$A:$D,3,FALSE),0)</f>
        <v/>
      </c>
      <c r="J136" s="4">
        <f>IFERROR(VLOOKUP($E136,ActionsCatalog!$A:$D,4,FALSE),0)</f>
        <v/>
      </c>
      <c r="K136" s="4">
        <f>IF($M136&lt;&gt;"Yes",0,IF($H136="",0,$H136*$I136))</f>
        <v/>
      </c>
      <c r="L136" s="4">
        <f>IF($M136&lt;&gt;"Yes",0,IF($H136="",0,$H136*$J136))</f>
        <v/>
      </c>
      <c r="M136" s="4" t="n"/>
      <c r="N136" s="4" t="n"/>
      <c r="O136" s="4">
        <f>IF($A136="","",TEXT($A136,"yyyy")&amp;"-W"&amp;TEXT(ISOWEEKNUM($A136),"00"))</f>
        <v/>
      </c>
      <c r="P136" s="4" t="n"/>
      <c r="Q136" s="14">
        <f>IF($A136="","",TEXT($A136,"yyyy-mm"))</f>
        <v/>
      </c>
    </row>
    <row r="137">
      <c r="A137" s="66" t="n"/>
      <c r="B137" s="4" t="n"/>
      <c r="C137" s="11">
        <f>IFERROR(VLOOKUP($B137,Members!$A:$C,2,FALSE),"")</f>
        <v/>
      </c>
      <c r="D137" s="11">
        <f>IFERROR(VLOOKUP($B137,Members!$A:$C,3,FALSE),"")</f>
        <v/>
      </c>
      <c r="E137" s="11">
        <f>IF($F137="","",IFERROR(VLOOKUP($F137,ActionMap!$A:$B,2,FALSE),"INVALID ACTION"))</f>
        <v/>
      </c>
      <c r="F137" s="4" t="n"/>
      <c r="G137" s="11">
        <f>IFERROR(VLOOKUP($E137,ActionsCatalog!$A:$B,2,FALSE),"")</f>
        <v/>
      </c>
      <c r="H137" s="4" t="n"/>
      <c r="I137" s="4">
        <f>IFERROR(VLOOKUP($E137,ActionsCatalog!$A:$D,3,FALSE),0)</f>
        <v/>
      </c>
      <c r="J137" s="4">
        <f>IFERROR(VLOOKUP($E137,ActionsCatalog!$A:$D,4,FALSE),0)</f>
        <v/>
      </c>
      <c r="K137" s="4">
        <f>IF($M137&lt;&gt;"Yes",0,IF($H137="",0,$H137*$I137))</f>
        <v/>
      </c>
      <c r="L137" s="4">
        <f>IF($M137&lt;&gt;"Yes",0,IF($H137="",0,$H137*$J137))</f>
        <v/>
      </c>
      <c r="M137" s="4" t="n"/>
      <c r="N137" s="4" t="n"/>
      <c r="O137" s="4">
        <f>IF($A137="","",TEXT($A137,"yyyy")&amp;"-W"&amp;TEXT(ISOWEEKNUM($A137),"00"))</f>
        <v/>
      </c>
      <c r="P137" s="4" t="n"/>
      <c r="Q137" s="14">
        <f>IF($A137="","",TEXT($A137,"yyyy-mm"))</f>
        <v/>
      </c>
    </row>
    <row r="138">
      <c r="A138" s="66" t="n"/>
      <c r="B138" s="4" t="n"/>
      <c r="C138" s="11">
        <f>IFERROR(VLOOKUP($B138,Members!$A:$C,2,FALSE),"")</f>
        <v/>
      </c>
      <c r="D138" s="11">
        <f>IFERROR(VLOOKUP($B138,Members!$A:$C,3,FALSE),"")</f>
        <v/>
      </c>
      <c r="E138" s="11">
        <f>IF($F138="","",IFERROR(VLOOKUP($F138,ActionMap!$A:$B,2,FALSE),"INVALID ACTION"))</f>
        <v/>
      </c>
      <c r="F138" s="4" t="n"/>
      <c r="G138" s="11">
        <f>IFERROR(VLOOKUP($E138,ActionsCatalog!$A:$B,2,FALSE),"")</f>
        <v/>
      </c>
      <c r="H138" s="4" t="n"/>
      <c r="I138" s="4">
        <f>IFERROR(VLOOKUP($E138,ActionsCatalog!$A:$D,3,FALSE),0)</f>
        <v/>
      </c>
      <c r="J138" s="4">
        <f>IFERROR(VLOOKUP($E138,ActionsCatalog!$A:$D,4,FALSE),0)</f>
        <v/>
      </c>
      <c r="K138" s="4">
        <f>IF($M138&lt;&gt;"Yes",0,IF($H138="",0,$H138*$I138))</f>
        <v/>
      </c>
      <c r="L138" s="4">
        <f>IF($M138&lt;&gt;"Yes",0,IF($H138="",0,$H138*$J138))</f>
        <v/>
      </c>
      <c r="M138" s="4" t="n"/>
      <c r="N138" s="4" t="n"/>
      <c r="O138" s="4">
        <f>IF($A138="","",TEXT($A138,"yyyy")&amp;"-W"&amp;TEXT(ISOWEEKNUM($A138),"00"))</f>
        <v/>
      </c>
      <c r="P138" s="4" t="n"/>
      <c r="Q138" s="14">
        <f>IF($A138="","",TEXT($A138,"yyyy-mm"))</f>
        <v/>
      </c>
    </row>
    <row r="139">
      <c r="A139" s="66" t="n"/>
      <c r="B139" s="4" t="n"/>
      <c r="C139" s="11">
        <f>IFERROR(VLOOKUP($B139,Members!$A:$C,2,FALSE),"")</f>
        <v/>
      </c>
      <c r="D139" s="11">
        <f>IFERROR(VLOOKUP($B139,Members!$A:$C,3,FALSE),"")</f>
        <v/>
      </c>
      <c r="E139" s="11">
        <f>IF($F139="","",IFERROR(VLOOKUP($F139,ActionMap!$A:$B,2,FALSE),"INVALID ACTION"))</f>
        <v/>
      </c>
      <c r="F139" s="4" t="n"/>
      <c r="G139" s="11">
        <f>IFERROR(VLOOKUP($E139,ActionsCatalog!$A:$B,2,FALSE),"")</f>
        <v/>
      </c>
      <c r="H139" s="4" t="n"/>
      <c r="I139" s="4">
        <f>IFERROR(VLOOKUP($E139,ActionsCatalog!$A:$D,3,FALSE),0)</f>
        <v/>
      </c>
      <c r="J139" s="4">
        <f>IFERROR(VLOOKUP($E139,ActionsCatalog!$A:$D,4,FALSE),0)</f>
        <v/>
      </c>
      <c r="K139" s="4">
        <f>IF($M139&lt;&gt;"Yes",0,IF($H139="",0,$H139*$I139))</f>
        <v/>
      </c>
      <c r="L139" s="4">
        <f>IF($M139&lt;&gt;"Yes",0,IF($H139="",0,$H139*$J139))</f>
        <v/>
      </c>
      <c r="M139" s="4" t="n"/>
      <c r="N139" s="4" t="n"/>
      <c r="O139" s="4">
        <f>IF($A139="","",TEXT($A139,"yyyy")&amp;"-W"&amp;TEXT(ISOWEEKNUM($A139),"00"))</f>
        <v/>
      </c>
      <c r="P139" s="4" t="n"/>
      <c r="Q139" s="14">
        <f>IF($A139="","",TEXT($A139,"yyyy-mm"))</f>
        <v/>
      </c>
    </row>
    <row r="140">
      <c r="A140" s="66" t="n"/>
      <c r="B140" s="4" t="n"/>
      <c r="C140" s="11">
        <f>IFERROR(VLOOKUP($B140,Members!$A:$C,2,FALSE),"")</f>
        <v/>
      </c>
      <c r="D140" s="11">
        <f>IFERROR(VLOOKUP($B140,Members!$A:$C,3,FALSE),"")</f>
        <v/>
      </c>
      <c r="E140" s="11">
        <f>IF($F140="","",IFERROR(VLOOKUP($F140,ActionMap!$A:$B,2,FALSE),"INVALID ACTION"))</f>
        <v/>
      </c>
      <c r="F140" s="4" t="n"/>
      <c r="G140" s="11">
        <f>IFERROR(VLOOKUP($E140,ActionsCatalog!$A:$B,2,FALSE),"")</f>
        <v/>
      </c>
      <c r="H140" s="4" t="n"/>
      <c r="I140" s="4">
        <f>IFERROR(VLOOKUP($E140,ActionsCatalog!$A:$D,3,FALSE),0)</f>
        <v/>
      </c>
      <c r="J140" s="4">
        <f>IFERROR(VLOOKUP($E140,ActionsCatalog!$A:$D,4,FALSE),0)</f>
        <v/>
      </c>
      <c r="K140" s="4">
        <f>IF($M140&lt;&gt;"Yes",0,IF($H140="",0,$H140*$I140))</f>
        <v/>
      </c>
      <c r="L140" s="4">
        <f>IF($M140&lt;&gt;"Yes",0,IF($H140="",0,$H140*$J140))</f>
        <v/>
      </c>
      <c r="M140" s="4" t="n"/>
      <c r="N140" s="4" t="n"/>
      <c r="O140" s="4">
        <f>IF($A140="","",TEXT($A140,"yyyy")&amp;"-W"&amp;TEXT(ISOWEEKNUM($A140),"00"))</f>
        <v/>
      </c>
      <c r="P140" s="4" t="n"/>
      <c r="Q140" s="14">
        <f>IF($A140="","",TEXT($A140,"yyyy-mm"))</f>
        <v/>
      </c>
    </row>
    <row r="141">
      <c r="A141" s="66" t="n"/>
      <c r="B141" s="4" t="n"/>
      <c r="C141" s="11">
        <f>IFERROR(VLOOKUP($B141,Members!$A:$C,2,FALSE),"")</f>
        <v/>
      </c>
      <c r="D141" s="11">
        <f>IFERROR(VLOOKUP($B141,Members!$A:$C,3,FALSE),"")</f>
        <v/>
      </c>
      <c r="E141" s="11">
        <f>IF($F141="","",IFERROR(VLOOKUP($F141,ActionMap!$A:$B,2,FALSE),"INVALID ACTION"))</f>
        <v/>
      </c>
      <c r="F141" s="4" t="n"/>
      <c r="G141" s="11">
        <f>IFERROR(VLOOKUP($E141,ActionsCatalog!$A:$B,2,FALSE),"")</f>
        <v/>
      </c>
      <c r="H141" s="4" t="n"/>
      <c r="I141" s="4">
        <f>IFERROR(VLOOKUP($E141,ActionsCatalog!$A:$D,3,FALSE),0)</f>
        <v/>
      </c>
      <c r="J141" s="4">
        <f>IFERROR(VLOOKUP($E141,ActionsCatalog!$A:$D,4,FALSE),0)</f>
        <v/>
      </c>
      <c r="K141" s="4">
        <f>IF($M141&lt;&gt;"Yes",0,IF($H141="",0,$H141*$I141))</f>
        <v/>
      </c>
      <c r="L141" s="4">
        <f>IF($M141&lt;&gt;"Yes",0,IF($H141="",0,$H141*$J141))</f>
        <v/>
      </c>
      <c r="M141" s="4" t="n"/>
      <c r="N141" s="4" t="n"/>
      <c r="O141" s="4">
        <f>IF($A141="","",TEXT($A141,"yyyy")&amp;"-W"&amp;TEXT(ISOWEEKNUM($A141),"00"))</f>
        <v/>
      </c>
      <c r="P141" s="4" t="n"/>
      <c r="Q141" s="14">
        <f>IF($A141="","",TEXT($A141,"yyyy-mm"))</f>
        <v/>
      </c>
    </row>
    <row r="142">
      <c r="A142" s="66" t="n"/>
      <c r="B142" s="4" t="n"/>
      <c r="C142" s="11">
        <f>IFERROR(VLOOKUP($B142,Members!$A:$C,2,FALSE),"")</f>
        <v/>
      </c>
      <c r="D142" s="11">
        <f>IFERROR(VLOOKUP($B142,Members!$A:$C,3,FALSE),"")</f>
        <v/>
      </c>
      <c r="E142" s="11">
        <f>IF($F142="","",IFERROR(VLOOKUP($F142,ActionMap!$A:$B,2,FALSE),"INVALID ACTION"))</f>
        <v/>
      </c>
      <c r="F142" s="4" t="n"/>
      <c r="G142" s="11">
        <f>IFERROR(VLOOKUP($E142,ActionsCatalog!$A:$B,2,FALSE),"")</f>
        <v/>
      </c>
      <c r="H142" s="4" t="n"/>
      <c r="I142" s="4">
        <f>IFERROR(VLOOKUP($E142,ActionsCatalog!$A:$D,3,FALSE),0)</f>
        <v/>
      </c>
      <c r="J142" s="4">
        <f>IFERROR(VLOOKUP($E142,ActionsCatalog!$A:$D,4,FALSE),0)</f>
        <v/>
      </c>
      <c r="K142" s="4">
        <f>IF($M142&lt;&gt;"Yes",0,IF($H142="",0,$H142*$I142))</f>
        <v/>
      </c>
      <c r="L142" s="4">
        <f>IF($M142&lt;&gt;"Yes",0,IF($H142="",0,$H142*$J142))</f>
        <v/>
      </c>
      <c r="M142" s="4" t="n"/>
      <c r="N142" s="4" t="n"/>
      <c r="O142" s="4">
        <f>IF($A142="","",TEXT($A142,"yyyy")&amp;"-W"&amp;TEXT(ISOWEEKNUM($A142),"00"))</f>
        <v/>
      </c>
      <c r="P142" s="4" t="n"/>
      <c r="Q142" s="14">
        <f>IF($A142="","",TEXT($A142,"yyyy-mm"))</f>
        <v/>
      </c>
    </row>
    <row r="143">
      <c r="A143" s="66" t="n"/>
      <c r="B143" s="4" t="n"/>
      <c r="C143" s="11">
        <f>IFERROR(VLOOKUP($B143,Members!$A:$C,2,FALSE),"")</f>
        <v/>
      </c>
      <c r="D143" s="11">
        <f>IFERROR(VLOOKUP($B143,Members!$A:$C,3,FALSE),"")</f>
        <v/>
      </c>
      <c r="E143" s="11">
        <f>IF($F143="","",IFERROR(VLOOKUP($F143,ActionMap!$A:$B,2,FALSE),"INVALID ACTION"))</f>
        <v/>
      </c>
      <c r="F143" s="4" t="n"/>
      <c r="G143" s="11">
        <f>IFERROR(VLOOKUP($E143,ActionsCatalog!$A:$B,2,FALSE),"")</f>
        <v/>
      </c>
      <c r="H143" s="4" t="n"/>
      <c r="I143" s="4">
        <f>IFERROR(VLOOKUP($E143,ActionsCatalog!$A:$D,3,FALSE),0)</f>
        <v/>
      </c>
      <c r="J143" s="4">
        <f>IFERROR(VLOOKUP($E143,ActionsCatalog!$A:$D,4,FALSE),0)</f>
        <v/>
      </c>
      <c r="K143" s="4">
        <f>IF($M143&lt;&gt;"Yes",0,IF($H143="",0,$H143*$I143))</f>
        <v/>
      </c>
      <c r="L143" s="4">
        <f>IF($M143&lt;&gt;"Yes",0,IF($H143="",0,$H143*$J143))</f>
        <v/>
      </c>
      <c r="M143" s="4" t="n"/>
      <c r="N143" s="4" t="n"/>
      <c r="O143" s="4">
        <f>IF($A143="","",TEXT($A143,"yyyy")&amp;"-W"&amp;TEXT(ISOWEEKNUM($A143),"00"))</f>
        <v/>
      </c>
      <c r="P143" s="4" t="n"/>
      <c r="Q143" s="14">
        <f>IF($A143="","",TEXT($A143,"yyyy-mm"))</f>
        <v/>
      </c>
    </row>
    <row r="144">
      <c r="A144" s="66" t="n"/>
      <c r="B144" s="4" t="n"/>
      <c r="C144" s="11">
        <f>IFERROR(VLOOKUP($B144,Members!$A:$C,2,FALSE),"")</f>
        <v/>
      </c>
      <c r="D144" s="11">
        <f>IFERROR(VLOOKUP($B144,Members!$A:$C,3,FALSE),"")</f>
        <v/>
      </c>
      <c r="E144" s="11">
        <f>IF($F144="","",IFERROR(VLOOKUP($F144,ActionMap!$A:$B,2,FALSE),"INVALID ACTION"))</f>
        <v/>
      </c>
      <c r="F144" s="4" t="n"/>
      <c r="G144" s="11">
        <f>IFERROR(VLOOKUP($E144,ActionsCatalog!$A:$B,2,FALSE),"")</f>
        <v/>
      </c>
      <c r="H144" s="4" t="n"/>
      <c r="I144" s="4">
        <f>IFERROR(VLOOKUP($E144,ActionsCatalog!$A:$D,3,FALSE),0)</f>
        <v/>
      </c>
      <c r="J144" s="4">
        <f>IFERROR(VLOOKUP($E144,ActionsCatalog!$A:$D,4,FALSE),0)</f>
        <v/>
      </c>
      <c r="K144" s="4">
        <f>IF($M144&lt;&gt;"Yes",0,IF($H144="",0,$H144*$I144))</f>
        <v/>
      </c>
      <c r="L144" s="4">
        <f>IF($M144&lt;&gt;"Yes",0,IF($H144="",0,$H144*$J144))</f>
        <v/>
      </c>
      <c r="M144" s="4" t="n"/>
      <c r="N144" s="4" t="n"/>
      <c r="O144" s="4">
        <f>IF($A144="","",TEXT($A144,"yyyy")&amp;"-W"&amp;TEXT(ISOWEEKNUM($A144),"00"))</f>
        <v/>
      </c>
      <c r="P144" s="4" t="n"/>
      <c r="Q144" s="14">
        <f>IF($A144="","",TEXT($A144,"yyyy-mm"))</f>
        <v/>
      </c>
    </row>
    <row r="145">
      <c r="A145" s="66" t="n"/>
      <c r="B145" s="4" t="n"/>
      <c r="C145" s="11">
        <f>IFERROR(VLOOKUP($B145,Members!$A:$C,2,FALSE),"")</f>
        <v/>
      </c>
      <c r="D145" s="11">
        <f>IFERROR(VLOOKUP($B145,Members!$A:$C,3,FALSE),"")</f>
        <v/>
      </c>
      <c r="E145" s="11">
        <f>IF($F145="","",IFERROR(VLOOKUP($F145,ActionMap!$A:$B,2,FALSE),"INVALID ACTION"))</f>
        <v/>
      </c>
      <c r="F145" s="4" t="n"/>
      <c r="G145" s="11">
        <f>IFERROR(VLOOKUP($E145,ActionsCatalog!$A:$B,2,FALSE),"")</f>
        <v/>
      </c>
      <c r="H145" s="4" t="n"/>
      <c r="I145" s="4">
        <f>IFERROR(VLOOKUP($E145,ActionsCatalog!$A:$D,3,FALSE),0)</f>
        <v/>
      </c>
      <c r="J145" s="4">
        <f>IFERROR(VLOOKUP($E145,ActionsCatalog!$A:$D,4,FALSE),0)</f>
        <v/>
      </c>
      <c r="K145" s="4">
        <f>IF($M145&lt;&gt;"Yes",0,IF($H145="",0,$H145*$I145))</f>
        <v/>
      </c>
      <c r="L145" s="4">
        <f>IF($M145&lt;&gt;"Yes",0,IF($H145="",0,$H145*$J145))</f>
        <v/>
      </c>
      <c r="M145" s="4" t="n"/>
      <c r="N145" s="4" t="n"/>
      <c r="O145" s="4">
        <f>IF($A145="","",TEXT($A145,"yyyy")&amp;"-W"&amp;TEXT(ISOWEEKNUM($A145),"00"))</f>
        <v/>
      </c>
      <c r="P145" s="4" t="n"/>
      <c r="Q145" s="14">
        <f>IF($A145="","",TEXT($A145,"yyyy-mm"))</f>
        <v/>
      </c>
    </row>
    <row r="146">
      <c r="A146" s="66" t="n"/>
      <c r="B146" s="4" t="n"/>
      <c r="C146" s="11">
        <f>IFERROR(VLOOKUP($B146,Members!$A:$C,2,FALSE),"")</f>
        <v/>
      </c>
      <c r="D146" s="11">
        <f>IFERROR(VLOOKUP($B146,Members!$A:$C,3,FALSE),"")</f>
        <v/>
      </c>
      <c r="E146" s="11">
        <f>IF($F146="","",IFERROR(VLOOKUP($F146,ActionMap!$A:$B,2,FALSE),"INVALID ACTION"))</f>
        <v/>
      </c>
      <c r="F146" s="4" t="n"/>
      <c r="G146" s="11">
        <f>IFERROR(VLOOKUP($E146,ActionsCatalog!$A:$B,2,FALSE),"")</f>
        <v/>
      </c>
      <c r="H146" s="4" t="n"/>
      <c r="I146" s="4">
        <f>IFERROR(VLOOKUP($E146,ActionsCatalog!$A:$D,3,FALSE),0)</f>
        <v/>
      </c>
      <c r="J146" s="4">
        <f>IFERROR(VLOOKUP($E146,ActionsCatalog!$A:$D,4,FALSE),0)</f>
        <v/>
      </c>
      <c r="K146" s="4">
        <f>IF($M146&lt;&gt;"Yes",0,IF($H146="",0,$H146*$I146))</f>
        <v/>
      </c>
      <c r="L146" s="4">
        <f>IF($M146&lt;&gt;"Yes",0,IF($H146="",0,$H146*$J146))</f>
        <v/>
      </c>
      <c r="M146" s="4" t="n"/>
      <c r="N146" s="4" t="n"/>
      <c r="O146" s="4">
        <f>IF($A146="","",TEXT($A146,"yyyy")&amp;"-W"&amp;TEXT(ISOWEEKNUM($A146),"00"))</f>
        <v/>
      </c>
      <c r="P146" s="4" t="n"/>
      <c r="Q146" s="14">
        <f>IF($A146="","",TEXT($A146,"yyyy-mm"))</f>
        <v/>
      </c>
    </row>
    <row r="147">
      <c r="A147" s="66" t="n"/>
      <c r="B147" s="4" t="n"/>
      <c r="C147" s="11">
        <f>IFERROR(VLOOKUP($B147,Members!$A:$C,2,FALSE),"")</f>
        <v/>
      </c>
      <c r="D147" s="11">
        <f>IFERROR(VLOOKUP($B147,Members!$A:$C,3,FALSE),"")</f>
        <v/>
      </c>
      <c r="E147" s="11">
        <f>IF($F147="","",IFERROR(VLOOKUP($F147,ActionMap!$A:$B,2,FALSE),"INVALID ACTION"))</f>
        <v/>
      </c>
      <c r="F147" s="4" t="n"/>
      <c r="G147" s="11">
        <f>IFERROR(VLOOKUP($E147,ActionsCatalog!$A:$B,2,FALSE),"")</f>
        <v/>
      </c>
      <c r="H147" s="4" t="n"/>
      <c r="I147" s="4">
        <f>IFERROR(VLOOKUP($E147,ActionsCatalog!$A:$D,3,FALSE),0)</f>
        <v/>
      </c>
      <c r="J147" s="4">
        <f>IFERROR(VLOOKUP($E147,ActionsCatalog!$A:$D,4,FALSE),0)</f>
        <v/>
      </c>
      <c r="K147" s="4">
        <f>IF($M147&lt;&gt;"Yes",0,IF($H147="",0,$H147*$I147))</f>
        <v/>
      </c>
      <c r="L147" s="4">
        <f>IF($M147&lt;&gt;"Yes",0,IF($H147="",0,$H147*$J147))</f>
        <v/>
      </c>
      <c r="M147" s="4" t="n"/>
      <c r="N147" s="4" t="n"/>
      <c r="O147" s="4">
        <f>IF($A147="","",TEXT($A147,"yyyy")&amp;"-W"&amp;TEXT(ISOWEEKNUM($A147),"00"))</f>
        <v/>
      </c>
      <c r="P147" s="4" t="n"/>
      <c r="Q147" s="14">
        <f>IF($A147="","",TEXT($A147,"yyyy-mm"))</f>
        <v/>
      </c>
    </row>
    <row r="148">
      <c r="A148" s="66" t="n"/>
      <c r="B148" s="4" t="n"/>
      <c r="C148" s="11">
        <f>IFERROR(VLOOKUP($B148,Members!$A:$C,2,FALSE),"")</f>
        <v/>
      </c>
      <c r="D148" s="11">
        <f>IFERROR(VLOOKUP($B148,Members!$A:$C,3,FALSE),"")</f>
        <v/>
      </c>
      <c r="E148" s="11">
        <f>IF($F148="","",IFERROR(VLOOKUP($F148,ActionMap!$A:$B,2,FALSE),"INVALID ACTION"))</f>
        <v/>
      </c>
      <c r="F148" s="4" t="n"/>
      <c r="G148" s="11">
        <f>IFERROR(VLOOKUP($E148,ActionsCatalog!$A:$B,2,FALSE),"")</f>
        <v/>
      </c>
      <c r="H148" s="4" t="n"/>
      <c r="I148" s="4">
        <f>IFERROR(VLOOKUP($E148,ActionsCatalog!$A:$D,3,FALSE),0)</f>
        <v/>
      </c>
      <c r="J148" s="4">
        <f>IFERROR(VLOOKUP($E148,ActionsCatalog!$A:$D,4,FALSE),0)</f>
        <v/>
      </c>
      <c r="K148" s="4">
        <f>IF($M148&lt;&gt;"Yes",0,IF($H148="",0,$H148*$I148))</f>
        <v/>
      </c>
      <c r="L148" s="4">
        <f>IF($M148&lt;&gt;"Yes",0,IF($H148="",0,$H148*$J148))</f>
        <v/>
      </c>
      <c r="M148" s="4" t="n"/>
      <c r="N148" s="4" t="n"/>
      <c r="O148" s="4">
        <f>IF($A148="","",TEXT($A148,"yyyy")&amp;"-W"&amp;TEXT(ISOWEEKNUM($A148),"00"))</f>
        <v/>
      </c>
      <c r="P148" s="4" t="n"/>
      <c r="Q148" s="14">
        <f>IF($A148="","",TEXT($A148,"yyyy-mm"))</f>
        <v/>
      </c>
    </row>
    <row r="149">
      <c r="A149" s="66" t="n"/>
      <c r="B149" s="4" t="n"/>
      <c r="C149" s="11">
        <f>IFERROR(VLOOKUP($B149,Members!$A:$C,2,FALSE),"")</f>
        <v/>
      </c>
      <c r="D149" s="11">
        <f>IFERROR(VLOOKUP($B149,Members!$A:$C,3,FALSE),"")</f>
        <v/>
      </c>
      <c r="E149" s="11">
        <f>IF($F149="","",IFERROR(VLOOKUP($F149,ActionMap!$A:$B,2,FALSE),"INVALID ACTION"))</f>
        <v/>
      </c>
      <c r="F149" s="4" t="n"/>
      <c r="G149" s="11">
        <f>IFERROR(VLOOKUP($E149,ActionsCatalog!$A:$B,2,FALSE),"")</f>
        <v/>
      </c>
      <c r="H149" s="4" t="n"/>
      <c r="I149" s="4">
        <f>IFERROR(VLOOKUP($E149,ActionsCatalog!$A:$D,3,FALSE),0)</f>
        <v/>
      </c>
      <c r="J149" s="4">
        <f>IFERROR(VLOOKUP($E149,ActionsCatalog!$A:$D,4,FALSE),0)</f>
        <v/>
      </c>
      <c r="K149" s="4">
        <f>IF($M149&lt;&gt;"Yes",0,IF($H149="",0,$H149*$I149))</f>
        <v/>
      </c>
      <c r="L149" s="4">
        <f>IF($M149&lt;&gt;"Yes",0,IF($H149="",0,$H149*$J149))</f>
        <v/>
      </c>
      <c r="M149" s="4" t="n"/>
      <c r="N149" s="4" t="n"/>
      <c r="O149" s="4">
        <f>IF($A149="","",TEXT($A149,"yyyy")&amp;"-W"&amp;TEXT(ISOWEEKNUM($A149),"00"))</f>
        <v/>
      </c>
      <c r="P149" s="4" t="n"/>
      <c r="Q149" s="14">
        <f>IF($A149="","",TEXT($A149,"yyyy-mm"))</f>
        <v/>
      </c>
    </row>
    <row r="150">
      <c r="A150" s="66" t="n"/>
      <c r="B150" s="4" t="n"/>
      <c r="C150" s="11">
        <f>IFERROR(VLOOKUP($B150,Members!$A:$C,2,FALSE),"")</f>
        <v/>
      </c>
      <c r="D150" s="11">
        <f>IFERROR(VLOOKUP($B150,Members!$A:$C,3,FALSE),"")</f>
        <v/>
      </c>
      <c r="E150" s="11">
        <f>IF($F150="","",IFERROR(VLOOKUP($F150,ActionMap!$A:$B,2,FALSE),"INVALID ACTION"))</f>
        <v/>
      </c>
      <c r="F150" s="4" t="n"/>
      <c r="G150" s="11">
        <f>IFERROR(VLOOKUP($E150,ActionsCatalog!$A:$B,2,FALSE),"")</f>
        <v/>
      </c>
      <c r="H150" s="4" t="n"/>
      <c r="I150" s="4">
        <f>IFERROR(VLOOKUP($E150,ActionsCatalog!$A:$D,3,FALSE),0)</f>
        <v/>
      </c>
      <c r="J150" s="4">
        <f>IFERROR(VLOOKUP($E150,ActionsCatalog!$A:$D,4,FALSE),0)</f>
        <v/>
      </c>
      <c r="K150" s="4">
        <f>IF($M150&lt;&gt;"Yes",0,IF($H150="",0,$H150*$I150))</f>
        <v/>
      </c>
      <c r="L150" s="4">
        <f>IF($M150&lt;&gt;"Yes",0,IF($H150="",0,$H150*$J150))</f>
        <v/>
      </c>
      <c r="M150" s="4" t="n"/>
      <c r="N150" s="4" t="n"/>
      <c r="O150" s="4">
        <f>IF($A150="","",TEXT($A150,"yyyy")&amp;"-W"&amp;TEXT(ISOWEEKNUM($A150),"00"))</f>
        <v/>
      </c>
      <c r="P150" s="4" t="n"/>
      <c r="Q150" s="14">
        <f>IF($A150="","",TEXT($A150,"yyyy-mm"))</f>
        <v/>
      </c>
    </row>
    <row r="151">
      <c r="A151" s="66" t="n"/>
      <c r="B151" s="4" t="n"/>
      <c r="C151" s="11">
        <f>IFERROR(VLOOKUP($B151,Members!$A:$C,2,FALSE),"")</f>
        <v/>
      </c>
      <c r="D151" s="11">
        <f>IFERROR(VLOOKUP($B151,Members!$A:$C,3,FALSE),"")</f>
        <v/>
      </c>
      <c r="E151" s="11">
        <f>IF($F151="","",IFERROR(VLOOKUP($F151,ActionMap!$A:$B,2,FALSE),"INVALID ACTION"))</f>
        <v/>
      </c>
      <c r="F151" s="4" t="n"/>
      <c r="G151" s="11">
        <f>IFERROR(VLOOKUP($E151,ActionsCatalog!$A:$B,2,FALSE),"")</f>
        <v/>
      </c>
      <c r="H151" s="4" t="n"/>
      <c r="I151" s="4">
        <f>IFERROR(VLOOKUP($E151,ActionsCatalog!$A:$D,3,FALSE),0)</f>
        <v/>
      </c>
      <c r="J151" s="4">
        <f>IFERROR(VLOOKUP($E151,ActionsCatalog!$A:$D,4,FALSE),0)</f>
        <v/>
      </c>
      <c r="K151" s="4">
        <f>IF($M151&lt;&gt;"Yes",0,IF($H151="",0,$H151*$I151))</f>
        <v/>
      </c>
      <c r="L151" s="4">
        <f>IF($M151&lt;&gt;"Yes",0,IF($H151="",0,$H151*$J151))</f>
        <v/>
      </c>
      <c r="M151" s="4" t="n"/>
      <c r="N151" s="4" t="n"/>
      <c r="O151" s="4">
        <f>IF($A151="","",TEXT($A151,"yyyy")&amp;"-W"&amp;TEXT(ISOWEEKNUM($A151),"00"))</f>
        <v/>
      </c>
      <c r="P151" s="4" t="n"/>
      <c r="Q151" s="14">
        <f>IF($A151="","",TEXT($A151,"yyyy-mm"))</f>
        <v/>
      </c>
    </row>
    <row r="152">
      <c r="A152" s="66" t="n"/>
      <c r="B152" s="4" t="n"/>
      <c r="C152" s="11">
        <f>IFERROR(VLOOKUP($B152,Members!$A:$C,2,FALSE),"")</f>
        <v/>
      </c>
      <c r="D152" s="11">
        <f>IFERROR(VLOOKUP($B152,Members!$A:$C,3,FALSE),"")</f>
        <v/>
      </c>
      <c r="E152" s="11">
        <f>IF($F152="","",IFERROR(VLOOKUP($F152,ActionMap!$A:$B,2,FALSE),"INVALID ACTION"))</f>
        <v/>
      </c>
      <c r="F152" s="4" t="n"/>
      <c r="G152" s="11">
        <f>IFERROR(VLOOKUP($E152,ActionsCatalog!$A:$B,2,FALSE),"")</f>
        <v/>
      </c>
      <c r="H152" s="4" t="n"/>
      <c r="I152" s="4">
        <f>IFERROR(VLOOKUP($E152,ActionsCatalog!$A:$D,3,FALSE),0)</f>
        <v/>
      </c>
      <c r="J152" s="4">
        <f>IFERROR(VLOOKUP($E152,ActionsCatalog!$A:$D,4,FALSE),0)</f>
        <v/>
      </c>
      <c r="K152" s="4">
        <f>IF($M152&lt;&gt;"Yes",0,IF($H152="",0,$H152*$I152))</f>
        <v/>
      </c>
      <c r="L152" s="4">
        <f>IF($M152&lt;&gt;"Yes",0,IF($H152="",0,$H152*$J152))</f>
        <v/>
      </c>
      <c r="M152" s="4" t="n"/>
      <c r="N152" s="4" t="n"/>
      <c r="O152" s="4">
        <f>IF($A152="","",TEXT($A152,"yyyy")&amp;"-W"&amp;TEXT(ISOWEEKNUM($A152),"00"))</f>
        <v/>
      </c>
      <c r="P152" s="4" t="n"/>
      <c r="Q152" s="14">
        <f>IF($A152="","",TEXT($A152,"yyyy-mm"))</f>
        <v/>
      </c>
    </row>
    <row r="153">
      <c r="A153" s="66" t="n"/>
      <c r="B153" s="4" t="n"/>
      <c r="C153" s="11">
        <f>IFERROR(VLOOKUP($B153,Members!$A:$C,2,FALSE),"")</f>
        <v/>
      </c>
      <c r="D153" s="11">
        <f>IFERROR(VLOOKUP($B153,Members!$A:$C,3,FALSE),"")</f>
        <v/>
      </c>
      <c r="E153" s="11">
        <f>IF($F153="","",IFERROR(VLOOKUP($F153,ActionMap!$A:$B,2,FALSE),"INVALID ACTION"))</f>
        <v/>
      </c>
      <c r="F153" s="4" t="n"/>
      <c r="G153" s="11">
        <f>IFERROR(VLOOKUP($E153,ActionsCatalog!$A:$B,2,FALSE),"")</f>
        <v/>
      </c>
      <c r="H153" s="4" t="n"/>
      <c r="I153" s="4">
        <f>IFERROR(VLOOKUP($E153,ActionsCatalog!$A:$D,3,FALSE),0)</f>
        <v/>
      </c>
      <c r="J153" s="4">
        <f>IFERROR(VLOOKUP($E153,ActionsCatalog!$A:$D,4,FALSE),0)</f>
        <v/>
      </c>
      <c r="K153" s="4">
        <f>IF($M153&lt;&gt;"Yes",0,IF($H153="",0,$H153*$I153))</f>
        <v/>
      </c>
      <c r="L153" s="4">
        <f>IF($M153&lt;&gt;"Yes",0,IF($H153="",0,$H153*$J153))</f>
        <v/>
      </c>
      <c r="M153" s="4" t="n"/>
      <c r="N153" s="4" t="n"/>
      <c r="O153" s="4">
        <f>IF($A153="","",TEXT($A153,"yyyy")&amp;"-W"&amp;TEXT(ISOWEEKNUM($A153),"00"))</f>
        <v/>
      </c>
      <c r="P153" s="4" t="n"/>
      <c r="Q153" s="14">
        <f>IF($A153="","",TEXT($A153,"yyyy-mm"))</f>
        <v/>
      </c>
    </row>
    <row r="154">
      <c r="A154" s="66" t="n"/>
      <c r="B154" s="4" t="n"/>
      <c r="C154" s="11">
        <f>IFERROR(VLOOKUP($B154,Members!$A:$C,2,FALSE),"")</f>
        <v/>
      </c>
      <c r="D154" s="11">
        <f>IFERROR(VLOOKUP($B154,Members!$A:$C,3,FALSE),"")</f>
        <v/>
      </c>
      <c r="E154" s="11">
        <f>IF($F154="","",IFERROR(VLOOKUP($F154,ActionMap!$A:$B,2,FALSE),"INVALID ACTION"))</f>
        <v/>
      </c>
      <c r="F154" s="4" t="n"/>
      <c r="G154" s="11">
        <f>IFERROR(VLOOKUP($E154,ActionsCatalog!$A:$B,2,FALSE),"")</f>
        <v/>
      </c>
      <c r="H154" s="4" t="n"/>
      <c r="I154" s="4">
        <f>IFERROR(VLOOKUP($E154,ActionsCatalog!$A:$D,3,FALSE),0)</f>
        <v/>
      </c>
      <c r="J154" s="4">
        <f>IFERROR(VLOOKUP($E154,ActionsCatalog!$A:$D,4,FALSE),0)</f>
        <v/>
      </c>
      <c r="K154" s="4">
        <f>IF($M154&lt;&gt;"Yes",0,IF($H154="",0,$H154*$I154))</f>
        <v/>
      </c>
      <c r="L154" s="4">
        <f>IF($M154&lt;&gt;"Yes",0,IF($H154="",0,$H154*$J154))</f>
        <v/>
      </c>
      <c r="M154" s="4" t="n"/>
      <c r="N154" s="4" t="n"/>
      <c r="O154" s="4">
        <f>IF($A154="","",TEXT($A154,"yyyy")&amp;"-W"&amp;TEXT(ISOWEEKNUM($A154),"00"))</f>
        <v/>
      </c>
      <c r="P154" s="4" t="n"/>
      <c r="Q154" s="14">
        <f>IF($A154="","",TEXT($A154,"yyyy-mm"))</f>
        <v/>
      </c>
    </row>
    <row r="155">
      <c r="A155" s="66" t="n"/>
      <c r="B155" s="4" t="n"/>
      <c r="C155" s="11">
        <f>IFERROR(VLOOKUP($B155,Members!$A:$C,2,FALSE),"")</f>
        <v/>
      </c>
      <c r="D155" s="11">
        <f>IFERROR(VLOOKUP($B155,Members!$A:$C,3,FALSE),"")</f>
        <v/>
      </c>
      <c r="E155" s="11">
        <f>IF($F155="","",IFERROR(VLOOKUP($F155,ActionMap!$A:$B,2,FALSE),"INVALID ACTION"))</f>
        <v/>
      </c>
      <c r="F155" s="4" t="n"/>
      <c r="G155" s="11">
        <f>IFERROR(VLOOKUP($E155,ActionsCatalog!$A:$B,2,FALSE),"")</f>
        <v/>
      </c>
      <c r="H155" s="4" t="n"/>
      <c r="I155" s="4">
        <f>IFERROR(VLOOKUP($E155,ActionsCatalog!$A:$D,3,FALSE),0)</f>
        <v/>
      </c>
      <c r="J155" s="4">
        <f>IFERROR(VLOOKUP($E155,ActionsCatalog!$A:$D,4,FALSE),0)</f>
        <v/>
      </c>
      <c r="K155" s="4">
        <f>IF($M155&lt;&gt;"Yes",0,IF($H155="",0,$H155*$I155))</f>
        <v/>
      </c>
      <c r="L155" s="4">
        <f>IF($M155&lt;&gt;"Yes",0,IF($H155="",0,$H155*$J155))</f>
        <v/>
      </c>
      <c r="M155" s="4" t="n"/>
      <c r="N155" s="4" t="n"/>
      <c r="O155" s="4">
        <f>IF($A155="","",TEXT($A155,"yyyy")&amp;"-W"&amp;TEXT(ISOWEEKNUM($A155),"00"))</f>
        <v/>
      </c>
      <c r="P155" s="4" t="n"/>
      <c r="Q155" s="14">
        <f>IF($A155="","",TEXT($A155,"yyyy-mm"))</f>
        <v/>
      </c>
    </row>
    <row r="156">
      <c r="A156" s="66" t="n"/>
      <c r="B156" s="4" t="n"/>
      <c r="C156" s="11">
        <f>IFERROR(VLOOKUP($B156,Members!$A:$C,2,FALSE),"")</f>
        <v/>
      </c>
      <c r="D156" s="11">
        <f>IFERROR(VLOOKUP($B156,Members!$A:$C,3,FALSE),"")</f>
        <v/>
      </c>
      <c r="E156" s="11">
        <f>IF($F156="","",IFERROR(VLOOKUP($F156,ActionMap!$A:$B,2,FALSE),"INVALID ACTION"))</f>
        <v/>
      </c>
      <c r="F156" s="4" t="n"/>
      <c r="G156" s="11">
        <f>IFERROR(VLOOKUP($E156,ActionsCatalog!$A:$B,2,FALSE),"")</f>
        <v/>
      </c>
      <c r="H156" s="4" t="n"/>
      <c r="I156" s="4">
        <f>IFERROR(VLOOKUP($E156,ActionsCatalog!$A:$D,3,FALSE),0)</f>
        <v/>
      </c>
      <c r="J156" s="4">
        <f>IFERROR(VLOOKUP($E156,ActionsCatalog!$A:$D,4,FALSE),0)</f>
        <v/>
      </c>
      <c r="K156" s="4">
        <f>IF($M156&lt;&gt;"Yes",0,IF($H156="",0,$H156*$I156))</f>
        <v/>
      </c>
      <c r="L156" s="4">
        <f>IF($M156&lt;&gt;"Yes",0,IF($H156="",0,$H156*$J156))</f>
        <v/>
      </c>
      <c r="M156" s="4" t="n"/>
      <c r="N156" s="4" t="n"/>
      <c r="O156" s="4">
        <f>IF($A156="","",TEXT($A156,"yyyy")&amp;"-W"&amp;TEXT(ISOWEEKNUM($A156),"00"))</f>
        <v/>
      </c>
      <c r="P156" s="4" t="n"/>
      <c r="Q156" s="14">
        <f>IF($A156="","",TEXT($A156,"yyyy-mm"))</f>
        <v/>
      </c>
    </row>
    <row r="157">
      <c r="A157" s="66" t="n"/>
      <c r="B157" s="4" t="n"/>
      <c r="C157" s="11">
        <f>IFERROR(VLOOKUP($B157,Members!$A:$C,2,FALSE),"")</f>
        <v/>
      </c>
      <c r="D157" s="11">
        <f>IFERROR(VLOOKUP($B157,Members!$A:$C,3,FALSE),"")</f>
        <v/>
      </c>
      <c r="E157" s="11">
        <f>IF($F157="","",IFERROR(VLOOKUP($F157,ActionMap!$A:$B,2,FALSE),"INVALID ACTION"))</f>
        <v/>
      </c>
      <c r="F157" s="4" t="n"/>
      <c r="G157" s="11">
        <f>IFERROR(VLOOKUP($E157,ActionsCatalog!$A:$B,2,FALSE),"")</f>
        <v/>
      </c>
      <c r="H157" s="4" t="n"/>
      <c r="I157" s="4">
        <f>IFERROR(VLOOKUP($E157,ActionsCatalog!$A:$D,3,FALSE),0)</f>
        <v/>
      </c>
      <c r="J157" s="4">
        <f>IFERROR(VLOOKUP($E157,ActionsCatalog!$A:$D,4,FALSE),0)</f>
        <v/>
      </c>
      <c r="K157" s="4">
        <f>IF($M157&lt;&gt;"Yes",0,IF($H157="",0,$H157*$I157))</f>
        <v/>
      </c>
      <c r="L157" s="4">
        <f>IF($M157&lt;&gt;"Yes",0,IF($H157="",0,$H157*$J157))</f>
        <v/>
      </c>
      <c r="M157" s="4" t="n"/>
      <c r="N157" s="4" t="n"/>
      <c r="O157" s="4">
        <f>IF($A157="","",TEXT($A157,"yyyy")&amp;"-W"&amp;TEXT(ISOWEEKNUM($A157),"00"))</f>
        <v/>
      </c>
      <c r="P157" s="4" t="n"/>
      <c r="Q157" s="14">
        <f>IF($A157="","",TEXT($A157,"yyyy-mm"))</f>
        <v/>
      </c>
    </row>
    <row r="158">
      <c r="A158" s="66" t="n"/>
      <c r="B158" s="4" t="n"/>
      <c r="C158" s="11">
        <f>IFERROR(VLOOKUP($B158,Members!$A:$C,2,FALSE),"")</f>
        <v/>
      </c>
      <c r="D158" s="11">
        <f>IFERROR(VLOOKUP($B158,Members!$A:$C,3,FALSE),"")</f>
        <v/>
      </c>
      <c r="E158" s="11">
        <f>IF($F158="","",IFERROR(VLOOKUP($F158,ActionMap!$A:$B,2,FALSE),"INVALID ACTION"))</f>
        <v/>
      </c>
      <c r="F158" s="4" t="n"/>
      <c r="G158" s="11">
        <f>IFERROR(VLOOKUP($E158,ActionsCatalog!$A:$B,2,FALSE),"")</f>
        <v/>
      </c>
      <c r="H158" s="4" t="n"/>
      <c r="I158" s="4">
        <f>IFERROR(VLOOKUP($E158,ActionsCatalog!$A:$D,3,FALSE),0)</f>
        <v/>
      </c>
      <c r="J158" s="4">
        <f>IFERROR(VLOOKUP($E158,ActionsCatalog!$A:$D,4,FALSE),0)</f>
        <v/>
      </c>
      <c r="K158" s="4">
        <f>IF($M158&lt;&gt;"Yes",0,IF($H158="",0,$H158*$I158))</f>
        <v/>
      </c>
      <c r="L158" s="4">
        <f>IF($M158&lt;&gt;"Yes",0,IF($H158="",0,$H158*$J158))</f>
        <v/>
      </c>
      <c r="M158" s="4" t="n"/>
      <c r="N158" s="4" t="n"/>
      <c r="O158" s="4">
        <f>IF($A158="","",TEXT($A158,"yyyy")&amp;"-W"&amp;TEXT(ISOWEEKNUM($A158),"00"))</f>
        <v/>
      </c>
      <c r="P158" s="4" t="n"/>
      <c r="Q158" s="14">
        <f>IF($A158="","",TEXT($A158,"yyyy-mm"))</f>
        <v/>
      </c>
    </row>
    <row r="159">
      <c r="A159" s="66" t="n"/>
      <c r="B159" s="4" t="n"/>
      <c r="C159" s="11">
        <f>IFERROR(VLOOKUP($B159,Members!$A:$C,2,FALSE),"")</f>
        <v/>
      </c>
      <c r="D159" s="11">
        <f>IFERROR(VLOOKUP($B159,Members!$A:$C,3,FALSE),"")</f>
        <v/>
      </c>
      <c r="E159" s="11">
        <f>IF($F159="","",IFERROR(VLOOKUP($F159,ActionMap!$A:$B,2,FALSE),"INVALID ACTION"))</f>
        <v/>
      </c>
      <c r="F159" s="4" t="n"/>
      <c r="G159" s="11">
        <f>IFERROR(VLOOKUP($E159,ActionsCatalog!$A:$B,2,FALSE),"")</f>
        <v/>
      </c>
      <c r="H159" s="4" t="n"/>
      <c r="I159" s="4">
        <f>IFERROR(VLOOKUP($E159,ActionsCatalog!$A:$D,3,FALSE),0)</f>
        <v/>
      </c>
      <c r="J159" s="4">
        <f>IFERROR(VLOOKUP($E159,ActionsCatalog!$A:$D,4,FALSE),0)</f>
        <v/>
      </c>
      <c r="K159" s="4">
        <f>IF($M159&lt;&gt;"Yes",0,IF($H159="",0,$H159*$I159))</f>
        <v/>
      </c>
      <c r="L159" s="4">
        <f>IF($M159&lt;&gt;"Yes",0,IF($H159="",0,$H159*$J159))</f>
        <v/>
      </c>
      <c r="M159" s="4" t="n"/>
      <c r="N159" s="4" t="n"/>
      <c r="O159" s="4">
        <f>IF($A159="","",TEXT($A159,"yyyy")&amp;"-W"&amp;TEXT(ISOWEEKNUM($A159),"00"))</f>
        <v/>
      </c>
      <c r="P159" s="4" t="n"/>
      <c r="Q159" s="14">
        <f>IF($A159="","",TEXT($A159,"yyyy-mm"))</f>
        <v/>
      </c>
    </row>
    <row r="160">
      <c r="A160" s="66" t="n"/>
      <c r="B160" s="4" t="n"/>
      <c r="C160" s="11">
        <f>IFERROR(VLOOKUP($B160,Members!$A:$C,2,FALSE),"")</f>
        <v/>
      </c>
      <c r="D160" s="11">
        <f>IFERROR(VLOOKUP($B160,Members!$A:$C,3,FALSE),"")</f>
        <v/>
      </c>
      <c r="E160" s="11">
        <f>IF($F160="","",IFERROR(VLOOKUP($F160,ActionMap!$A:$B,2,FALSE),"INVALID ACTION"))</f>
        <v/>
      </c>
      <c r="F160" s="4" t="n"/>
      <c r="G160" s="11">
        <f>IFERROR(VLOOKUP($E160,ActionsCatalog!$A:$B,2,FALSE),"")</f>
        <v/>
      </c>
      <c r="H160" s="4" t="n"/>
      <c r="I160" s="4">
        <f>IFERROR(VLOOKUP($E160,ActionsCatalog!$A:$D,3,FALSE),0)</f>
        <v/>
      </c>
      <c r="J160" s="4">
        <f>IFERROR(VLOOKUP($E160,ActionsCatalog!$A:$D,4,FALSE),0)</f>
        <v/>
      </c>
      <c r="K160" s="4">
        <f>IF($M160&lt;&gt;"Yes",0,IF($H160="",0,$H160*$I160))</f>
        <v/>
      </c>
      <c r="L160" s="4">
        <f>IF($M160&lt;&gt;"Yes",0,IF($H160="",0,$H160*$J160))</f>
        <v/>
      </c>
      <c r="M160" s="4" t="n"/>
      <c r="N160" s="4" t="n"/>
      <c r="O160" s="4">
        <f>IF($A160="","",TEXT($A160,"yyyy")&amp;"-W"&amp;TEXT(ISOWEEKNUM($A160),"00"))</f>
        <v/>
      </c>
      <c r="P160" s="4" t="n"/>
      <c r="Q160" s="14">
        <f>IF($A160="","",TEXT($A160,"yyyy-mm"))</f>
        <v/>
      </c>
    </row>
    <row r="161">
      <c r="A161" s="66" t="n"/>
      <c r="B161" s="4" t="n"/>
      <c r="C161" s="11">
        <f>IFERROR(VLOOKUP($B161,Members!$A:$C,2,FALSE),"")</f>
        <v/>
      </c>
      <c r="D161" s="11">
        <f>IFERROR(VLOOKUP($B161,Members!$A:$C,3,FALSE),"")</f>
        <v/>
      </c>
      <c r="E161" s="11">
        <f>IF($F161="","",IFERROR(VLOOKUP($F161,ActionMap!$A:$B,2,FALSE),"INVALID ACTION"))</f>
        <v/>
      </c>
      <c r="F161" s="4" t="n"/>
      <c r="G161" s="11">
        <f>IFERROR(VLOOKUP($E161,ActionsCatalog!$A:$B,2,FALSE),"")</f>
        <v/>
      </c>
      <c r="H161" s="4" t="n"/>
      <c r="I161" s="4">
        <f>IFERROR(VLOOKUP($E161,ActionsCatalog!$A:$D,3,FALSE),0)</f>
        <v/>
      </c>
      <c r="J161" s="4">
        <f>IFERROR(VLOOKUP($E161,ActionsCatalog!$A:$D,4,FALSE),0)</f>
        <v/>
      </c>
      <c r="K161" s="4">
        <f>IF($M161&lt;&gt;"Yes",0,IF($H161="",0,$H161*$I161))</f>
        <v/>
      </c>
      <c r="L161" s="4">
        <f>IF($M161&lt;&gt;"Yes",0,IF($H161="",0,$H161*$J161))</f>
        <v/>
      </c>
      <c r="M161" s="4" t="n"/>
      <c r="N161" s="4" t="n"/>
      <c r="O161" s="4">
        <f>IF($A161="","",TEXT($A161,"yyyy")&amp;"-W"&amp;TEXT(ISOWEEKNUM($A161),"00"))</f>
        <v/>
      </c>
      <c r="P161" s="4" t="n"/>
      <c r="Q161" s="14">
        <f>IF($A161="","",TEXT($A161,"yyyy-mm"))</f>
        <v/>
      </c>
    </row>
    <row r="162">
      <c r="A162" s="66" t="n"/>
      <c r="B162" s="4" t="n"/>
      <c r="C162" s="11">
        <f>IFERROR(VLOOKUP($B162,Members!$A:$C,2,FALSE),"")</f>
        <v/>
      </c>
      <c r="D162" s="11">
        <f>IFERROR(VLOOKUP($B162,Members!$A:$C,3,FALSE),"")</f>
        <v/>
      </c>
      <c r="E162" s="11">
        <f>IF($F162="","",IFERROR(VLOOKUP($F162,ActionMap!$A:$B,2,FALSE),"INVALID ACTION"))</f>
        <v/>
      </c>
      <c r="F162" s="4" t="n"/>
      <c r="G162" s="11">
        <f>IFERROR(VLOOKUP($E162,ActionsCatalog!$A:$B,2,FALSE),"")</f>
        <v/>
      </c>
      <c r="H162" s="4" t="n"/>
      <c r="I162" s="4">
        <f>IFERROR(VLOOKUP($E162,ActionsCatalog!$A:$D,3,FALSE),0)</f>
        <v/>
      </c>
      <c r="J162" s="4">
        <f>IFERROR(VLOOKUP($E162,ActionsCatalog!$A:$D,4,FALSE),0)</f>
        <v/>
      </c>
      <c r="K162" s="4">
        <f>IF($M162&lt;&gt;"Yes",0,IF($H162="",0,$H162*$I162))</f>
        <v/>
      </c>
      <c r="L162" s="4">
        <f>IF($M162&lt;&gt;"Yes",0,IF($H162="",0,$H162*$J162))</f>
        <v/>
      </c>
      <c r="M162" s="4" t="n"/>
      <c r="N162" s="4" t="n"/>
      <c r="O162" s="4">
        <f>IF($A162="","",TEXT($A162,"yyyy")&amp;"-W"&amp;TEXT(ISOWEEKNUM($A162),"00"))</f>
        <v/>
      </c>
      <c r="P162" s="4" t="n"/>
      <c r="Q162" s="14">
        <f>IF($A162="","",TEXT($A162,"yyyy-mm"))</f>
        <v/>
      </c>
    </row>
    <row r="163">
      <c r="A163" s="66" t="n"/>
      <c r="B163" s="4" t="n"/>
      <c r="C163" s="11">
        <f>IFERROR(VLOOKUP($B163,Members!$A:$C,2,FALSE),"")</f>
        <v/>
      </c>
      <c r="D163" s="11">
        <f>IFERROR(VLOOKUP($B163,Members!$A:$C,3,FALSE),"")</f>
        <v/>
      </c>
      <c r="E163" s="11">
        <f>IF($F163="","",IFERROR(VLOOKUP($F163,ActionMap!$A:$B,2,FALSE),"INVALID ACTION"))</f>
        <v/>
      </c>
      <c r="F163" s="4" t="n"/>
      <c r="G163" s="11">
        <f>IFERROR(VLOOKUP($E163,ActionsCatalog!$A:$B,2,FALSE),"")</f>
        <v/>
      </c>
      <c r="H163" s="4" t="n"/>
      <c r="I163" s="4">
        <f>IFERROR(VLOOKUP($E163,ActionsCatalog!$A:$D,3,FALSE),0)</f>
        <v/>
      </c>
      <c r="J163" s="4">
        <f>IFERROR(VLOOKUP($E163,ActionsCatalog!$A:$D,4,FALSE),0)</f>
        <v/>
      </c>
      <c r="K163" s="4">
        <f>IF($M163&lt;&gt;"Yes",0,IF($H163="",0,$H163*$I163))</f>
        <v/>
      </c>
      <c r="L163" s="4">
        <f>IF($M163&lt;&gt;"Yes",0,IF($H163="",0,$H163*$J163))</f>
        <v/>
      </c>
      <c r="M163" s="4" t="n"/>
      <c r="N163" s="4" t="n"/>
      <c r="O163" s="4">
        <f>IF($A163="","",TEXT($A163,"yyyy")&amp;"-W"&amp;TEXT(ISOWEEKNUM($A163),"00"))</f>
        <v/>
      </c>
      <c r="P163" s="4" t="n"/>
      <c r="Q163" s="14">
        <f>IF($A163="","",TEXT($A163,"yyyy-mm"))</f>
        <v/>
      </c>
    </row>
    <row r="164">
      <c r="A164" s="66" t="n"/>
      <c r="B164" s="4" t="n"/>
      <c r="C164" s="11">
        <f>IFERROR(VLOOKUP($B164,Members!$A:$C,2,FALSE),"")</f>
        <v/>
      </c>
      <c r="D164" s="11">
        <f>IFERROR(VLOOKUP($B164,Members!$A:$C,3,FALSE),"")</f>
        <v/>
      </c>
      <c r="E164" s="11">
        <f>IF($F164="","",IFERROR(VLOOKUP($F164,ActionMap!$A:$B,2,FALSE),"INVALID ACTION"))</f>
        <v/>
      </c>
      <c r="F164" s="4" t="n"/>
      <c r="G164" s="11">
        <f>IFERROR(VLOOKUP($E164,ActionsCatalog!$A:$B,2,FALSE),"")</f>
        <v/>
      </c>
      <c r="H164" s="4" t="n"/>
      <c r="I164" s="4">
        <f>IFERROR(VLOOKUP($E164,ActionsCatalog!$A:$D,3,FALSE),0)</f>
        <v/>
      </c>
      <c r="J164" s="4">
        <f>IFERROR(VLOOKUP($E164,ActionsCatalog!$A:$D,4,FALSE),0)</f>
        <v/>
      </c>
      <c r="K164" s="4">
        <f>IF($M164&lt;&gt;"Yes",0,IF($H164="",0,$H164*$I164))</f>
        <v/>
      </c>
      <c r="L164" s="4">
        <f>IF($M164&lt;&gt;"Yes",0,IF($H164="",0,$H164*$J164))</f>
        <v/>
      </c>
      <c r="M164" s="4" t="n"/>
      <c r="N164" s="4" t="n"/>
      <c r="O164" s="4">
        <f>IF($A164="","",TEXT($A164,"yyyy")&amp;"-W"&amp;TEXT(ISOWEEKNUM($A164),"00"))</f>
        <v/>
      </c>
      <c r="P164" s="4" t="n"/>
      <c r="Q164" s="14">
        <f>IF($A164="","",TEXT($A164,"yyyy-mm"))</f>
        <v/>
      </c>
    </row>
    <row r="165">
      <c r="A165" s="66" t="n"/>
      <c r="B165" s="4" t="n"/>
      <c r="C165" s="11">
        <f>IFERROR(VLOOKUP($B165,Members!$A:$C,2,FALSE),"")</f>
        <v/>
      </c>
      <c r="D165" s="11">
        <f>IFERROR(VLOOKUP($B165,Members!$A:$C,3,FALSE),"")</f>
        <v/>
      </c>
      <c r="E165" s="11">
        <f>IF($F165="","",IFERROR(VLOOKUP($F165,ActionMap!$A:$B,2,FALSE),"INVALID ACTION"))</f>
        <v/>
      </c>
      <c r="F165" s="4" t="n"/>
      <c r="G165" s="11">
        <f>IFERROR(VLOOKUP($E165,ActionsCatalog!$A:$B,2,FALSE),"")</f>
        <v/>
      </c>
      <c r="H165" s="4" t="n"/>
      <c r="I165" s="4">
        <f>IFERROR(VLOOKUP($E165,ActionsCatalog!$A:$D,3,FALSE),0)</f>
        <v/>
      </c>
      <c r="J165" s="4">
        <f>IFERROR(VLOOKUP($E165,ActionsCatalog!$A:$D,4,FALSE),0)</f>
        <v/>
      </c>
      <c r="K165" s="4">
        <f>IF($M165&lt;&gt;"Yes",0,IF($H165="",0,$H165*$I165))</f>
        <v/>
      </c>
      <c r="L165" s="4">
        <f>IF($M165&lt;&gt;"Yes",0,IF($H165="",0,$H165*$J165))</f>
        <v/>
      </c>
      <c r="M165" s="4" t="n"/>
      <c r="N165" s="4" t="n"/>
      <c r="O165" s="4">
        <f>IF($A165="","",TEXT($A165,"yyyy")&amp;"-W"&amp;TEXT(ISOWEEKNUM($A165),"00"))</f>
        <v/>
      </c>
      <c r="P165" s="4" t="n"/>
      <c r="Q165" s="14">
        <f>IF($A165="","",TEXT($A165,"yyyy-mm"))</f>
        <v/>
      </c>
    </row>
    <row r="166">
      <c r="A166" s="66" t="n"/>
      <c r="B166" s="4" t="n"/>
      <c r="C166" s="11">
        <f>IFERROR(VLOOKUP($B166,Members!$A:$C,2,FALSE),"")</f>
        <v/>
      </c>
      <c r="D166" s="11">
        <f>IFERROR(VLOOKUP($B166,Members!$A:$C,3,FALSE),"")</f>
        <v/>
      </c>
      <c r="E166" s="11">
        <f>IF($F166="","",IFERROR(VLOOKUP($F166,ActionMap!$A:$B,2,FALSE),"INVALID ACTION"))</f>
        <v/>
      </c>
      <c r="F166" s="4" t="n"/>
      <c r="G166" s="11">
        <f>IFERROR(VLOOKUP($E166,ActionsCatalog!$A:$B,2,FALSE),"")</f>
        <v/>
      </c>
      <c r="H166" s="4" t="n"/>
      <c r="I166" s="4">
        <f>IFERROR(VLOOKUP($E166,ActionsCatalog!$A:$D,3,FALSE),0)</f>
        <v/>
      </c>
      <c r="J166" s="4">
        <f>IFERROR(VLOOKUP($E166,ActionsCatalog!$A:$D,4,FALSE),0)</f>
        <v/>
      </c>
      <c r="K166" s="4">
        <f>IF($M166&lt;&gt;"Yes",0,IF($H166="",0,$H166*$I166))</f>
        <v/>
      </c>
      <c r="L166" s="4">
        <f>IF($M166&lt;&gt;"Yes",0,IF($H166="",0,$H166*$J166))</f>
        <v/>
      </c>
      <c r="M166" s="4" t="n"/>
      <c r="N166" s="4" t="n"/>
      <c r="O166" s="4">
        <f>IF($A166="","",TEXT($A166,"yyyy")&amp;"-W"&amp;TEXT(ISOWEEKNUM($A166),"00"))</f>
        <v/>
      </c>
      <c r="P166" s="4" t="n"/>
      <c r="Q166" s="14">
        <f>IF($A166="","",TEXT($A166,"yyyy-mm"))</f>
        <v/>
      </c>
    </row>
    <row r="167">
      <c r="A167" s="66" t="n"/>
      <c r="B167" s="4" t="n"/>
      <c r="C167" s="11">
        <f>IFERROR(VLOOKUP($B167,Members!$A:$C,2,FALSE),"")</f>
        <v/>
      </c>
      <c r="D167" s="11">
        <f>IFERROR(VLOOKUP($B167,Members!$A:$C,3,FALSE),"")</f>
        <v/>
      </c>
      <c r="E167" s="11">
        <f>IF($F167="","",IFERROR(VLOOKUP($F167,ActionMap!$A:$B,2,FALSE),"INVALID ACTION"))</f>
        <v/>
      </c>
      <c r="F167" s="4" t="n"/>
      <c r="G167" s="11">
        <f>IFERROR(VLOOKUP($E167,ActionsCatalog!$A:$B,2,FALSE),"")</f>
        <v/>
      </c>
      <c r="H167" s="4" t="n"/>
      <c r="I167" s="4">
        <f>IFERROR(VLOOKUP($E167,ActionsCatalog!$A:$D,3,FALSE),0)</f>
        <v/>
      </c>
      <c r="J167" s="4">
        <f>IFERROR(VLOOKUP($E167,ActionsCatalog!$A:$D,4,FALSE),0)</f>
        <v/>
      </c>
      <c r="K167" s="4">
        <f>IF($M167&lt;&gt;"Yes",0,IF($H167="",0,$H167*$I167))</f>
        <v/>
      </c>
      <c r="L167" s="4">
        <f>IF($M167&lt;&gt;"Yes",0,IF($H167="",0,$H167*$J167))</f>
        <v/>
      </c>
      <c r="M167" s="4" t="n"/>
      <c r="N167" s="4" t="n"/>
      <c r="O167" s="4">
        <f>IF($A167="","",TEXT($A167,"yyyy")&amp;"-W"&amp;TEXT(ISOWEEKNUM($A167),"00"))</f>
        <v/>
      </c>
      <c r="P167" s="4" t="n"/>
      <c r="Q167" s="14">
        <f>IF($A167="","",TEXT($A167,"yyyy-mm"))</f>
        <v/>
      </c>
    </row>
    <row r="168">
      <c r="A168" s="66" t="n"/>
      <c r="B168" s="4" t="n"/>
      <c r="C168" s="11">
        <f>IFERROR(VLOOKUP($B168,Members!$A:$C,2,FALSE),"")</f>
        <v/>
      </c>
      <c r="D168" s="11">
        <f>IFERROR(VLOOKUP($B168,Members!$A:$C,3,FALSE),"")</f>
        <v/>
      </c>
      <c r="E168" s="11">
        <f>IF($F168="","",IFERROR(VLOOKUP($F168,ActionMap!$A:$B,2,FALSE),"INVALID ACTION"))</f>
        <v/>
      </c>
      <c r="F168" s="4" t="n"/>
      <c r="G168" s="11">
        <f>IFERROR(VLOOKUP($E168,ActionsCatalog!$A:$B,2,FALSE),"")</f>
        <v/>
      </c>
      <c r="H168" s="4" t="n"/>
      <c r="I168" s="4">
        <f>IFERROR(VLOOKUP($E168,ActionsCatalog!$A:$D,3,FALSE),0)</f>
        <v/>
      </c>
      <c r="J168" s="4">
        <f>IFERROR(VLOOKUP($E168,ActionsCatalog!$A:$D,4,FALSE),0)</f>
        <v/>
      </c>
      <c r="K168" s="4">
        <f>IF($M168&lt;&gt;"Yes",0,IF($H168="",0,$H168*$I168))</f>
        <v/>
      </c>
      <c r="L168" s="4">
        <f>IF($M168&lt;&gt;"Yes",0,IF($H168="",0,$H168*$J168))</f>
        <v/>
      </c>
      <c r="M168" s="4" t="n"/>
      <c r="N168" s="4" t="n"/>
      <c r="O168" s="4">
        <f>IF($A168="","",TEXT($A168,"yyyy")&amp;"-W"&amp;TEXT(ISOWEEKNUM($A168),"00"))</f>
        <v/>
      </c>
      <c r="P168" s="4" t="n"/>
      <c r="Q168" s="14">
        <f>IF($A168="","",TEXT($A168,"yyyy-mm"))</f>
        <v/>
      </c>
    </row>
    <row r="169">
      <c r="A169" s="66" t="n"/>
      <c r="B169" s="4" t="n"/>
      <c r="C169" s="11">
        <f>IFERROR(VLOOKUP($B169,Members!$A:$C,2,FALSE),"")</f>
        <v/>
      </c>
      <c r="D169" s="11">
        <f>IFERROR(VLOOKUP($B169,Members!$A:$C,3,FALSE),"")</f>
        <v/>
      </c>
      <c r="E169" s="11">
        <f>IF($F169="","",IFERROR(VLOOKUP($F169,ActionMap!$A:$B,2,FALSE),"INVALID ACTION"))</f>
        <v/>
      </c>
      <c r="F169" s="4" t="n"/>
      <c r="G169" s="11">
        <f>IFERROR(VLOOKUP($E169,ActionsCatalog!$A:$B,2,FALSE),"")</f>
        <v/>
      </c>
      <c r="H169" s="4" t="n"/>
      <c r="I169" s="4">
        <f>IFERROR(VLOOKUP($E169,ActionsCatalog!$A:$D,3,FALSE),0)</f>
        <v/>
      </c>
      <c r="J169" s="4">
        <f>IFERROR(VLOOKUP($E169,ActionsCatalog!$A:$D,4,FALSE),0)</f>
        <v/>
      </c>
      <c r="K169" s="4">
        <f>IF($M169&lt;&gt;"Yes",0,IF($H169="",0,$H169*$I169))</f>
        <v/>
      </c>
      <c r="L169" s="4">
        <f>IF($M169&lt;&gt;"Yes",0,IF($H169="",0,$H169*$J169))</f>
        <v/>
      </c>
      <c r="M169" s="4" t="n"/>
      <c r="N169" s="4" t="n"/>
      <c r="O169" s="4">
        <f>IF($A169="","",TEXT($A169,"yyyy")&amp;"-W"&amp;TEXT(ISOWEEKNUM($A169),"00"))</f>
        <v/>
      </c>
      <c r="P169" s="4" t="n"/>
      <c r="Q169" s="14">
        <f>IF($A169="","",TEXT($A169,"yyyy-mm"))</f>
        <v/>
      </c>
    </row>
    <row r="170">
      <c r="A170" s="66" t="n"/>
      <c r="B170" s="4" t="n"/>
      <c r="C170" s="11">
        <f>IFERROR(VLOOKUP($B170,Members!$A:$C,2,FALSE),"")</f>
        <v/>
      </c>
      <c r="D170" s="11">
        <f>IFERROR(VLOOKUP($B170,Members!$A:$C,3,FALSE),"")</f>
        <v/>
      </c>
      <c r="E170" s="11">
        <f>IF($F170="","",IFERROR(VLOOKUP($F170,ActionMap!$A:$B,2,FALSE),"INVALID ACTION"))</f>
        <v/>
      </c>
      <c r="F170" s="4" t="n"/>
      <c r="G170" s="11">
        <f>IFERROR(VLOOKUP($E170,ActionsCatalog!$A:$B,2,FALSE),"")</f>
        <v/>
      </c>
      <c r="H170" s="4" t="n"/>
      <c r="I170" s="4">
        <f>IFERROR(VLOOKUP($E170,ActionsCatalog!$A:$D,3,FALSE),0)</f>
        <v/>
      </c>
      <c r="J170" s="4">
        <f>IFERROR(VLOOKUP($E170,ActionsCatalog!$A:$D,4,FALSE),0)</f>
        <v/>
      </c>
      <c r="K170" s="4">
        <f>IF($M170&lt;&gt;"Yes",0,IF($H170="",0,$H170*$I170))</f>
        <v/>
      </c>
      <c r="L170" s="4">
        <f>IF($M170&lt;&gt;"Yes",0,IF($H170="",0,$H170*$J170))</f>
        <v/>
      </c>
      <c r="M170" s="4" t="n"/>
      <c r="N170" s="4" t="n"/>
      <c r="O170" s="4">
        <f>IF($A170="","",TEXT($A170,"yyyy")&amp;"-W"&amp;TEXT(ISOWEEKNUM($A170),"00"))</f>
        <v/>
      </c>
      <c r="P170" s="4" t="n"/>
      <c r="Q170" s="14">
        <f>IF($A170="","",TEXT($A170,"yyyy-mm"))</f>
        <v/>
      </c>
    </row>
    <row r="171">
      <c r="A171" s="66" t="n"/>
      <c r="B171" s="4" t="n"/>
      <c r="C171" s="11">
        <f>IFERROR(VLOOKUP($B171,Members!$A:$C,2,FALSE),"")</f>
        <v/>
      </c>
      <c r="D171" s="11">
        <f>IFERROR(VLOOKUP($B171,Members!$A:$C,3,FALSE),"")</f>
        <v/>
      </c>
      <c r="E171" s="11">
        <f>IF($F171="","",IFERROR(VLOOKUP($F171,ActionMap!$A:$B,2,FALSE),"INVALID ACTION"))</f>
        <v/>
      </c>
      <c r="F171" s="4" t="n"/>
      <c r="G171" s="11">
        <f>IFERROR(VLOOKUP($E171,ActionsCatalog!$A:$B,2,FALSE),"")</f>
        <v/>
      </c>
      <c r="H171" s="4" t="n"/>
      <c r="I171" s="4">
        <f>IFERROR(VLOOKUP($E171,ActionsCatalog!$A:$D,3,FALSE),0)</f>
        <v/>
      </c>
      <c r="J171" s="4">
        <f>IFERROR(VLOOKUP($E171,ActionsCatalog!$A:$D,4,FALSE),0)</f>
        <v/>
      </c>
      <c r="K171" s="4">
        <f>IF($M171&lt;&gt;"Yes",0,IF($H171="",0,$H171*$I171))</f>
        <v/>
      </c>
      <c r="L171" s="4">
        <f>IF($M171&lt;&gt;"Yes",0,IF($H171="",0,$H171*$J171))</f>
        <v/>
      </c>
      <c r="M171" s="4" t="n"/>
      <c r="N171" s="4" t="n"/>
      <c r="O171" s="4">
        <f>IF($A171="","",TEXT($A171,"yyyy")&amp;"-W"&amp;TEXT(ISOWEEKNUM($A171),"00"))</f>
        <v/>
      </c>
      <c r="P171" s="4" t="n"/>
      <c r="Q171" s="14">
        <f>IF($A171="","",TEXT($A171,"yyyy-mm"))</f>
        <v/>
      </c>
    </row>
    <row r="172">
      <c r="A172" s="66" t="n"/>
      <c r="B172" s="4" t="n"/>
      <c r="C172" s="11">
        <f>IFERROR(VLOOKUP($B172,Members!$A:$C,2,FALSE),"")</f>
        <v/>
      </c>
      <c r="D172" s="11">
        <f>IFERROR(VLOOKUP($B172,Members!$A:$C,3,FALSE),"")</f>
        <v/>
      </c>
      <c r="E172" s="11">
        <f>IF($F172="","",IFERROR(VLOOKUP($F172,ActionMap!$A:$B,2,FALSE),"INVALID ACTION"))</f>
        <v/>
      </c>
      <c r="F172" s="4" t="n"/>
      <c r="G172" s="11">
        <f>IFERROR(VLOOKUP($E172,ActionsCatalog!$A:$B,2,FALSE),"")</f>
        <v/>
      </c>
      <c r="H172" s="4" t="n"/>
      <c r="I172" s="4">
        <f>IFERROR(VLOOKUP($E172,ActionsCatalog!$A:$D,3,FALSE),0)</f>
        <v/>
      </c>
      <c r="J172" s="4">
        <f>IFERROR(VLOOKUP($E172,ActionsCatalog!$A:$D,4,FALSE),0)</f>
        <v/>
      </c>
      <c r="K172" s="4">
        <f>IF($M172&lt;&gt;"Yes",0,IF($H172="",0,$H172*$I172))</f>
        <v/>
      </c>
      <c r="L172" s="4">
        <f>IF($M172&lt;&gt;"Yes",0,IF($H172="",0,$H172*$J172))</f>
        <v/>
      </c>
      <c r="M172" s="4" t="n"/>
      <c r="N172" s="4" t="n"/>
      <c r="O172" s="4">
        <f>IF($A172="","",TEXT($A172,"yyyy")&amp;"-W"&amp;TEXT(ISOWEEKNUM($A172),"00"))</f>
        <v/>
      </c>
      <c r="P172" s="4" t="n"/>
      <c r="Q172" s="14">
        <f>IF($A172="","",TEXT($A172,"yyyy-mm"))</f>
        <v/>
      </c>
    </row>
    <row r="173">
      <c r="A173" s="66" t="n"/>
      <c r="B173" s="4" t="n"/>
      <c r="C173" s="11">
        <f>IFERROR(VLOOKUP($B173,Members!$A:$C,2,FALSE),"")</f>
        <v/>
      </c>
      <c r="D173" s="11">
        <f>IFERROR(VLOOKUP($B173,Members!$A:$C,3,FALSE),"")</f>
        <v/>
      </c>
      <c r="E173" s="11">
        <f>IF($F173="","",IFERROR(VLOOKUP($F173,ActionMap!$A:$B,2,FALSE),"INVALID ACTION"))</f>
        <v/>
      </c>
      <c r="F173" s="4" t="n"/>
      <c r="G173" s="11">
        <f>IFERROR(VLOOKUP($E173,ActionsCatalog!$A:$B,2,FALSE),"")</f>
        <v/>
      </c>
      <c r="H173" s="4" t="n"/>
      <c r="I173" s="4">
        <f>IFERROR(VLOOKUP($E173,ActionsCatalog!$A:$D,3,FALSE),0)</f>
        <v/>
      </c>
      <c r="J173" s="4">
        <f>IFERROR(VLOOKUP($E173,ActionsCatalog!$A:$D,4,FALSE),0)</f>
        <v/>
      </c>
      <c r="K173" s="4">
        <f>IF($M173&lt;&gt;"Yes",0,IF($H173="",0,$H173*$I173))</f>
        <v/>
      </c>
      <c r="L173" s="4">
        <f>IF($M173&lt;&gt;"Yes",0,IF($H173="",0,$H173*$J173))</f>
        <v/>
      </c>
      <c r="M173" s="4" t="n"/>
      <c r="N173" s="4" t="n"/>
      <c r="O173" s="4">
        <f>IF($A173="","",TEXT($A173,"yyyy")&amp;"-W"&amp;TEXT(ISOWEEKNUM($A173),"00"))</f>
        <v/>
      </c>
      <c r="P173" s="4" t="n"/>
      <c r="Q173" s="14">
        <f>IF($A173="","",TEXT($A173,"yyyy-mm"))</f>
        <v/>
      </c>
    </row>
    <row r="174">
      <c r="A174" s="66" t="n"/>
      <c r="B174" s="4" t="n"/>
      <c r="C174" s="11">
        <f>IFERROR(VLOOKUP($B174,Members!$A:$C,2,FALSE),"")</f>
        <v/>
      </c>
      <c r="D174" s="11">
        <f>IFERROR(VLOOKUP($B174,Members!$A:$C,3,FALSE),"")</f>
        <v/>
      </c>
      <c r="E174" s="11">
        <f>IF($F174="","",IFERROR(VLOOKUP($F174,ActionMap!$A:$B,2,FALSE),"INVALID ACTION"))</f>
        <v/>
      </c>
      <c r="F174" s="4" t="n"/>
      <c r="G174" s="11">
        <f>IFERROR(VLOOKUP($E174,ActionsCatalog!$A:$B,2,FALSE),"")</f>
        <v/>
      </c>
      <c r="H174" s="4" t="n"/>
      <c r="I174" s="4">
        <f>IFERROR(VLOOKUP($E174,ActionsCatalog!$A:$D,3,FALSE),0)</f>
        <v/>
      </c>
      <c r="J174" s="4">
        <f>IFERROR(VLOOKUP($E174,ActionsCatalog!$A:$D,4,FALSE),0)</f>
        <v/>
      </c>
      <c r="K174" s="4">
        <f>IF($M174&lt;&gt;"Yes",0,IF($H174="",0,$H174*$I174))</f>
        <v/>
      </c>
      <c r="L174" s="4">
        <f>IF($M174&lt;&gt;"Yes",0,IF($H174="",0,$H174*$J174))</f>
        <v/>
      </c>
      <c r="M174" s="4" t="n"/>
      <c r="N174" s="4" t="n"/>
      <c r="O174" s="4">
        <f>IF($A174="","",TEXT($A174,"yyyy")&amp;"-W"&amp;TEXT(ISOWEEKNUM($A174),"00"))</f>
        <v/>
      </c>
      <c r="P174" s="4" t="n"/>
      <c r="Q174" s="14">
        <f>IF($A174="","",TEXT($A174,"yyyy-mm"))</f>
        <v/>
      </c>
    </row>
    <row r="175">
      <c r="A175" s="66" t="n"/>
      <c r="B175" s="4" t="n"/>
      <c r="C175" s="11">
        <f>IFERROR(VLOOKUP($B175,Members!$A:$C,2,FALSE),"")</f>
        <v/>
      </c>
      <c r="D175" s="11">
        <f>IFERROR(VLOOKUP($B175,Members!$A:$C,3,FALSE),"")</f>
        <v/>
      </c>
      <c r="E175" s="11">
        <f>IF($F175="","",IFERROR(VLOOKUP($F175,ActionMap!$A:$B,2,FALSE),"INVALID ACTION"))</f>
        <v/>
      </c>
      <c r="F175" s="4" t="n"/>
      <c r="G175" s="11">
        <f>IFERROR(VLOOKUP($E175,ActionsCatalog!$A:$B,2,FALSE),"")</f>
        <v/>
      </c>
      <c r="H175" s="4" t="n"/>
      <c r="I175" s="4">
        <f>IFERROR(VLOOKUP($E175,ActionsCatalog!$A:$D,3,FALSE),0)</f>
        <v/>
      </c>
      <c r="J175" s="4">
        <f>IFERROR(VLOOKUP($E175,ActionsCatalog!$A:$D,4,FALSE),0)</f>
        <v/>
      </c>
      <c r="K175" s="4">
        <f>IF($M175&lt;&gt;"Yes",0,IF($H175="",0,$H175*$I175))</f>
        <v/>
      </c>
      <c r="L175" s="4">
        <f>IF($M175&lt;&gt;"Yes",0,IF($H175="",0,$H175*$J175))</f>
        <v/>
      </c>
      <c r="M175" s="4" t="n"/>
      <c r="N175" s="4" t="n"/>
      <c r="O175" s="4">
        <f>IF($A175="","",TEXT($A175,"yyyy")&amp;"-W"&amp;TEXT(ISOWEEKNUM($A175),"00"))</f>
        <v/>
      </c>
      <c r="P175" s="4" t="n"/>
      <c r="Q175" s="14">
        <f>IF($A175="","",TEXT($A175,"yyyy-mm"))</f>
        <v/>
      </c>
    </row>
    <row r="176">
      <c r="A176" s="66" t="n"/>
      <c r="B176" s="4" t="n"/>
      <c r="C176" s="11">
        <f>IFERROR(VLOOKUP($B176,Members!$A:$C,2,FALSE),"")</f>
        <v/>
      </c>
      <c r="D176" s="11">
        <f>IFERROR(VLOOKUP($B176,Members!$A:$C,3,FALSE),"")</f>
        <v/>
      </c>
      <c r="E176" s="11">
        <f>IF($F176="","",IFERROR(VLOOKUP($F176,ActionMap!$A:$B,2,FALSE),"INVALID ACTION"))</f>
        <v/>
      </c>
      <c r="F176" s="4" t="n"/>
      <c r="G176" s="11">
        <f>IFERROR(VLOOKUP($E176,ActionsCatalog!$A:$B,2,FALSE),"")</f>
        <v/>
      </c>
      <c r="H176" s="4" t="n"/>
      <c r="I176" s="4">
        <f>IFERROR(VLOOKUP($E176,ActionsCatalog!$A:$D,3,FALSE),0)</f>
        <v/>
      </c>
      <c r="J176" s="4">
        <f>IFERROR(VLOOKUP($E176,ActionsCatalog!$A:$D,4,FALSE),0)</f>
        <v/>
      </c>
      <c r="K176" s="4">
        <f>IF($M176&lt;&gt;"Yes",0,IF($H176="",0,$H176*$I176))</f>
        <v/>
      </c>
      <c r="L176" s="4">
        <f>IF($M176&lt;&gt;"Yes",0,IF($H176="",0,$H176*$J176))</f>
        <v/>
      </c>
      <c r="M176" s="4" t="n"/>
      <c r="N176" s="4" t="n"/>
      <c r="O176" s="4">
        <f>IF($A176="","",TEXT($A176,"yyyy")&amp;"-W"&amp;TEXT(ISOWEEKNUM($A176),"00"))</f>
        <v/>
      </c>
      <c r="P176" s="4" t="n"/>
      <c r="Q176" s="14">
        <f>IF($A176="","",TEXT($A176,"yyyy-mm"))</f>
        <v/>
      </c>
    </row>
    <row r="177">
      <c r="A177" s="66" t="n"/>
      <c r="B177" s="4" t="n"/>
      <c r="C177" s="11">
        <f>IFERROR(VLOOKUP($B177,Members!$A:$C,2,FALSE),"")</f>
        <v/>
      </c>
      <c r="D177" s="11">
        <f>IFERROR(VLOOKUP($B177,Members!$A:$C,3,FALSE),"")</f>
        <v/>
      </c>
      <c r="E177" s="11">
        <f>IF($F177="","",IFERROR(VLOOKUP($F177,ActionMap!$A:$B,2,FALSE),"INVALID ACTION"))</f>
        <v/>
      </c>
      <c r="F177" s="4" t="n"/>
      <c r="G177" s="11">
        <f>IFERROR(VLOOKUP($E177,ActionsCatalog!$A:$B,2,FALSE),"")</f>
        <v/>
      </c>
      <c r="H177" s="4" t="n"/>
      <c r="I177" s="4">
        <f>IFERROR(VLOOKUP($E177,ActionsCatalog!$A:$D,3,FALSE),0)</f>
        <v/>
      </c>
      <c r="J177" s="4">
        <f>IFERROR(VLOOKUP($E177,ActionsCatalog!$A:$D,4,FALSE),0)</f>
        <v/>
      </c>
      <c r="K177" s="4">
        <f>IF($M177&lt;&gt;"Yes",0,IF($H177="",0,$H177*$I177))</f>
        <v/>
      </c>
      <c r="L177" s="4">
        <f>IF($M177&lt;&gt;"Yes",0,IF($H177="",0,$H177*$J177))</f>
        <v/>
      </c>
      <c r="M177" s="4" t="n"/>
      <c r="N177" s="4" t="n"/>
      <c r="O177" s="4">
        <f>IF($A177="","",TEXT($A177,"yyyy")&amp;"-W"&amp;TEXT(ISOWEEKNUM($A177),"00"))</f>
        <v/>
      </c>
      <c r="P177" s="4" t="n"/>
      <c r="Q177" s="14">
        <f>IF($A177="","",TEXT($A177,"yyyy-mm"))</f>
        <v/>
      </c>
    </row>
    <row r="178">
      <c r="A178" s="66" t="n"/>
      <c r="B178" s="4" t="n"/>
      <c r="C178" s="11">
        <f>IFERROR(VLOOKUP($B178,Members!$A:$C,2,FALSE),"")</f>
        <v/>
      </c>
      <c r="D178" s="11">
        <f>IFERROR(VLOOKUP($B178,Members!$A:$C,3,FALSE),"")</f>
        <v/>
      </c>
      <c r="E178" s="11">
        <f>IF($F178="","",IFERROR(VLOOKUP($F178,ActionMap!$A:$B,2,FALSE),"INVALID ACTION"))</f>
        <v/>
      </c>
      <c r="F178" s="4" t="n"/>
      <c r="G178" s="11">
        <f>IFERROR(VLOOKUP($E178,ActionsCatalog!$A:$B,2,FALSE),"")</f>
        <v/>
      </c>
      <c r="H178" s="4" t="n"/>
      <c r="I178" s="4">
        <f>IFERROR(VLOOKUP($E178,ActionsCatalog!$A:$D,3,FALSE),0)</f>
        <v/>
      </c>
      <c r="J178" s="4">
        <f>IFERROR(VLOOKUP($E178,ActionsCatalog!$A:$D,4,FALSE),0)</f>
        <v/>
      </c>
      <c r="K178" s="4">
        <f>IF($M178&lt;&gt;"Yes",0,IF($H178="",0,$H178*$I178))</f>
        <v/>
      </c>
      <c r="L178" s="4">
        <f>IF($M178&lt;&gt;"Yes",0,IF($H178="",0,$H178*$J178))</f>
        <v/>
      </c>
      <c r="M178" s="4" t="n"/>
      <c r="N178" s="4" t="n"/>
      <c r="O178" s="4">
        <f>IF($A178="","",TEXT($A178,"yyyy")&amp;"-W"&amp;TEXT(ISOWEEKNUM($A178),"00"))</f>
        <v/>
      </c>
      <c r="P178" s="4" t="n"/>
      <c r="Q178" s="14">
        <f>IF($A178="","",TEXT($A178,"yyyy-mm"))</f>
        <v/>
      </c>
    </row>
    <row r="179">
      <c r="A179" s="66" t="n"/>
      <c r="B179" s="4" t="n"/>
      <c r="C179" s="11">
        <f>IFERROR(VLOOKUP($B179,Members!$A:$C,2,FALSE),"")</f>
        <v/>
      </c>
      <c r="D179" s="11">
        <f>IFERROR(VLOOKUP($B179,Members!$A:$C,3,FALSE),"")</f>
        <v/>
      </c>
      <c r="E179" s="11">
        <f>IF($F179="","",IFERROR(VLOOKUP($F179,ActionMap!$A:$B,2,FALSE),"INVALID ACTION"))</f>
        <v/>
      </c>
      <c r="F179" s="4" t="n"/>
      <c r="G179" s="11">
        <f>IFERROR(VLOOKUP($E179,ActionsCatalog!$A:$B,2,FALSE),"")</f>
        <v/>
      </c>
      <c r="H179" s="4" t="n"/>
      <c r="I179" s="4">
        <f>IFERROR(VLOOKUP($E179,ActionsCatalog!$A:$D,3,FALSE),0)</f>
        <v/>
      </c>
      <c r="J179" s="4">
        <f>IFERROR(VLOOKUP($E179,ActionsCatalog!$A:$D,4,FALSE),0)</f>
        <v/>
      </c>
      <c r="K179" s="4">
        <f>IF($M179&lt;&gt;"Yes",0,IF($H179="",0,$H179*$I179))</f>
        <v/>
      </c>
      <c r="L179" s="4">
        <f>IF($M179&lt;&gt;"Yes",0,IF($H179="",0,$H179*$J179))</f>
        <v/>
      </c>
      <c r="M179" s="4" t="n"/>
      <c r="N179" s="4" t="n"/>
      <c r="O179" s="4">
        <f>IF($A179="","",TEXT($A179,"yyyy")&amp;"-W"&amp;TEXT(ISOWEEKNUM($A179),"00"))</f>
        <v/>
      </c>
      <c r="P179" s="4" t="n"/>
      <c r="Q179" s="14">
        <f>IF($A179="","",TEXT($A179,"yyyy-mm"))</f>
        <v/>
      </c>
    </row>
    <row r="180">
      <c r="A180" s="66" t="n"/>
      <c r="B180" s="4" t="n"/>
      <c r="C180" s="11">
        <f>IFERROR(VLOOKUP($B180,Members!$A:$C,2,FALSE),"")</f>
        <v/>
      </c>
      <c r="D180" s="11">
        <f>IFERROR(VLOOKUP($B180,Members!$A:$C,3,FALSE),"")</f>
        <v/>
      </c>
      <c r="E180" s="11">
        <f>IF($F180="","",IFERROR(VLOOKUP($F180,ActionMap!$A:$B,2,FALSE),"INVALID ACTION"))</f>
        <v/>
      </c>
      <c r="F180" s="4" t="n"/>
      <c r="G180" s="11">
        <f>IFERROR(VLOOKUP($E180,ActionsCatalog!$A:$B,2,FALSE),"")</f>
        <v/>
      </c>
      <c r="H180" s="4" t="n"/>
      <c r="I180" s="4">
        <f>IFERROR(VLOOKUP($E180,ActionsCatalog!$A:$D,3,FALSE),0)</f>
        <v/>
      </c>
      <c r="J180" s="4">
        <f>IFERROR(VLOOKUP($E180,ActionsCatalog!$A:$D,4,FALSE),0)</f>
        <v/>
      </c>
      <c r="K180" s="4">
        <f>IF($M180&lt;&gt;"Yes",0,IF($H180="",0,$H180*$I180))</f>
        <v/>
      </c>
      <c r="L180" s="4">
        <f>IF($M180&lt;&gt;"Yes",0,IF($H180="",0,$H180*$J180))</f>
        <v/>
      </c>
      <c r="M180" s="4" t="n"/>
      <c r="N180" s="4" t="n"/>
      <c r="O180" s="4">
        <f>IF($A180="","",TEXT($A180,"yyyy")&amp;"-W"&amp;TEXT(ISOWEEKNUM($A180),"00"))</f>
        <v/>
      </c>
      <c r="P180" s="4" t="n"/>
      <c r="Q180" s="14">
        <f>IF($A180="","",TEXT($A180,"yyyy-mm"))</f>
        <v/>
      </c>
    </row>
    <row r="181">
      <c r="A181" s="66" t="n"/>
      <c r="B181" s="4" t="n"/>
      <c r="C181" s="11">
        <f>IFERROR(VLOOKUP($B181,Members!$A:$C,2,FALSE),"")</f>
        <v/>
      </c>
      <c r="D181" s="11">
        <f>IFERROR(VLOOKUP($B181,Members!$A:$C,3,FALSE),"")</f>
        <v/>
      </c>
      <c r="E181" s="11">
        <f>IF($F181="","",IFERROR(VLOOKUP($F181,ActionMap!$A:$B,2,FALSE),"INVALID ACTION"))</f>
        <v/>
      </c>
      <c r="F181" s="4" t="n"/>
      <c r="G181" s="11">
        <f>IFERROR(VLOOKUP($E181,ActionsCatalog!$A:$B,2,FALSE),"")</f>
        <v/>
      </c>
      <c r="H181" s="4" t="n"/>
      <c r="I181" s="4">
        <f>IFERROR(VLOOKUP($E181,ActionsCatalog!$A:$D,3,FALSE),0)</f>
        <v/>
      </c>
      <c r="J181" s="4">
        <f>IFERROR(VLOOKUP($E181,ActionsCatalog!$A:$D,4,FALSE),0)</f>
        <v/>
      </c>
      <c r="K181" s="4">
        <f>IF($M181&lt;&gt;"Yes",0,IF($H181="",0,$H181*$I181))</f>
        <v/>
      </c>
      <c r="L181" s="4">
        <f>IF($M181&lt;&gt;"Yes",0,IF($H181="",0,$H181*$J181))</f>
        <v/>
      </c>
      <c r="M181" s="4" t="n"/>
      <c r="N181" s="4" t="n"/>
      <c r="O181" s="4">
        <f>IF($A181="","",TEXT($A181,"yyyy")&amp;"-W"&amp;TEXT(ISOWEEKNUM($A181),"00"))</f>
        <v/>
      </c>
      <c r="P181" s="4" t="n"/>
      <c r="Q181" s="14">
        <f>IF($A181="","",TEXT($A181,"yyyy-mm"))</f>
        <v/>
      </c>
    </row>
    <row r="182">
      <c r="A182" s="66" t="n"/>
      <c r="B182" s="4" t="n"/>
      <c r="C182" s="11">
        <f>IFERROR(VLOOKUP($B182,Members!$A:$C,2,FALSE),"")</f>
        <v/>
      </c>
      <c r="D182" s="11">
        <f>IFERROR(VLOOKUP($B182,Members!$A:$C,3,FALSE),"")</f>
        <v/>
      </c>
      <c r="E182" s="11">
        <f>IF($F182="","",IFERROR(VLOOKUP($F182,ActionMap!$A:$B,2,FALSE),"INVALID ACTION"))</f>
        <v/>
      </c>
      <c r="F182" s="4" t="n"/>
      <c r="G182" s="11">
        <f>IFERROR(VLOOKUP($E182,ActionsCatalog!$A:$B,2,FALSE),"")</f>
        <v/>
      </c>
      <c r="H182" s="4" t="n"/>
      <c r="I182" s="4">
        <f>IFERROR(VLOOKUP($E182,ActionsCatalog!$A:$D,3,FALSE),0)</f>
        <v/>
      </c>
      <c r="J182" s="4">
        <f>IFERROR(VLOOKUP($E182,ActionsCatalog!$A:$D,4,FALSE),0)</f>
        <v/>
      </c>
      <c r="K182" s="4">
        <f>IF($M182&lt;&gt;"Yes",0,IF($H182="",0,$H182*$I182))</f>
        <v/>
      </c>
      <c r="L182" s="4">
        <f>IF($M182&lt;&gt;"Yes",0,IF($H182="",0,$H182*$J182))</f>
        <v/>
      </c>
      <c r="M182" s="4" t="n"/>
      <c r="N182" s="4" t="n"/>
      <c r="O182" s="4">
        <f>IF($A182="","",TEXT($A182,"yyyy")&amp;"-W"&amp;TEXT(ISOWEEKNUM($A182),"00"))</f>
        <v/>
      </c>
      <c r="P182" s="4" t="n"/>
      <c r="Q182" s="14">
        <f>IF($A182="","",TEXT($A182,"yyyy-mm"))</f>
        <v/>
      </c>
    </row>
    <row r="183">
      <c r="A183" s="66" t="n"/>
      <c r="B183" s="4" t="n"/>
      <c r="C183" s="11">
        <f>IFERROR(VLOOKUP($B183,Members!$A:$C,2,FALSE),"")</f>
        <v/>
      </c>
      <c r="D183" s="11">
        <f>IFERROR(VLOOKUP($B183,Members!$A:$C,3,FALSE),"")</f>
        <v/>
      </c>
      <c r="E183" s="11">
        <f>IF($F183="","",IFERROR(VLOOKUP($F183,ActionMap!$A:$B,2,FALSE),"INVALID ACTION"))</f>
        <v/>
      </c>
      <c r="F183" s="4" t="n"/>
      <c r="G183" s="11">
        <f>IFERROR(VLOOKUP($E183,ActionsCatalog!$A:$B,2,FALSE),"")</f>
        <v/>
      </c>
      <c r="H183" s="4" t="n"/>
      <c r="I183" s="4">
        <f>IFERROR(VLOOKUP($E183,ActionsCatalog!$A:$D,3,FALSE),0)</f>
        <v/>
      </c>
      <c r="J183" s="4">
        <f>IFERROR(VLOOKUP($E183,ActionsCatalog!$A:$D,4,FALSE),0)</f>
        <v/>
      </c>
      <c r="K183" s="4">
        <f>IF($M183&lt;&gt;"Yes",0,IF($H183="",0,$H183*$I183))</f>
        <v/>
      </c>
      <c r="L183" s="4">
        <f>IF($M183&lt;&gt;"Yes",0,IF($H183="",0,$H183*$J183))</f>
        <v/>
      </c>
      <c r="M183" s="4" t="n"/>
      <c r="N183" s="4" t="n"/>
      <c r="O183" s="4">
        <f>IF($A183="","",TEXT($A183,"yyyy")&amp;"-W"&amp;TEXT(ISOWEEKNUM($A183),"00"))</f>
        <v/>
      </c>
      <c r="P183" s="4" t="n"/>
      <c r="Q183" s="14">
        <f>IF($A183="","",TEXT($A183,"yyyy-mm"))</f>
        <v/>
      </c>
    </row>
    <row r="184">
      <c r="A184" s="66" t="n"/>
      <c r="B184" s="4" t="n"/>
      <c r="C184" s="11">
        <f>IFERROR(VLOOKUP($B184,Members!$A:$C,2,FALSE),"")</f>
        <v/>
      </c>
      <c r="D184" s="11">
        <f>IFERROR(VLOOKUP($B184,Members!$A:$C,3,FALSE),"")</f>
        <v/>
      </c>
      <c r="E184" s="11">
        <f>IF($F184="","",IFERROR(VLOOKUP($F184,ActionMap!$A:$B,2,FALSE),"INVALID ACTION"))</f>
        <v/>
      </c>
      <c r="F184" s="4" t="n"/>
      <c r="G184" s="11">
        <f>IFERROR(VLOOKUP($E184,ActionsCatalog!$A:$B,2,FALSE),"")</f>
        <v/>
      </c>
      <c r="H184" s="4" t="n"/>
      <c r="I184" s="4">
        <f>IFERROR(VLOOKUP($E184,ActionsCatalog!$A:$D,3,FALSE),0)</f>
        <v/>
      </c>
      <c r="J184" s="4">
        <f>IFERROR(VLOOKUP($E184,ActionsCatalog!$A:$D,4,FALSE),0)</f>
        <v/>
      </c>
      <c r="K184" s="4">
        <f>IF($M184&lt;&gt;"Yes",0,IF($H184="",0,$H184*$I184))</f>
        <v/>
      </c>
      <c r="L184" s="4">
        <f>IF($M184&lt;&gt;"Yes",0,IF($H184="",0,$H184*$J184))</f>
        <v/>
      </c>
      <c r="M184" s="4" t="n"/>
      <c r="N184" s="4" t="n"/>
      <c r="O184" s="4">
        <f>IF($A184="","",TEXT($A184,"yyyy")&amp;"-W"&amp;TEXT(ISOWEEKNUM($A184),"00"))</f>
        <v/>
      </c>
      <c r="P184" s="4" t="n"/>
      <c r="Q184" s="14">
        <f>IF($A184="","",TEXT($A184,"yyyy-mm"))</f>
        <v/>
      </c>
    </row>
    <row r="185">
      <c r="A185" s="66" t="n"/>
      <c r="B185" s="4" t="n"/>
      <c r="C185" s="11">
        <f>IFERROR(VLOOKUP($B185,Members!$A:$C,2,FALSE),"")</f>
        <v/>
      </c>
      <c r="D185" s="11">
        <f>IFERROR(VLOOKUP($B185,Members!$A:$C,3,FALSE),"")</f>
        <v/>
      </c>
      <c r="E185" s="11">
        <f>IF($F185="","",IFERROR(VLOOKUP($F185,ActionMap!$A:$B,2,FALSE),"INVALID ACTION"))</f>
        <v/>
      </c>
      <c r="F185" s="4" t="n"/>
      <c r="G185" s="11">
        <f>IFERROR(VLOOKUP($E185,ActionsCatalog!$A:$B,2,FALSE),"")</f>
        <v/>
      </c>
      <c r="H185" s="4" t="n"/>
      <c r="I185" s="4">
        <f>IFERROR(VLOOKUP($E185,ActionsCatalog!$A:$D,3,FALSE),0)</f>
        <v/>
      </c>
      <c r="J185" s="4">
        <f>IFERROR(VLOOKUP($E185,ActionsCatalog!$A:$D,4,FALSE),0)</f>
        <v/>
      </c>
      <c r="K185" s="4">
        <f>IF($M185&lt;&gt;"Yes",0,IF($H185="",0,$H185*$I185))</f>
        <v/>
      </c>
      <c r="L185" s="4">
        <f>IF($M185&lt;&gt;"Yes",0,IF($H185="",0,$H185*$J185))</f>
        <v/>
      </c>
      <c r="M185" s="4" t="n"/>
      <c r="N185" s="4" t="n"/>
      <c r="O185" s="4">
        <f>IF($A185="","",TEXT($A185,"yyyy")&amp;"-W"&amp;TEXT(ISOWEEKNUM($A185),"00"))</f>
        <v/>
      </c>
      <c r="P185" s="4" t="n"/>
      <c r="Q185" s="14">
        <f>IF($A185="","",TEXT($A185,"yyyy-mm"))</f>
        <v/>
      </c>
    </row>
    <row r="186">
      <c r="A186" s="66" t="n"/>
      <c r="B186" s="4" t="n"/>
      <c r="C186" s="11">
        <f>IFERROR(VLOOKUP($B186,Members!$A:$C,2,FALSE),"")</f>
        <v/>
      </c>
      <c r="D186" s="11">
        <f>IFERROR(VLOOKUP($B186,Members!$A:$C,3,FALSE),"")</f>
        <v/>
      </c>
      <c r="E186" s="11">
        <f>IF($F186="","",IFERROR(VLOOKUP($F186,ActionMap!$A:$B,2,FALSE),"INVALID ACTION"))</f>
        <v/>
      </c>
      <c r="F186" s="4" t="n"/>
      <c r="G186" s="11">
        <f>IFERROR(VLOOKUP($E186,ActionsCatalog!$A:$B,2,FALSE),"")</f>
        <v/>
      </c>
      <c r="H186" s="4" t="n"/>
      <c r="I186" s="4">
        <f>IFERROR(VLOOKUP($E186,ActionsCatalog!$A:$D,3,FALSE),0)</f>
        <v/>
      </c>
      <c r="J186" s="4">
        <f>IFERROR(VLOOKUP($E186,ActionsCatalog!$A:$D,4,FALSE),0)</f>
        <v/>
      </c>
      <c r="K186" s="4">
        <f>IF($M186&lt;&gt;"Yes",0,IF($H186="",0,$H186*$I186))</f>
        <v/>
      </c>
      <c r="L186" s="4">
        <f>IF($M186&lt;&gt;"Yes",0,IF($H186="",0,$H186*$J186))</f>
        <v/>
      </c>
      <c r="M186" s="4" t="n"/>
      <c r="N186" s="4" t="n"/>
      <c r="O186" s="4">
        <f>IF($A186="","",TEXT($A186,"yyyy")&amp;"-W"&amp;TEXT(ISOWEEKNUM($A186),"00"))</f>
        <v/>
      </c>
      <c r="P186" s="4" t="n"/>
      <c r="Q186" s="14">
        <f>IF($A186="","",TEXT($A186,"yyyy-mm"))</f>
        <v/>
      </c>
    </row>
    <row r="187">
      <c r="A187" s="66" t="n"/>
      <c r="B187" s="4" t="n"/>
      <c r="C187" s="11">
        <f>IFERROR(VLOOKUP($B187,Members!$A:$C,2,FALSE),"")</f>
        <v/>
      </c>
      <c r="D187" s="11">
        <f>IFERROR(VLOOKUP($B187,Members!$A:$C,3,FALSE),"")</f>
        <v/>
      </c>
      <c r="E187" s="11">
        <f>IF($F187="","",IFERROR(VLOOKUP($F187,ActionMap!$A:$B,2,FALSE),"INVALID ACTION"))</f>
        <v/>
      </c>
      <c r="F187" s="4" t="n"/>
      <c r="G187" s="11">
        <f>IFERROR(VLOOKUP($E187,ActionsCatalog!$A:$B,2,FALSE),"")</f>
        <v/>
      </c>
      <c r="H187" s="4" t="n"/>
      <c r="I187" s="4">
        <f>IFERROR(VLOOKUP($E187,ActionsCatalog!$A:$D,3,FALSE),0)</f>
        <v/>
      </c>
      <c r="J187" s="4">
        <f>IFERROR(VLOOKUP($E187,ActionsCatalog!$A:$D,4,FALSE),0)</f>
        <v/>
      </c>
      <c r="K187" s="4">
        <f>IF($M187&lt;&gt;"Yes",0,IF($H187="",0,$H187*$I187))</f>
        <v/>
      </c>
      <c r="L187" s="4">
        <f>IF($M187&lt;&gt;"Yes",0,IF($H187="",0,$H187*$J187))</f>
        <v/>
      </c>
      <c r="M187" s="4" t="n"/>
      <c r="N187" s="4" t="n"/>
      <c r="O187" s="4">
        <f>IF($A187="","",TEXT($A187,"yyyy")&amp;"-W"&amp;TEXT(ISOWEEKNUM($A187),"00"))</f>
        <v/>
      </c>
      <c r="P187" s="4" t="n"/>
      <c r="Q187" s="14">
        <f>IF($A187="","",TEXT($A187,"yyyy-mm"))</f>
        <v/>
      </c>
    </row>
    <row r="188">
      <c r="A188" s="66" t="n"/>
      <c r="B188" s="4" t="n"/>
      <c r="C188" s="11">
        <f>IFERROR(VLOOKUP($B188,Members!$A:$C,2,FALSE),"")</f>
        <v/>
      </c>
      <c r="D188" s="11">
        <f>IFERROR(VLOOKUP($B188,Members!$A:$C,3,FALSE),"")</f>
        <v/>
      </c>
      <c r="E188" s="11">
        <f>IF($F188="","",IFERROR(VLOOKUP($F188,ActionMap!$A:$B,2,FALSE),"INVALID ACTION"))</f>
        <v/>
      </c>
      <c r="F188" s="4" t="n"/>
      <c r="G188" s="11">
        <f>IFERROR(VLOOKUP($E188,ActionsCatalog!$A:$B,2,FALSE),"")</f>
        <v/>
      </c>
      <c r="H188" s="4" t="n"/>
      <c r="I188" s="4">
        <f>IFERROR(VLOOKUP($E188,ActionsCatalog!$A:$D,3,FALSE),0)</f>
        <v/>
      </c>
      <c r="J188" s="4">
        <f>IFERROR(VLOOKUP($E188,ActionsCatalog!$A:$D,4,FALSE),0)</f>
        <v/>
      </c>
      <c r="K188" s="4">
        <f>IF($M188&lt;&gt;"Yes",0,IF($H188="",0,$H188*$I188))</f>
        <v/>
      </c>
      <c r="L188" s="4">
        <f>IF($M188&lt;&gt;"Yes",0,IF($H188="",0,$H188*$J188))</f>
        <v/>
      </c>
      <c r="M188" s="4" t="n"/>
      <c r="N188" s="4" t="n"/>
      <c r="O188" s="4">
        <f>IF($A188="","",TEXT($A188,"yyyy")&amp;"-W"&amp;TEXT(ISOWEEKNUM($A188),"00"))</f>
        <v/>
      </c>
      <c r="P188" s="4" t="n"/>
      <c r="Q188" s="14">
        <f>IF($A188="","",TEXT($A188,"yyyy-mm"))</f>
        <v/>
      </c>
    </row>
    <row r="189">
      <c r="A189" s="66" t="n"/>
      <c r="B189" s="4" t="n"/>
      <c r="C189" s="11">
        <f>IFERROR(VLOOKUP($B189,Members!$A:$C,2,FALSE),"")</f>
        <v/>
      </c>
      <c r="D189" s="11">
        <f>IFERROR(VLOOKUP($B189,Members!$A:$C,3,FALSE),"")</f>
        <v/>
      </c>
      <c r="E189" s="11">
        <f>IF($F189="","",IFERROR(VLOOKUP($F189,ActionMap!$A:$B,2,FALSE),"INVALID ACTION"))</f>
        <v/>
      </c>
      <c r="F189" s="4" t="n"/>
      <c r="G189" s="11">
        <f>IFERROR(VLOOKUP($E189,ActionsCatalog!$A:$B,2,FALSE),"")</f>
        <v/>
      </c>
      <c r="H189" s="4" t="n"/>
      <c r="I189" s="4">
        <f>IFERROR(VLOOKUP($E189,ActionsCatalog!$A:$D,3,FALSE),0)</f>
        <v/>
      </c>
      <c r="J189" s="4">
        <f>IFERROR(VLOOKUP($E189,ActionsCatalog!$A:$D,4,FALSE),0)</f>
        <v/>
      </c>
      <c r="K189" s="4">
        <f>IF($M189&lt;&gt;"Yes",0,IF($H189="",0,$H189*$I189))</f>
        <v/>
      </c>
      <c r="L189" s="4">
        <f>IF($M189&lt;&gt;"Yes",0,IF($H189="",0,$H189*$J189))</f>
        <v/>
      </c>
      <c r="M189" s="4" t="n"/>
      <c r="N189" s="4" t="n"/>
      <c r="O189" s="4">
        <f>IF($A189="","",TEXT($A189,"yyyy")&amp;"-W"&amp;TEXT(ISOWEEKNUM($A189),"00"))</f>
        <v/>
      </c>
      <c r="P189" s="4" t="n"/>
      <c r="Q189" s="14">
        <f>IF($A189="","",TEXT($A189,"yyyy-mm"))</f>
        <v/>
      </c>
    </row>
    <row r="190">
      <c r="A190" s="66" t="n"/>
      <c r="B190" s="4" t="n"/>
      <c r="C190" s="11">
        <f>IFERROR(VLOOKUP($B190,Members!$A:$C,2,FALSE),"")</f>
        <v/>
      </c>
      <c r="D190" s="11">
        <f>IFERROR(VLOOKUP($B190,Members!$A:$C,3,FALSE),"")</f>
        <v/>
      </c>
      <c r="E190" s="11">
        <f>IF($F190="","",IFERROR(VLOOKUP($F190,ActionMap!$A:$B,2,FALSE),"INVALID ACTION"))</f>
        <v/>
      </c>
      <c r="F190" s="4" t="n"/>
      <c r="G190" s="11">
        <f>IFERROR(VLOOKUP($E190,ActionsCatalog!$A:$B,2,FALSE),"")</f>
        <v/>
      </c>
      <c r="H190" s="4" t="n"/>
      <c r="I190" s="4">
        <f>IFERROR(VLOOKUP($E190,ActionsCatalog!$A:$D,3,FALSE),0)</f>
        <v/>
      </c>
      <c r="J190" s="4">
        <f>IFERROR(VLOOKUP($E190,ActionsCatalog!$A:$D,4,FALSE),0)</f>
        <v/>
      </c>
      <c r="K190" s="4">
        <f>IF($M190&lt;&gt;"Yes",0,IF($H190="",0,$H190*$I190))</f>
        <v/>
      </c>
      <c r="L190" s="4">
        <f>IF($M190&lt;&gt;"Yes",0,IF($H190="",0,$H190*$J190))</f>
        <v/>
      </c>
      <c r="M190" s="4" t="n"/>
      <c r="N190" s="4" t="n"/>
      <c r="O190" s="4">
        <f>IF($A190="","",TEXT($A190,"yyyy")&amp;"-W"&amp;TEXT(ISOWEEKNUM($A190),"00"))</f>
        <v/>
      </c>
      <c r="P190" s="4" t="n"/>
      <c r="Q190" s="14">
        <f>IF($A190="","",TEXT($A190,"yyyy-mm"))</f>
        <v/>
      </c>
    </row>
    <row r="191">
      <c r="A191" s="66" t="n"/>
      <c r="B191" s="4" t="n"/>
      <c r="C191" s="11">
        <f>IFERROR(VLOOKUP($B191,Members!$A:$C,2,FALSE),"")</f>
        <v/>
      </c>
      <c r="D191" s="11">
        <f>IFERROR(VLOOKUP($B191,Members!$A:$C,3,FALSE),"")</f>
        <v/>
      </c>
      <c r="E191" s="11">
        <f>IF($F191="","",IFERROR(VLOOKUP($F191,ActionMap!$A:$B,2,FALSE),"INVALID ACTION"))</f>
        <v/>
      </c>
      <c r="F191" s="4" t="n"/>
      <c r="G191" s="11">
        <f>IFERROR(VLOOKUP($E191,ActionsCatalog!$A:$B,2,FALSE),"")</f>
        <v/>
      </c>
      <c r="H191" s="4" t="n"/>
      <c r="I191" s="4">
        <f>IFERROR(VLOOKUP($E191,ActionsCatalog!$A:$D,3,FALSE),0)</f>
        <v/>
      </c>
      <c r="J191" s="4">
        <f>IFERROR(VLOOKUP($E191,ActionsCatalog!$A:$D,4,FALSE),0)</f>
        <v/>
      </c>
      <c r="K191" s="4">
        <f>IF($M191&lt;&gt;"Yes",0,IF($H191="",0,$H191*$I191))</f>
        <v/>
      </c>
      <c r="L191" s="4">
        <f>IF($M191&lt;&gt;"Yes",0,IF($H191="",0,$H191*$J191))</f>
        <v/>
      </c>
      <c r="M191" s="4" t="n"/>
      <c r="N191" s="4" t="n"/>
      <c r="O191" s="4">
        <f>IF($A191="","",TEXT($A191,"yyyy")&amp;"-W"&amp;TEXT(ISOWEEKNUM($A191),"00"))</f>
        <v/>
      </c>
      <c r="P191" s="4" t="n"/>
      <c r="Q191" s="14">
        <f>IF($A191="","",TEXT($A191,"yyyy-mm"))</f>
        <v/>
      </c>
    </row>
    <row r="192">
      <c r="A192" s="66" t="n"/>
      <c r="B192" s="4" t="n"/>
      <c r="C192" s="11">
        <f>IFERROR(VLOOKUP($B192,Members!$A:$C,2,FALSE),"")</f>
        <v/>
      </c>
      <c r="D192" s="11">
        <f>IFERROR(VLOOKUP($B192,Members!$A:$C,3,FALSE),"")</f>
        <v/>
      </c>
      <c r="E192" s="11">
        <f>IF($F192="","",IFERROR(VLOOKUP($F192,ActionMap!$A:$B,2,FALSE),"INVALID ACTION"))</f>
        <v/>
      </c>
      <c r="F192" s="4" t="n"/>
      <c r="G192" s="11">
        <f>IFERROR(VLOOKUP($E192,ActionsCatalog!$A:$B,2,FALSE),"")</f>
        <v/>
      </c>
      <c r="H192" s="4" t="n"/>
      <c r="I192" s="4">
        <f>IFERROR(VLOOKUP($E192,ActionsCatalog!$A:$D,3,FALSE),0)</f>
        <v/>
      </c>
      <c r="J192" s="4">
        <f>IFERROR(VLOOKUP($E192,ActionsCatalog!$A:$D,4,FALSE),0)</f>
        <v/>
      </c>
      <c r="K192" s="4">
        <f>IF($M192&lt;&gt;"Yes",0,IF($H192="",0,$H192*$I192))</f>
        <v/>
      </c>
      <c r="L192" s="4">
        <f>IF($M192&lt;&gt;"Yes",0,IF($H192="",0,$H192*$J192))</f>
        <v/>
      </c>
      <c r="M192" s="4" t="n"/>
      <c r="N192" s="4" t="n"/>
      <c r="O192" s="4">
        <f>IF($A192="","",TEXT($A192,"yyyy")&amp;"-W"&amp;TEXT(ISOWEEKNUM($A192),"00"))</f>
        <v/>
      </c>
      <c r="P192" s="4" t="n"/>
      <c r="Q192" s="14">
        <f>IF($A192="","",TEXT($A192,"yyyy-mm"))</f>
        <v/>
      </c>
    </row>
    <row r="193">
      <c r="A193" s="66" t="n"/>
      <c r="B193" s="4" t="n"/>
      <c r="C193" s="11">
        <f>IFERROR(VLOOKUP($B193,Members!$A:$C,2,FALSE),"")</f>
        <v/>
      </c>
      <c r="D193" s="11">
        <f>IFERROR(VLOOKUP($B193,Members!$A:$C,3,FALSE),"")</f>
        <v/>
      </c>
      <c r="E193" s="11">
        <f>IF($F193="","",IFERROR(VLOOKUP($F193,ActionMap!$A:$B,2,FALSE),"INVALID ACTION"))</f>
        <v/>
      </c>
      <c r="F193" s="4" t="n"/>
      <c r="G193" s="11">
        <f>IFERROR(VLOOKUP($E193,ActionsCatalog!$A:$B,2,FALSE),"")</f>
        <v/>
      </c>
      <c r="H193" s="4" t="n"/>
      <c r="I193" s="4">
        <f>IFERROR(VLOOKUP($E193,ActionsCatalog!$A:$D,3,FALSE),0)</f>
        <v/>
      </c>
      <c r="J193" s="4">
        <f>IFERROR(VLOOKUP($E193,ActionsCatalog!$A:$D,4,FALSE),0)</f>
        <v/>
      </c>
      <c r="K193" s="4">
        <f>IF($M193&lt;&gt;"Yes",0,IF($H193="",0,$H193*$I193))</f>
        <v/>
      </c>
      <c r="L193" s="4">
        <f>IF($M193&lt;&gt;"Yes",0,IF($H193="",0,$H193*$J193))</f>
        <v/>
      </c>
      <c r="M193" s="4" t="n"/>
      <c r="N193" s="4" t="n"/>
      <c r="O193" s="4">
        <f>IF($A193="","",TEXT($A193,"yyyy")&amp;"-W"&amp;TEXT(ISOWEEKNUM($A193),"00"))</f>
        <v/>
      </c>
      <c r="P193" s="4" t="n"/>
      <c r="Q193" s="14">
        <f>IF($A193="","",TEXT($A193,"yyyy-mm"))</f>
        <v/>
      </c>
    </row>
    <row r="194">
      <c r="A194" s="66" t="n"/>
      <c r="B194" s="4" t="n"/>
      <c r="C194" s="11">
        <f>IFERROR(VLOOKUP($B194,Members!$A:$C,2,FALSE),"")</f>
        <v/>
      </c>
      <c r="D194" s="11">
        <f>IFERROR(VLOOKUP($B194,Members!$A:$C,3,FALSE),"")</f>
        <v/>
      </c>
      <c r="E194" s="11">
        <f>IF($F194="","",IFERROR(VLOOKUP($F194,ActionMap!$A:$B,2,FALSE),"INVALID ACTION"))</f>
        <v/>
      </c>
      <c r="F194" s="4" t="n"/>
      <c r="G194" s="11">
        <f>IFERROR(VLOOKUP($E194,ActionsCatalog!$A:$B,2,FALSE),"")</f>
        <v/>
      </c>
      <c r="H194" s="4" t="n"/>
      <c r="I194" s="4">
        <f>IFERROR(VLOOKUP($E194,ActionsCatalog!$A:$D,3,FALSE),0)</f>
        <v/>
      </c>
      <c r="J194" s="4">
        <f>IFERROR(VLOOKUP($E194,ActionsCatalog!$A:$D,4,FALSE),0)</f>
        <v/>
      </c>
      <c r="K194" s="4">
        <f>IF($M194&lt;&gt;"Yes",0,IF($H194="",0,$H194*$I194))</f>
        <v/>
      </c>
      <c r="L194" s="4">
        <f>IF($M194&lt;&gt;"Yes",0,IF($H194="",0,$H194*$J194))</f>
        <v/>
      </c>
      <c r="M194" s="4" t="n"/>
      <c r="N194" s="4" t="n"/>
      <c r="O194" s="4">
        <f>IF($A194="","",TEXT($A194,"yyyy")&amp;"-W"&amp;TEXT(ISOWEEKNUM($A194),"00"))</f>
        <v/>
      </c>
      <c r="P194" s="4" t="n"/>
      <c r="Q194" s="14">
        <f>IF($A194="","",TEXT($A194,"yyyy-mm"))</f>
        <v/>
      </c>
    </row>
    <row r="195">
      <c r="A195" s="66" t="n"/>
      <c r="B195" s="4" t="n"/>
      <c r="C195" s="11">
        <f>IFERROR(VLOOKUP($B195,Members!$A:$C,2,FALSE),"")</f>
        <v/>
      </c>
      <c r="D195" s="11">
        <f>IFERROR(VLOOKUP($B195,Members!$A:$C,3,FALSE),"")</f>
        <v/>
      </c>
      <c r="E195" s="11">
        <f>IF($F195="","",IFERROR(VLOOKUP($F195,ActionMap!$A:$B,2,FALSE),"INVALID ACTION"))</f>
        <v/>
      </c>
      <c r="F195" s="4" t="n"/>
      <c r="G195" s="11">
        <f>IFERROR(VLOOKUP($E195,ActionsCatalog!$A:$B,2,FALSE),"")</f>
        <v/>
      </c>
      <c r="H195" s="4" t="n"/>
      <c r="I195" s="4">
        <f>IFERROR(VLOOKUP($E195,ActionsCatalog!$A:$D,3,FALSE),0)</f>
        <v/>
      </c>
      <c r="J195" s="4">
        <f>IFERROR(VLOOKUP($E195,ActionsCatalog!$A:$D,4,FALSE),0)</f>
        <v/>
      </c>
      <c r="K195" s="4">
        <f>IF($M195&lt;&gt;"Yes",0,IF($H195="",0,$H195*$I195))</f>
        <v/>
      </c>
      <c r="L195" s="4">
        <f>IF($M195&lt;&gt;"Yes",0,IF($H195="",0,$H195*$J195))</f>
        <v/>
      </c>
      <c r="M195" s="4" t="n"/>
      <c r="N195" s="4" t="n"/>
      <c r="O195" s="4">
        <f>IF($A195="","",TEXT($A195,"yyyy")&amp;"-W"&amp;TEXT(ISOWEEKNUM($A195),"00"))</f>
        <v/>
      </c>
      <c r="P195" s="4" t="n"/>
      <c r="Q195" s="14">
        <f>IF($A195="","",TEXT($A195,"yyyy-mm"))</f>
        <v/>
      </c>
    </row>
    <row r="196">
      <c r="A196" s="66" t="n"/>
      <c r="B196" s="4" t="n"/>
      <c r="C196" s="11">
        <f>IFERROR(VLOOKUP($B196,Members!$A:$C,2,FALSE),"")</f>
        <v/>
      </c>
      <c r="D196" s="11">
        <f>IFERROR(VLOOKUP($B196,Members!$A:$C,3,FALSE),"")</f>
        <v/>
      </c>
      <c r="E196" s="11">
        <f>IF($F196="","",IFERROR(VLOOKUP($F196,ActionMap!$A:$B,2,FALSE),"INVALID ACTION"))</f>
        <v/>
      </c>
      <c r="F196" s="4" t="n"/>
      <c r="G196" s="11">
        <f>IFERROR(VLOOKUP($E196,ActionsCatalog!$A:$B,2,FALSE),"")</f>
        <v/>
      </c>
      <c r="H196" s="4" t="n"/>
      <c r="I196" s="4">
        <f>IFERROR(VLOOKUP($E196,ActionsCatalog!$A:$D,3,FALSE),0)</f>
        <v/>
      </c>
      <c r="J196" s="4">
        <f>IFERROR(VLOOKUP($E196,ActionsCatalog!$A:$D,4,FALSE),0)</f>
        <v/>
      </c>
      <c r="K196" s="4">
        <f>IF($M196&lt;&gt;"Yes",0,IF($H196="",0,$H196*$I196))</f>
        <v/>
      </c>
      <c r="L196" s="4">
        <f>IF($M196&lt;&gt;"Yes",0,IF($H196="",0,$H196*$J196))</f>
        <v/>
      </c>
      <c r="M196" s="4" t="n"/>
      <c r="N196" s="4" t="n"/>
      <c r="O196" s="4">
        <f>IF($A196="","",TEXT($A196,"yyyy")&amp;"-W"&amp;TEXT(ISOWEEKNUM($A196),"00"))</f>
        <v/>
      </c>
      <c r="P196" s="4" t="n"/>
      <c r="Q196" s="14">
        <f>IF($A196="","",TEXT($A196,"yyyy-mm"))</f>
        <v/>
      </c>
    </row>
    <row r="197">
      <c r="A197" s="66" t="n"/>
      <c r="B197" s="4" t="n"/>
      <c r="C197" s="11">
        <f>IFERROR(VLOOKUP($B197,Members!$A:$C,2,FALSE),"")</f>
        <v/>
      </c>
      <c r="D197" s="11">
        <f>IFERROR(VLOOKUP($B197,Members!$A:$C,3,FALSE),"")</f>
        <v/>
      </c>
      <c r="E197" s="11">
        <f>IF($F197="","",IFERROR(VLOOKUP($F197,ActionMap!$A:$B,2,FALSE),"INVALID ACTION"))</f>
        <v/>
      </c>
      <c r="F197" s="4" t="n"/>
      <c r="G197" s="11">
        <f>IFERROR(VLOOKUP($E197,ActionsCatalog!$A:$B,2,FALSE),"")</f>
        <v/>
      </c>
      <c r="H197" s="4" t="n"/>
      <c r="I197" s="4">
        <f>IFERROR(VLOOKUP($E197,ActionsCatalog!$A:$D,3,FALSE),0)</f>
        <v/>
      </c>
      <c r="J197" s="4">
        <f>IFERROR(VLOOKUP($E197,ActionsCatalog!$A:$D,4,FALSE),0)</f>
        <v/>
      </c>
      <c r="K197" s="4">
        <f>IF($M197&lt;&gt;"Yes",0,IF($H197="",0,$H197*$I197))</f>
        <v/>
      </c>
      <c r="L197" s="4">
        <f>IF($M197&lt;&gt;"Yes",0,IF($H197="",0,$H197*$J197))</f>
        <v/>
      </c>
      <c r="M197" s="4" t="n"/>
      <c r="N197" s="4" t="n"/>
      <c r="O197" s="4">
        <f>IF($A197="","",TEXT($A197,"yyyy")&amp;"-W"&amp;TEXT(ISOWEEKNUM($A197),"00"))</f>
        <v/>
      </c>
      <c r="P197" s="4" t="n"/>
      <c r="Q197" s="14">
        <f>IF($A197="","",TEXT($A197,"yyyy-mm"))</f>
        <v/>
      </c>
    </row>
    <row r="198">
      <c r="A198" s="66" t="n"/>
      <c r="B198" s="4" t="n"/>
      <c r="C198" s="11">
        <f>IFERROR(VLOOKUP($B198,Members!$A:$C,2,FALSE),"")</f>
        <v/>
      </c>
      <c r="D198" s="11">
        <f>IFERROR(VLOOKUP($B198,Members!$A:$C,3,FALSE),"")</f>
        <v/>
      </c>
      <c r="E198" s="11">
        <f>IF($F198="","",IFERROR(VLOOKUP($F198,ActionMap!$A:$B,2,FALSE),"INVALID ACTION"))</f>
        <v/>
      </c>
      <c r="F198" s="4" t="n"/>
      <c r="G198" s="11">
        <f>IFERROR(VLOOKUP($E198,ActionsCatalog!$A:$B,2,FALSE),"")</f>
        <v/>
      </c>
      <c r="H198" s="4" t="n"/>
      <c r="I198" s="4">
        <f>IFERROR(VLOOKUP($E198,ActionsCatalog!$A:$D,3,FALSE),0)</f>
        <v/>
      </c>
      <c r="J198" s="4">
        <f>IFERROR(VLOOKUP($E198,ActionsCatalog!$A:$D,4,FALSE),0)</f>
        <v/>
      </c>
      <c r="K198" s="4">
        <f>IF($M198&lt;&gt;"Yes",0,IF($H198="",0,$H198*$I198))</f>
        <v/>
      </c>
      <c r="L198" s="4">
        <f>IF($M198&lt;&gt;"Yes",0,IF($H198="",0,$H198*$J198))</f>
        <v/>
      </c>
      <c r="M198" s="4" t="n"/>
      <c r="N198" s="4" t="n"/>
      <c r="O198" s="4">
        <f>IF($A198="","",TEXT($A198,"yyyy")&amp;"-W"&amp;TEXT(ISOWEEKNUM($A198),"00"))</f>
        <v/>
      </c>
      <c r="P198" s="4" t="n"/>
      <c r="Q198" s="14">
        <f>IF($A198="","",TEXT($A198,"yyyy-mm"))</f>
        <v/>
      </c>
    </row>
    <row r="199">
      <c r="A199" s="66" t="n"/>
      <c r="B199" s="4" t="n"/>
      <c r="C199" s="11">
        <f>IFERROR(VLOOKUP($B199,Members!$A:$C,2,FALSE),"")</f>
        <v/>
      </c>
      <c r="D199" s="11">
        <f>IFERROR(VLOOKUP($B199,Members!$A:$C,3,FALSE),"")</f>
        <v/>
      </c>
      <c r="E199" s="11">
        <f>IF($F199="","",IFERROR(VLOOKUP($F199,ActionMap!$A:$B,2,FALSE),"INVALID ACTION"))</f>
        <v/>
      </c>
      <c r="F199" s="4" t="n"/>
      <c r="G199" s="11">
        <f>IFERROR(VLOOKUP($E199,ActionsCatalog!$A:$B,2,FALSE),"")</f>
        <v/>
      </c>
      <c r="H199" s="4" t="n"/>
      <c r="I199" s="4">
        <f>IFERROR(VLOOKUP($E199,ActionsCatalog!$A:$D,3,FALSE),0)</f>
        <v/>
      </c>
      <c r="J199" s="4">
        <f>IFERROR(VLOOKUP($E199,ActionsCatalog!$A:$D,4,FALSE),0)</f>
        <v/>
      </c>
      <c r="K199" s="4">
        <f>IF($M199&lt;&gt;"Yes",0,IF($H199="",0,$H199*$I199))</f>
        <v/>
      </c>
      <c r="L199" s="4">
        <f>IF($M199&lt;&gt;"Yes",0,IF($H199="",0,$H199*$J199))</f>
        <v/>
      </c>
      <c r="M199" s="4" t="n"/>
      <c r="N199" s="4" t="n"/>
      <c r="O199" s="4">
        <f>IF($A199="","",TEXT($A199,"yyyy")&amp;"-W"&amp;TEXT(ISOWEEKNUM($A199),"00"))</f>
        <v/>
      </c>
      <c r="P199" s="4" t="n"/>
      <c r="Q199" s="14">
        <f>IF($A199="","",TEXT($A199,"yyyy-mm"))</f>
        <v/>
      </c>
    </row>
    <row r="200">
      <c r="A200" s="66" t="n"/>
      <c r="B200" s="4" t="n"/>
      <c r="C200" s="11">
        <f>IFERROR(VLOOKUP($B200,Members!$A:$C,2,FALSE),"")</f>
        <v/>
      </c>
      <c r="D200" s="11">
        <f>IFERROR(VLOOKUP($B200,Members!$A:$C,3,FALSE),"")</f>
        <v/>
      </c>
      <c r="E200" s="11">
        <f>IF($F200="","",IFERROR(VLOOKUP($F200,ActionMap!$A:$B,2,FALSE),"INVALID ACTION"))</f>
        <v/>
      </c>
      <c r="F200" s="4" t="n"/>
      <c r="G200" s="11">
        <f>IFERROR(VLOOKUP($E200,ActionsCatalog!$A:$B,2,FALSE),"")</f>
        <v/>
      </c>
      <c r="H200" s="4" t="n"/>
      <c r="I200" s="4">
        <f>IFERROR(VLOOKUP($E200,ActionsCatalog!$A:$D,3,FALSE),0)</f>
        <v/>
      </c>
      <c r="J200" s="4">
        <f>IFERROR(VLOOKUP($E200,ActionsCatalog!$A:$D,4,FALSE),0)</f>
        <v/>
      </c>
      <c r="K200" s="4">
        <f>IF($M200&lt;&gt;"Yes",0,IF($H200="",0,$H200*$I200))</f>
        <v/>
      </c>
      <c r="L200" s="4">
        <f>IF($M200&lt;&gt;"Yes",0,IF($H200="",0,$H200*$J200))</f>
        <v/>
      </c>
      <c r="M200" s="4" t="n"/>
      <c r="N200" s="4" t="n"/>
      <c r="O200" s="4">
        <f>IF($A200="","",TEXT($A200,"yyyy")&amp;"-W"&amp;TEXT(ISOWEEKNUM($A200),"00"))</f>
        <v/>
      </c>
      <c r="P200" s="4" t="n"/>
      <c r="Q200" s="14">
        <f>IF($A200="","",TEXT($A200,"yyyy-mm"))</f>
        <v/>
      </c>
    </row>
    <row r="201">
      <c r="A201" s="66" t="n"/>
      <c r="B201" s="4" t="n"/>
      <c r="C201" s="11">
        <f>IFERROR(VLOOKUP($B201,Members!$A:$C,2,FALSE),"")</f>
        <v/>
      </c>
      <c r="D201" s="11">
        <f>IFERROR(VLOOKUP($B201,Members!$A:$C,3,FALSE),"")</f>
        <v/>
      </c>
      <c r="E201" s="11">
        <f>IF($F201="","",IFERROR(VLOOKUP($F201,ActionMap!$A:$B,2,FALSE),"INVALID ACTION"))</f>
        <v/>
      </c>
      <c r="F201" s="4" t="n"/>
      <c r="G201" s="11">
        <f>IFERROR(VLOOKUP($E201,ActionsCatalog!$A:$B,2,FALSE),"")</f>
        <v/>
      </c>
      <c r="H201" s="4" t="n"/>
      <c r="I201" s="4">
        <f>IFERROR(VLOOKUP($E201,ActionsCatalog!$A:$D,3,FALSE),0)</f>
        <v/>
      </c>
      <c r="J201" s="4">
        <f>IFERROR(VLOOKUP($E201,ActionsCatalog!$A:$D,4,FALSE),0)</f>
        <v/>
      </c>
      <c r="K201" s="4">
        <f>IF($M201&lt;&gt;"Yes",0,IF($H201="",0,$H201*$I201))</f>
        <v/>
      </c>
      <c r="L201" s="4">
        <f>IF($M201&lt;&gt;"Yes",0,IF($H201="",0,$H201*$J201))</f>
        <v/>
      </c>
      <c r="M201" s="4" t="n"/>
      <c r="N201" s="4" t="n"/>
      <c r="O201" s="4">
        <f>IF($A201="","",TEXT($A201,"yyyy")&amp;"-W"&amp;TEXT(ISOWEEKNUM($A201),"00"))</f>
        <v/>
      </c>
      <c r="P201" s="4" t="n"/>
      <c r="Q201" s="14">
        <f>IF($A201="","",TEXT($A201,"yyyy-mm"))</f>
        <v/>
      </c>
    </row>
    <row r="202">
      <c r="A202" s="66" t="n"/>
      <c r="B202" s="4" t="n"/>
      <c r="C202" s="11">
        <f>IFERROR(VLOOKUP($B202,Members!$A:$C,2,FALSE),"")</f>
        <v/>
      </c>
      <c r="D202" s="11">
        <f>IFERROR(VLOOKUP($B202,Members!$A:$C,3,FALSE),"")</f>
        <v/>
      </c>
      <c r="E202" s="11">
        <f>IF($F202="","",IFERROR(VLOOKUP($F202,ActionMap!$A:$B,2,FALSE),"INVALID ACTION"))</f>
        <v/>
      </c>
      <c r="F202" s="4" t="n"/>
      <c r="G202" s="11">
        <f>IFERROR(VLOOKUP($E202,ActionsCatalog!$A:$B,2,FALSE),"")</f>
        <v/>
      </c>
      <c r="H202" s="4" t="n"/>
      <c r="I202" s="4">
        <f>IFERROR(VLOOKUP($E202,ActionsCatalog!$A:$D,3,FALSE),0)</f>
        <v/>
      </c>
      <c r="J202" s="4">
        <f>IFERROR(VLOOKUP($E202,ActionsCatalog!$A:$D,4,FALSE),0)</f>
        <v/>
      </c>
      <c r="K202" s="4">
        <f>IF($M202&lt;&gt;"Yes",0,IF($H202="",0,$H202*$I202))</f>
        <v/>
      </c>
      <c r="L202" s="4">
        <f>IF($M202&lt;&gt;"Yes",0,IF($H202="",0,$H202*$J202))</f>
        <v/>
      </c>
      <c r="M202" s="4" t="n"/>
      <c r="N202" s="4" t="n"/>
      <c r="O202" s="4">
        <f>IF($A202="","",TEXT($A202,"yyyy")&amp;"-W"&amp;TEXT(ISOWEEKNUM($A202),"00"))</f>
        <v/>
      </c>
      <c r="P202" s="4" t="n"/>
      <c r="Q202" s="14">
        <f>IF($A202="","",TEXT($A202,"yyyy-mm"))</f>
        <v/>
      </c>
    </row>
    <row r="203">
      <c r="A203" s="66" t="n"/>
      <c r="B203" s="4" t="n"/>
      <c r="C203" s="11">
        <f>IFERROR(VLOOKUP($B203,Members!$A:$C,2,FALSE),"")</f>
        <v/>
      </c>
      <c r="D203" s="11">
        <f>IFERROR(VLOOKUP($B203,Members!$A:$C,3,FALSE),"")</f>
        <v/>
      </c>
      <c r="E203" s="11">
        <f>IF($F203="","",IFERROR(VLOOKUP($F203,ActionMap!$A:$B,2,FALSE),"INVALID ACTION"))</f>
        <v/>
      </c>
      <c r="F203" s="4" t="n"/>
      <c r="G203" s="11">
        <f>IFERROR(VLOOKUP($E203,ActionsCatalog!$A:$B,2,FALSE),"")</f>
        <v/>
      </c>
      <c r="H203" s="4" t="n"/>
      <c r="I203" s="4">
        <f>IFERROR(VLOOKUP($E203,ActionsCatalog!$A:$D,3,FALSE),0)</f>
        <v/>
      </c>
      <c r="J203" s="4">
        <f>IFERROR(VLOOKUP($E203,ActionsCatalog!$A:$D,4,FALSE),0)</f>
        <v/>
      </c>
      <c r="K203" s="4">
        <f>IF($M203&lt;&gt;"Yes",0,IF($H203="",0,$H203*$I203))</f>
        <v/>
      </c>
      <c r="L203" s="4">
        <f>IF($M203&lt;&gt;"Yes",0,IF($H203="",0,$H203*$J203))</f>
        <v/>
      </c>
      <c r="M203" s="4" t="n"/>
      <c r="N203" s="4" t="n"/>
      <c r="O203" s="4">
        <f>IF($A203="","",TEXT($A203,"yyyy")&amp;"-W"&amp;TEXT(ISOWEEKNUM($A203),"00"))</f>
        <v/>
      </c>
      <c r="P203" s="4" t="n"/>
      <c r="Q203" s="14">
        <f>IF($A203="","",TEXT($A203,"yyyy-mm"))</f>
        <v/>
      </c>
    </row>
    <row r="204">
      <c r="A204" s="66" t="n"/>
      <c r="B204" s="4" t="n"/>
      <c r="C204" s="11">
        <f>IFERROR(VLOOKUP($B204,Members!$A:$C,2,FALSE),"")</f>
        <v/>
      </c>
      <c r="D204" s="11">
        <f>IFERROR(VLOOKUP($B204,Members!$A:$C,3,FALSE),"")</f>
        <v/>
      </c>
      <c r="E204" s="11">
        <f>IF($F204="","",IFERROR(VLOOKUP($F204,ActionMap!$A:$B,2,FALSE),"INVALID ACTION"))</f>
        <v/>
      </c>
      <c r="F204" s="4" t="n"/>
      <c r="G204" s="11">
        <f>IFERROR(VLOOKUP($E204,ActionsCatalog!$A:$B,2,FALSE),"")</f>
        <v/>
      </c>
      <c r="H204" s="4" t="n"/>
      <c r="I204" s="4">
        <f>IFERROR(VLOOKUP($E204,ActionsCatalog!$A:$D,3,FALSE),0)</f>
        <v/>
      </c>
      <c r="J204" s="4">
        <f>IFERROR(VLOOKUP($E204,ActionsCatalog!$A:$D,4,FALSE),0)</f>
        <v/>
      </c>
      <c r="K204" s="4">
        <f>IF($M204&lt;&gt;"Yes",0,IF($H204="",0,$H204*$I204))</f>
        <v/>
      </c>
      <c r="L204" s="4">
        <f>IF($M204&lt;&gt;"Yes",0,IF($H204="",0,$H204*$J204))</f>
        <v/>
      </c>
      <c r="M204" s="4" t="n"/>
      <c r="N204" s="4" t="n"/>
      <c r="O204" s="4">
        <f>IF($A204="","",TEXT($A204,"yyyy")&amp;"-W"&amp;TEXT(ISOWEEKNUM($A204),"00"))</f>
        <v/>
      </c>
      <c r="P204" s="4" t="n"/>
      <c r="Q204" s="14">
        <f>IF($A204="","",TEXT($A204,"yyyy-mm"))</f>
        <v/>
      </c>
    </row>
    <row r="205">
      <c r="A205" s="66" t="n"/>
      <c r="B205" s="4" t="n"/>
      <c r="C205" s="11">
        <f>IFERROR(VLOOKUP($B205,Members!$A:$C,2,FALSE),"")</f>
        <v/>
      </c>
      <c r="D205" s="11">
        <f>IFERROR(VLOOKUP($B205,Members!$A:$C,3,FALSE),"")</f>
        <v/>
      </c>
      <c r="E205" s="11">
        <f>IF($F205="","",IFERROR(VLOOKUP($F205,ActionMap!$A:$B,2,FALSE),"INVALID ACTION"))</f>
        <v/>
      </c>
      <c r="F205" s="4" t="n"/>
      <c r="G205" s="11">
        <f>IFERROR(VLOOKUP($E205,ActionsCatalog!$A:$B,2,FALSE),"")</f>
        <v/>
      </c>
      <c r="H205" s="4" t="n"/>
      <c r="I205" s="4">
        <f>IFERROR(VLOOKUP($E205,ActionsCatalog!$A:$D,3,FALSE),0)</f>
        <v/>
      </c>
      <c r="J205" s="4">
        <f>IFERROR(VLOOKUP($E205,ActionsCatalog!$A:$D,4,FALSE),0)</f>
        <v/>
      </c>
      <c r="K205" s="4">
        <f>IF($M205&lt;&gt;"Yes",0,IF($H205="",0,$H205*$I205))</f>
        <v/>
      </c>
      <c r="L205" s="4">
        <f>IF($M205&lt;&gt;"Yes",0,IF($H205="",0,$H205*$J205))</f>
        <v/>
      </c>
      <c r="M205" s="4" t="n"/>
      <c r="N205" s="4" t="n"/>
      <c r="O205" s="4">
        <f>IF($A205="","",TEXT($A205,"yyyy")&amp;"-W"&amp;TEXT(ISOWEEKNUM($A205),"00"))</f>
        <v/>
      </c>
      <c r="P205" s="4" t="n"/>
      <c r="Q205" s="14">
        <f>IF($A205="","",TEXT($A205,"yyyy-mm"))</f>
        <v/>
      </c>
    </row>
    <row r="206">
      <c r="A206" s="66" t="n"/>
      <c r="B206" s="4" t="n"/>
      <c r="C206" s="11">
        <f>IFERROR(VLOOKUP($B206,Members!$A:$C,2,FALSE),"")</f>
        <v/>
      </c>
      <c r="D206" s="11">
        <f>IFERROR(VLOOKUP($B206,Members!$A:$C,3,FALSE),"")</f>
        <v/>
      </c>
      <c r="E206" s="11">
        <f>IF($F206="","",IFERROR(VLOOKUP($F206,ActionMap!$A:$B,2,FALSE),"INVALID ACTION"))</f>
        <v/>
      </c>
      <c r="F206" s="4" t="n"/>
      <c r="G206" s="11">
        <f>IFERROR(VLOOKUP($E206,ActionsCatalog!$A:$B,2,FALSE),"")</f>
        <v/>
      </c>
      <c r="H206" s="4" t="n"/>
      <c r="I206" s="4">
        <f>IFERROR(VLOOKUP($E206,ActionsCatalog!$A:$D,3,FALSE),0)</f>
        <v/>
      </c>
      <c r="J206" s="4">
        <f>IFERROR(VLOOKUP($E206,ActionsCatalog!$A:$D,4,FALSE),0)</f>
        <v/>
      </c>
      <c r="K206" s="4">
        <f>IF($M206&lt;&gt;"Yes",0,IF($H206="",0,$H206*$I206))</f>
        <v/>
      </c>
      <c r="L206" s="4">
        <f>IF($M206&lt;&gt;"Yes",0,IF($H206="",0,$H206*$J206))</f>
        <v/>
      </c>
      <c r="M206" s="4" t="n"/>
      <c r="N206" s="4" t="n"/>
      <c r="O206" s="4">
        <f>IF($A206="","",TEXT($A206,"yyyy")&amp;"-W"&amp;TEXT(ISOWEEKNUM($A206),"00"))</f>
        <v/>
      </c>
      <c r="P206" s="4" t="n"/>
      <c r="Q206" s="14">
        <f>IF($A206="","",TEXT($A206,"yyyy-mm"))</f>
        <v/>
      </c>
    </row>
    <row r="207">
      <c r="A207" s="66" t="n"/>
      <c r="B207" s="4" t="n"/>
      <c r="C207" s="11">
        <f>IFERROR(VLOOKUP($B207,Members!$A:$C,2,FALSE),"")</f>
        <v/>
      </c>
      <c r="D207" s="11">
        <f>IFERROR(VLOOKUP($B207,Members!$A:$C,3,FALSE),"")</f>
        <v/>
      </c>
      <c r="E207" s="11">
        <f>IF($F207="","",IFERROR(VLOOKUP($F207,ActionMap!$A:$B,2,FALSE),"INVALID ACTION"))</f>
        <v/>
      </c>
      <c r="F207" s="4" t="n"/>
      <c r="G207" s="11">
        <f>IFERROR(VLOOKUP($E207,ActionsCatalog!$A:$B,2,FALSE),"")</f>
        <v/>
      </c>
      <c r="H207" s="4" t="n"/>
      <c r="I207" s="4">
        <f>IFERROR(VLOOKUP($E207,ActionsCatalog!$A:$D,3,FALSE),0)</f>
        <v/>
      </c>
      <c r="J207" s="4">
        <f>IFERROR(VLOOKUP($E207,ActionsCatalog!$A:$D,4,FALSE),0)</f>
        <v/>
      </c>
      <c r="K207" s="4">
        <f>IF($M207&lt;&gt;"Yes",0,IF($H207="",0,$H207*$I207))</f>
        <v/>
      </c>
      <c r="L207" s="4">
        <f>IF($M207&lt;&gt;"Yes",0,IF($H207="",0,$H207*$J207))</f>
        <v/>
      </c>
      <c r="M207" s="4" t="n"/>
      <c r="N207" s="4" t="n"/>
      <c r="O207" s="4">
        <f>IF($A207="","",TEXT($A207,"yyyy")&amp;"-W"&amp;TEXT(ISOWEEKNUM($A207),"00"))</f>
        <v/>
      </c>
      <c r="P207" s="4" t="n"/>
      <c r="Q207" s="14">
        <f>IF($A207="","",TEXT($A207,"yyyy-mm"))</f>
        <v/>
      </c>
    </row>
    <row r="208">
      <c r="A208" s="66" t="n"/>
      <c r="B208" s="4" t="n"/>
      <c r="C208" s="11">
        <f>IFERROR(VLOOKUP($B208,Members!$A:$C,2,FALSE),"")</f>
        <v/>
      </c>
      <c r="D208" s="11">
        <f>IFERROR(VLOOKUP($B208,Members!$A:$C,3,FALSE),"")</f>
        <v/>
      </c>
      <c r="E208" s="11">
        <f>IF($F208="","",IFERROR(VLOOKUP($F208,ActionMap!$A:$B,2,FALSE),"INVALID ACTION"))</f>
        <v/>
      </c>
      <c r="F208" s="4" t="n"/>
      <c r="G208" s="11">
        <f>IFERROR(VLOOKUP($E208,ActionsCatalog!$A:$B,2,FALSE),"")</f>
        <v/>
      </c>
      <c r="H208" s="4" t="n"/>
      <c r="I208" s="4">
        <f>IFERROR(VLOOKUP($E208,ActionsCatalog!$A:$D,3,FALSE),0)</f>
        <v/>
      </c>
      <c r="J208" s="4">
        <f>IFERROR(VLOOKUP($E208,ActionsCatalog!$A:$D,4,FALSE),0)</f>
        <v/>
      </c>
      <c r="K208" s="4">
        <f>IF($M208&lt;&gt;"Yes",0,IF($H208="",0,$H208*$I208))</f>
        <v/>
      </c>
      <c r="L208" s="4">
        <f>IF($M208&lt;&gt;"Yes",0,IF($H208="",0,$H208*$J208))</f>
        <v/>
      </c>
      <c r="M208" s="4" t="n"/>
      <c r="N208" s="4" t="n"/>
      <c r="O208" s="4">
        <f>IF($A208="","",TEXT($A208,"yyyy")&amp;"-W"&amp;TEXT(ISOWEEKNUM($A208),"00"))</f>
        <v/>
      </c>
      <c r="P208" s="4" t="n"/>
      <c r="Q208" s="14">
        <f>IF($A208="","",TEXT($A208,"yyyy-mm"))</f>
        <v/>
      </c>
    </row>
    <row r="209">
      <c r="A209" s="66" t="n"/>
      <c r="B209" s="4" t="n"/>
      <c r="C209" s="11">
        <f>IFERROR(VLOOKUP($B209,Members!$A:$C,2,FALSE),"")</f>
        <v/>
      </c>
      <c r="D209" s="11">
        <f>IFERROR(VLOOKUP($B209,Members!$A:$C,3,FALSE),"")</f>
        <v/>
      </c>
      <c r="E209" s="11">
        <f>IF($F209="","",IFERROR(VLOOKUP($F209,ActionMap!$A:$B,2,FALSE),"INVALID ACTION"))</f>
        <v/>
      </c>
      <c r="F209" s="4" t="n"/>
      <c r="G209" s="11">
        <f>IFERROR(VLOOKUP($E209,ActionsCatalog!$A:$B,2,FALSE),"")</f>
        <v/>
      </c>
      <c r="H209" s="4" t="n"/>
      <c r="I209" s="4">
        <f>IFERROR(VLOOKUP($E209,ActionsCatalog!$A:$D,3,FALSE),0)</f>
        <v/>
      </c>
      <c r="J209" s="4">
        <f>IFERROR(VLOOKUP($E209,ActionsCatalog!$A:$D,4,FALSE),0)</f>
        <v/>
      </c>
      <c r="K209" s="4">
        <f>IF($M209&lt;&gt;"Yes",0,IF($H209="",0,$H209*$I209))</f>
        <v/>
      </c>
      <c r="L209" s="4">
        <f>IF($M209&lt;&gt;"Yes",0,IF($H209="",0,$H209*$J209))</f>
        <v/>
      </c>
      <c r="M209" s="4" t="n"/>
      <c r="N209" s="4" t="n"/>
      <c r="O209" s="4">
        <f>IF($A209="","",TEXT($A209,"yyyy")&amp;"-W"&amp;TEXT(ISOWEEKNUM($A209),"00"))</f>
        <v/>
      </c>
      <c r="P209" s="4" t="n"/>
      <c r="Q209" s="14">
        <f>IF($A209="","",TEXT($A209,"yyyy-mm"))</f>
        <v/>
      </c>
    </row>
    <row r="210">
      <c r="A210" s="66" t="n"/>
      <c r="B210" s="4" t="n"/>
      <c r="C210" s="11">
        <f>IFERROR(VLOOKUP($B210,Members!$A:$C,2,FALSE),"")</f>
        <v/>
      </c>
      <c r="D210" s="11">
        <f>IFERROR(VLOOKUP($B210,Members!$A:$C,3,FALSE),"")</f>
        <v/>
      </c>
      <c r="E210" s="11">
        <f>IF($F210="","",IFERROR(VLOOKUP($F210,ActionMap!$A:$B,2,FALSE),"INVALID ACTION"))</f>
        <v/>
      </c>
      <c r="F210" s="4" t="n"/>
      <c r="G210" s="11">
        <f>IFERROR(VLOOKUP($E210,ActionsCatalog!$A:$B,2,FALSE),"")</f>
        <v/>
      </c>
      <c r="H210" s="4" t="n"/>
      <c r="I210" s="4">
        <f>IFERROR(VLOOKUP($E210,ActionsCatalog!$A:$D,3,FALSE),0)</f>
        <v/>
      </c>
      <c r="J210" s="4">
        <f>IFERROR(VLOOKUP($E210,ActionsCatalog!$A:$D,4,FALSE),0)</f>
        <v/>
      </c>
      <c r="K210" s="4">
        <f>IF($M210&lt;&gt;"Yes",0,IF($H210="",0,$H210*$I210))</f>
        <v/>
      </c>
      <c r="L210" s="4">
        <f>IF($M210&lt;&gt;"Yes",0,IF($H210="",0,$H210*$J210))</f>
        <v/>
      </c>
      <c r="M210" s="4" t="n"/>
      <c r="N210" s="4" t="n"/>
      <c r="O210" s="4">
        <f>IF($A210="","",TEXT($A210,"yyyy")&amp;"-W"&amp;TEXT(ISOWEEKNUM($A210),"00"))</f>
        <v/>
      </c>
      <c r="P210" s="4" t="n"/>
      <c r="Q210" s="14">
        <f>IF($A210="","",TEXT($A210,"yyyy-mm"))</f>
        <v/>
      </c>
    </row>
    <row r="211">
      <c r="A211" s="66" t="n"/>
      <c r="B211" s="4" t="n"/>
      <c r="C211" s="11">
        <f>IFERROR(VLOOKUP($B211,Members!$A:$C,2,FALSE),"")</f>
        <v/>
      </c>
      <c r="D211" s="11">
        <f>IFERROR(VLOOKUP($B211,Members!$A:$C,3,FALSE),"")</f>
        <v/>
      </c>
      <c r="E211" s="11">
        <f>IF($F211="","",IFERROR(VLOOKUP($F211,ActionMap!$A:$B,2,FALSE),"INVALID ACTION"))</f>
        <v/>
      </c>
      <c r="F211" s="4" t="n"/>
      <c r="G211" s="11">
        <f>IFERROR(VLOOKUP($E211,ActionsCatalog!$A:$B,2,FALSE),"")</f>
        <v/>
      </c>
      <c r="H211" s="4" t="n"/>
      <c r="I211" s="4">
        <f>IFERROR(VLOOKUP($E211,ActionsCatalog!$A:$D,3,FALSE),0)</f>
        <v/>
      </c>
      <c r="J211" s="4">
        <f>IFERROR(VLOOKUP($E211,ActionsCatalog!$A:$D,4,FALSE),0)</f>
        <v/>
      </c>
      <c r="K211" s="4">
        <f>IF($M211&lt;&gt;"Yes",0,IF($H211="",0,$H211*$I211))</f>
        <v/>
      </c>
      <c r="L211" s="4">
        <f>IF($M211&lt;&gt;"Yes",0,IF($H211="",0,$H211*$J211))</f>
        <v/>
      </c>
      <c r="M211" s="4" t="n"/>
      <c r="N211" s="4" t="n"/>
      <c r="O211" s="4">
        <f>IF($A211="","",TEXT($A211,"yyyy")&amp;"-W"&amp;TEXT(ISOWEEKNUM($A211),"00"))</f>
        <v/>
      </c>
      <c r="P211" s="4" t="n"/>
      <c r="Q211" s="14">
        <f>IF($A211="","",TEXT($A211,"yyyy-mm"))</f>
        <v/>
      </c>
    </row>
    <row r="212">
      <c r="A212" s="66" t="n"/>
      <c r="B212" s="4" t="n"/>
      <c r="C212" s="11">
        <f>IFERROR(VLOOKUP($B212,Members!$A:$C,2,FALSE),"")</f>
        <v/>
      </c>
      <c r="D212" s="11">
        <f>IFERROR(VLOOKUP($B212,Members!$A:$C,3,FALSE),"")</f>
        <v/>
      </c>
      <c r="E212" s="11">
        <f>IF($F212="","",IFERROR(VLOOKUP($F212,ActionMap!$A:$B,2,FALSE),"INVALID ACTION"))</f>
        <v/>
      </c>
      <c r="F212" s="4" t="n"/>
      <c r="G212" s="11">
        <f>IFERROR(VLOOKUP($E212,ActionsCatalog!$A:$B,2,FALSE),"")</f>
        <v/>
      </c>
      <c r="H212" s="4" t="n"/>
      <c r="I212" s="4">
        <f>IFERROR(VLOOKUP($E212,ActionsCatalog!$A:$D,3,FALSE),0)</f>
        <v/>
      </c>
      <c r="J212" s="4">
        <f>IFERROR(VLOOKUP($E212,ActionsCatalog!$A:$D,4,FALSE),0)</f>
        <v/>
      </c>
      <c r="K212" s="4">
        <f>IF($M212&lt;&gt;"Yes",0,IF($H212="",0,$H212*$I212))</f>
        <v/>
      </c>
      <c r="L212" s="4">
        <f>IF($M212&lt;&gt;"Yes",0,IF($H212="",0,$H212*$J212))</f>
        <v/>
      </c>
      <c r="M212" s="4" t="n"/>
      <c r="N212" s="4" t="n"/>
      <c r="O212" s="4">
        <f>IF($A212="","",TEXT($A212,"yyyy")&amp;"-W"&amp;TEXT(ISOWEEKNUM($A212),"00"))</f>
        <v/>
      </c>
      <c r="P212" s="4" t="n"/>
      <c r="Q212" s="14">
        <f>IF($A212="","",TEXT($A212,"yyyy-mm"))</f>
        <v/>
      </c>
    </row>
    <row r="213">
      <c r="A213" s="66" t="n"/>
      <c r="B213" s="4" t="n"/>
      <c r="C213" s="11">
        <f>IFERROR(VLOOKUP($B213,Members!$A:$C,2,FALSE),"")</f>
        <v/>
      </c>
      <c r="D213" s="11">
        <f>IFERROR(VLOOKUP($B213,Members!$A:$C,3,FALSE),"")</f>
        <v/>
      </c>
      <c r="E213" s="11">
        <f>IF($F213="","",IFERROR(VLOOKUP($F213,ActionMap!$A:$B,2,FALSE),"INVALID ACTION"))</f>
        <v/>
      </c>
      <c r="F213" s="4" t="n"/>
      <c r="G213" s="11">
        <f>IFERROR(VLOOKUP($E213,ActionsCatalog!$A:$B,2,FALSE),"")</f>
        <v/>
      </c>
      <c r="H213" s="4" t="n"/>
      <c r="I213" s="4">
        <f>IFERROR(VLOOKUP($E213,ActionsCatalog!$A:$D,3,FALSE),0)</f>
        <v/>
      </c>
      <c r="J213" s="4">
        <f>IFERROR(VLOOKUP($E213,ActionsCatalog!$A:$D,4,FALSE),0)</f>
        <v/>
      </c>
      <c r="K213" s="4">
        <f>IF($M213&lt;&gt;"Yes",0,IF($H213="",0,$H213*$I213))</f>
        <v/>
      </c>
      <c r="L213" s="4">
        <f>IF($M213&lt;&gt;"Yes",0,IF($H213="",0,$H213*$J213))</f>
        <v/>
      </c>
      <c r="M213" s="4" t="n"/>
      <c r="N213" s="4" t="n"/>
      <c r="O213" s="4">
        <f>IF($A213="","",TEXT($A213,"yyyy")&amp;"-W"&amp;TEXT(ISOWEEKNUM($A213),"00"))</f>
        <v/>
      </c>
      <c r="P213" s="4" t="n"/>
      <c r="Q213" s="14">
        <f>IF($A213="","",TEXT($A213,"yyyy-mm"))</f>
        <v/>
      </c>
    </row>
    <row r="214">
      <c r="A214" s="66" t="n"/>
      <c r="B214" s="4" t="n"/>
      <c r="C214" s="11">
        <f>IFERROR(VLOOKUP($B214,Members!$A:$C,2,FALSE),"")</f>
        <v/>
      </c>
      <c r="D214" s="11">
        <f>IFERROR(VLOOKUP($B214,Members!$A:$C,3,FALSE),"")</f>
        <v/>
      </c>
      <c r="E214" s="11">
        <f>IF($F214="","",IFERROR(VLOOKUP($F214,ActionMap!$A:$B,2,FALSE),"INVALID ACTION"))</f>
        <v/>
      </c>
      <c r="F214" s="4" t="n"/>
      <c r="G214" s="11">
        <f>IFERROR(VLOOKUP($E214,ActionsCatalog!$A:$B,2,FALSE),"")</f>
        <v/>
      </c>
      <c r="H214" s="4" t="n"/>
      <c r="I214" s="4">
        <f>IFERROR(VLOOKUP($E214,ActionsCatalog!$A:$D,3,FALSE),0)</f>
        <v/>
      </c>
      <c r="J214" s="4">
        <f>IFERROR(VLOOKUP($E214,ActionsCatalog!$A:$D,4,FALSE),0)</f>
        <v/>
      </c>
      <c r="K214" s="4">
        <f>IF($M214&lt;&gt;"Yes",0,IF($H214="",0,$H214*$I214))</f>
        <v/>
      </c>
      <c r="L214" s="4">
        <f>IF($M214&lt;&gt;"Yes",0,IF($H214="",0,$H214*$J214))</f>
        <v/>
      </c>
      <c r="M214" s="4" t="n"/>
      <c r="N214" s="4" t="n"/>
      <c r="O214" s="4">
        <f>IF($A214="","",TEXT($A214,"yyyy")&amp;"-W"&amp;TEXT(ISOWEEKNUM($A214),"00"))</f>
        <v/>
      </c>
      <c r="P214" s="4" t="n"/>
      <c r="Q214" s="14">
        <f>IF($A214="","",TEXT($A214,"yyyy-mm"))</f>
        <v/>
      </c>
    </row>
    <row r="215">
      <c r="A215" s="66" t="n"/>
      <c r="B215" s="4" t="n"/>
      <c r="C215" s="11">
        <f>IFERROR(VLOOKUP($B215,Members!$A:$C,2,FALSE),"")</f>
        <v/>
      </c>
      <c r="D215" s="11">
        <f>IFERROR(VLOOKUP($B215,Members!$A:$C,3,FALSE),"")</f>
        <v/>
      </c>
      <c r="E215" s="11">
        <f>IF($F215="","",IFERROR(VLOOKUP($F215,ActionMap!$A:$B,2,FALSE),"INVALID ACTION"))</f>
        <v/>
      </c>
      <c r="F215" s="4" t="n"/>
      <c r="G215" s="11">
        <f>IFERROR(VLOOKUP($E215,ActionsCatalog!$A:$B,2,FALSE),"")</f>
        <v/>
      </c>
      <c r="H215" s="4" t="n"/>
      <c r="I215" s="4">
        <f>IFERROR(VLOOKUP($E215,ActionsCatalog!$A:$D,3,FALSE),0)</f>
        <v/>
      </c>
      <c r="J215" s="4">
        <f>IFERROR(VLOOKUP($E215,ActionsCatalog!$A:$D,4,FALSE),0)</f>
        <v/>
      </c>
      <c r="K215" s="4">
        <f>IF($M215&lt;&gt;"Yes",0,IF($H215="",0,$H215*$I215))</f>
        <v/>
      </c>
      <c r="L215" s="4">
        <f>IF($M215&lt;&gt;"Yes",0,IF($H215="",0,$H215*$J215))</f>
        <v/>
      </c>
      <c r="M215" s="4" t="n"/>
      <c r="N215" s="4" t="n"/>
      <c r="O215" s="4">
        <f>IF($A215="","",TEXT($A215,"yyyy")&amp;"-W"&amp;TEXT(ISOWEEKNUM($A215),"00"))</f>
        <v/>
      </c>
      <c r="P215" s="4" t="n"/>
      <c r="Q215" s="14">
        <f>IF($A215="","",TEXT($A215,"yyyy-mm"))</f>
        <v/>
      </c>
    </row>
    <row r="216">
      <c r="A216" s="66" t="n"/>
      <c r="B216" s="4" t="n"/>
      <c r="C216" s="11">
        <f>IFERROR(VLOOKUP($B216,Members!$A:$C,2,FALSE),"")</f>
        <v/>
      </c>
      <c r="D216" s="11">
        <f>IFERROR(VLOOKUP($B216,Members!$A:$C,3,FALSE),"")</f>
        <v/>
      </c>
      <c r="E216" s="11">
        <f>IF($F216="","",IFERROR(VLOOKUP($F216,ActionMap!$A:$B,2,FALSE),"INVALID ACTION"))</f>
        <v/>
      </c>
      <c r="F216" s="4" t="n"/>
      <c r="G216" s="11">
        <f>IFERROR(VLOOKUP($E216,ActionsCatalog!$A:$B,2,FALSE),"")</f>
        <v/>
      </c>
      <c r="H216" s="4" t="n"/>
      <c r="I216" s="4">
        <f>IFERROR(VLOOKUP($E216,ActionsCatalog!$A:$D,3,FALSE),0)</f>
        <v/>
      </c>
      <c r="J216" s="4">
        <f>IFERROR(VLOOKUP($E216,ActionsCatalog!$A:$D,4,FALSE),0)</f>
        <v/>
      </c>
      <c r="K216" s="4">
        <f>IF($M216&lt;&gt;"Yes",0,IF($H216="",0,$H216*$I216))</f>
        <v/>
      </c>
      <c r="L216" s="4">
        <f>IF($M216&lt;&gt;"Yes",0,IF($H216="",0,$H216*$J216))</f>
        <v/>
      </c>
      <c r="M216" s="4" t="n"/>
      <c r="N216" s="4" t="n"/>
      <c r="O216" s="4">
        <f>IF($A216="","",TEXT($A216,"yyyy")&amp;"-W"&amp;TEXT(ISOWEEKNUM($A216),"00"))</f>
        <v/>
      </c>
      <c r="P216" s="4" t="n"/>
      <c r="Q216" s="14">
        <f>IF($A216="","",TEXT($A216,"yyyy-mm"))</f>
        <v/>
      </c>
    </row>
    <row r="217">
      <c r="A217" s="66" t="n"/>
      <c r="B217" s="4" t="n"/>
      <c r="C217" s="11">
        <f>IFERROR(VLOOKUP($B217,Members!$A:$C,2,FALSE),"")</f>
        <v/>
      </c>
      <c r="D217" s="11">
        <f>IFERROR(VLOOKUP($B217,Members!$A:$C,3,FALSE),"")</f>
        <v/>
      </c>
      <c r="E217" s="11">
        <f>IF($F217="","",IFERROR(VLOOKUP($F217,ActionMap!$A:$B,2,FALSE),"INVALID ACTION"))</f>
        <v/>
      </c>
      <c r="F217" s="4" t="n"/>
      <c r="G217" s="11">
        <f>IFERROR(VLOOKUP($E217,ActionsCatalog!$A:$B,2,FALSE),"")</f>
        <v/>
      </c>
      <c r="H217" s="4" t="n"/>
      <c r="I217" s="4">
        <f>IFERROR(VLOOKUP($E217,ActionsCatalog!$A:$D,3,FALSE),0)</f>
        <v/>
      </c>
      <c r="J217" s="4">
        <f>IFERROR(VLOOKUP($E217,ActionsCatalog!$A:$D,4,FALSE),0)</f>
        <v/>
      </c>
      <c r="K217" s="4">
        <f>IF($M217&lt;&gt;"Yes",0,IF($H217="",0,$H217*$I217))</f>
        <v/>
      </c>
      <c r="L217" s="4">
        <f>IF($M217&lt;&gt;"Yes",0,IF($H217="",0,$H217*$J217))</f>
        <v/>
      </c>
      <c r="M217" s="4" t="n"/>
      <c r="N217" s="4" t="n"/>
      <c r="O217" s="4">
        <f>IF($A217="","",TEXT($A217,"yyyy")&amp;"-W"&amp;TEXT(ISOWEEKNUM($A217),"00"))</f>
        <v/>
      </c>
      <c r="P217" s="4" t="n"/>
      <c r="Q217" s="14">
        <f>IF($A217="","",TEXT($A217,"yyyy-mm"))</f>
        <v/>
      </c>
    </row>
    <row r="218">
      <c r="A218" s="66" t="n"/>
      <c r="B218" s="4" t="n"/>
      <c r="C218" s="11">
        <f>IFERROR(VLOOKUP($B218,Members!$A:$C,2,FALSE),"")</f>
        <v/>
      </c>
      <c r="D218" s="11">
        <f>IFERROR(VLOOKUP($B218,Members!$A:$C,3,FALSE),"")</f>
        <v/>
      </c>
      <c r="E218" s="11">
        <f>IF($F218="","",IFERROR(VLOOKUP($F218,ActionMap!$A:$B,2,FALSE),"INVALID ACTION"))</f>
        <v/>
      </c>
      <c r="F218" s="4" t="n"/>
      <c r="G218" s="11">
        <f>IFERROR(VLOOKUP($E218,ActionsCatalog!$A:$B,2,FALSE),"")</f>
        <v/>
      </c>
      <c r="H218" s="4" t="n"/>
      <c r="I218" s="4">
        <f>IFERROR(VLOOKUP($E218,ActionsCatalog!$A:$D,3,FALSE),0)</f>
        <v/>
      </c>
      <c r="J218" s="4">
        <f>IFERROR(VLOOKUP($E218,ActionsCatalog!$A:$D,4,FALSE),0)</f>
        <v/>
      </c>
      <c r="K218" s="4">
        <f>IF($M218&lt;&gt;"Yes",0,IF($H218="",0,$H218*$I218))</f>
        <v/>
      </c>
      <c r="L218" s="4">
        <f>IF($M218&lt;&gt;"Yes",0,IF($H218="",0,$H218*$J218))</f>
        <v/>
      </c>
      <c r="M218" s="4" t="n"/>
      <c r="N218" s="4" t="n"/>
      <c r="O218" s="4">
        <f>IF($A218="","",TEXT($A218,"yyyy")&amp;"-W"&amp;TEXT(ISOWEEKNUM($A218),"00"))</f>
        <v/>
      </c>
      <c r="P218" s="4" t="n"/>
      <c r="Q218" s="14">
        <f>IF($A218="","",TEXT($A218,"yyyy-mm"))</f>
        <v/>
      </c>
    </row>
    <row r="219">
      <c r="A219" s="66" t="n"/>
      <c r="B219" s="4" t="n"/>
      <c r="C219" s="11">
        <f>IFERROR(VLOOKUP($B219,Members!$A:$C,2,FALSE),"")</f>
        <v/>
      </c>
      <c r="D219" s="11">
        <f>IFERROR(VLOOKUP($B219,Members!$A:$C,3,FALSE),"")</f>
        <v/>
      </c>
      <c r="E219" s="11">
        <f>IF($F219="","",IFERROR(VLOOKUP($F219,ActionMap!$A:$B,2,FALSE),"INVALID ACTION"))</f>
        <v/>
      </c>
      <c r="F219" s="4" t="n"/>
      <c r="G219" s="11">
        <f>IFERROR(VLOOKUP($E219,ActionsCatalog!$A:$B,2,FALSE),"")</f>
        <v/>
      </c>
      <c r="H219" s="4" t="n"/>
      <c r="I219" s="4">
        <f>IFERROR(VLOOKUP($E219,ActionsCatalog!$A:$D,3,FALSE),0)</f>
        <v/>
      </c>
      <c r="J219" s="4">
        <f>IFERROR(VLOOKUP($E219,ActionsCatalog!$A:$D,4,FALSE),0)</f>
        <v/>
      </c>
      <c r="K219" s="4">
        <f>IF($M219&lt;&gt;"Yes",0,IF($H219="",0,$H219*$I219))</f>
        <v/>
      </c>
      <c r="L219" s="4">
        <f>IF($M219&lt;&gt;"Yes",0,IF($H219="",0,$H219*$J219))</f>
        <v/>
      </c>
      <c r="M219" s="4" t="n"/>
      <c r="N219" s="4" t="n"/>
      <c r="O219" s="4">
        <f>IF($A219="","",TEXT($A219,"yyyy")&amp;"-W"&amp;TEXT(ISOWEEKNUM($A219),"00"))</f>
        <v/>
      </c>
      <c r="P219" s="4" t="n"/>
      <c r="Q219" s="14">
        <f>IF($A219="","",TEXT($A219,"yyyy-mm"))</f>
        <v/>
      </c>
    </row>
    <row r="220">
      <c r="A220" s="66" t="n"/>
      <c r="B220" s="4" t="n"/>
      <c r="C220" s="11">
        <f>IFERROR(VLOOKUP($B220,Members!$A:$C,2,FALSE),"")</f>
        <v/>
      </c>
      <c r="D220" s="11">
        <f>IFERROR(VLOOKUP($B220,Members!$A:$C,3,FALSE),"")</f>
        <v/>
      </c>
      <c r="E220" s="11">
        <f>IF($F220="","",IFERROR(VLOOKUP($F220,ActionMap!$A:$B,2,FALSE),"INVALID ACTION"))</f>
        <v/>
      </c>
      <c r="F220" s="4" t="n"/>
      <c r="G220" s="11">
        <f>IFERROR(VLOOKUP($E220,ActionsCatalog!$A:$B,2,FALSE),"")</f>
        <v/>
      </c>
      <c r="H220" s="4" t="n"/>
      <c r="I220" s="4">
        <f>IFERROR(VLOOKUP($E220,ActionsCatalog!$A:$D,3,FALSE),0)</f>
        <v/>
      </c>
      <c r="J220" s="4">
        <f>IFERROR(VLOOKUP($E220,ActionsCatalog!$A:$D,4,FALSE),0)</f>
        <v/>
      </c>
      <c r="K220" s="4">
        <f>IF($M220&lt;&gt;"Yes",0,IF($H220="",0,$H220*$I220))</f>
        <v/>
      </c>
      <c r="L220" s="4">
        <f>IF($M220&lt;&gt;"Yes",0,IF($H220="",0,$H220*$J220))</f>
        <v/>
      </c>
      <c r="M220" s="4" t="n"/>
      <c r="N220" s="4" t="n"/>
      <c r="O220" s="4">
        <f>IF($A220="","",TEXT($A220,"yyyy")&amp;"-W"&amp;TEXT(ISOWEEKNUM($A220),"00"))</f>
        <v/>
      </c>
      <c r="P220" s="4" t="n"/>
      <c r="Q220" s="14">
        <f>IF($A220="","",TEXT($A220,"yyyy-mm"))</f>
        <v/>
      </c>
    </row>
    <row r="221">
      <c r="A221" s="66" t="n"/>
      <c r="B221" s="4" t="n"/>
      <c r="C221" s="11">
        <f>IFERROR(VLOOKUP($B221,Members!$A:$C,2,FALSE),"")</f>
        <v/>
      </c>
      <c r="D221" s="11">
        <f>IFERROR(VLOOKUP($B221,Members!$A:$C,3,FALSE),"")</f>
        <v/>
      </c>
      <c r="E221" s="11">
        <f>IF($F221="","",IFERROR(VLOOKUP($F221,ActionMap!$A:$B,2,FALSE),"INVALID ACTION"))</f>
        <v/>
      </c>
      <c r="F221" s="4" t="n"/>
      <c r="G221" s="11">
        <f>IFERROR(VLOOKUP($E221,ActionsCatalog!$A:$B,2,FALSE),"")</f>
        <v/>
      </c>
      <c r="H221" s="4" t="n"/>
      <c r="I221" s="4">
        <f>IFERROR(VLOOKUP($E221,ActionsCatalog!$A:$D,3,FALSE),0)</f>
        <v/>
      </c>
      <c r="J221" s="4">
        <f>IFERROR(VLOOKUP($E221,ActionsCatalog!$A:$D,4,FALSE),0)</f>
        <v/>
      </c>
      <c r="K221" s="4">
        <f>IF($M221&lt;&gt;"Yes",0,IF($H221="",0,$H221*$I221))</f>
        <v/>
      </c>
      <c r="L221" s="4">
        <f>IF($M221&lt;&gt;"Yes",0,IF($H221="",0,$H221*$J221))</f>
        <v/>
      </c>
      <c r="M221" s="4" t="n"/>
      <c r="N221" s="4" t="n"/>
      <c r="O221" s="4">
        <f>IF($A221="","",TEXT($A221,"yyyy")&amp;"-W"&amp;TEXT(ISOWEEKNUM($A221),"00"))</f>
        <v/>
      </c>
      <c r="P221" s="4" t="n"/>
      <c r="Q221" s="14">
        <f>IF($A221="","",TEXT($A221,"yyyy-mm"))</f>
        <v/>
      </c>
    </row>
    <row r="222">
      <c r="A222" s="66" t="n"/>
      <c r="B222" s="4" t="n"/>
      <c r="C222" s="11">
        <f>IFERROR(VLOOKUP($B222,Members!$A:$C,2,FALSE),"")</f>
        <v/>
      </c>
      <c r="D222" s="11">
        <f>IFERROR(VLOOKUP($B222,Members!$A:$C,3,FALSE),"")</f>
        <v/>
      </c>
      <c r="E222" s="11">
        <f>IF($F222="","",IFERROR(VLOOKUP($F222,ActionMap!$A:$B,2,FALSE),"INVALID ACTION"))</f>
        <v/>
      </c>
      <c r="F222" s="4" t="n"/>
      <c r="G222" s="11">
        <f>IFERROR(VLOOKUP($E222,ActionsCatalog!$A:$B,2,FALSE),"")</f>
        <v/>
      </c>
      <c r="H222" s="4" t="n"/>
      <c r="I222" s="4">
        <f>IFERROR(VLOOKUP($E222,ActionsCatalog!$A:$D,3,FALSE),0)</f>
        <v/>
      </c>
      <c r="J222" s="4">
        <f>IFERROR(VLOOKUP($E222,ActionsCatalog!$A:$D,4,FALSE),0)</f>
        <v/>
      </c>
      <c r="K222" s="4">
        <f>IF($M222&lt;&gt;"Yes",0,IF($H222="",0,$H222*$I222))</f>
        <v/>
      </c>
      <c r="L222" s="4">
        <f>IF($M222&lt;&gt;"Yes",0,IF($H222="",0,$H222*$J222))</f>
        <v/>
      </c>
      <c r="M222" s="4" t="n"/>
      <c r="N222" s="4" t="n"/>
      <c r="O222" s="4">
        <f>IF($A222="","",TEXT($A222,"yyyy")&amp;"-W"&amp;TEXT(ISOWEEKNUM($A222),"00"))</f>
        <v/>
      </c>
      <c r="P222" s="4" t="n"/>
      <c r="Q222" s="14">
        <f>IF($A222="","",TEXT($A222,"yyyy-mm"))</f>
        <v/>
      </c>
    </row>
    <row r="223">
      <c r="A223" s="66" t="n"/>
      <c r="B223" s="4" t="n"/>
      <c r="C223" s="11">
        <f>IFERROR(VLOOKUP($B223,Members!$A:$C,2,FALSE),"")</f>
        <v/>
      </c>
      <c r="D223" s="11">
        <f>IFERROR(VLOOKUP($B223,Members!$A:$C,3,FALSE),"")</f>
        <v/>
      </c>
      <c r="E223" s="11">
        <f>IF($F223="","",IFERROR(VLOOKUP($F223,ActionMap!$A:$B,2,FALSE),"INVALID ACTION"))</f>
        <v/>
      </c>
      <c r="F223" s="4" t="n"/>
      <c r="G223" s="11">
        <f>IFERROR(VLOOKUP($E223,ActionsCatalog!$A:$B,2,FALSE),"")</f>
        <v/>
      </c>
      <c r="H223" s="4" t="n"/>
      <c r="I223" s="4">
        <f>IFERROR(VLOOKUP($E223,ActionsCatalog!$A:$D,3,FALSE),0)</f>
        <v/>
      </c>
      <c r="J223" s="4">
        <f>IFERROR(VLOOKUP($E223,ActionsCatalog!$A:$D,4,FALSE),0)</f>
        <v/>
      </c>
      <c r="K223" s="4">
        <f>IF($M223&lt;&gt;"Yes",0,IF($H223="",0,$H223*$I223))</f>
        <v/>
      </c>
      <c r="L223" s="4">
        <f>IF($M223&lt;&gt;"Yes",0,IF($H223="",0,$H223*$J223))</f>
        <v/>
      </c>
      <c r="M223" s="4" t="n"/>
      <c r="N223" s="4" t="n"/>
      <c r="O223" s="4">
        <f>IF($A223="","",TEXT($A223,"yyyy")&amp;"-W"&amp;TEXT(ISOWEEKNUM($A223),"00"))</f>
        <v/>
      </c>
      <c r="P223" s="4" t="n"/>
      <c r="Q223" s="14">
        <f>IF($A223="","",TEXT($A223,"yyyy-mm"))</f>
        <v/>
      </c>
    </row>
    <row r="224">
      <c r="A224" s="66" t="n"/>
      <c r="B224" s="4" t="n"/>
      <c r="C224" s="11">
        <f>IFERROR(VLOOKUP($B224,Members!$A:$C,2,FALSE),"")</f>
        <v/>
      </c>
      <c r="D224" s="11">
        <f>IFERROR(VLOOKUP($B224,Members!$A:$C,3,FALSE),"")</f>
        <v/>
      </c>
      <c r="E224" s="11">
        <f>IF($F224="","",IFERROR(VLOOKUP($F224,ActionMap!$A:$B,2,FALSE),"INVALID ACTION"))</f>
        <v/>
      </c>
      <c r="F224" s="4" t="n"/>
      <c r="G224" s="11">
        <f>IFERROR(VLOOKUP($E224,ActionsCatalog!$A:$B,2,FALSE),"")</f>
        <v/>
      </c>
      <c r="H224" s="4" t="n"/>
      <c r="I224" s="4">
        <f>IFERROR(VLOOKUP($E224,ActionsCatalog!$A:$D,3,FALSE),0)</f>
        <v/>
      </c>
      <c r="J224" s="4">
        <f>IFERROR(VLOOKUP($E224,ActionsCatalog!$A:$D,4,FALSE),0)</f>
        <v/>
      </c>
      <c r="K224" s="4">
        <f>IF($M224&lt;&gt;"Yes",0,IF($H224="",0,$H224*$I224))</f>
        <v/>
      </c>
      <c r="L224" s="4">
        <f>IF($M224&lt;&gt;"Yes",0,IF($H224="",0,$H224*$J224))</f>
        <v/>
      </c>
      <c r="M224" s="4" t="n"/>
      <c r="N224" s="4" t="n"/>
      <c r="O224" s="4">
        <f>IF($A224="","",TEXT($A224,"yyyy")&amp;"-W"&amp;TEXT(ISOWEEKNUM($A224),"00"))</f>
        <v/>
      </c>
      <c r="P224" s="4" t="n"/>
      <c r="Q224" s="14">
        <f>IF($A224="","",TEXT($A224,"yyyy-mm"))</f>
        <v/>
      </c>
    </row>
    <row r="225">
      <c r="A225" s="66" t="n"/>
      <c r="B225" s="4" t="n"/>
      <c r="C225" s="11">
        <f>IFERROR(VLOOKUP($B225,Members!$A:$C,2,FALSE),"")</f>
        <v/>
      </c>
      <c r="D225" s="11">
        <f>IFERROR(VLOOKUP($B225,Members!$A:$C,3,FALSE),"")</f>
        <v/>
      </c>
      <c r="E225" s="11">
        <f>IF($F225="","",IFERROR(VLOOKUP($F225,ActionMap!$A:$B,2,FALSE),"INVALID ACTION"))</f>
        <v/>
      </c>
      <c r="F225" s="4" t="n"/>
      <c r="G225" s="11">
        <f>IFERROR(VLOOKUP($E225,ActionsCatalog!$A:$B,2,FALSE),"")</f>
        <v/>
      </c>
      <c r="H225" s="4" t="n"/>
      <c r="I225" s="4">
        <f>IFERROR(VLOOKUP($E225,ActionsCatalog!$A:$D,3,FALSE),0)</f>
        <v/>
      </c>
      <c r="J225" s="4">
        <f>IFERROR(VLOOKUP($E225,ActionsCatalog!$A:$D,4,FALSE),0)</f>
        <v/>
      </c>
      <c r="K225" s="4">
        <f>IF($M225&lt;&gt;"Yes",0,IF($H225="",0,$H225*$I225))</f>
        <v/>
      </c>
      <c r="L225" s="4">
        <f>IF($M225&lt;&gt;"Yes",0,IF($H225="",0,$H225*$J225))</f>
        <v/>
      </c>
      <c r="M225" s="4" t="n"/>
      <c r="N225" s="4" t="n"/>
      <c r="O225" s="4">
        <f>IF($A225="","",TEXT($A225,"yyyy")&amp;"-W"&amp;TEXT(ISOWEEKNUM($A225),"00"))</f>
        <v/>
      </c>
      <c r="P225" s="4" t="n"/>
      <c r="Q225" s="14">
        <f>IF($A225="","",TEXT($A225,"yyyy-mm"))</f>
        <v/>
      </c>
    </row>
    <row r="226">
      <c r="A226" s="66" t="n"/>
      <c r="B226" s="4" t="n"/>
      <c r="C226" s="11">
        <f>IFERROR(VLOOKUP($B226,Members!$A:$C,2,FALSE),"")</f>
        <v/>
      </c>
      <c r="D226" s="11">
        <f>IFERROR(VLOOKUP($B226,Members!$A:$C,3,FALSE),"")</f>
        <v/>
      </c>
      <c r="E226" s="11">
        <f>IF($F226="","",IFERROR(VLOOKUP($F226,ActionMap!$A:$B,2,FALSE),"INVALID ACTION"))</f>
        <v/>
      </c>
      <c r="F226" s="4" t="n"/>
      <c r="G226" s="11">
        <f>IFERROR(VLOOKUP($E226,ActionsCatalog!$A:$B,2,FALSE),"")</f>
        <v/>
      </c>
      <c r="H226" s="4" t="n"/>
      <c r="I226" s="4">
        <f>IFERROR(VLOOKUP($E226,ActionsCatalog!$A:$D,3,FALSE),0)</f>
        <v/>
      </c>
      <c r="J226" s="4">
        <f>IFERROR(VLOOKUP($E226,ActionsCatalog!$A:$D,4,FALSE),0)</f>
        <v/>
      </c>
      <c r="K226" s="4">
        <f>IF($M226&lt;&gt;"Yes",0,IF($H226="",0,$H226*$I226))</f>
        <v/>
      </c>
      <c r="L226" s="4">
        <f>IF($M226&lt;&gt;"Yes",0,IF($H226="",0,$H226*$J226))</f>
        <v/>
      </c>
      <c r="M226" s="4" t="n"/>
      <c r="N226" s="4" t="n"/>
      <c r="O226" s="4">
        <f>IF($A226="","",TEXT($A226,"yyyy")&amp;"-W"&amp;TEXT(ISOWEEKNUM($A226),"00"))</f>
        <v/>
      </c>
      <c r="P226" s="4" t="n"/>
      <c r="Q226" s="14">
        <f>IF($A226="","",TEXT($A226,"yyyy-mm"))</f>
        <v/>
      </c>
    </row>
    <row r="227">
      <c r="A227" s="66" t="n"/>
      <c r="B227" s="4" t="n"/>
      <c r="C227" s="11">
        <f>IFERROR(VLOOKUP($B227,Members!$A:$C,2,FALSE),"")</f>
        <v/>
      </c>
      <c r="D227" s="11">
        <f>IFERROR(VLOOKUP($B227,Members!$A:$C,3,FALSE),"")</f>
        <v/>
      </c>
      <c r="E227" s="11">
        <f>IF($F227="","",IFERROR(VLOOKUP($F227,ActionMap!$A:$B,2,FALSE),"INVALID ACTION"))</f>
        <v/>
      </c>
      <c r="F227" s="4" t="n"/>
      <c r="G227" s="11">
        <f>IFERROR(VLOOKUP($E227,ActionsCatalog!$A:$B,2,FALSE),"")</f>
        <v/>
      </c>
      <c r="H227" s="4" t="n"/>
      <c r="I227" s="4">
        <f>IFERROR(VLOOKUP($E227,ActionsCatalog!$A:$D,3,FALSE),0)</f>
        <v/>
      </c>
      <c r="J227" s="4">
        <f>IFERROR(VLOOKUP($E227,ActionsCatalog!$A:$D,4,FALSE),0)</f>
        <v/>
      </c>
      <c r="K227" s="4">
        <f>IF($M227&lt;&gt;"Yes",0,IF($H227="",0,$H227*$I227))</f>
        <v/>
      </c>
      <c r="L227" s="4">
        <f>IF($M227&lt;&gt;"Yes",0,IF($H227="",0,$H227*$J227))</f>
        <v/>
      </c>
      <c r="M227" s="4" t="n"/>
      <c r="N227" s="4" t="n"/>
      <c r="O227" s="4">
        <f>IF($A227="","",TEXT($A227,"yyyy")&amp;"-W"&amp;TEXT(ISOWEEKNUM($A227),"00"))</f>
        <v/>
      </c>
      <c r="P227" s="4" t="n"/>
      <c r="Q227" s="14">
        <f>IF($A227="","",TEXT($A227,"yyyy-mm"))</f>
        <v/>
      </c>
    </row>
    <row r="228">
      <c r="A228" s="66" t="n"/>
      <c r="B228" s="4" t="n"/>
      <c r="C228" s="11">
        <f>IFERROR(VLOOKUP($B228,Members!$A:$C,2,FALSE),"")</f>
        <v/>
      </c>
      <c r="D228" s="11">
        <f>IFERROR(VLOOKUP($B228,Members!$A:$C,3,FALSE),"")</f>
        <v/>
      </c>
      <c r="E228" s="11">
        <f>IF($F228="","",IFERROR(VLOOKUP($F228,ActionMap!$A:$B,2,FALSE),"INVALID ACTION"))</f>
        <v/>
      </c>
      <c r="F228" s="4" t="n"/>
      <c r="G228" s="11">
        <f>IFERROR(VLOOKUP($E228,ActionsCatalog!$A:$B,2,FALSE),"")</f>
        <v/>
      </c>
      <c r="H228" s="4" t="n"/>
      <c r="I228" s="4">
        <f>IFERROR(VLOOKUP($E228,ActionsCatalog!$A:$D,3,FALSE),0)</f>
        <v/>
      </c>
      <c r="J228" s="4">
        <f>IFERROR(VLOOKUP($E228,ActionsCatalog!$A:$D,4,FALSE),0)</f>
        <v/>
      </c>
      <c r="K228" s="4">
        <f>IF($M228&lt;&gt;"Yes",0,IF($H228="",0,$H228*$I228))</f>
        <v/>
      </c>
      <c r="L228" s="4">
        <f>IF($M228&lt;&gt;"Yes",0,IF($H228="",0,$H228*$J228))</f>
        <v/>
      </c>
      <c r="M228" s="4" t="n"/>
      <c r="N228" s="4" t="n"/>
      <c r="O228" s="4">
        <f>IF($A228="","",TEXT($A228,"yyyy")&amp;"-W"&amp;TEXT(ISOWEEKNUM($A228),"00"))</f>
        <v/>
      </c>
      <c r="P228" s="4" t="n"/>
      <c r="Q228" s="14">
        <f>IF($A228="","",TEXT($A228,"yyyy-mm"))</f>
        <v/>
      </c>
    </row>
    <row r="229">
      <c r="A229" s="66" t="n"/>
      <c r="B229" s="4" t="n"/>
      <c r="C229" s="11">
        <f>IFERROR(VLOOKUP($B229,Members!$A:$C,2,FALSE),"")</f>
        <v/>
      </c>
      <c r="D229" s="11">
        <f>IFERROR(VLOOKUP($B229,Members!$A:$C,3,FALSE),"")</f>
        <v/>
      </c>
      <c r="E229" s="11">
        <f>IF($F229="","",IFERROR(VLOOKUP($F229,ActionMap!$A:$B,2,FALSE),"INVALID ACTION"))</f>
        <v/>
      </c>
      <c r="F229" s="4" t="n"/>
      <c r="G229" s="11">
        <f>IFERROR(VLOOKUP($E229,ActionsCatalog!$A:$B,2,FALSE),"")</f>
        <v/>
      </c>
      <c r="H229" s="4" t="n"/>
      <c r="I229" s="4">
        <f>IFERROR(VLOOKUP($E229,ActionsCatalog!$A:$D,3,FALSE),0)</f>
        <v/>
      </c>
      <c r="J229" s="4">
        <f>IFERROR(VLOOKUP($E229,ActionsCatalog!$A:$D,4,FALSE),0)</f>
        <v/>
      </c>
      <c r="K229" s="4">
        <f>IF($M229&lt;&gt;"Yes",0,IF($H229="",0,$H229*$I229))</f>
        <v/>
      </c>
      <c r="L229" s="4">
        <f>IF($M229&lt;&gt;"Yes",0,IF($H229="",0,$H229*$J229))</f>
        <v/>
      </c>
      <c r="M229" s="4" t="n"/>
      <c r="N229" s="4" t="n"/>
      <c r="O229" s="4">
        <f>IF($A229="","",TEXT($A229,"yyyy")&amp;"-W"&amp;TEXT(ISOWEEKNUM($A229),"00"))</f>
        <v/>
      </c>
      <c r="P229" s="4" t="n"/>
      <c r="Q229" s="14">
        <f>IF($A229="","",TEXT($A229,"yyyy-mm"))</f>
        <v/>
      </c>
    </row>
    <row r="230">
      <c r="A230" s="66" t="n"/>
      <c r="B230" s="4" t="n"/>
      <c r="C230" s="11">
        <f>IFERROR(VLOOKUP($B230,Members!$A:$C,2,FALSE),"")</f>
        <v/>
      </c>
      <c r="D230" s="11">
        <f>IFERROR(VLOOKUP($B230,Members!$A:$C,3,FALSE),"")</f>
        <v/>
      </c>
      <c r="E230" s="11">
        <f>IF($F230="","",IFERROR(VLOOKUP($F230,ActionMap!$A:$B,2,FALSE),"INVALID ACTION"))</f>
        <v/>
      </c>
      <c r="F230" s="4" t="n"/>
      <c r="G230" s="11">
        <f>IFERROR(VLOOKUP($E230,ActionsCatalog!$A:$B,2,FALSE),"")</f>
        <v/>
      </c>
      <c r="H230" s="4" t="n"/>
      <c r="I230" s="4">
        <f>IFERROR(VLOOKUP($E230,ActionsCatalog!$A:$D,3,FALSE),0)</f>
        <v/>
      </c>
      <c r="J230" s="4">
        <f>IFERROR(VLOOKUP($E230,ActionsCatalog!$A:$D,4,FALSE),0)</f>
        <v/>
      </c>
      <c r="K230" s="4">
        <f>IF($M230&lt;&gt;"Yes",0,IF($H230="",0,$H230*$I230))</f>
        <v/>
      </c>
      <c r="L230" s="4">
        <f>IF($M230&lt;&gt;"Yes",0,IF($H230="",0,$H230*$J230))</f>
        <v/>
      </c>
      <c r="M230" s="4" t="n"/>
      <c r="N230" s="4" t="n"/>
      <c r="O230" s="4">
        <f>IF($A230="","",TEXT($A230,"yyyy")&amp;"-W"&amp;TEXT(ISOWEEKNUM($A230),"00"))</f>
        <v/>
      </c>
      <c r="P230" s="4" t="n"/>
      <c r="Q230" s="14">
        <f>IF($A230="","",TEXT($A230,"yyyy-mm"))</f>
        <v/>
      </c>
    </row>
    <row r="231">
      <c r="A231" s="66" t="n"/>
      <c r="B231" s="4" t="n"/>
      <c r="C231" s="11">
        <f>IFERROR(VLOOKUP($B231,Members!$A:$C,2,FALSE),"")</f>
        <v/>
      </c>
      <c r="D231" s="11">
        <f>IFERROR(VLOOKUP($B231,Members!$A:$C,3,FALSE),"")</f>
        <v/>
      </c>
      <c r="E231" s="11">
        <f>IF($F231="","",IFERROR(VLOOKUP($F231,ActionMap!$A:$B,2,FALSE),"INVALID ACTION"))</f>
        <v/>
      </c>
      <c r="F231" s="4" t="n"/>
      <c r="G231" s="11">
        <f>IFERROR(VLOOKUP($E231,ActionsCatalog!$A:$B,2,FALSE),"")</f>
        <v/>
      </c>
      <c r="H231" s="4" t="n"/>
      <c r="I231" s="4">
        <f>IFERROR(VLOOKUP($E231,ActionsCatalog!$A:$D,3,FALSE),0)</f>
        <v/>
      </c>
      <c r="J231" s="4">
        <f>IFERROR(VLOOKUP($E231,ActionsCatalog!$A:$D,4,FALSE),0)</f>
        <v/>
      </c>
      <c r="K231" s="4">
        <f>IF($M231&lt;&gt;"Yes",0,IF($H231="",0,$H231*$I231))</f>
        <v/>
      </c>
      <c r="L231" s="4">
        <f>IF($M231&lt;&gt;"Yes",0,IF($H231="",0,$H231*$J231))</f>
        <v/>
      </c>
      <c r="M231" s="4" t="n"/>
      <c r="N231" s="4" t="n"/>
      <c r="O231" s="4">
        <f>IF($A231="","",TEXT($A231,"yyyy")&amp;"-W"&amp;TEXT(ISOWEEKNUM($A231),"00"))</f>
        <v/>
      </c>
      <c r="P231" s="4" t="n"/>
      <c r="Q231" s="14">
        <f>IF($A231="","",TEXT($A231,"yyyy-mm"))</f>
        <v/>
      </c>
    </row>
    <row r="232">
      <c r="A232" s="66" t="n"/>
      <c r="B232" s="4" t="n"/>
      <c r="C232" s="11">
        <f>IFERROR(VLOOKUP($B232,Members!$A:$C,2,FALSE),"")</f>
        <v/>
      </c>
      <c r="D232" s="11">
        <f>IFERROR(VLOOKUP($B232,Members!$A:$C,3,FALSE),"")</f>
        <v/>
      </c>
      <c r="E232" s="11">
        <f>IF($F232="","",IFERROR(VLOOKUP($F232,ActionMap!$A:$B,2,FALSE),"INVALID ACTION"))</f>
        <v/>
      </c>
      <c r="F232" s="4" t="n"/>
      <c r="G232" s="11">
        <f>IFERROR(VLOOKUP($E232,ActionsCatalog!$A:$B,2,FALSE),"")</f>
        <v/>
      </c>
      <c r="H232" s="4" t="n"/>
      <c r="I232" s="4">
        <f>IFERROR(VLOOKUP($E232,ActionsCatalog!$A:$D,3,FALSE),0)</f>
        <v/>
      </c>
      <c r="J232" s="4">
        <f>IFERROR(VLOOKUP($E232,ActionsCatalog!$A:$D,4,FALSE),0)</f>
        <v/>
      </c>
      <c r="K232" s="4">
        <f>IF($M232&lt;&gt;"Yes",0,IF($H232="",0,$H232*$I232))</f>
        <v/>
      </c>
      <c r="L232" s="4">
        <f>IF($M232&lt;&gt;"Yes",0,IF($H232="",0,$H232*$J232))</f>
        <v/>
      </c>
      <c r="M232" s="4" t="n"/>
      <c r="N232" s="4" t="n"/>
      <c r="O232" s="4">
        <f>IF($A232="","",TEXT($A232,"yyyy")&amp;"-W"&amp;TEXT(ISOWEEKNUM($A232),"00"))</f>
        <v/>
      </c>
      <c r="P232" s="4" t="n"/>
      <c r="Q232" s="14">
        <f>IF($A232="","",TEXT($A232,"yyyy-mm"))</f>
        <v/>
      </c>
    </row>
    <row r="233">
      <c r="A233" s="66" t="n"/>
      <c r="B233" s="4" t="n"/>
      <c r="C233" s="11">
        <f>IFERROR(VLOOKUP($B233,Members!$A:$C,2,FALSE),"")</f>
        <v/>
      </c>
      <c r="D233" s="11">
        <f>IFERROR(VLOOKUP($B233,Members!$A:$C,3,FALSE),"")</f>
        <v/>
      </c>
      <c r="E233" s="11">
        <f>IF($F233="","",IFERROR(VLOOKUP($F233,ActionMap!$A:$B,2,FALSE),"INVALID ACTION"))</f>
        <v/>
      </c>
      <c r="F233" s="4" t="n"/>
      <c r="G233" s="11">
        <f>IFERROR(VLOOKUP($E233,ActionsCatalog!$A:$B,2,FALSE),"")</f>
        <v/>
      </c>
      <c r="H233" s="4" t="n"/>
      <c r="I233" s="4">
        <f>IFERROR(VLOOKUP($E233,ActionsCatalog!$A:$D,3,FALSE),0)</f>
        <v/>
      </c>
      <c r="J233" s="4">
        <f>IFERROR(VLOOKUP($E233,ActionsCatalog!$A:$D,4,FALSE),0)</f>
        <v/>
      </c>
      <c r="K233" s="4">
        <f>IF($M233&lt;&gt;"Yes",0,IF($H233="",0,$H233*$I233))</f>
        <v/>
      </c>
      <c r="L233" s="4">
        <f>IF($M233&lt;&gt;"Yes",0,IF($H233="",0,$H233*$J233))</f>
        <v/>
      </c>
      <c r="M233" s="4" t="n"/>
      <c r="N233" s="4" t="n"/>
      <c r="O233" s="4">
        <f>IF($A233="","",TEXT($A233,"yyyy")&amp;"-W"&amp;TEXT(ISOWEEKNUM($A233),"00"))</f>
        <v/>
      </c>
      <c r="P233" s="4" t="n"/>
      <c r="Q233" s="14">
        <f>IF($A233="","",TEXT($A233,"yyyy-mm"))</f>
        <v/>
      </c>
    </row>
    <row r="234">
      <c r="A234" s="66" t="n"/>
      <c r="B234" s="4" t="n"/>
      <c r="C234" s="11">
        <f>IFERROR(VLOOKUP($B234,Members!$A:$C,2,FALSE),"")</f>
        <v/>
      </c>
      <c r="D234" s="11">
        <f>IFERROR(VLOOKUP($B234,Members!$A:$C,3,FALSE),"")</f>
        <v/>
      </c>
      <c r="E234" s="11">
        <f>IF($F234="","",IFERROR(VLOOKUP($F234,ActionMap!$A:$B,2,FALSE),"INVALID ACTION"))</f>
        <v/>
      </c>
      <c r="F234" s="4" t="n"/>
      <c r="G234" s="11">
        <f>IFERROR(VLOOKUP($E234,ActionsCatalog!$A:$B,2,FALSE),"")</f>
        <v/>
      </c>
      <c r="H234" s="4" t="n"/>
      <c r="I234" s="4">
        <f>IFERROR(VLOOKUP($E234,ActionsCatalog!$A:$D,3,FALSE),0)</f>
        <v/>
      </c>
      <c r="J234" s="4">
        <f>IFERROR(VLOOKUP($E234,ActionsCatalog!$A:$D,4,FALSE),0)</f>
        <v/>
      </c>
      <c r="K234" s="4">
        <f>IF($M234&lt;&gt;"Yes",0,IF($H234="",0,$H234*$I234))</f>
        <v/>
      </c>
      <c r="L234" s="4">
        <f>IF($M234&lt;&gt;"Yes",0,IF($H234="",0,$H234*$J234))</f>
        <v/>
      </c>
      <c r="M234" s="4" t="n"/>
      <c r="N234" s="4" t="n"/>
      <c r="O234" s="4">
        <f>IF($A234="","",TEXT($A234,"yyyy")&amp;"-W"&amp;TEXT(ISOWEEKNUM($A234),"00"))</f>
        <v/>
      </c>
      <c r="P234" s="4" t="n"/>
      <c r="Q234" s="14">
        <f>IF($A234="","",TEXT($A234,"yyyy-mm"))</f>
        <v/>
      </c>
    </row>
    <row r="235">
      <c r="A235" s="66" t="n"/>
      <c r="B235" s="4" t="n"/>
      <c r="C235" s="11">
        <f>IFERROR(VLOOKUP($B235,Members!$A:$C,2,FALSE),"")</f>
        <v/>
      </c>
      <c r="D235" s="11">
        <f>IFERROR(VLOOKUP($B235,Members!$A:$C,3,FALSE),"")</f>
        <v/>
      </c>
      <c r="E235" s="11">
        <f>IF($F235="","",IFERROR(VLOOKUP($F235,ActionMap!$A:$B,2,FALSE),"INVALID ACTION"))</f>
        <v/>
      </c>
      <c r="F235" s="4" t="n"/>
      <c r="G235" s="11">
        <f>IFERROR(VLOOKUP($E235,ActionsCatalog!$A:$B,2,FALSE),"")</f>
        <v/>
      </c>
      <c r="H235" s="4" t="n"/>
      <c r="I235" s="4">
        <f>IFERROR(VLOOKUP($E235,ActionsCatalog!$A:$D,3,FALSE),0)</f>
        <v/>
      </c>
      <c r="J235" s="4">
        <f>IFERROR(VLOOKUP($E235,ActionsCatalog!$A:$D,4,FALSE),0)</f>
        <v/>
      </c>
      <c r="K235" s="4">
        <f>IF($M235&lt;&gt;"Yes",0,IF($H235="",0,$H235*$I235))</f>
        <v/>
      </c>
      <c r="L235" s="4">
        <f>IF($M235&lt;&gt;"Yes",0,IF($H235="",0,$H235*$J235))</f>
        <v/>
      </c>
      <c r="M235" s="4" t="n"/>
      <c r="N235" s="4" t="n"/>
      <c r="O235" s="4">
        <f>IF($A235="","",TEXT($A235,"yyyy")&amp;"-W"&amp;TEXT(ISOWEEKNUM($A235),"00"))</f>
        <v/>
      </c>
      <c r="P235" s="4" t="n"/>
      <c r="Q235" s="14">
        <f>IF($A235="","",TEXT($A235,"yyyy-mm"))</f>
        <v/>
      </c>
    </row>
    <row r="236">
      <c r="A236" s="66" t="n"/>
      <c r="B236" s="4" t="n"/>
      <c r="C236" s="11">
        <f>IFERROR(VLOOKUP($B236,Members!$A:$C,2,FALSE),"")</f>
        <v/>
      </c>
      <c r="D236" s="11">
        <f>IFERROR(VLOOKUP($B236,Members!$A:$C,3,FALSE),"")</f>
        <v/>
      </c>
      <c r="E236" s="11">
        <f>IF($F236="","",IFERROR(VLOOKUP($F236,ActionMap!$A:$B,2,FALSE),"INVALID ACTION"))</f>
        <v/>
      </c>
      <c r="F236" s="4" t="n"/>
      <c r="G236" s="11">
        <f>IFERROR(VLOOKUP($E236,ActionsCatalog!$A:$B,2,FALSE),"")</f>
        <v/>
      </c>
      <c r="H236" s="4" t="n"/>
      <c r="I236" s="4">
        <f>IFERROR(VLOOKUP($E236,ActionsCatalog!$A:$D,3,FALSE),0)</f>
        <v/>
      </c>
      <c r="J236" s="4">
        <f>IFERROR(VLOOKUP($E236,ActionsCatalog!$A:$D,4,FALSE),0)</f>
        <v/>
      </c>
      <c r="K236" s="4">
        <f>IF($M236&lt;&gt;"Yes",0,IF($H236="",0,$H236*$I236))</f>
        <v/>
      </c>
      <c r="L236" s="4">
        <f>IF($M236&lt;&gt;"Yes",0,IF($H236="",0,$H236*$J236))</f>
        <v/>
      </c>
      <c r="M236" s="4" t="n"/>
      <c r="N236" s="4" t="n"/>
      <c r="O236" s="4">
        <f>IF($A236="","",TEXT($A236,"yyyy")&amp;"-W"&amp;TEXT(ISOWEEKNUM($A236),"00"))</f>
        <v/>
      </c>
      <c r="P236" s="4" t="n"/>
      <c r="Q236" s="14">
        <f>IF($A236="","",TEXT($A236,"yyyy-mm"))</f>
        <v/>
      </c>
    </row>
    <row r="237">
      <c r="A237" s="66" t="n"/>
      <c r="B237" s="4" t="n"/>
      <c r="C237" s="11">
        <f>IFERROR(VLOOKUP($B237,Members!$A:$C,2,FALSE),"")</f>
        <v/>
      </c>
      <c r="D237" s="11">
        <f>IFERROR(VLOOKUP($B237,Members!$A:$C,3,FALSE),"")</f>
        <v/>
      </c>
      <c r="E237" s="11">
        <f>IF($F237="","",IFERROR(VLOOKUP($F237,ActionMap!$A:$B,2,FALSE),"INVALID ACTION"))</f>
        <v/>
      </c>
      <c r="F237" s="4" t="n"/>
      <c r="G237" s="11">
        <f>IFERROR(VLOOKUP($E237,ActionsCatalog!$A:$B,2,FALSE),"")</f>
        <v/>
      </c>
      <c r="H237" s="4" t="n"/>
      <c r="I237" s="4">
        <f>IFERROR(VLOOKUP($E237,ActionsCatalog!$A:$D,3,FALSE),0)</f>
        <v/>
      </c>
      <c r="J237" s="4">
        <f>IFERROR(VLOOKUP($E237,ActionsCatalog!$A:$D,4,FALSE),0)</f>
        <v/>
      </c>
      <c r="K237" s="4">
        <f>IF($M237&lt;&gt;"Yes",0,IF($H237="",0,$H237*$I237))</f>
        <v/>
      </c>
      <c r="L237" s="4">
        <f>IF($M237&lt;&gt;"Yes",0,IF($H237="",0,$H237*$J237))</f>
        <v/>
      </c>
      <c r="M237" s="4" t="n"/>
      <c r="N237" s="4" t="n"/>
      <c r="O237" s="4">
        <f>IF($A237="","",TEXT($A237,"yyyy")&amp;"-W"&amp;TEXT(ISOWEEKNUM($A237),"00"))</f>
        <v/>
      </c>
      <c r="P237" s="4" t="n"/>
      <c r="Q237" s="14">
        <f>IF($A237="","",TEXT($A237,"yyyy-mm"))</f>
        <v/>
      </c>
    </row>
    <row r="238">
      <c r="A238" s="66" t="n"/>
      <c r="B238" s="4" t="n"/>
      <c r="C238" s="11">
        <f>IFERROR(VLOOKUP($B238,Members!$A:$C,2,FALSE),"")</f>
        <v/>
      </c>
      <c r="D238" s="11">
        <f>IFERROR(VLOOKUP($B238,Members!$A:$C,3,FALSE),"")</f>
        <v/>
      </c>
      <c r="E238" s="11">
        <f>IF($F238="","",IFERROR(VLOOKUP($F238,ActionMap!$A:$B,2,FALSE),"INVALID ACTION"))</f>
        <v/>
      </c>
      <c r="F238" s="4" t="n"/>
      <c r="G238" s="11">
        <f>IFERROR(VLOOKUP($E238,ActionsCatalog!$A:$B,2,FALSE),"")</f>
        <v/>
      </c>
      <c r="H238" s="4" t="n"/>
      <c r="I238" s="4">
        <f>IFERROR(VLOOKUP($E238,ActionsCatalog!$A:$D,3,FALSE),0)</f>
        <v/>
      </c>
      <c r="J238" s="4">
        <f>IFERROR(VLOOKUP($E238,ActionsCatalog!$A:$D,4,FALSE),0)</f>
        <v/>
      </c>
      <c r="K238" s="4">
        <f>IF($M238&lt;&gt;"Yes",0,IF($H238="",0,$H238*$I238))</f>
        <v/>
      </c>
      <c r="L238" s="4">
        <f>IF($M238&lt;&gt;"Yes",0,IF($H238="",0,$H238*$J238))</f>
        <v/>
      </c>
      <c r="M238" s="4" t="n"/>
      <c r="N238" s="4" t="n"/>
      <c r="O238" s="4">
        <f>IF($A238="","",TEXT($A238,"yyyy")&amp;"-W"&amp;TEXT(ISOWEEKNUM($A238),"00"))</f>
        <v/>
      </c>
      <c r="P238" s="4" t="n"/>
      <c r="Q238" s="14">
        <f>IF($A238="","",TEXT($A238,"yyyy-mm"))</f>
        <v/>
      </c>
    </row>
    <row r="239">
      <c r="A239" s="66" t="n"/>
      <c r="B239" s="4" t="n"/>
      <c r="C239" s="11">
        <f>IFERROR(VLOOKUP($B239,Members!$A:$C,2,FALSE),"")</f>
        <v/>
      </c>
      <c r="D239" s="11">
        <f>IFERROR(VLOOKUP($B239,Members!$A:$C,3,FALSE),"")</f>
        <v/>
      </c>
      <c r="E239" s="11">
        <f>IF($F239="","",IFERROR(VLOOKUP($F239,ActionMap!$A:$B,2,FALSE),"INVALID ACTION"))</f>
        <v/>
      </c>
      <c r="F239" s="4" t="n"/>
      <c r="G239" s="11">
        <f>IFERROR(VLOOKUP($E239,ActionsCatalog!$A:$B,2,FALSE),"")</f>
        <v/>
      </c>
      <c r="H239" s="4" t="n"/>
      <c r="I239" s="4">
        <f>IFERROR(VLOOKUP($E239,ActionsCatalog!$A:$D,3,FALSE),0)</f>
        <v/>
      </c>
      <c r="J239" s="4">
        <f>IFERROR(VLOOKUP($E239,ActionsCatalog!$A:$D,4,FALSE),0)</f>
        <v/>
      </c>
      <c r="K239" s="4">
        <f>IF($M239&lt;&gt;"Yes",0,IF($H239="",0,$H239*$I239))</f>
        <v/>
      </c>
      <c r="L239" s="4">
        <f>IF($M239&lt;&gt;"Yes",0,IF($H239="",0,$H239*$J239))</f>
        <v/>
      </c>
      <c r="M239" s="4" t="n"/>
      <c r="N239" s="4" t="n"/>
      <c r="O239" s="4">
        <f>IF($A239="","",TEXT($A239,"yyyy")&amp;"-W"&amp;TEXT(ISOWEEKNUM($A239),"00"))</f>
        <v/>
      </c>
      <c r="P239" s="4" t="n"/>
      <c r="Q239" s="14">
        <f>IF($A239="","",TEXT($A239,"yyyy-mm"))</f>
        <v/>
      </c>
    </row>
    <row r="240">
      <c r="A240" s="66" t="n"/>
      <c r="B240" s="4" t="n"/>
      <c r="C240" s="11">
        <f>IFERROR(VLOOKUP($B240,Members!$A:$C,2,FALSE),"")</f>
        <v/>
      </c>
      <c r="D240" s="11">
        <f>IFERROR(VLOOKUP($B240,Members!$A:$C,3,FALSE),"")</f>
        <v/>
      </c>
      <c r="E240" s="11">
        <f>IF($F240="","",IFERROR(VLOOKUP($F240,ActionMap!$A:$B,2,FALSE),"INVALID ACTION"))</f>
        <v/>
      </c>
      <c r="F240" s="4" t="n"/>
      <c r="G240" s="11">
        <f>IFERROR(VLOOKUP($E240,ActionsCatalog!$A:$B,2,FALSE),"")</f>
        <v/>
      </c>
      <c r="H240" s="4" t="n"/>
      <c r="I240" s="4">
        <f>IFERROR(VLOOKUP($E240,ActionsCatalog!$A:$D,3,FALSE),0)</f>
        <v/>
      </c>
      <c r="J240" s="4">
        <f>IFERROR(VLOOKUP($E240,ActionsCatalog!$A:$D,4,FALSE),0)</f>
        <v/>
      </c>
      <c r="K240" s="4">
        <f>IF($M240&lt;&gt;"Yes",0,IF($H240="",0,$H240*$I240))</f>
        <v/>
      </c>
      <c r="L240" s="4">
        <f>IF($M240&lt;&gt;"Yes",0,IF($H240="",0,$H240*$J240))</f>
        <v/>
      </c>
      <c r="M240" s="4" t="n"/>
      <c r="N240" s="4" t="n"/>
      <c r="O240" s="4">
        <f>IF($A240="","",TEXT($A240,"yyyy")&amp;"-W"&amp;TEXT(ISOWEEKNUM($A240),"00"))</f>
        <v/>
      </c>
      <c r="P240" s="4" t="n"/>
      <c r="Q240" s="14">
        <f>IF($A240="","",TEXT($A240,"yyyy-mm"))</f>
        <v/>
      </c>
    </row>
    <row r="241">
      <c r="A241" s="66" t="n"/>
      <c r="B241" s="4" t="n"/>
      <c r="C241" s="11">
        <f>IFERROR(VLOOKUP($B241,Members!$A:$C,2,FALSE),"")</f>
        <v/>
      </c>
      <c r="D241" s="11">
        <f>IFERROR(VLOOKUP($B241,Members!$A:$C,3,FALSE),"")</f>
        <v/>
      </c>
      <c r="E241" s="11">
        <f>IF($F241="","",IFERROR(VLOOKUP($F241,ActionMap!$A:$B,2,FALSE),"INVALID ACTION"))</f>
        <v/>
      </c>
      <c r="F241" s="4" t="n"/>
      <c r="G241" s="11">
        <f>IFERROR(VLOOKUP($E241,ActionsCatalog!$A:$B,2,FALSE),"")</f>
        <v/>
      </c>
      <c r="H241" s="4" t="n"/>
      <c r="I241" s="4">
        <f>IFERROR(VLOOKUP($E241,ActionsCatalog!$A:$D,3,FALSE),0)</f>
        <v/>
      </c>
      <c r="J241" s="4">
        <f>IFERROR(VLOOKUP($E241,ActionsCatalog!$A:$D,4,FALSE),0)</f>
        <v/>
      </c>
      <c r="K241" s="4">
        <f>IF($M241&lt;&gt;"Yes",0,IF($H241="",0,$H241*$I241))</f>
        <v/>
      </c>
      <c r="L241" s="4">
        <f>IF($M241&lt;&gt;"Yes",0,IF($H241="",0,$H241*$J241))</f>
        <v/>
      </c>
      <c r="M241" s="4" t="n"/>
      <c r="N241" s="4" t="n"/>
      <c r="O241" s="4">
        <f>IF($A241="","",TEXT($A241,"yyyy")&amp;"-W"&amp;TEXT(ISOWEEKNUM($A241),"00"))</f>
        <v/>
      </c>
      <c r="P241" s="4" t="n"/>
      <c r="Q241" s="14">
        <f>IF($A241="","",TEXT($A241,"yyyy-mm"))</f>
        <v/>
      </c>
    </row>
    <row r="242">
      <c r="A242" s="66" t="n"/>
      <c r="B242" s="4" t="n"/>
      <c r="C242" s="11">
        <f>IFERROR(VLOOKUP($B242,Members!$A:$C,2,FALSE),"")</f>
        <v/>
      </c>
      <c r="D242" s="11">
        <f>IFERROR(VLOOKUP($B242,Members!$A:$C,3,FALSE),"")</f>
        <v/>
      </c>
      <c r="E242" s="11">
        <f>IF($F242="","",IFERROR(VLOOKUP($F242,ActionMap!$A:$B,2,FALSE),"INVALID ACTION"))</f>
        <v/>
      </c>
      <c r="F242" s="4" t="n"/>
      <c r="G242" s="11">
        <f>IFERROR(VLOOKUP($E242,ActionsCatalog!$A:$B,2,FALSE),"")</f>
        <v/>
      </c>
      <c r="H242" s="4" t="n"/>
      <c r="I242" s="4">
        <f>IFERROR(VLOOKUP($E242,ActionsCatalog!$A:$D,3,FALSE),0)</f>
        <v/>
      </c>
      <c r="J242" s="4">
        <f>IFERROR(VLOOKUP($E242,ActionsCatalog!$A:$D,4,FALSE),0)</f>
        <v/>
      </c>
      <c r="K242" s="4">
        <f>IF($M242&lt;&gt;"Yes",0,IF($H242="",0,$H242*$I242))</f>
        <v/>
      </c>
      <c r="L242" s="4">
        <f>IF($M242&lt;&gt;"Yes",0,IF($H242="",0,$H242*$J242))</f>
        <v/>
      </c>
      <c r="M242" s="4" t="n"/>
      <c r="N242" s="4" t="n"/>
      <c r="O242" s="4">
        <f>IF($A242="","",TEXT($A242,"yyyy")&amp;"-W"&amp;TEXT(ISOWEEKNUM($A242),"00"))</f>
        <v/>
      </c>
      <c r="P242" s="4" t="n"/>
      <c r="Q242" s="14">
        <f>IF($A242="","",TEXT($A242,"yyyy-mm"))</f>
        <v/>
      </c>
    </row>
    <row r="243">
      <c r="A243" s="66" t="n"/>
      <c r="B243" s="4" t="n"/>
      <c r="C243" s="11">
        <f>IFERROR(VLOOKUP($B243,Members!$A:$C,2,FALSE),"")</f>
        <v/>
      </c>
      <c r="D243" s="11">
        <f>IFERROR(VLOOKUP($B243,Members!$A:$C,3,FALSE),"")</f>
        <v/>
      </c>
      <c r="E243" s="11">
        <f>IF($F243="","",IFERROR(VLOOKUP($F243,ActionMap!$A:$B,2,FALSE),"INVALID ACTION"))</f>
        <v/>
      </c>
      <c r="F243" s="4" t="n"/>
      <c r="G243" s="11">
        <f>IFERROR(VLOOKUP($E243,ActionsCatalog!$A:$B,2,FALSE),"")</f>
        <v/>
      </c>
      <c r="H243" s="4" t="n"/>
      <c r="I243" s="4">
        <f>IFERROR(VLOOKUP($E243,ActionsCatalog!$A:$D,3,FALSE),0)</f>
        <v/>
      </c>
      <c r="J243" s="4">
        <f>IFERROR(VLOOKUP($E243,ActionsCatalog!$A:$D,4,FALSE),0)</f>
        <v/>
      </c>
      <c r="K243" s="4">
        <f>IF($M243&lt;&gt;"Yes",0,IF($H243="",0,$H243*$I243))</f>
        <v/>
      </c>
      <c r="L243" s="4">
        <f>IF($M243&lt;&gt;"Yes",0,IF($H243="",0,$H243*$J243))</f>
        <v/>
      </c>
      <c r="M243" s="4" t="n"/>
      <c r="N243" s="4" t="n"/>
      <c r="O243" s="4">
        <f>IF($A243="","",TEXT($A243,"yyyy")&amp;"-W"&amp;TEXT(ISOWEEKNUM($A243),"00"))</f>
        <v/>
      </c>
      <c r="P243" s="4" t="n"/>
      <c r="Q243" s="14">
        <f>IF($A243="","",TEXT($A243,"yyyy-mm"))</f>
        <v/>
      </c>
    </row>
    <row r="244">
      <c r="A244" s="66" t="n"/>
      <c r="B244" s="4" t="n"/>
      <c r="C244" s="11">
        <f>IFERROR(VLOOKUP($B244,Members!$A:$C,2,FALSE),"")</f>
        <v/>
      </c>
      <c r="D244" s="11">
        <f>IFERROR(VLOOKUP($B244,Members!$A:$C,3,FALSE),"")</f>
        <v/>
      </c>
      <c r="E244" s="11">
        <f>IF($F244="","",IFERROR(VLOOKUP($F244,ActionMap!$A:$B,2,FALSE),"INVALID ACTION"))</f>
        <v/>
      </c>
      <c r="F244" s="4" t="n"/>
      <c r="G244" s="11">
        <f>IFERROR(VLOOKUP($E244,ActionsCatalog!$A:$B,2,FALSE),"")</f>
        <v/>
      </c>
      <c r="H244" s="4" t="n"/>
      <c r="I244" s="4">
        <f>IFERROR(VLOOKUP($E244,ActionsCatalog!$A:$D,3,FALSE),0)</f>
        <v/>
      </c>
      <c r="J244" s="4">
        <f>IFERROR(VLOOKUP($E244,ActionsCatalog!$A:$D,4,FALSE),0)</f>
        <v/>
      </c>
      <c r="K244" s="4">
        <f>IF($M244&lt;&gt;"Yes",0,IF($H244="",0,$H244*$I244))</f>
        <v/>
      </c>
      <c r="L244" s="4">
        <f>IF($M244&lt;&gt;"Yes",0,IF($H244="",0,$H244*$J244))</f>
        <v/>
      </c>
      <c r="M244" s="4" t="n"/>
      <c r="N244" s="4" t="n"/>
      <c r="O244" s="4">
        <f>IF($A244="","",TEXT($A244,"yyyy")&amp;"-W"&amp;TEXT(ISOWEEKNUM($A244),"00"))</f>
        <v/>
      </c>
      <c r="P244" s="4" t="n"/>
      <c r="Q244" s="14">
        <f>IF($A244="","",TEXT($A244,"yyyy-mm"))</f>
        <v/>
      </c>
    </row>
    <row r="245">
      <c r="A245" s="66" t="n"/>
      <c r="B245" s="4" t="n"/>
      <c r="C245" s="11">
        <f>IFERROR(VLOOKUP($B245,Members!$A:$C,2,FALSE),"")</f>
        <v/>
      </c>
      <c r="D245" s="11">
        <f>IFERROR(VLOOKUP($B245,Members!$A:$C,3,FALSE),"")</f>
        <v/>
      </c>
      <c r="E245" s="11">
        <f>IF($F245="","",IFERROR(VLOOKUP($F245,ActionMap!$A:$B,2,FALSE),"INVALID ACTION"))</f>
        <v/>
      </c>
      <c r="F245" s="4" t="n"/>
      <c r="G245" s="11">
        <f>IFERROR(VLOOKUP($E245,ActionsCatalog!$A:$B,2,FALSE),"")</f>
        <v/>
      </c>
      <c r="H245" s="4" t="n"/>
      <c r="I245" s="4">
        <f>IFERROR(VLOOKUP($E245,ActionsCatalog!$A:$D,3,FALSE),0)</f>
        <v/>
      </c>
      <c r="J245" s="4">
        <f>IFERROR(VLOOKUP($E245,ActionsCatalog!$A:$D,4,FALSE),0)</f>
        <v/>
      </c>
      <c r="K245" s="4">
        <f>IF($M245&lt;&gt;"Yes",0,IF($H245="",0,$H245*$I245))</f>
        <v/>
      </c>
      <c r="L245" s="4">
        <f>IF($M245&lt;&gt;"Yes",0,IF($H245="",0,$H245*$J245))</f>
        <v/>
      </c>
      <c r="M245" s="4" t="n"/>
      <c r="N245" s="4" t="n"/>
      <c r="O245" s="4">
        <f>IF($A245="","",TEXT($A245,"yyyy")&amp;"-W"&amp;TEXT(ISOWEEKNUM($A245),"00"))</f>
        <v/>
      </c>
      <c r="P245" s="4" t="n"/>
      <c r="Q245" s="14">
        <f>IF($A245="","",TEXT($A245,"yyyy-mm"))</f>
        <v/>
      </c>
    </row>
    <row r="246">
      <c r="A246" s="66" t="n"/>
      <c r="B246" s="4" t="n"/>
      <c r="C246" s="11">
        <f>IFERROR(VLOOKUP($B246,Members!$A:$C,2,FALSE),"")</f>
        <v/>
      </c>
      <c r="D246" s="11">
        <f>IFERROR(VLOOKUP($B246,Members!$A:$C,3,FALSE),"")</f>
        <v/>
      </c>
      <c r="E246" s="11">
        <f>IF($F246="","",IFERROR(VLOOKUP($F246,ActionMap!$A:$B,2,FALSE),"INVALID ACTION"))</f>
        <v/>
      </c>
      <c r="F246" s="4" t="n"/>
      <c r="G246" s="11">
        <f>IFERROR(VLOOKUP($E246,ActionsCatalog!$A:$B,2,FALSE),"")</f>
        <v/>
      </c>
      <c r="H246" s="4" t="n"/>
      <c r="I246" s="4">
        <f>IFERROR(VLOOKUP($E246,ActionsCatalog!$A:$D,3,FALSE),0)</f>
        <v/>
      </c>
      <c r="J246" s="4">
        <f>IFERROR(VLOOKUP($E246,ActionsCatalog!$A:$D,4,FALSE),0)</f>
        <v/>
      </c>
      <c r="K246" s="4">
        <f>IF($M246&lt;&gt;"Yes",0,IF($H246="",0,$H246*$I246))</f>
        <v/>
      </c>
      <c r="L246" s="4">
        <f>IF($M246&lt;&gt;"Yes",0,IF($H246="",0,$H246*$J246))</f>
        <v/>
      </c>
      <c r="M246" s="4" t="n"/>
      <c r="N246" s="4" t="n"/>
      <c r="O246" s="4">
        <f>IF($A246="","",TEXT($A246,"yyyy")&amp;"-W"&amp;TEXT(ISOWEEKNUM($A246),"00"))</f>
        <v/>
      </c>
      <c r="P246" s="4" t="n"/>
      <c r="Q246" s="14">
        <f>IF($A246="","",TEXT($A246,"yyyy-mm"))</f>
        <v/>
      </c>
    </row>
    <row r="247">
      <c r="A247" s="66" t="n"/>
      <c r="B247" s="4" t="n"/>
      <c r="C247" s="11">
        <f>IFERROR(VLOOKUP($B247,Members!$A:$C,2,FALSE),"")</f>
        <v/>
      </c>
      <c r="D247" s="11">
        <f>IFERROR(VLOOKUP($B247,Members!$A:$C,3,FALSE),"")</f>
        <v/>
      </c>
      <c r="E247" s="11">
        <f>IF($F247="","",IFERROR(VLOOKUP($F247,ActionMap!$A:$B,2,FALSE),"INVALID ACTION"))</f>
        <v/>
      </c>
      <c r="F247" s="4" t="n"/>
      <c r="G247" s="11">
        <f>IFERROR(VLOOKUP($E247,ActionsCatalog!$A:$B,2,FALSE),"")</f>
        <v/>
      </c>
      <c r="H247" s="4" t="n"/>
      <c r="I247" s="4">
        <f>IFERROR(VLOOKUP($E247,ActionsCatalog!$A:$D,3,FALSE),0)</f>
        <v/>
      </c>
      <c r="J247" s="4">
        <f>IFERROR(VLOOKUP($E247,ActionsCatalog!$A:$D,4,FALSE),0)</f>
        <v/>
      </c>
      <c r="K247" s="4">
        <f>IF($M247&lt;&gt;"Yes",0,IF($H247="",0,$H247*$I247))</f>
        <v/>
      </c>
      <c r="L247" s="4">
        <f>IF($M247&lt;&gt;"Yes",0,IF($H247="",0,$H247*$J247))</f>
        <v/>
      </c>
      <c r="M247" s="4" t="n"/>
      <c r="N247" s="4" t="n"/>
      <c r="O247" s="4">
        <f>IF($A247="","",TEXT($A247,"yyyy")&amp;"-W"&amp;TEXT(ISOWEEKNUM($A247),"00"))</f>
        <v/>
      </c>
      <c r="P247" s="4" t="n"/>
      <c r="Q247" s="14">
        <f>IF($A247="","",TEXT($A247,"yyyy-mm"))</f>
        <v/>
      </c>
    </row>
    <row r="248">
      <c r="A248" s="66" t="n"/>
      <c r="B248" s="4" t="n"/>
      <c r="C248" s="11">
        <f>IFERROR(VLOOKUP($B248,Members!$A:$C,2,FALSE),"")</f>
        <v/>
      </c>
      <c r="D248" s="11">
        <f>IFERROR(VLOOKUP($B248,Members!$A:$C,3,FALSE),"")</f>
        <v/>
      </c>
      <c r="E248" s="11">
        <f>IF($F248="","",IFERROR(VLOOKUP($F248,ActionMap!$A:$B,2,FALSE),"INVALID ACTION"))</f>
        <v/>
      </c>
      <c r="F248" s="4" t="n"/>
      <c r="G248" s="11">
        <f>IFERROR(VLOOKUP($E248,ActionsCatalog!$A:$B,2,FALSE),"")</f>
        <v/>
      </c>
      <c r="H248" s="4" t="n"/>
      <c r="I248" s="4">
        <f>IFERROR(VLOOKUP($E248,ActionsCatalog!$A:$D,3,FALSE),0)</f>
        <v/>
      </c>
      <c r="J248" s="4">
        <f>IFERROR(VLOOKUP($E248,ActionsCatalog!$A:$D,4,FALSE),0)</f>
        <v/>
      </c>
      <c r="K248" s="4">
        <f>IF($M248&lt;&gt;"Yes",0,IF($H248="",0,$H248*$I248))</f>
        <v/>
      </c>
      <c r="L248" s="4">
        <f>IF($M248&lt;&gt;"Yes",0,IF($H248="",0,$H248*$J248))</f>
        <v/>
      </c>
      <c r="M248" s="4" t="n"/>
      <c r="N248" s="4" t="n"/>
      <c r="O248" s="4">
        <f>IF($A248="","",TEXT($A248,"yyyy")&amp;"-W"&amp;TEXT(ISOWEEKNUM($A248),"00"))</f>
        <v/>
      </c>
      <c r="P248" s="4" t="n"/>
      <c r="Q248" s="14">
        <f>IF($A248="","",TEXT($A248,"yyyy-mm"))</f>
        <v/>
      </c>
    </row>
    <row r="249">
      <c r="A249" s="66" t="n"/>
      <c r="B249" s="4" t="n"/>
      <c r="C249" s="11">
        <f>IFERROR(VLOOKUP($B249,Members!$A:$C,2,FALSE),"")</f>
        <v/>
      </c>
      <c r="D249" s="11">
        <f>IFERROR(VLOOKUP($B249,Members!$A:$C,3,FALSE),"")</f>
        <v/>
      </c>
      <c r="E249" s="11">
        <f>IF($F249="","",IFERROR(VLOOKUP($F249,ActionMap!$A:$B,2,FALSE),"INVALID ACTION"))</f>
        <v/>
      </c>
      <c r="F249" s="4" t="n"/>
      <c r="G249" s="11">
        <f>IFERROR(VLOOKUP($E249,ActionsCatalog!$A:$B,2,FALSE),"")</f>
        <v/>
      </c>
      <c r="H249" s="4" t="n"/>
      <c r="I249" s="4">
        <f>IFERROR(VLOOKUP($E249,ActionsCatalog!$A:$D,3,FALSE),0)</f>
        <v/>
      </c>
      <c r="J249" s="4">
        <f>IFERROR(VLOOKUP($E249,ActionsCatalog!$A:$D,4,FALSE),0)</f>
        <v/>
      </c>
      <c r="K249" s="4">
        <f>IF($M249&lt;&gt;"Yes",0,IF($H249="",0,$H249*$I249))</f>
        <v/>
      </c>
      <c r="L249" s="4">
        <f>IF($M249&lt;&gt;"Yes",0,IF($H249="",0,$H249*$J249))</f>
        <v/>
      </c>
      <c r="M249" s="4" t="n"/>
      <c r="N249" s="4" t="n"/>
      <c r="O249" s="4">
        <f>IF($A249="","",TEXT($A249,"yyyy")&amp;"-W"&amp;TEXT(ISOWEEKNUM($A249),"00"))</f>
        <v/>
      </c>
      <c r="P249" s="4" t="n"/>
      <c r="Q249" s="14">
        <f>IF($A249="","",TEXT($A249,"yyyy-mm"))</f>
        <v/>
      </c>
    </row>
    <row r="250">
      <c r="A250" s="66" t="n"/>
      <c r="B250" s="4" t="n"/>
      <c r="C250" s="11">
        <f>IFERROR(VLOOKUP($B250,Members!$A:$C,2,FALSE),"")</f>
        <v/>
      </c>
      <c r="D250" s="11">
        <f>IFERROR(VLOOKUP($B250,Members!$A:$C,3,FALSE),"")</f>
        <v/>
      </c>
      <c r="E250" s="11">
        <f>IF($F250="","",IFERROR(VLOOKUP($F250,ActionMap!$A:$B,2,FALSE),"INVALID ACTION"))</f>
        <v/>
      </c>
      <c r="F250" s="4" t="n"/>
      <c r="G250" s="11">
        <f>IFERROR(VLOOKUP($E250,ActionsCatalog!$A:$B,2,FALSE),"")</f>
        <v/>
      </c>
      <c r="H250" s="4" t="n"/>
      <c r="I250" s="4">
        <f>IFERROR(VLOOKUP($E250,ActionsCatalog!$A:$D,3,FALSE),0)</f>
        <v/>
      </c>
      <c r="J250" s="4">
        <f>IFERROR(VLOOKUP($E250,ActionsCatalog!$A:$D,4,FALSE),0)</f>
        <v/>
      </c>
      <c r="K250" s="4">
        <f>IF($M250&lt;&gt;"Yes",0,IF($H250="",0,$H250*$I250))</f>
        <v/>
      </c>
      <c r="L250" s="4">
        <f>IF($M250&lt;&gt;"Yes",0,IF($H250="",0,$H250*$J250))</f>
        <v/>
      </c>
      <c r="M250" s="4" t="n"/>
      <c r="N250" s="4" t="n"/>
      <c r="O250" s="4">
        <f>IF($A250="","",TEXT($A250,"yyyy")&amp;"-W"&amp;TEXT(ISOWEEKNUM($A250),"00"))</f>
        <v/>
      </c>
      <c r="P250" s="4" t="n"/>
      <c r="Q250" s="14">
        <f>IF($A250="","",TEXT($A250,"yyyy-mm"))</f>
        <v/>
      </c>
    </row>
    <row r="251">
      <c r="A251" s="66" t="n"/>
      <c r="B251" s="4" t="n"/>
      <c r="C251" s="11">
        <f>IFERROR(VLOOKUP($B251,Members!$A:$C,2,FALSE),"")</f>
        <v/>
      </c>
      <c r="D251" s="11">
        <f>IFERROR(VLOOKUP($B251,Members!$A:$C,3,FALSE),"")</f>
        <v/>
      </c>
      <c r="E251" s="11">
        <f>IF($F251="","",IFERROR(VLOOKUP($F251,ActionMap!$A:$B,2,FALSE),"INVALID ACTION"))</f>
        <v/>
      </c>
      <c r="F251" s="4" t="n"/>
      <c r="G251" s="11">
        <f>IFERROR(VLOOKUP($E251,ActionsCatalog!$A:$B,2,FALSE),"")</f>
        <v/>
      </c>
      <c r="H251" s="4" t="n"/>
      <c r="I251" s="4">
        <f>IFERROR(VLOOKUP($E251,ActionsCatalog!$A:$D,3,FALSE),0)</f>
        <v/>
      </c>
      <c r="J251" s="4">
        <f>IFERROR(VLOOKUP($E251,ActionsCatalog!$A:$D,4,FALSE),0)</f>
        <v/>
      </c>
      <c r="K251" s="4">
        <f>IF($M251&lt;&gt;"Yes",0,IF($H251="",0,$H251*$I251))</f>
        <v/>
      </c>
      <c r="L251" s="4">
        <f>IF($M251&lt;&gt;"Yes",0,IF($H251="",0,$H251*$J251))</f>
        <v/>
      </c>
      <c r="M251" s="4" t="n"/>
      <c r="N251" s="4" t="n"/>
      <c r="O251" s="4">
        <f>IF($A251="","",TEXT($A251,"yyyy")&amp;"-W"&amp;TEXT(ISOWEEKNUM($A251),"00"))</f>
        <v/>
      </c>
      <c r="P251" s="4" t="n"/>
      <c r="Q251" s="14">
        <f>IF($A251="","",TEXT($A251,"yyyy-mm"))</f>
        <v/>
      </c>
    </row>
    <row r="252">
      <c r="A252" s="66" t="n"/>
      <c r="B252" s="4" t="n"/>
      <c r="C252" s="11">
        <f>IFERROR(VLOOKUP($B252,Members!$A:$C,2,FALSE),"")</f>
        <v/>
      </c>
      <c r="D252" s="11">
        <f>IFERROR(VLOOKUP($B252,Members!$A:$C,3,FALSE),"")</f>
        <v/>
      </c>
      <c r="E252" s="11">
        <f>IF($F252="","",IFERROR(VLOOKUP($F252,ActionMap!$A:$B,2,FALSE),"INVALID ACTION"))</f>
        <v/>
      </c>
      <c r="F252" s="4" t="n"/>
      <c r="G252" s="11">
        <f>IFERROR(VLOOKUP($E252,ActionsCatalog!$A:$B,2,FALSE),"")</f>
        <v/>
      </c>
      <c r="H252" s="4" t="n"/>
      <c r="I252" s="4">
        <f>IFERROR(VLOOKUP($E252,ActionsCatalog!$A:$D,3,FALSE),0)</f>
        <v/>
      </c>
      <c r="J252" s="4">
        <f>IFERROR(VLOOKUP($E252,ActionsCatalog!$A:$D,4,FALSE),0)</f>
        <v/>
      </c>
      <c r="K252" s="4">
        <f>IF($M252&lt;&gt;"Yes",0,IF($H252="",0,$H252*$I252))</f>
        <v/>
      </c>
      <c r="L252" s="4">
        <f>IF($M252&lt;&gt;"Yes",0,IF($H252="",0,$H252*$J252))</f>
        <v/>
      </c>
      <c r="M252" s="4" t="n"/>
      <c r="N252" s="4" t="n"/>
      <c r="O252" s="4">
        <f>IF($A252="","",TEXT($A252,"yyyy")&amp;"-W"&amp;TEXT(ISOWEEKNUM($A252),"00"))</f>
        <v/>
      </c>
      <c r="P252" s="4" t="n"/>
      <c r="Q252" s="14">
        <f>IF($A252="","",TEXT($A252,"yyyy-mm"))</f>
        <v/>
      </c>
    </row>
    <row r="253">
      <c r="A253" s="66" t="n"/>
      <c r="B253" s="4" t="n"/>
      <c r="C253" s="11">
        <f>IFERROR(VLOOKUP($B253,Members!$A:$C,2,FALSE),"")</f>
        <v/>
      </c>
      <c r="D253" s="11">
        <f>IFERROR(VLOOKUP($B253,Members!$A:$C,3,FALSE),"")</f>
        <v/>
      </c>
      <c r="E253" s="11">
        <f>IF($F253="","",IFERROR(VLOOKUP($F253,ActionMap!$A:$B,2,FALSE),"INVALID ACTION"))</f>
        <v/>
      </c>
      <c r="F253" s="4" t="n"/>
      <c r="G253" s="11">
        <f>IFERROR(VLOOKUP($E253,ActionsCatalog!$A:$B,2,FALSE),"")</f>
        <v/>
      </c>
      <c r="H253" s="4" t="n"/>
      <c r="I253" s="4">
        <f>IFERROR(VLOOKUP($E253,ActionsCatalog!$A:$D,3,FALSE),0)</f>
        <v/>
      </c>
      <c r="J253" s="4">
        <f>IFERROR(VLOOKUP($E253,ActionsCatalog!$A:$D,4,FALSE),0)</f>
        <v/>
      </c>
      <c r="K253" s="4">
        <f>IF($M253&lt;&gt;"Yes",0,IF($H253="",0,$H253*$I253))</f>
        <v/>
      </c>
      <c r="L253" s="4">
        <f>IF($M253&lt;&gt;"Yes",0,IF($H253="",0,$H253*$J253))</f>
        <v/>
      </c>
      <c r="M253" s="4" t="n"/>
      <c r="N253" s="4" t="n"/>
      <c r="O253" s="4">
        <f>IF($A253="","",TEXT($A253,"yyyy")&amp;"-W"&amp;TEXT(ISOWEEKNUM($A253),"00"))</f>
        <v/>
      </c>
      <c r="P253" s="4" t="n"/>
      <c r="Q253" s="14">
        <f>IF($A253="","",TEXT($A253,"yyyy-mm"))</f>
        <v/>
      </c>
    </row>
    <row r="254">
      <c r="A254" s="66" t="n"/>
      <c r="B254" s="4" t="n"/>
      <c r="C254" s="11">
        <f>IFERROR(VLOOKUP($B254,Members!$A:$C,2,FALSE),"")</f>
        <v/>
      </c>
      <c r="D254" s="11">
        <f>IFERROR(VLOOKUP($B254,Members!$A:$C,3,FALSE),"")</f>
        <v/>
      </c>
      <c r="E254" s="11">
        <f>IF($F254="","",IFERROR(VLOOKUP($F254,ActionMap!$A:$B,2,FALSE),"INVALID ACTION"))</f>
        <v/>
      </c>
      <c r="F254" s="4" t="n"/>
      <c r="G254" s="11">
        <f>IFERROR(VLOOKUP($E254,ActionsCatalog!$A:$B,2,FALSE),"")</f>
        <v/>
      </c>
      <c r="H254" s="4" t="n"/>
      <c r="I254" s="4">
        <f>IFERROR(VLOOKUP($E254,ActionsCatalog!$A:$D,3,FALSE),0)</f>
        <v/>
      </c>
      <c r="J254" s="4">
        <f>IFERROR(VLOOKUP($E254,ActionsCatalog!$A:$D,4,FALSE),0)</f>
        <v/>
      </c>
      <c r="K254" s="4">
        <f>IF($M254&lt;&gt;"Yes",0,IF($H254="",0,$H254*$I254))</f>
        <v/>
      </c>
      <c r="L254" s="4">
        <f>IF($M254&lt;&gt;"Yes",0,IF($H254="",0,$H254*$J254))</f>
        <v/>
      </c>
      <c r="M254" s="4" t="n"/>
      <c r="N254" s="4" t="n"/>
      <c r="O254" s="4">
        <f>IF($A254="","",TEXT($A254,"yyyy")&amp;"-W"&amp;TEXT(ISOWEEKNUM($A254),"00"))</f>
        <v/>
      </c>
      <c r="P254" s="4" t="n"/>
      <c r="Q254" s="14">
        <f>IF($A254="","",TEXT($A254,"yyyy-mm"))</f>
        <v/>
      </c>
    </row>
    <row r="255">
      <c r="A255" s="66" t="n"/>
      <c r="B255" s="4" t="n"/>
      <c r="C255" s="11">
        <f>IFERROR(VLOOKUP($B255,Members!$A:$C,2,FALSE),"")</f>
        <v/>
      </c>
      <c r="D255" s="11">
        <f>IFERROR(VLOOKUP($B255,Members!$A:$C,3,FALSE),"")</f>
        <v/>
      </c>
      <c r="E255" s="11">
        <f>IF($F255="","",IFERROR(VLOOKUP($F255,ActionMap!$A:$B,2,FALSE),"INVALID ACTION"))</f>
        <v/>
      </c>
      <c r="F255" s="4" t="n"/>
      <c r="G255" s="11">
        <f>IFERROR(VLOOKUP($E255,ActionsCatalog!$A:$B,2,FALSE),"")</f>
        <v/>
      </c>
      <c r="H255" s="4" t="n"/>
      <c r="I255" s="4">
        <f>IFERROR(VLOOKUP($E255,ActionsCatalog!$A:$D,3,FALSE),0)</f>
        <v/>
      </c>
      <c r="J255" s="4">
        <f>IFERROR(VLOOKUP($E255,ActionsCatalog!$A:$D,4,FALSE),0)</f>
        <v/>
      </c>
      <c r="K255" s="4">
        <f>IF($M255&lt;&gt;"Yes",0,IF($H255="",0,$H255*$I255))</f>
        <v/>
      </c>
      <c r="L255" s="4">
        <f>IF($M255&lt;&gt;"Yes",0,IF($H255="",0,$H255*$J255))</f>
        <v/>
      </c>
      <c r="M255" s="4" t="n"/>
      <c r="N255" s="4" t="n"/>
      <c r="O255" s="4">
        <f>IF($A255="","",TEXT($A255,"yyyy")&amp;"-W"&amp;TEXT(ISOWEEKNUM($A255),"00"))</f>
        <v/>
      </c>
      <c r="P255" s="4" t="n"/>
      <c r="Q255" s="14">
        <f>IF($A255="","",TEXT($A255,"yyyy-mm"))</f>
        <v/>
      </c>
    </row>
    <row r="256">
      <c r="A256" s="66" t="n"/>
      <c r="B256" s="4" t="n"/>
      <c r="C256" s="11">
        <f>IFERROR(VLOOKUP($B256,Members!$A:$C,2,FALSE),"")</f>
        <v/>
      </c>
      <c r="D256" s="11">
        <f>IFERROR(VLOOKUP($B256,Members!$A:$C,3,FALSE),"")</f>
        <v/>
      </c>
      <c r="E256" s="11">
        <f>IF($F256="","",IFERROR(VLOOKUP($F256,ActionMap!$A:$B,2,FALSE),"INVALID ACTION"))</f>
        <v/>
      </c>
      <c r="F256" s="4" t="n"/>
      <c r="G256" s="11">
        <f>IFERROR(VLOOKUP($E256,ActionsCatalog!$A:$B,2,FALSE),"")</f>
        <v/>
      </c>
      <c r="H256" s="4" t="n"/>
      <c r="I256" s="4">
        <f>IFERROR(VLOOKUP($E256,ActionsCatalog!$A:$D,3,FALSE),0)</f>
        <v/>
      </c>
      <c r="J256" s="4">
        <f>IFERROR(VLOOKUP($E256,ActionsCatalog!$A:$D,4,FALSE),0)</f>
        <v/>
      </c>
      <c r="K256" s="4">
        <f>IF($M256&lt;&gt;"Yes",0,IF($H256="",0,$H256*$I256))</f>
        <v/>
      </c>
      <c r="L256" s="4">
        <f>IF($M256&lt;&gt;"Yes",0,IF($H256="",0,$H256*$J256))</f>
        <v/>
      </c>
      <c r="M256" s="4" t="n"/>
      <c r="N256" s="4" t="n"/>
      <c r="O256" s="4">
        <f>IF($A256="","",TEXT($A256,"yyyy")&amp;"-W"&amp;TEXT(ISOWEEKNUM($A256),"00"))</f>
        <v/>
      </c>
      <c r="P256" s="4" t="n"/>
      <c r="Q256" s="14">
        <f>IF($A256="","",TEXT($A256,"yyyy-mm"))</f>
        <v/>
      </c>
    </row>
    <row r="257">
      <c r="A257" s="66" t="n"/>
      <c r="B257" s="4" t="n"/>
      <c r="C257" s="11">
        <f>IFERROR(VLOOKUP($B257,Members!$A:$C,2,FALSE),"")</f>
        <v/>
      </c>
      <c r="D257" s="11">
        <f>IFERROR(VLOOKUP($B257,Members!$A:$C,3,FALSE),"")</f>
        <v/>
      </c>
      <c r="E257" s="11">
        <f>IF($F257="","",IFERROR(VLOOKUP($F257,ActionMap!$A:$B,2,FALSE),"INVALID ACTION"))</f>
        <v/>
      </c>
      <c r="F257" s="4" t="n"/>
      <c r="G257" s="11">
        <f>IFERROR(VLOOKUP($E257,ActionsCatalog!$A:$B,2,FALSE),"")</f>
        <v/>
      </c>
      <c r="H257" s="4" t="n"/>
      <c r="I257" s="4">
        <f>IFERROR(VLOOKUP($E257,ActionsCatalog!$A:$D,3,FALSE),0)</f>
        <v/>
      </c>
      <c r="J257" s="4">
        <f>IFERROR(VLOOKUP($E257,ActionsCatalog!$A:$D,4,FALSE),0)</f>
        <v/>
      </c>
      <c r="K257" s="4">
        <f>IF($M257&lt;&gt;"Yes",0,IF($H257="",0,$H257*$I257))</f>
        <v/>
      </c>
      <c r="L257" s="4">
        <f>IF($M257&lt;&gt;"Yes",0,IF($H257="",0,$H257*$J257))</f>
        <v/>
      </c>
      <c r="M257" s="4" t="n"/>
      <c r="N257" s="4" t="n"/>
      <c r="O257" s="4">
        <f>IF($A257="","",TEXT($A257,"yyyy")&amp;"-W"&amp;TEXT(ISOWEEKNUM($A257),"00"))</f>
        <v/>
      </c>
      <c r="P257" s="4" t="n"/>
      <c r="Q257" s="14">
        <f>IF($A257="","",TEXT($A257,"yyyy-mm"))</f>
        <v/>
      </c>
    </row>
    <row r="258">
      <c r="A258" s="66" t="n"/>
      <c r="B258" s="4" t="n"/>
      <c r="C258" s="11">
        <f>IFERROR(VLOOKUP($B258,Members!$A:$C,2,FALSE),"")</f>
        <v/>
      </c>
      <c r="D258" s="11">
        <f>IFERROR(VLOOKUP($B258,Members!$A:$C,3,FALSE),"")</f>
        <v/>
      </c>
      <c r="E258" s="11">
        <f>IF($F258="","",IFERROR(VLOOKUP($F258,ActionMap!$A:$B,2,FALSE),"INVALID ACTION"))</f>
        <v/>
      </c>
      <c r="F258" s="4" t="n"/>
      <c r="G258" s="11">
        <f>IFERROR(VLOOKUP($E258,ActionsCatalog!$A:$B,2,FALSE),"")</f>
        <v/>
      </c>
      <c r="H258" s="4" t="n"/>
      <c r="I258" s="4">
        <f>IFERROR(VLOOKUP($E258,ActionsCatalog!$A:$D,3,FALSE),0)</f>
        <v/>
      </c>
      <c r="J258" s="4">
        <f>IFERROR(VLOOKUP($E258,ActionsCatalog!$A:$D,4,FALSE),0)</f>
        <v/>
      </c>
      <c r="K258" s="4">
        <f>IF($M258&lt;&gt;"Yes",0,IF($H258="",0,$H258*$I258))</f>
        <v/>
      </c>
      <c r="L258" s="4">
        <f>IF($M258&lt;&gt;"Yes",0,IF($H258="",0,$H258*$J258))</f>
        <v/>
      </c>
      <c r="M258" s="4" t="n"/>
      <c r="N258" s="4" t="n"/>
      <c r="O258" s="4">
        <f>IF($A258="","",TEXT($A258,"yyyy")&amp;"-W"&amp;TEXT(ISOWEEKNUM($A258),"00"))</f>
        <v/>
      </c>
      <c r="P258" s="4" t="n"/>
      <c r="Q258" s="14">
        <f>IF($A258="","",TEXT($A258,"yyyy-mm"))</f>
        <v/>
      </c>
    </row>
    <row r="259">
      <c r="A259" s="66" t="n"/>
      <c r="B259" s="4" t="n"/>
      <c r="C259" s="11">
        <f>IFERROR(VLOOKUP($B259,Members!$A:$C,2,FALSE),"")</f>
        <v/>
      </c>
      <c r="D259" s="11">
        <f>IFERROR(VLOOKUP($B259,Members!$A:$C,3,FALSE),"")</f>
        <v/>
      </c>
      <c r="E259" s="11">
        <f>IF($F259="","",IFERROR(VLOOKUP($F259,ActionMap!$A:$B,2,FALSE),"INVALID ACTION"))</f>
        <v/>
      </c>
      <c r="F259" s="4" t="n"/>
      <c r="G259" s="11">
        <f>IFERROR(VLOOKUP($E259,ActionsCatalog!$A:$B,2,FALSE),"")</f>
        <v/>
      </c>
      <c r="H259" s="4" t="n"/>
      <c r="I259" s="4">
        <f>IFERROR(VLOOKUP($E259,ActionsCatalog!$A:$D,3,FALSE),0)</f>
        <v/>
      </c>
      <c r="J259" s="4">
        <f>IFERROR(VLOOKUP($E259,ActionsCatalog!$A:$D,4,FALSE),0)</f>
        <v/>
      </c>
      <c r="K259" s="4">
        <f>IF($M259&lt;&gt;"Yes",0,IF($H259="",0,$H259*$I259))</f>
        <v/>
      </c>
      <c r="L259" s="4">
        <f>IF($M259&lt;&gt;"Yes",0,IF($H259="",0,$H259*$J259))</f>
        <v/>
      </c>
      <c r="M259" s="4" t="n"/>
      <c r="N259" s="4" t="n"/>
      <c r="O259" s="4">
        <f>IF($A259="","",TEXT($A259,"yyyy")&amp;"-W"&amp;TEXT(ISOWEEKNUM($A259),"00"))</f>
        <v/>
      </c>
      <c r="P259" s="4" t="n"/>
      <c r="Q259" s="14">
        <f>IF($A259="","",TEXT($A259,"yyyy-mm"))</f>
        <v/>
      </c>
    </row>
    <row r="260">
      <c r="A260" s="66" t="n"/>
      <c r="B260" s="4" t="n"/>
      <c r="C260" s="11">
        <f>IFERROR(VLOOKUP($B260,Members!$A:$C,2,FALSE),"")</f>
        <v/>
      </c>
      <c r="D260" s="11">
        <f>IFERROR(VLOOKUP($B260,Members!$A:$C,3,FALSE),"")</f>
        <v/>
      </c>
      <c r="E260" s="11">
        <f>IF($F260="","",IFERROR(VLOOKUP($F260,ActionMap!$A:$B,2,FALSE),"INVALID ACTION"))</f>
        <v/>
      </c>
      <c r="F260" s="4" t="n"/>
      <c r="G260" s="11">
        <f>IFERROR(VLOOKUP($E260,ActionsCatalog!$A:$B,2,FALSE),"")</f>
        <v/>
      </c>
      <c r="H260" s="4" t="n"/>
      <c r="I260" s="4">
        <f>IFERROR(VLOOKUP($E260,ActionsCatalog!$A:$D,3,FALSE),0)</f>
        <v/>
      </c>
      <c r="J260" s="4">
        <f>IFERROR(VLOOKUP($E260,ActionsCatalog!$A:$D,4,FALSE),0)</f>
        <v/>
      </c>
      <c r="K260" s="4">
        <f>IF($M260&lt;&gt;"Yes",0,IF($H260="",0,$H260*$I260))</f>
        <v/>
      </c>
      <c r="L260" s="4">
        <f>IF($M260&lt;&gt;"Yes",0,IF($H260="",0,$H260*$J260))</f>
        <v/>
      </c>
      <c r="M260" s="4" t="n"/>
      <c r="N260" s="4" t="n"/>
      <c r="O260" s="4">
        <f>IF($A260="","",TEXT($A260,"yyyy")&amp;"-W"&amp;TEXT(ISOWEEKNUM($A260),"00"))</f>
        <v/>
      </c>
      <c r="P260" s="4" t="n"/>
      <c r="Q260" s="14">
        <f>IF($A260="","",TEXT($A260,"yyyy-mm"))</f>
        <v/>
      </c>
    </row>
    <row r="261">
      <c r="A261" s="66" t="n"/>
      <c r="B261" s="4" t="n"/>
      <c r="C261" s="11">
        <f>IFERROR(VLOOKUP($B261,Members!$A:$C,2,FALSE),"")</f>
        <v/>
      </c>
      <c r="D261" s="11">
        <f>IFERROR(VLOOKUP($B261,Members!$A:$C,3,FALSE),"")</f>
        <v/>
      </c>
      <c r="E261" s="11">
        <f>IF($F261="","",IFERROR(VLOOKUP($F261,ActionMap!$A:$B,2,FALSE),"INVALID ACTION"))</f>
        <v/>
      </c>
      <c r="F261" s="4" t="n"/>
      <c r="G261" s="11">
        <f>IFERROR(VLOOKUP($E261,ActionsCatalog!$A:$B,2,FALSE),"")</f>
        <v/>
      </c>
      <c r="H261" s="4" t="n"/>
      <c r="I261" s="4">
        <f>IFERROR(VLOOKUP($E261,ActionsCatalog!$A:$D,3,FALSE),0)</f>
        <v/>
      </c>
      <c r="J261" s="4">
        <f>IFERROR(VLOOKUP($E261,ActionsCatalog!$A:$D,4,FALSE),0)</f>
        <v/>
      </c>
      <c r="K261" s="4">
        <f>IF($M261&lt;&gt;"Yes",0,IF($H261="",0,$H261*$I261))</f>
        <v/>
      </c>
      <c r="L261" s="4">
        <f>IF($M261&lt;&gt;"Yes",0,IF($H261="",0,$H261*$J261))</f>
        <v/>
      </c>
      <c r="M261" s="4" t="n"/>
      <c r="N261" s="4" t="n"/>
      <c r="O261" s="4">
        <f>IF($A261="","",TEXT($A261,"yyyy")&amp;"-W"&amp;TEXT(ISOWEEKNUM($A261),"00"))</f>
        <v/>
      </c>
      <c r="P261" s="4" t="n"/>
      <c r="Q261" s="14">
        <f>IF($A261="","",TEXT($A261,"yyyy-mm"))</f>
        <v/>
      </c>
    </row>
    <row r="262">
      <c r="A262" s="66" t="n"/>
      <c r="B262" s="4" t="n"/>
      <c r="C262" s="11">
        <f>IFERROR(VLOOKUP($B262,Members!$A:$C,2,FALSE),"")</f>
        <v/>
      </c>
      <c r="D262" s="11">
        <f>IFERROR(VLOOKUP($B262,Members!$A:$C,3,FALSE),"")</f>
        <v/>
      </c>
      <c r="E262" s="11">
        <f>IF($F262="","",IFERROR(VLOOKUP($F262,ActionMap!$A:$B,2,FALSE),"INVALID ACTION"))</f>
        <v/>
      </c>
      <c r="F262" s="4" t="n"/>
      <c r="G262" s="11">
        <f>IFERROR(VLOOKUP($E262,ActionsCatalog!$A:$B,2,FALSE),"")</f>
        <v/>
      </c>
      <c r="H262" s="4" t="n"/>
      <c r="I262" s="4">
        <f>IFERROR(VLOOKUP($E262,ActionsCatalog!$A:$D,3,FALSE),0)</f>
        <v/>
      </c>
      <c r="J262" s="4">
        <f>IFERROR(VLOOKUP($E262,ActionsCatalog!$A:$D,4,FALSE),0)</f>
        <v/>
      </c>
      <c r="K262" s="4">
        <f>IF($M262&lt;&gt;"Yes",0,IF($H262="",0,$H262*$I262))</f>
        <v/>
      </c>
      <c r="L262" s="4">
        <f>IF($M262&lt;&gt;"Yes",0,IF($H262="",0,$H262*$J262))</f>
        <v/>
      </c>
      <c r="M262" s="4" t="n"/>
      <c r="N262" s="4" t="n"/>
      <c r="O262" s="4">
        <f>IF($A262="","",TEXT($A262,"yyyy")&amp;"-W"&amp;TEXT(ISOWEEKNUM($A262),"00"))</f>
        <v/>
      </c>
      <c r="P262" s="4" t="n"/>
      <c r="Q262" s="14">
        <f>IF($A262="","",TEXT($A262,"yyyy-mm"))</f>
        <v/>
      </c>
    </row>
    <row r="263">
      <c r="A263" s="66" t="n"/>
      <c r="B263" s="4" t="n"/>
      <c r="C263" s="11">
        <f>IFERROR(VLOOKUP($B263,Members!$A:$C,2,FALSE),"")</f>
        <v/>
      </c>
      <c r="D263" s="11">
        <f>IFERROR(VLOOKUP($B263,Members!$A:$C,3,FALSE),"")</f>
        <v/>
      </c>
      <c r="E263" s="11">
        <f>IF($F263="","",IFERROR(VLOOKUP($F263,ActionMap!$A:$B,2,FALSE),"INVALID ACTION"))</f>
        <v/>
      </c>
      <c r="F263" s="4" t="n"/>
      <c r="G263" s="11">
        <f>IFERROR(VLOOKUP($E263,ActionsCatalog!$A:$B,2,FALSE),"")</f>
        <v/>
      </c>
      <c r="H263" s="4" t="n"/>
      <c r="I263" s="4">
        <f>IFERROR(VLOOKUP($E263,ActionsCatalog!$A:$D,3,FALSE),0)</f>
        <v/>
      </c>
      <c r="J263" s="4">
        <f>IFERROR(VLOOKUP($E263,ActionsCatalog!$A:$D,4,FALSE),0)</f>
        <v/>
      </c>
      <c r="K263" s="4">
        <f>IF($M263&lt;&gt;"Yes",0,IF($H263="",0,$H263*$I263))</f>
        <v/>
      </c>
      <c r="L263" s="4">
        <f>IF($M263&lt;&gt;"Yes",0,IF($H263="",0,$H263*$J263))</f>
        <v/>
      </c>
      <c r="M263" s="4" t="n"/>
      <c r="N263" s="4" t="n"/>
      <c r="O263" s="4">
        <f>IF($A263="","",TEXT($A263,"yyyy")&amp;"-W"&amp;TEXT(ISOWEEKNUM($A263),"00"))</f>
        <v/>
      </c>
      <c r="P263" s="4" t="n"/>
      <c r="Q263" s="14">
        <f>IF($A263="","",TEXT($A263,"yyyy-mm"))</f>
        <v/>
      </c>
    </row>
    <row r="264">
      <c r="A264" s="66" t="n"/>
      <c r="B264" s="4" t="n"/>
      <c r="C264" s="11">
        <f>IFERROR(VLOOKUP($B264,Members!$A:$C,2,FALSE),"")</f>
        <v/>
      </c>
      <c r="D264" s="11">
        <f>IFERROR(VLOOKUP($B264,Members!$A:$C,3,FALSE),"")</f>
        <v/>
      </c>
      <c r="E264" s="11">
        <f>IF($F264="","",IFERROR(VLOOKUP($F264,ActionMap!$A:$B,2,FALSE),"INVALID ACTION"))</f>
        <v/>
      </c>
      <c r="F264" s="4" t="n"/>
      <c r="G264" s="11">
        <f>IFERROR(VLOOKUP($E264,ActionsCatalog!$A:$B,2,FALSE),"")</f>
        <v/>
      </c>
      <c r="H264" s="4" t="n"/>
      <c r="I264" s="4">
        <f>IFERROR(VLOOKUP($E264,ActionsCatalog!$A:$D,3,FALSE),0)</f>
        <v/>
      </c>
      <c r="J264" s="4">
        <f>IFERROR(VLOOKUP($E264,ActionsCatalog!$A:$D,4,FALSE),0)</f>
        <v/>
      </c>
      <c r="K264" s="4">
        <f>IF($M264&lt;&gt;"Yes",0,IF($H264="",0,$H264*$I264))</f>
        <v/>
      </c>
      <c r="L264" s="4">
        <f>IF($M264&lt;&gt;"Yes",0,IF($H264="",0,$H264*$J264))</f>
        <v/>
      </c>
      <c r="M264" s="4" t="n"/>
      <c r="N264" s="4" t="n"/>
      <c r="O264" s="4">
        <f>IF($A264="","",TEXT($A264,"yyyy")&amp;"-W"&amp;TEXT(ISOWEEKNUM($A264),"00"))</f>
        <v/>
      </c>
      <c r="P264" s="4" t="n"/>
      <c r="Q264" s="14">
        <f>IF($A264="","",TEXT($A264,"yyyy-mm"))</f>
        <v/>
      </c>
    </row>
    <row r="265">
      <c r="A265" s="66" t="n"/>
      <c r="B265" s="4" t="n"/>
      <c r="C265" s="11">
        <f>IFERROR(VLOOKUP($B265,Members!$A:$C,2,FALSE),"")</f>
        <v/>
      </c>
      <c r="D265" s="11">
        <f>IFERROR(VLOOKUP($B265,Members!$A:$C,3,FALSE),"")</f>
        <v/>
      </c>
      <c r="E265" s="11">
        <f>IF($F265="","",IFERROR(VLOOKUP($F265,ActionMap!$A:$B,2,FALSE),"INVALID ACTION"))</f>
        <v/>
      </c>
      <c r="F265" s="4" t="n"/>
      <c r="G265" s="11">
        <f>IFERROR(VLOOKUP($E265,ActionsCatalog!$A:$B,2,FALSE),"")</f>
        <v/>
      </c>
      <c r="H265" s="4" t="n"/>
      <c r="I265" s="4">
        <f>IFERROR(VLOOKUP($E265,ActionsCatalog!$A:$D,3,FALSE),0)</f>
        <v/>
      </c>
      <c r="J265" s="4">
        <f>IFERROR(VLOOKUP($E265,ActionsCatalog!$A:$D,4,FALSE),0)</f>
        <v/>
      </c>
      <c r="K265" s="4">
        <f>IF($M265&lt;&gt;"Yes",0,IF($H265="",0,$H265*$I265))</f>
        <v/>
      </c>
      <c r="L265" s="4">
        <f>IF($M265&lt;&gt;"Yes",0,IF($H265="",0,$H265*$J265))</f>
        <v/>
      </c>
      <c r="M265" s="4" t="n"/>
      <c r="N265" s="4" t="n"/>
      <c r="O265" s="4">
        <f>IF($A265="","",TEXT($A265,"yyyy")&amp;"-W"&amp;TEXT(ISOWEEKNUM($A265),"00"))</f>
        <v/>
      </c>
      <c r="P265" s="4" t="n"/>
      <c r="Q265" s="14">
        <f>IF($A265="","",TEXT($A265,"yyyy-mm"))</f>
        <v/>
      </c>
    </row>
    <row r="266">
      <c r="A266" s="66" t="n"/>
      <c r="B266" s="4" t="n"/>
      <c r="C266" s="11">
        <f>IFERROR(VLOOKUP($B266,Members!$A:$C,2,FALSE),"")</f>
        <v/>
      </c>
      <c r="D266" s="11">
        <f>IFERROR(VLOOKUP($B266,Members!$A:$C,3,FALSE),"")</f>
        <v/>
      </c>
      <c r="E266" s="11">
        <f>IF($F266="","",IFERROR(VLOOKUP($F266,ActionMap!$A:$B,2,FALSE),"INVALID ACTION"))</f>
        <v/>
      </c>
      <c r="F266" s="4" t="n"/>
      <c r="G266" s="11">
        <f>IFERROR(VLOOKUP($E266,ActionsCatalog!$A:$B,2,FALSE),"")</f>
        <v/>
      </c>
      <c r="H266" s="4" t="n"/>
      <c r="I266" s="4">
        <f>IFERROR(VLOOKUP($E266,ActionsCatalog!$A:$D,3,FALSE),0)</f>
        <v/>
      </c>
      <c r="J266" s="4">
        <f>IFERROR(VLOOKUP($E266,ActionsCatalog!$A:$D,4,FALSE),0)</f>
        <v/>
      </c>
      <c r="K266" s="4">
        <f>IF($M266&lt;&gt;"Yes",0,IF($H266="",0,$H266*$I266))</f>
        <v/>
      </c>
      <c r="L266" s="4">
        <f>IF($M266&lt;&gt;"Yes",0,IF($H266="",0,$H266*$J266))</f>
        <v/>
      </c>
      <c r="M266" s="4" t="n"/>
      <c r="N266" s="4" t="n"/>
      <c r="O266" s="4">
        <f>IF($A266="","",TEXT($A266,"yyyy")&amp;"-W"&amp;TEXT(ISOWEEKNUM($A266),"00"))</f>
        <v/>
      </c>
      <c r="P266" s="4" t="n"/>
      <c r="Q266" s="14">
        <f>IF($A266="","",TEXT($A266,"yyyy-mm"))</f>
        <v/>
      </c>
    </row>
    <row r="267">
      <c r="A267" s="66" t="n"/>
      <c r="B267" s="4" t="n"/>
      <c r="C267" s="11">
        <f>IFERROR(VLOOKUP($B267,Members!$A:$C,2,FALSE),"")</f>
        <v/>
      </c>
      <c r="D267" s="11">
        <f>IFERROR(VLOOKUP($B267,Members!$A:$C,3,FALSE),"")</f>
        <v/>
      </c>
      <c r="E267" s="11">
        <f>IF($F267="","",IFERROR(VLOOKUP($F267,ActionMap!$A:$B,2,FALSE),"INVALID ACTION"))</f>
        <v/>
      </c>
      <c r="F267" s="4" t="n"/>
      <c r="G267" s="11">
        <f>IFERROR(VLOOKUP($E267,ActionsCatalog!$A:$B,2,FALSE),"")</f>
        <v/>
      </c>
      <c r="H267" s="4" t="n"/>
      <c r="I267" s="4">
        <f>IFERROR(VLOOKUP($E267,ActionsCatalog!$A:$D,3,FALSE),0)</f>
        <v/>
      </c>
      <c r="J267" s="4">
        <f>IFERROR(VLOOKUP($E267,ActionsCatalog!$A:$D,4,FALSE),0)</f>
        <v/>
      </c>
      <c r="K267" s="4">
        <f>IF($M267&lt;&gt;"Yes",0,IF($H267="",0,$H267*$I267))</f>
        <v/>
      </c>
      <c r="L267" s="4">
        <f>IF($M267&lt;&gt;"Yes",0,IF($H267="",0,$H267*$J267))</f>
        <v/>
      </c>
      <c r="M267" s="4" t="n"/>
      <c r="N267" s="4" t="n"/>
      <c r="O267" s="4">
        <f>IF($A267="","",TEXT($A267,"yyyy")&amp;"-W"&amp;TEXT(ISOWEEKNUM($A267),"00"))</f>
        <v/>
      </c>
      <c r="P267" s="4" t="n"/>
      <c r="Q267" s="14">
        <f>IF($A267="","",TEXT($A267,"yyyy-mm"))</f>
        <v/>
      </c>
    </row>
    <row r="268">
      <c r="A268" s="66" t="n"/>
      <c r="B268" s="4" t="n"/>
      <c r="C268" s="11">
        <f>IFERROR(VLOOKUP($B268,Members!$A:$C,2,FALSE),"")</f>
        <v/>
      </c>
      <c r="D268" s="11">
        <f>IFERROR(VLOOKUP($B268,Members!$A:$C,3,FALSE),"")</f>
        <v/>
      </c>
      <c r="E268" s="11">
        <f>IF($F268="","",IFERROR(VLOOKUP($F268,ActionMap!$A:$B,2,FALSE),"INVALID ACTION"))</f>
        <v/>
      </c>
      <c r="F268" s="4" t="n"/>
      <c r="G268" s="11">
        <f>IFERROR(VLOOKUP($E268,ActionsCatalog!$A:$B,2,FALSE),"")</f>
        <v/>
      </c>
      <c r="H268" s="4" t="n"/>
      <c r="I268" s="4">
        <f>IFERROR(VLOOKUP($E268,ActionsCatalog!$A:$D,3,FALSE),0)</f>
        <v/>
      </c>
      <c r="J268" s="4">
        <f>IFERROR(VLOOKUP($E268,ActionsCatalog!$A:$D,4,FALSE),0)</f>
        <v/>
      </c>
      <c r="K268" s="4">
        <f>IF($M268&lt;&gt;"Yes",0,IF($H268="",0,$H268*$I268))</f>
        <v/>
      </c>
      <c r="L268" s="4">
        <f>IF($M268&lt;&gt;"Yes",0,IF($H268="",0,$H268*$J268))</f>
        <v/>
      </c>
      <c r="M268" s="4" t="n"/>
      <c r="N268" s="4" t="n"/>
      <c r="O268" s="4">
        <f>IF($A268="","",TEXT($A268,"yyyy")&amp;"-W"&amp;TEXT(ISOWEEKNUM($A268),"00"))</f>
        <v/>
      </c>
      <c r="P268" s="4" t="n"/>
      <c r="Q268" s="14">
        <f>IF($A268="","",TEXT($A268,"yyyy-mm"))</f>
        <v/>
      </c>
    </row>
    <row r="269">
      <c r="A269" s="66" t="n"/>
      <c r="B269" s="4" t="n"/>
      <c r="C269" s="11">
        <f>IFERROR(VLOOKUP($B269,Members!$A:$C,2,FALSE),"")</f>
        <v/>
      </c>
      <c r="D269" s="11">
        <f>IFERROR(VLOOKUP($B269,Members!$A:$C,3,FALSE),"")</f>
        <v/>
      </c>
      <c r="E269" s="11">
        <f>IF($F269="","",IFERROR(VLOOKUP($F269,ActionMap!$A:$B,2,FALSE),"INVALID ACTION"))</f>
        <v/>
      </c>
      <c r="F269" s="4" t="n"/>
      <c r="G269" s="11">
        <f>IFERROR(VLOOKUP($E269,ActionsCatalog!$A:$B,2,FALSE),"")</f>
        <v/>
      </c>
      <c r="H269" s="4" t="n"/>
      <c r="I269" s="4">
        <f>IFERROR(VLOOKUP($E269,ActionsCatalog!$A:$D,3,FALSE),0)</f>
        <v/>
      </c>
      <c r="J269" s="4">
        <f>IFERROR(VLOOKUP($E269,ActionsCatalog!$A:$D,4,FALSE),0)</f>
        <v/>
      </c>
      <c r="K269" s="4">
        <f>IF($M269&lt;&gt;"Yes",0,IF($H269="",0,$H269*$I269))</f>
        <v/>
      </c>
      <c r="L269" s="4">
        <f>IF($M269&lt;&gt;"Yes",0,IF($H269="",0,$H269*$J269))</f>
        <v/>
      </c>
      <c r="M269" s="4" t="n"/>
      <c r="N269" s="4" t="n"/>
      <c r="O269" s="4">
        <f>IF($A269="","",TEXT($A269,"yyyy")&amp;"-W"&amp;TEXT(ISOWEEKNUM($A269),"00"))</f>
        <v/>
      </c>
      <c r="P269" s="4" t="n"/>
      <c r="Q269" s="14">
        <f>IF($A269="","",TEXT($A269,"yyyy-mm"))</f>
        <v/>
      </c>
    </row>
    <row r="270">
      <c r="A270" s="66" t="n"/>
      <c r="B270" s="4" t="n"/>
      <c r="C270" s="11">
        <f>IFERROR(VLOOKUP($B270,Members!$A:$C,2,FALSE),"")</f>
        <v/>
      </c>
      <c r="D270" s="11">
        <f>IFERROR(VLOOKUP($B270,Members!$A:$C,3,FALSE),"")</f>
        <v/>
      </c>
      <c r="E270" s="11">
        <f>IF($F270="","",IFERROR(VLOOKUP($F270,ActionMap!$A:$B,2,FALSE),"INVALID ACTION"))</f>
        <v/>
      </c>
      <c r="F270" s="4" t="n"/>
      <c r="G270" s="11">
        <f>IFERROR(VLOOKUP($E270,ActionsCatalog!$A:$B,2,FALSE),"")</f>
        <v/>
      </c>
      <c r="H270" s="4" t="n"/>
      <c r="I270" s="4">
        <f>IFERROR(VLOOKUP($E270,ActionsCatalog!$A:$D,3,FALSE),0)</f>
        <v/>
      </c>
      <c r="J270" s="4">
        <f>IFERROR(VLOOKUP($E270,ActionsCatalog!$A:$D,4,FALSE),0)</f>
        <v/>
      </c>
      <c r="K270" s="4">
        <f>IF($M270&lt;&gt;"Yes",0,IF($H270="",0,$H270*$I270))</f>
        <v/>
      </c>
      <c r="L270" s="4">
        <f>IF($M270&lt;&gt;"Yes",0,IF($H270="",0,$H270*$J270))</f>
        <v/>
      </c>
      <c r="M270" s="4" t="n"/>
      <c r="N270" s="4" t="n"/>
      <c r="O270" s="4">
        <f>IF($A270="","",TEXT($A270,"yyyy")&amp;"-W"&amp;TEXT(ISOWEEKNUM($A270),"00"))</f>
        <v/>
      </c>
      <c r="P270" s="4" t="n"/>
      <c r="Q270" s="14">
        <f>IF($A270="","",TEXT($A270,"yyyy-mm"))</f>
        <v/>
      </c>
    </row>
    <row r="271">
      <c r="A271" s="66" t="n"/>
      <c r="B271" s="4" t="n"/>
      <c r="C271" s="11">
        <f>IFERROR(VLOOKUP($B271,Members!$A:$C,2,FALSE),"")</f>
        <v/>
      </c>
      <c r="D271" s="11">
        <f>IFERROR(VLOOKUP($B271,Members!$A:$C,3,FALSE),"")</f>
        <v/>
      </c>
      <c r="E271" s="11">
        <f>IF($F271="","",IFERROR(VLOOKUP($F271,ActionMap!$A:$B,2,FALSE),"INVALID ACTION"))</f>
        <v/>
      </c>
      <c r="F271" s="4" t="n"/>
      <c r="G271" s="11">
        <f>IFERROR(VLOOKUP($E271,ActionsCatalog!$A:$B,2,FALSE),"")</f>
        <v/>
      </c>
      <c r="H271" s="4" t="n"/>
      <c r="I271" s="4">
        <f>IFERROR(VLOOKUP($E271,ActionsCatalog!$A:$D,3,FALSE),0)</f>
        <v/>
      </c>
      <c r="J271" s="4">
        <f>IFERROR(VLOOKUP($E271,ActionsCatalog!$A:$D,4,FALSE),0)</f>
        <v/>
      </c>
      <c r="K271" s="4">
        <f>IF($M271&lt;&gt;"Yes",0,IF($H271="",0,$H271*$I271))</f>
        <v/>
      </c>
      <c r="L271" s="4">
        <f>IF($M271&lt;&gt;"Yes",0,IF($H271="",0,$H271*$J271))</f>
        <v/>
      </c>
      <c r="M271" s="4" t="n"/>
      <c r="N271" s="4" t="n"/>
      <c r="O271" s="4">
        <f>IF($A271="","",TEXT($A271,"yyyy")&amp;"-W"&amp;TEXT(ISOWEEKNUM($A271),"00"))</f>
        <v/>
      </c>
      <c r="P271" s="4" t="n"/>
      <c r="Q271" s="14">
        <f>IF($A271="","",TEXT($A271,"yyyy-mm"))</f>
        <v/>
      </c>
    </row>
    <row r="272">
      <c r="A272" s="66" t="n"/>
      <c r="B272" s="4" t="n"/>
      <c r="C272" s="11">
        <f>IFERROR(VLOOKUP($B272,Members!$A:$C,2,FALSE),"")</f>
        <v/>
      </c>
      <c r="D272" s="11">
        <f>IFERROR(VLOOKUP($B272,Members!$A:$C,3,FALSE),"")</f>
        <v/>
      </c>
      <c r="E272" s="11">
        <f>IF($F272="","",IFERROR(VLOOKUP($F272,ActionMap!$A:$B,2,FALSE),"INVALID ACTION"))</f>
        <v/>
      </c>
      <c r="F272" s="4" t="n"/>
      <c r="G272" s="11">
        <f>IFERROR(VLOOKUP($E272,ActionsCatalog!$A:$B,2,FALSE),"")</f>
        <v/>
      </c>
      <c r="H272" s="4" t="n"/>
      <c r="I272" s="4">
        <f>IFERROR(VLOOKUP($E272,ActionsCatalog!$A:$D,3,FALSE),0)</f>
        <v/>
      </c>
      <c r="J272" s="4">
        <f>IFERROR(VLOOKUP($E272,ActionsCatalog!$A:$D,4,FALSE),0)</f>
        <v/>
      </c>
      <c r="K272" s="4">
        <f>IF($M272&lt;&gt;"Yes",0,IF($H272="",0,$H272*$I272))</f>
        <v/>
      </c>
      <c r="L272" s="4">
        <f>IF($M272&lt;&gt;"Yes",0,IF($H272="",0,$H272*$J272))</f>
        <v/>
      </c>
      <c r="M272" s="4" t="n"/>
      <c r="N272" s="4" t="n"/>
      <c r="O272" s="4">
        <f>IF($A272="","",TEXT($A272,"yyyy")&amp;"-W"&amp;TEXT(ISOWEEKNUM($A272),"00"))</f>
        <v/>
      </c>
      <c r="P272" s="4" t="n"/>
      <c r="Q272" s="14">
        <f>IF($A272="","",TEXT($A272,"yyyy-mm"))</f>
        <v/>
      </c>
    </row>
    <row r="273">
      <c r="A273" s="66" t="n"/>
      <c r="B273" s="4" t="n"/>
      <c r="C273" s="11">
        <f>IFERROR(VLOOKUP($B273,Members!$A:$C,2,FALSE),"")</f>
        <v/>
      </c>
      <c r="D273" s="11">
        <f>IFERROR(VLOOKUP($B273,Members!$A:$C,3,FALSE),"")</f>
        <v/>
      </c>
      <c r="E273" s="11">
        <f>IF($F273="","",IFERROR(VLOOKUP($F273,ActionMap!$A:$B,2,FALSE),"INVALID ACTION"))</f>
        <v/>
      </c>
      <c r="F273" s="4" t="n"/>
      <c r="G273" s="11">
        <f>IFERROR(VLOOKUP($E273,ActionsCatalog!$A:$B,2,FALSE),"")</f>
        <v/>
      </c>
      <c r="H273" s="4" t="n"/>
      <c r="I273" s="4">
        <f>IFERROR(VLOOKUP($E273,ActionsCatalog!$A:$D,3,FALSE),0)</f>
        <v/>
      </c>
      <c r="J273" s="4">
        <f>IFERROR(VLOOKUP($E273,ActionsCatalog!$A:$D,4,FALSE),0)</f>
        <v/>
      </c>
      <c r="K273" s="4">
        <f>IF($M273&lt;&gt;"Yes",0,IF($H273="",0,$H273*$I273))</f>
        <v/>
      </c>
      <c r="L273" s="4">
        <f>IF($M273&lt;&gt;"Yes",0,IF($H273="",0,$H273*$J273))</f>
        <v/>
      </c>
      <c r="M273" s="4" t="n"/>
      <c r="N273" s="4" t="n"/>
      <c r="O273" s="4">
        <f>IF($A273="","",TEXT($A273,"yyyy")&amp;"-W"&amp;TEXT(ISOWEEKNUM($A273),"00"))</f>
        <v/>
      </c>
      <c r="P273" s="4" t="n"/>
      <c r="Q273" s="14">
        <f>IF($A273="","",TEXT($A273,"yyyy-mm"))</f>
        <v/>
      </c>
    </row>
    <row r="274">
      <c r="A274" s="66" t="n"/>
      <c r="B274" s="4" t="n"/>
      <c r="C274" s="11">
        <f>IFERROR(VLOOKUP($B274,Members!$A:$C,2,FALSE),"")</f>
        <v/>
      </c>
      <c r="D274" s="11">
        <f>IFERROR(VLOOKUP($B274,Members!$A:$C,3,FALSE),"")</f>
        <v/>
      </c>
      <c r="E274" s="11">
        <f>IF($F274="","",IFERROR(VLOOKUP($F274,ActionMap!$A:$B,2,FALSE),"INVALID ACTION"))</f>
        <v/>
      </c>
      <c r="F274" s="4" t="n"/>
      <c r="G274" s="11">
        <f>IFERROR(VLOOKUP($E274,ActionsCatalog!$A:$B,2,FALSE),"")</f>
        <v/>
      </c>
      <c r="H274" s="4" t="n"/>
      <c r="I274" s="4">
        <f>IFERROR(VLOOKUP($E274,ActionsCatalog!$A:$D,3,FALSE),0)</f>
        <v/>
      </c>
      <c r="J274" s="4">
        <f>IFERROR(VLOOKUP($E274,ActionsCatalog!$A:$D,4,FALSE),0)</f>
        <v/>
      </c>
      <c r="K274" s="4">
        <f>IF($M274&lt;&gt;"Yes",0,IF($H274="",0,$H274*$I274))</f>
        <v/>
      </c>
      <c r="L274" s="4">
        <f>IF($M274&lt;&gt;"Yes",0,IF($H274="",0,$H274*$J274))</f>
        <v/>
      </c>
      <c r="M274" s="4" t="n"/>
      <c r="N274" s="4" t="n"/>
      <c r="O274" s="4">
        <f>IF($A274="","",TEXT($A274,"yyyy")&amp;"-W"&amp;TEXT(ISOWEEKNUM($A274),"00"))</f>
        <v/>
      </c>
      <c r="P274" s="4" t="n"/>
      <c r="Q274" s="14">
        <f>IF($A274="","",TEXT($A274,"yyyy-mm"))</f>
        <v/>
      </c>
    </row>
    <row r="275">
      <c r="A275" s="66" t="n"/>
      <c r="B275" s="4" t="n"/>
      <c r="C275" s="11">
        <f>IFERROR(VLOOKUP($B275,Members!$A:$C,2,FALSE),"")</f>
        <v/>
      </c>
      <c r="D275" s="11">
        <f>IFERROR(VLOOKUP($B275,Members!$A:$C,3,FALSE),"")</f>
        <v/>
      </c>
      <c r="E275" s="11">
        <f>IF($F275="","",IFERROR(VLOOKUP($F275,ActionMap!$A:$B,2,FALSE),"INVALID ACTION"))</f>
        <v/>
      </c>
      <c r="F275" s="4" t="n"/>
      <c r="G275" s="11">
        <f>IFERROR(VLOOKUP($E275,ActionsCatalog!$A:$B,2,FALSE),"")</f>
        <v/>
      </c>
      <c r="H275" s="4" t="n"/>
      <c r="I275" s="4">
        <f>IFERROR(VLOOKUP($E275,ActionsCatalog!$A:$D,3,FALSE),0)</f>
        <v/>
      </c>
      <c r="J275" s="4">
        <f>IFERROR(VLOOKUP($E275,ActionsCatalog!$A:$D,4,FALSE),0)</f>
        <v/>
      </c>
      <c r="K275" s="4">
        <f>IF($M275&lt;&gt;"Yes",0,IF($H275="",0,$H275*$I275))</f>
        <v/>
      </c>
      <c r="L275" s="4">
        <f>IF($M275&lt;&gt;"Yes",0,IF($H275="",0,$H275*$J275))</f>
        <v/>
      </c>
      <c r="M275" s="4" t="n"/>
      <c r="N275" s="4" t="n"/>
      <c r="O275" s="4">
        <f>IF($A275="","",TEXT($A275,"yyyy")&amp;"-W"&amp;TEXT(ISOWEEKNUM($A275),"00"))</f>
        <v/>
      </c>
      <c r="P275" s="4" t="n"/>
      <c r="Q275" s="14">
        <f>IF($A275="","",TEXT($A275,"yyyy-mm"))</f>
        <v/>
      </c>
    </row>
    <row r="276">
      <c r="A276" s="66" t="n"/>
      <c r="B276" s="4" t="n"/>
      <c r="C276" s="11">
        <f>IFERROR(VLOOKUP($B276,Members!$A:$C,2,FALSE),"")</f>
        <v/>
      </c>
      <c r="D276" s="11">
        <f>IFERROR(VLOOKUP($B276,Members!$A:$C,3,FALSE),"")</f>
        <v/>
      </c>
      <c r="E276" s="11">
        <f>IF($F276="","",IFERROR(VLOOKUP($F276,ActionMap!$A:$B,2,FALSE),"INVALID ACTION"))</f>
        <v/>
      </c>
      <c r="F276" s="4" t="n"/>
      <c r="G276" s="11">
        <f>IFERROR(VLOOKUP($E276,ActionsCatalog!$A:$B,2,FALSE),"")</f>
        <v/>
      </c>
      <c r="H276" s="4" t="n"/>
      <c r="I276" s="4">
        <f>IFERROR(VLOOKUP($E276,ActionsCatalog!$A:$D,3,FALSE),0)</f>
        <v/>
      </c>
      <c r="J276" s="4">
        <f>IFERROR(VLOOKUP($E276,ActionsCatalog!$A:$D,4,FALSE),0)</f>
        <v/>
      </c>
      <c r="K276" s="4">
        <f>IF($M276&lt;&gt;"Yes",0,IF($H276="",0,$H276*$I276))</f>
        <v/>
      </c>
      <c r="L276" s="4">
        <f>IF($M276&lt;&gt;"Yes",0,IF($H276="",0,$H276*$J276))</f>
        <v/>
      </c>
      <c r="M276" s="4" t="n"/>
      <c r="N276" s="4" t="n"/>
      <c r="O276" s="4">
        <f>IF($A276="","",TEXT($A276,"yyyy")&amp;"-W"&amp;TEXT(ISOWEEKNUM($A276),"00"))</f>
        <v/>
      </c>
      <c r="P276" s="4" t="n"/>
      <c r="Q276" s="14">
        <f>IF($A276="","",TEXT($A276,"yyyy-mm"))</f>
        <v/>
      </c>
    </row>
    <row r="277">
      <c r="A277" s="66" t="n"/>
      <c r="B277" s="4" t="n"/>
      <c r="C277" s="11">
        <f>IFERROR(VLOOKUP($B277,Members!$A:$C,2,FALSE),"")</f>
        <v/>
      </c>
      <c r="D277" s="11">
        <f>IFERROR(VLOOKUP($B277,Members!$A:$C,3,FALSE),"")</f>
        <v/>
      </c>
      <c r="E277" s="11">
        <f>IF($F277="","",IFERROR(VLOOKUP($F277,ActionMap!$A:$B,2,FALSE),"INVALID ACTION"))</f>
        <v/>
      </c>
      <c r="F277" s="4" t="n"/>
      <c r="G277" s="11">
        <f>IFERROR(VLOOKUP($E277,ActionsCatalog!$A:$B,2,FALSE),"")</f>
        <v/>
      </c>
      <c r="H277" s="4" t="n"/>
      <c r="I277" s="4">
        <f>IFERROR(VLOOKUP($E277,ActionsCatalog!$A:$D,3,FALSE),0)</f>
        <v/>
      </c>
      <c r="J277" s="4">
        <f>IFERROR(VLOOKUP($E277,ActionsCatalog!$A:$D,4,FALSE),0)</f>
        <v/>
      </c>
      <c r="K277" s="4">
        <f>IF($M277&lt;&gt;"Yes",0,IF($H277="",0,$H277*$I277))</f>
        <v/>
      </c>
      <c r="L277" s="4">
        <f>IF($M277&lt;&gt;"Yes",0,IF($H277="",0,$H277*$J277))</f>
        <v/>
      </c>
      <c r="M277" s="4" t="n"/>
      <c r="N277" s="4" t="n"/>
      <c r="O277" s="4">
        <f>IF($A277="","",TEXT($A277,"yyyy")&amp;"-W"&amp;TEXT(ISOWEEKNUM($A277),"00"))</f>
        <v/>
      </c>
      <c r="P277" s="4" t="n"/>
      <c r="Q277" s="14">
        <f>IF($A277="","",TEXT($A277,"yyyy-mm"))</f>
        <v/>
      </c>
    </row>
    <row r="278">
      <c r="A278" s="66" t="n"/>
      <c r="B278" s="4" t="n"/>
      <c r="C278" s="11">
        <f>IFERROR(VLOOKUP($B278,Members!$A:$C,2,FALSE),"")</f>
        <v/>
      </c>
      <c r="D278" s="11">
        <f>IFERROR(VLOOKUP($B278,Members!$A:$C,3,FALSE),"")</f>
        <v/>
      </c>
      <c r="E278" s="11">
        <f>IF($F278="","",IFERROR(VLOOKUP($F278,ActionMap!$A:$B,2,FALSE),"INVALID ACTION"))</f>
        <v/>
      </c>
      <c r="F278" s="4" t="n"/>
      <c r="G278" s="11">
        <f>IFERROR(VLOOKUP($E278,ActionsCatalog!$A:$B,2,FALSE),"")</f>
        <v/>
      </c>
      <c r="H278" s="4" t="n"/>
      <c r="I278" s="4">
        <f>IFERROR(VLOOKUP($E278,ActionsCatalog!$A:$D,3,FALSE),0)</f>
        <v/>
      </c>
      <c r="J278" s="4">
        <f>IFERROR(VLOOKUP($E278,ActionsCatalog!$A:$D,4,FALSE),0)</f>
        <v/>
      </c>
      <c r="K278" s="4">
        <f>IF($M278&lt;&gt;"Yes",0,IF($H278="",0,$H278*$I278))</f>
        <v/>
      </c>
      <c r="L278" s="4">
        <f>IF($M278&lt;&gt;"Yes",0,IF($H278="",0,$H278*$J278))</f>
        <v/>
      </c>
      <c r="M278" s="4" t="n"/>
      <c r="N278" s="4" t="n"/>
      <c r="O278" s="4">
        <f>IF($A278="","",TEXT($A278,"yyyy")&amp;"-W"&amp;TEXT(ISOWEEKNUM($A278),"00"))</f>
        <v/>
      </c>
      <c r="P278" s="4" t="n"/>
      <c r="Q278" s="14">
        <f>IF($A278="","",TEXT($A278,"yyyy-mm"))</f>
        <v/>
      </c>
    </row>
    <row r="279">
      <c r="A279" s="66" t="n"/>
      <c r="B279" s="4" t="n"/>
      <c r="C279" s="11">
        <f>IFERROR(VLOOKUP($B279,Members!$A:$C,2,FALSE),"")</f>
        <v/>
      </c>
      <c r="D279" s="11">
        <f>IFERROR(VLOOKUP($B279,Members!$A:$C,3,FALSE),"")</f>
        <v/>
      </c>
      <c r="E279" s="11">
        <f>IF($F279="","",IFERROR(VLOOKUP($F279,ActionMap!$A:$B,2,FALSE),"INVALID ACTION"))</f>
        <v/>
      </c>
      <c r="F279" s="4" t="n"/>
      <c r="G279" s="11">
        <f>IFERROR(VLOOKUP($E279,ActionsCatalog!$A:$B,2,FALSE),"")</f>
        <v/>
      </c>
      <c r="H279" s="4" t="n"/>
      <c r="I279" s="4">
        <f>IFERROR(VLOOKUP($E279,ActionsCatalog!$A:$D,3,FALSE),0)</f>
        <v/>
      </c>
      <c r="J279" s="4">
        <f>IFERROR(VLOOKUP($E279,ActionsCatalog!$A:$D,4,FALSE),0)</f>
        <v/>
      </c>
      <c r="K279" s="4">
        <f>IF($M279&lt;&gt;"Yes",0,IF($H279="",0,$H279*$I279))</f>
        <v/>
      </c>
      <c r="L279" s="4">
        <f>IF($M279&lt;&gt;"Yes",0,IF($H279="",0,$H279*$J279))</f>
        <v/>
      </c>
      <c r="M279" s="4" t="n"/>
      <c r="N279" s="4" t="n"/>
      <c r="O279" s="4">
        <f>IF($A279="","",TEXT($A279,"yyyy")&amp;"-W"&amp;TEXT(ISOWEEKNUM($A279),"00"))</f>
        <v/>
      </c>
      <c r="P279" s="4" t="n"/>
      <c r="Q279" s="14">
        <f>IF($A279="","",TEXT($A279,"yyyy-mm"))</f>
        <v/>
      </c>
    </row>
    <row r="280">
      <c r="A280" s="66" t="n"/>
      <c r="B280" s="4" t="n"/>
      <c r="C280" s="11">
        <f>IFERROR(VLOOKUP($B280,Members!$A:$C,2,FALSE),"")</f>
        <v/>
      </c>
      <c r="D280" s="11">
        <f>IFERROR(VLOOKUP($B280,Members!$A:$C,3,FALSE),"")</f>
        <v/>
      </c>
      <c r="E280" s="11">
        <f>IF($F280="","",IFERROR(VLOOKUP($F280,ActionMap!$A:$B,2,FALSE),"INVALID ACTION"))</f>
        <v/>
      </c>
      <c r="F280" s="4" t="n"/>
      <c r="G280" s="11">
        <f>IFERROR(VLOOKUP($E280,ActionsCatalog!$A:$B,2,FALSE),"")</f>
        <v/>
      </c>
      <c r="H280" s="4" t="n"/>
      <c r="I280" s="4">
        <f>IFERROR(VLOOKUP($E280,ActionsCatalog!$A:$D,3,FALSE),0)</f>
        <v/>
      </c>
      <c r="J280" s="4">
        <f>IFERROR(VLOOKUP($E280,ActionsCatalog!$A:$D,4,FALSE),0)</f>
        <v/>
      </c>
      <c r="K280" s="4">
        <f>IF($M280&lt;&gt;"Yes",0,IF($H280="",0,$H280*$I280))</f>
        <v/>
      </c>
      <c r="L280" s="4">
        <f>IF($M280&lt;&gt;"Yes",0,IF($H280="",0,$H280*$J280))</f>
        <v/>
      </c>
      <c r="M280" s="4" t="n"/>
      <c r="N280" s="4" t="n"/>
      <c r="O280" s="4">
        <f>IF($A280="","",TEXT($A280,"yyyy")&amp;"-W"&amp;TEXT(ISOWEEKNUM($A280),"00"))</f>
        <v/>
      </c>
      <c r="P280" s="4" t="n"/>
      <c r="Q280" s="14">
        <f>IF($A280="","",TEXT($A280,"yyyy-mm"))</f>
        <v/>
      </c>
    </row>
    <row r="281">
      <c r="A281" s="66" t="n"/>
      <c r="B281" s="4" t="n"/>
      <c r="C281" s="11">
        <f>IFERROR(VLOOKUP($B281,Members!$A:$C,2,FALSE),"")</f>
        <v/>
      </c>
      <c r="D281" s="11">
        <f>IFERROR(VLOOKUP($B281,Members!$A:$C,3,FALSE),"")</f>
        <v/>
      </c>
      <c r="E281" s="11">
        <f>IF($F281="","",IFERROR(VLOOKUP($F281,ActionMap!$A:$B,2,FALSE),"INVALID ACTION"))</f>
        <v/>
      </c>
      <c r="F281" s="4" t="n"/>
      <c r="G281" s="11">
        <f>IFERROR(VLOOKUP($E281,ActionsCatalog!$A:$B,2,FALSE),"")</f>
        <v/>
      </c>
      <c r="H281" s="4" t="n"/>
      <c r="I281" s="4">
        <f>IFERROR(VLOOKUP($E281,ActionsCatalog!$A:$D,3,FALSE),0)</f>
        <v/>
      </c>
      <c r="J281" s="4">
        <f>IFERROR(VLOOKUP($E281,ActionsCatalog!$A:$D,4,FALSE),0)</f>
        <v/>
      </c>
      <c r="K281" s="4">
        <f>IF($M281&lt;&gt;"Yes",0,IF($H281="",0,$H281*$I281))</f>
        <v/>
      </c>
      <c r="L281" s="4">
        <f>IF($M281&lt;&gt;"Yes",0,IF($H281="",0,$H281*$J281))</f>
        <v/>
      </c>
      <c r="M281" s="4" t="n"/>
      <c r="N281" s="4" t="n"/>
      <c r="O281" s="4">
        <f>IF($A281="","",TEXT($A281,"yyyy")&amp;"-W"&amp;TEXT(ISOWEEKNUM($A281),"00"))</f>
        <v/>
      </c>
      <c r="P281" s="4" t="n"/>
      <c r="Q281" s="14">
        <f>IF($A281="","",TEXT($A281,"yyyy-mm"))</f>
        <v/>
      </c>
    </row>
    <row r="282">
      <c r="A282" s="66" t="n"/>
      <c r="B282" s="4" t="n"/>
      <c r="C282" s="11">
        <f>IFERROR(VLOOKUP($B282,Members!$A:$C,2,FALSE),"")</f>
        <v/>
      </c>
      <c r="D282" s="11">
        <f>IFERROR(VLOOKUP($B282,Members!$A:$C,3,FALSE),"")</f>
        <v/>
      </c>
      <c r="E282" s="11">
        <f>IF($F282="","",IFERROR(VLOOKUP($F282,ActionMap!$A:$B,2,FALSE),"INVALID ACTION"))</f>
        <v/>
      </c>
      <c r="F282" s="4" t="n"/>
      <c r="G282" s="11">
        <f>IFERROR(VLOOKUP($E282,ActionsCatalog!$A:$B,2,FALSE),"")</f>
        <v/>
      </c>
      <c r="H282" s="4" t="n"/>
      <c r="I282" s="4">
        <f>IFERROR(VLOOKUP($E282,ActionsCatalog!$A:$D,3,FALSE),0)</f>
        <v/>
      </c>
      <c r="J282" s="4">
        <f>IFERROR(VLOOKUP($E282,ActionsCatalog!$A:$D,4,FALSE),0)</f>
        <v/>
      </c>
      <c r="K282" s="4">
        <f>IF($M282&lt;&gt;"Yes",0,IF($H282="",0,$H282*$I282))</f>
        <v/>
      </c>
      <c r="L282" s="4">
        <f>IF($M282&lt;&gt;"Yes",0,IF($H282="",0,$H282*$J282))</f>
        <v/>
      </c>
      <c r="M282" s="4" t="n"/>
      <c r="N282" s="4" t="n"/>
      <c r="O282" s="4">
        <f>IF($A282="","",TEXT($A282,"yyyy")&amp;"-W"&amp;TEXT(ISOWEEKNUM($A282),"00"))</f>
        <v/>
      </c>
      <c r="P282" s="4" t="n"/>
      <c r="Q282" s="14">
        <f>IF($A282="","",TEXT($A282,"yyyy-mm"))</f>
        <v/>
      </c>
    </row>
    <row r="283">
      <c r="A283" s="66" t="n"/>
      <c r="B283" s="4" t="n"/>
      <c r="C283" s="11">
        <f>IFERROR(VLOOKUP($B283,Members!$A:$C,2,FALSE),"")</f>
        <v/>
      </c>
      <c r="D283" s="11">
        <f>IFERROR(VLOOKUP($B283,Members!$A:$C,3,FALSE),"")</f>
        <v/>
      </c>
      <c r="E283" s="11">
        <f>IF($F283="","",IFERROR(VLOOKUP($F283,ActionMap!$A:$B,2,FALSE),"INVALID ACTION"))</f>
        <v/>
      </c>
      <c r="F283" s="4" t="n"/>
      <c r="G283" s="11">
        <f>IFERROR(VLOOKUP($E283,ActionsCatalog!$A:$B,2,FALSE),"")</f>
        <v/>
      </c>
      <c r="H283" s="4" t="n"/>
      <c r="I283" s="4">
        <f>IFERROR(VLOOKUP($E283,ActionsCatalog!$A:$D,3,FALSE),0)</f>
        <v/>
      </c>
      <c r="J283" s="4">
        <f>IFERROR(VLOOKUP($E283,ActionsCatalog!$A:$D,4,FALSE),0)</f>
        <v/>
      </c>
      <c r="K283" s="4">
        <f>IF($M283&lt;&gt;"Yes",0,IF($H283="",0,$H283*$I283))</f>
        <v/>
      </c>
      <c r="L283" s="4">
        <f>IF($M283&lt;&gt;"Yes",0,IF($H283="",0,$H283*$J283))</f>
        <v/>
      </c>
      <c r="M283" s="4" t="n"/>
      <c r="N283" s="4" t="n"/>
      <c r="O283" s="4">
        <f>IF($A283="","",TEXT($A283,"yyyy")&amp;"-W"&amp;TEXT(ISOWEEKNUM($A283),"00"))</f>
        <v/>
      </c>
      <c r="P283" s="4" t="n"/>
      <c r="Q283" s="14">
        <f>IF($A283="","",TEXT($A283,"yyyy-mm"))</f>
        <v/>
      </c>
    </row>
    <row r="284">
      <c r="A284" s="66" t="n"/>
      <c r="B284" s="4" t="n"/>
      <c r="C284" s="11">
        <f>IFERROR(VLOOKUP($B284,Members!$A:$C,2,FALSE),"")</f>
        <v/>
      </c>
      <c r="D284" s="11">
        <f>IFERROR(VLOOKUP($B284,Members!$A:$C,3,FALSE),"")</f>
        <v/>
      </c>
      <c r="E284" s="11">
        <f>IF($F284="","",IFERROR(VLOOKUP($F284,ActionMap!$A:$B,2,FALSE),"INVALID ACTION"))</f>
        <v/>
      </c>
      <c r="F284" s="4" t="n"/>
      <c r="G284" s="11">
        <f>IFERROR(VLOOKUP($E284,ActionsCatalog!$A:$B,2,FALSE),"")</f>
        <v/>
      </c>
      <c r="H284" s="4" t="n"/>
      <c r="I284" s="4">
        <f>IFERROR(VLOOKUP($E284,ActionsCatalog!$A:$D,3,FALSE),0)</f>
        <v/>
      </c>
      <c r="J284" s="4">
        <f>IFERROR(VLOOKUP($E284,ActionsCatalog!$A:$D,4,FALSE),0)</f>
        <v/>
      </c>
      <c r="K284" s="4">
        <f>IF($M284&lt;&gt;"Yes",0,IF($H284="",0,$H284*$I284))</f>
        <v/>
      </c>
      <c r="L284" s="4">
        <f>IF($M284&lt;&gt;"Yes",0,IF($H284="",0,$H284*$J284))</f>
        <v/>
      </c>
      <c r="M284" s="4" t="n"/>
      <c r="N284" s="4" t="n"/>
      <c r="O284" s="4">
        <f>IF($A284="","",TEXT($A284,"yyyy")&amp;"-W"&amp;TEXT(ISOWEEKNUM($A284),"00"))</f>
        <v/>
      </c>
      <c r="P284" s="4" t="n"/>
      <c r="Q284" s="14">
        <f>IF($A284="","",TEXT($A284,"yyyy-mm"))</f>
        <v/>
      </c>
    </row>
    <row r="285">
      <c r="A285" s="66" t="n"/>
      <c r="B285" s="4" t="n"/>
      <c r="C285" s="11">
        <f>IFERROR(VLOOKUP($B285,Members!$A:$C,2,FALSE),"")</f>
        <v/>
      </c>
      <c r="D285" s="11">
        <f>IFERROR(VLOOKUP($B285,Members!$A:$C,3,FALSE),"")</f>
        <v/>
      </c>
      <c r="E285" s="11">
        <f>IF($F285="","",IFERROR(VLOOKUP($F285,ActionMap!$A:$B,2,FALSE),"INVALID ACTION"))</f>
        <v/>
      </c>
      <c r="F285" s="4" t="n"/>
      <c r="G285" s="11">
        <f>IFERROR(VLOOKUP($E285,ActionsCatalog!$A:$B,2,FALSE),"")</f>
        <v/>
      </c>
      <c r="H285" s="4" t="n"/>
      <c r="I285" s="4">
        <f>IFERROR(VLOOKUP($E285,ActionsCatalog!$A:$D,3,FALSE),0)</f>
        <v/>
      </c>
      <c r="J285" s="4">
        <f>IFERROR(VLOOKUP($E285,ActionsCatalog!$A:$D,4,FALSE),0)</f>
        <v/>
      </c>
      <c r="K285" s="4">
        <f>IF($M285&lt;&gt;"Yes",0,IF($H285="",0,$H285*$I285))</f>
        <v/>
      </c>
      <c r="L285" s="4">
        <f>IF($M285&lt;&gt;"Yes",0,IF($H285="",0,$H285*$J285))</f>
        <v/>
      </c>
      <c r="M285" s="4" t="n"/>
      <c r="N285" s="4" t="n"/>
      <c r="O285" s="4">
        <f>IF($A285="","",TEXT($A285,"yyyy")&amp;"-W"&amp;TEXT(ISOWEEKNUM($A285),"00"))</f>
        <v/>
      </c>
      <c r="P285" s="4" t="n"/>
      <c r="Q285" s="14">
        <f>IF($A285="","",TEXT($A285,"yyyy-mm"))</f>
        <v/>
      </c>
    </row>
    <row r="286">
      <c r="A286" s="66" t="n"/>
      <c r="B286" s="4" t="n"/>
      <c r="C286" s="11">
        <f>IFERROR(VLOOKUP($B286,Members!$A:$C,2,FALSE),"")</f>
        <v/>
      </c>
      <c r="D286" s="11">
        <f>IFERROR(VLOOKUP($B286,Members!$A:$C,3,FALSE),"")</f>
        <v/>
      </c>
      <c r="E286" s="11">
        <f>IF($F286="","",IFERROR(VLOOKUP($F286,ActionMap!$A:$B,2,FALSE),"INVALID ACTION"))</f>
        <v/>
      </c>
      <c r="F286" s="4" t="n"/>
      <c r="G286" s="11">
        <f>IFERROR(VLOOKUP($E286,ActionsCatalog!$A:$B,2,FALSE),"")</f>
        <v/>
      </c>
      <c r="H286" s="4" t="n"/>
      <c r="I286" s="4">
        <f>IFERROR(VLOOKUP($E286,ActionsCatalog!$A:$D,3,FALSE),0)</f>
        <v/>
      </c>
      <c r="J286" s="4">
        <f>IFERROR(VLOOKUP($E286,ActionsCatalog!$A:$D,4,FALSE),0)</f>
        <v/>
      </c>
      <c r="K286" s="4">
        <f>IF($M286&lt;&gt;"Yes",0,IF($H286="",0,$H286*$I286))</f>
        <v/>
      </c>
      <c r="L286" s="4">
        <f>IF($M286&lt;&gt;"Yes",0,IF($H286="",0,$H286*$J286))</f>
        <v/>
      </c>
      <c r="M286" s="4" t="n"/>
      <c r="N286" s="4" t="n"/>
      <c r="O286" s="4">
        <f>IF($A286="","",TEXT($A286,"yyyy")&amp;"-W"&amp;TEXT(ISOWEEKNUM($A286),"00"))</f>
        <v/>
      </c>
      <c r="P286" s="4" t="n"/>
      <c r="Q286" s="14">
        <f>IF($A286="","",TEXT($A286,"yyyy-mm"))</f>
        <v/>
      </c>
    </row>
    <row r="287">
      <c r="A287" s="66" t="n"/>
      <c r="B287" s="4" t="n"/>
      <c r="C287" s="11">
        <f>IFERROR(VLOOKUP($B287,Members!$A:$C,2,FALSE),"")</f>
        <v/>
      </c>
      <c r="D287" s="11">
        <f>IFERROR(VLOOKUP($B287,Members!$A:$C,3,FALSE),"")</f>
        <v/>
      </c>
      <c r="E287" s="11">
        <f>IF($F287="","",IFERROR(VLOOKUP($F287,ActionMap!$A:$B,2,FALSE),"INVALID ACTION"))</f>
        <v/>
      </c>
      <c r="F287" s="4" t="n"/>
      <c r="G287" s="11">
        <f>IFERROR(VLOOKUP($E287,ActionsCatalog!$A:$B,2,FALSE),"")</f>
        <v/>
      </c>
      <c r="H287" s="4" t="n"/>
      <c r="I287" s="4">
        <f>IFERROR(VLOOKUP($E287,ActionsCatalog!$A:$D,3,FALSE),0)</f>
        <v/>
      </c>
      <c r="J287" s="4">
        <f>IFERROR(VLOOKUP($E287,ActionsCatalog!$A:$D,4,FALSE),0)</f>
        <v/>
      </c>
      <c r="K287" s="4">
        <f>IF($M287&lt;&gt;"Yes",0,IF($H287="",0,$H287*$I287))</f>
        <v/>
      </c>
      <c r="L287" s="4">
        <f>IF($M287&lt;&gt;"Yes",0,IF($H287="",0,$H287*$J287))</f>
        <v/>
      </c>
      <c r="M287" s="4" t="n"/>
      <c r="N287" s="4" t="n"/>
      <c r="O287" s="4">
        <f>IF($A287="","",TEXT($A287,"yyyy")&amp;"-W"&amp;TEXT(ISOWEEKNUM($A287),"00"))</f>
        <v/>
      </c>
      <c r="P287" s="4" t="n"/>
      <c r="Q287" s="14">
        <f>IF($A287="","",TEXT($A287,"yyyy-mm"))</f>
        <v/>
      </c>
    </row>
    <row r="288">
      <c r="A288" s="66" t="n"/>
      <c r="B288" s="4" t="n"/>
      <c r="C288" s="11">
        <f>IFERROR(VLOOKUP($B288,Members!$A:$C,2,FALSE),"")</f>
        <v/>
      </c>
      <c r="D288" s="11">
        <f>IFERROR(VLOOKUP($B288,Members!$A:$C,3,FALSE),"")</f>
        <v/>
      </c>
      <c r="E288" s="11">
        <f>IF($F288="","",IFERROR(VLOOKUP($F288,ActionMap!$A:$B,2,FALSE),"INVALID ACTION"))</f>
        <v/>
      </c>
      <c r="F288" s="4" t="n"/>
      <c r="G288" s="11">
        <f>IFERROR(VLOOKUP($E288,ActionsCatalog!$A:$B,2,FALSE),"")</f>
        <v/>
      </c>
      <c r="H288" s="4" t="n"/>
      <c r="I288" s="4">
        <f>IFERROR(VLOOKUP($E288,ActionsCatalog!$A:$D,3,FALSE),0)</f>
        <v/>
      </c>
      <c r="J288" s="4">
        <f>IFERROR(VLOOKUP($E288,ActionsCatalog!$A:$D,4,FALSE),0)</f>
        <v/>
      </c>
      <c r="K288" s="4">
        <f>IF($M288&lt;&gt;"Yes",0,IF($H288="",0,$H288*$I288))</f>
        <v/>
      </c>
      <c r="L288" s="4">
        <f>IF($M288&lt;&gt;"Yes",0,IF($H288="",0,$H288*$J288))</f>
        <v/>
      </c>
      <c r="M288" s="4" t="n"/>
      <c r="N288" s="4" t="n"/>
      <c r="O288" s="4">
        <f>IF($A288="","",TEXT($A288,"yyyy")&amp;"-W"&amp;TEXT(ISOWEEKNUM($A288),"00"))</f>
        <v/>
      </c>
      <c r="P288" s="4" t="n"/>
      <c r="Q288" s="14">
        <f>IF($A288="","",TEXT($A288,"yyyy-mm"))</f>
        <v/>
      </c>
    </row>
    <row r="289">
      <c r="A289" s="66" t="n"/>
      <c r="B289" s="4" t="n"/>
      <c r="C289" s="11">
        <f>IFERROR(VLOOKUP($B289,Members!$A:$C,2,FALSE),"")</f>
        <v/>
      </c>
      <c r="D289" s="11">
        <f>IFERROR(VLOOKUP($B289,Members!$A:$C,3,FALSE),"")</f>
        <v/>
      </c>
      <c r="E289" s="11">
        <f>IF($F289="","",IFERROR(VLOOKUP($F289,ActionMap!$A:$B,2,FALSE),"INVALID ACTION"))</f>
        <v/>
      </c>
      <c r="F289" s="4" t="n"/>
      <c r="G289" s="11">
        <f>IFERROR(VLOOKUP($E289,ActionsCatalog!$A:$B,2,FALSE),"")</f>
        <v/>
      </c>
      <c r="H289" s="4" t="n"/>
      <c r="I289" s="4">
        <f>IFERROR(VLOOKUP($E289,ActionsCatalog!$A:$D,3,FALSE),0)</f>
        <v/>
      </c>
      <c r="J289" s="4">
        <f>IFERROR(VLOOKUP($E289,ActionsCatalog!$A:$D,4,FALSE),0)</f>
        <v/>
      </c>
      <c r="K289" s="4">
        <f>IF($M289&lt;&gt;"Yes",0,IF($H289="",0,$H289*$I289))</f>
        <v/>
      </c>
      <c r="L289" s="4">
        <f>IF($M289&lt;&gt;"Yes",0,IF($H289="",0,$H289*$J289))</f>
        <v/>
      </c>
      <c r="M289" s="4" t="n"/>
      <c r="N289" s="4" t="n"/>
      <c r="O289" s="4">
        <f>IF($A289="","",TEXT($A289,"yyyy")&amp;"-W"&amp;TEXT(ISOWEEKNUM($A289),"00"))</f>
        <v/>
      </c>
      <c r="P289" s="4" t="n"/>
      <c r="Q289" s="14">
        <f>IF($A289="","",TEXT($A289,"yyyy-mm"))</f>
        <v/>
      </c>
    </row>
    <row r="290">
      <c r="A290" s="66" t="n"/>
      <c r="B290" s="4" t="n"/>
      <c r="C290" s="11">
        <f>IFERROR(VLOOKUP($B290,Members!$A:$C,2,FALSE),"")</f>
        <v/>
      </c>
      <c r="D290" s="11">
        <f>IFERROR(VLOOKUP($B290,Members!$A:$C,3,FALSE),"")</f>
        <v/>
      </c>
      <c r="E290" s="11">
        <f>IF($F290="","",IFERROR(VLOOKUP($F290,ActionMap!$A:$B,2,FALSE),"INVALID ACTION"))</f>
        <v/>
      </c>
      <c r="F290" s="4" t="n"/>
      <c r="G290" s="11">
        <f>IFERROR(VLOOKUP($E290,ActionsCatalog!$A:$B,2,FALSE),"")</f>
        <v/>
      </c>
      <c r="H290" s="4" t="n"/>
      <c r="I290" s="4">
        <f>IFERROR(VLOOKUP($E290,ActionsCatalog!$A:$D,3,FALSE),0)</f>
        <v/>
      </c>
      <c r="J290" s="4">
        <f>IFERROR(VLOOKUP($E290,ActionsCatalog!$A:$D,4,FALSE),0)</f>
        <v/>
      </c>
      <c r="K290" s="4">
        <f>IF($M290&lt;&gt;"Yes",0,IF($H290="",0,$H290*$I290))</f>
        <v/>
      </c>
      <c r="L290" s="4">
        <f>IF($M290&lt;&gt;"Yes",0,IF($H290="",0,$H290*$J290))</f>
        <v/>
      </c>
      <c r="M290" s="4" t="n"/>
      <c r="N290" s="4" t="n"/>
      <c r="O290" s="4">
        <f>IF($A290="","",TEXT($A290,"yyyy")&amp;"-W"&amp;TEXT(ISOWEEKNUM($A290),"00"))</f>
        <v/>
      </c>
      <c r="P290" s="4" t="n"/>
      <c r="Q290" s="14">
        <f>IF($A290="","",TEXT($A290,"yyyy-mm"))</f>
        <v/>
      </c>
    </row>
    <row r="291">
      <c r="A291" s="66" t="n"/>
      <c r="B291" s="4" t="n"/>
      <c r="C291" s="11">
        <f>IFERROR(VLOOKUP($B291,Members!$A:$C,2,FALSE),"")</f>
        <v/>
      </c>
      <c r="D291" s="11">
        <f>IFERROR(VLOOKUP($B291,Members!$A:$C,3,FALSE),"")</f>
        <v/>
      </c>
      <c r="E291" s="11">
        <f>IF($F291="","",IFERROR(VLOOKUP($F291,ActionMap!$A:$B,2,FALSE),"INVALID ACTION"))</f>
        <v/>
      </c>
      <c r="F291" s="4" t="n"/>
      <c r="G291" s="11">
        <f>IFERROR(VLOOKUP($E291,ActionsCatalog!$A:$B,2,FALSE),"")</f>
        <v/>
      </c>
      <c r="H291" s="4" t="n"/>
      <c r="I291" s="4">
        <f>IFERROR(VLOOKUP($E291,ActionsCatalog!$A:$D,3,FALSE),0)</f>
        <v/>
      </c>
      <c r="J291" s="4">
        <f>IFERROR(VLOOKUP($E291,ActionsCatalog!$A:$D,4,FALSE),0)</f>
        <v/>
      </c>
      <c r="K291" s="4">
        <f>IF($M291&lt;&gt;"Yes",0,IF($H291="",0,$H291*$I291))</f>
        <v/>
      </c>
      <c r="L291" s="4">
        <f>IF($M291&lt;&gt;"Yes",0,IF($H291="",0,$H291*$J291))</f>
        <v/>
      </c>
      <c r="M291" s="4" t="n"/>
      <c r="N291" s="4" t="n"/>
      <c r="O291" s="4">
        <f>IF($A291="","",TEXT($A291,"yyyy")&amp;"-W"&amp;TEXT(ISOWEEKNUM($A291),"00"))</f>
        <v/>
      </c>
      <c r="P291" s="4" t="n"/>
      <c r="Q291" s="14">
        <f>IF($A291="","",TEXT($A291,"yyyy-mm"))</f>
        <v/>
      </c>
    </row>
    <row r="292">
      <c r="A292" s="66" t="n"/>
      <c r="B292" s="4" t="n"/>
      <c r="C292" s="11">
        <f>IFERROR(VLOOKUP($B292,Members!$A:$C,2,FALSE),"")</f>
        <v/>
      </c>
      <c r="D292" s="11">
        <f>IFERROR(VLOOKUP($B292,Members!$A:$C,3,FALSE),"")</f>
        <v/>
      </c>
      <c r="E292" s="11">
        <f>IF($F292="","",IFERROR(VLOOKUP($F292,ActionMap!$A:$B,2,FALSE),"INVALID ACTION"))</f>
        <v/>
      </c>
      <c r="F292" s="4" t="n"/>
      <c r="G292" s="11">
        <f>IFERROR(VLOOKUP($E292,ActionsCatalog!$A:$B,2,FALSE),"")</f>
        <v/>
      </c>
      <c r="H292" s="4" t="n"/>
      <c r="I292" s="4">
        <f>IFERROR(VLOOKUP($E292,ActionsCatalog!$A:$D,3,FALSE),0)</f>
        <v/>
      </c>
      <c r="J292" s="4">
        <f>IFERROR(VLOOKUP($E292,ActionsCatalog!$A:$D,4,FALSE),0)</f>
        <v/>
      </c>
      <c r="K292" s="4">
        <f>IF($M292&lt;&gt;"Yes",0,IF($H292="",0,$H292*$I292))</f>
        <v/>
      </c>
      <c r="L292" s="4">
        <f>IF($M292&lt;&gt;"Yes",0,IF($H292="",0,$H292*$J292))</f>
        <v/>
      </c>
      <c r="M292" s="4" t="n"/>
      <c r="N292" s="4" t="n"/>
      <c r="O292" s="4">
        <f>IF($A292="","",TEXT($A292,"yyyy")&amp;"-W"&amp;TEXT(ISOWEEKNUM($A292),"00"))</f>
        <v/>
      </c>
      <c r="P292" s="4" t="n"/>
      <c r="Q292" s="14">
        <f>IF($A292="","",TEXT($A292,"yyyy-mm"))</f>
        <v/>
      </c>
    </row>
    <row r="293">
      <c r="A293" s="66" t="n"/>
      <c r="B293" s="4" t="n"/>
      <c r="C293" s="11">
        <f>IFERROR(VLOOKUP($B293,Members!$A:$C,2,FALSE),"")</f>
        <v/>
      </c>
      <c r="D293" s="11">
        <f>IFERROR(VLOOKUP($B293,Members!$A:$C,3,FALSE),"")</f>
        <v/>
      </c>
      <c r="E293" s="11">
        <f>IF($F293="","",IFERROR(VLOOKUP($F293,ActionMap!$A:$B,2,FALSE),"INVALID ACTION"))</f>
        <v/>
      </c>
      <c r="F293" s="4" t="n"/>
      <c r="G293" s="11">
        <f>IFERROR(VLOOKUP($E293,ActionsCatalog!$A:$B,2,FALSE),"")</f>
        <v/>
      </c>
      <c r="H293" s="4" t="n"/>
      <c r="I293" s="4">
        <f>IFERROR(VLOOKUP($E293,ActionsCatalog!$A:$D,3,FALSE),0)</f>
        <v/>
      </c>
      <c r="J293" s="4">
        <f>IFERROR(VLOOKUP($E293,ActionsCatalog!$A:$D,4,FALSE),0)</f>
        <v/>
      </c>
      <c r="K293" s="4">
        <f>IF($M293&lt;&gt;"Yes",0,IF($H293="",0,$H293*$I293))</f>
        <v/>
      </c>
      <c r="L293" s="4">
        <f>IF($M293&lt;&gt;"Yes",0,IF($H293="",0,$H293*$J293))</f>
        <v/>
      </c>
      <c r="M293" s="4" t="n"/>
      <c r="N293" s="4" t="n"/>
      <c r="O293" s="4">
        <f>IF($A293="","",TEXT($A293,"yyyy")&amp;"-W"&amp;TEXT(ISOWEEKNUM($A293),"00"))</f>
        <v/>
      </c>
      <c r="P293" s="4" t="n"/>
      <c r="Q293" s="14">
        <f>IF($A293="","",TEXT($A293,"yyyy-mm"))</f>
        <v/>
      </c>
    </row>
    <row r="294">
      <c r="A294" s="66" t="n"/>
      <c r="B294" s="4" t="n"/>
      <c r="C294" s="11">
        <f>IFERROR(VLOOKUP($B294,Members!$A:$C,2,FALSE),"")</f>
        <v/>
      </c>
      <c r="D294" s="11">
        <f>IFERROR(VLOOKUP($B294,Members!$A:$C,3,FALSE),"")</f>
        <v/>
      </c>
      <c r="E294" s="11">
        <f>IF($F294="","",IFERROR(VLOOKUP($F294,ActionMap!$A:$B,2,FALSE),"INVALID ACTION"))</f>
        <v/>
      </c>
      <c r="F294" s="4" t="n"/>
      <c r="G294" s="11">
        <f>IFERROR(VLOOKUP($E294,ActionsCatalog!$A:$B,2,FALSE),"")</f>
        <v/>
      </c>
      <c r="H294" s="4" t="n"/>
      <c r="I294" s="4">
        <f>IFERROR(VLOOKUP($E294,ActionsCatalog!$A:$D,3,FALSE),0)</f>
        <v/>
      </c>
      <c r="J294" s="4">
        <f>IFERROR(VLOOKUP($E294,ActionsCatalog!$A:$D,4,FALSE),0)</f>
        <v/>
      </c>
      <c r="K294" s="4">
        <f>IF($M294&lt;&gt;"Yes",0,IF($H294="",0,$H294*$I294))</f>
        <v/>
      </c>
      <c r="L294" s="4">
        <f>IF($M294&lt;&gt;"Yes",0,IF($H294="",0,$H294*$J294))</f>
        <v/>
      </c>
      <c r="M294" s="4" t="n"/>
      <c r="N294" s="4" t="n"/>
      <c r="O294" s="4">
        <f>IF($A294="","",TEXT($A294,"yyyy")&amp;"-W"&amp;TEXT(ISOWEEKNUM($A294),"00"))</f>
        <v/>
      </c>
      <c r="P294" s="4" t="n"/>
      <c r="Q294" s="14">
        <f>IF($A294="","",TEXT($A294,"yyyy-mm"))</f>
        <v/>
      </c>
    </row>
    <row r="295">
      <c r="A295" s="66" t="n"/>
      <c r="B295" s="4" t="n"/>
      <c r="C295" s="11">
        <f>IFERROR(VLOOKUP($B295,Members!$A:$C,2,FALSE),"")</f>
        <v/>
      </c>
      <c r="D295" s="11">
        <f>IFERROR(VLOOKUP($B295,Members!$A:$C,3,FALSE),"")</f>
        <v/>
      </c>
      <c r="E295" s="11">
        <f>IF($F295="","",IFERROR(VLOOKUP($F295,ActionMap!$A:$B,2,FALSE),"INVALID ACTION"))</f>
        <v/>
      </c>
      <c r="F295" s="4" t="n"/>
      <c r="G295" s="11">
        <f>IFERROR(VLOOKUP($E295,ActionsCatalog!$A:$B,2,FALSE),"")</f>
        <v/>
      </c>
      <c r="H295" s="4" t="n"/>
      <c r="I295" s="4">
        <f>IFERROR(VLOOKUP($E295,ActionsCatalog!$A:$D,3,FALSE),0)</f>
        <v/>
      </c>
      <c r="J295" s="4">
        <f>IFERROR(VLOOKUP($E295,ActionsCatalog!$A:$D,4,FALSE),0)</f>
        <v/>
      </c>
      <c r="K295" s="4">
        <f>IF($M295&lt;&gt;"Yes",0,IF($H295="",0,$H295*$I295))</f>
        <v/>
      </c>
      <c r="L295" s="4">
        <f>IF($M295&lt;&gt;"Yes",0,IF($H295="",0,$H295*$J295))</f>
        <v/>
      </c>
      <c r="M295" s="4" t="n"/>
      <c r="N295" s="4" t="n"/>
      <c r="O295" s="4">
        <f>IF($A295="","",TEXT($A295,"yyyy")&amp;"-W"&amp;TEXT(ISOWEEKNUM($A295),"00"))</f>
        <v/>
      </c>
      <c r="P295" s="4" t="n"/>
      <c r="Q295" s="14">
        <f>IF($A295="","",TEXT($A295,"yyyy-mm"))</f>
        <v/>
      </c>
    </row>
    <row r="296">
      <c r="A296" s="66" t="n"/>
      <c r="B296" s="4" t="n"/>
      <c r="C296" s="11">
        <f>IFERROR(VLOOKUP($B296,Members!$A:$C,2,FALSE),"")</f>
        <v/>
      </c>
      <c r="D296" s="11">
        <f>IFERROR(VLOOKUP($B296,Members!$A:$C,3,FALSE),"")</f>
        <v/>
      </c>
      <c r="E296" s="11">
        <f>IF($F296="","",IFERROR(VLOOKUP($F296,ActionMap!$A:$B,2,FALSE),"INVALID ACTION"))</f>
        <v/>
      </c>
      <c r="F296" s="4" t="n"/>
      <c r="G296" s="11">
        <f>IFERROR(VLOOKUP($E296,ActionsCatalog!$A:$B,2,FALSE),"")</f>
        <v/>
      </c>
      <c r="H296" s="4" t="n"/>
      <c r="I296" s="4">
        <f>IFERROR(VLOOKUP($E296,ActionsCatalog!$A:$D,3,FALSE),0)</f>
        <v/>
      </c>
      <c r="J296" s="4">
        <f>IFERROR(VLOOKUP($E296,ActionsCatalog!$A:$D,4,FALSE),0)</f>
        <v/>
      </c>
      <c r="K296" s="4">
        <f>IF($M296&lt;&gt;"Yes",0,IF($H296="",0,$H296*$I296))</f>
        <v/>
      </c>
      <c r="L296" s="4">
        <f>IF($M296&lt;&gt;"Yes",0,IF($H296="",0,$H296*$J296))</f>
        <v/>
      </c>
      <c r="M296" s="4" t="n"/>
      <c r="N296" s="4" t="n"/>
      <c r="O296" s="4">
        <f>IF($A296="","",TEXT($A296,"yyyy")&amp;"-W"&amp;TEXT(ISOWEEKNUM($A296),"00"))</f>
        <v/>
      </c>
      <c r="P296" s="4" t="n"/>
      <c r="Q296" s="14">
        <f>IF($A296="","",TEXT($A296,"yyyy-mm"))</f>
        <v/>
      </c>
    </row>
    <row r="297">
      <c r="A297" s="66" t="n"/>
      <c r="B297" s="4" t="n"/>
      <c r="C297" s="11">
        <f>IFERROR(VLOOKUP($B297,Members!$A:$C,2,FALSE),"")</f>
        <v/>
      </c>
      <c r="D297" s="11">
        <f>IFERROR(VLOOKUP($B297,Members!$A:$C,3,FALSE),"")</f>
        <v/>
      </c>
      <c r="E297" s="11">
        <f>IF($F297="","",IFERROR(VLOOKUP($F297,ActionMap!$A:$B,2,FALSE),"INVALID ACTION"))</f>
        <v/>
      </c>
      <c r="F297" s="4" t="n"/>
      <c r="G297" s="11">
        <f>IFERROR(VLOOKUP($E297,ActionsCatalog!$A:$B,2,FALSE),"")</f>
        <v/>
      </c>
      <c r="H297" s="4" t="n"/>
      <c r="I297" s="4">
        <f>IFERROR(VLOOKUP($E297,ActionsCatalog!$A:$D,3,FALSE),0)</f>
        <v/>
      </c>
      <c r="J297" s="4">
        <f>IFERROR(VLOOKUP($E297,ActionsCatalog!$A:$D,4,FALSE),0)</f>
        <v/>
      </c>
      <c r="K297" s="4">
        <f>IF($M297&lt;&gt;"Yes",0,IF($H297="",0,$H297*$I297))</f>
        <v/>
      </c>
      <c r="L297" s="4">
        <f>IF($M297&lt;&gt;"Yes",0,IF($H297="",0,$H297*$J297))</f>
        <v/>
      </c>
      <c r="M297" s="4" t="n"/>
      <c r="N297" s="4" t="n"/>
      <c r="O297" s="4">
        <f>IF($A297="","",TEXT($A297,"yyyy")&amp;"-W"&amp;TEXT(ISOWEEKNUM($A297),"00"))</f>
        <v/>
      </c>
      <c r="P297" s="4" t="n"/>
      <c r="Q297" s="14">
        <f>IF($A297="","",TEXT($A297,"yyyy-mm"))</f>
        <v/>
      </c>
    </row>
    <row r="298">
      <c r="A298" s="66" t="n"/>
      <c r="B298" s="4" t="n"/>
      <c r="C298" s="11">
        <f>IFERROR(VLOOKUP($B298,Members!$A:$C,2,FALSE),"")</f>
        <v/>
      </c>
      <c r="D298" s="11">
        <f>IFERROR(VLOOKUP($B298,Members!$A:$C,3,FALSE),"")</f>
        <v/>
      </c>
      <c r="E298" s="11">
        <f>IF($F298="","",IFERROR(VLOOKUP($F298,ActionMap!$A:$B,2,FALSE),"INVALID ACTION"))</f>
        <v/>
      </c>
      <c r="F298" s="4" t="n"/>
      <c r="G298" s="11">
        <f>IFERROR(VLOOKUP($E298,ActionsCatalog!$A:$B,2,FALSE),"")</f>
        <v/>
      </c>
      <c r="H298" s="4" t="n"/>
      <c r="I298" s="4">
        <f>IFERROR(VLOOKUP($E298,ActionsCatalog!$A:$D,3,FALSE),0)</f>
        <v/>
      </c>
      <c r="J298" s="4">
        <f>IFERROR(VLOOKUP($E298,ActionsCatalog!$A:$D,4,FALSE),0)</f>
        <v/>
      </c>
      <c r="K298" s="4">
        <f>IF($M298&lt;&gt;"Yes",0,IF($H298="",0,$H298*$I298))</f>
        <v/>
      </c>
      <c r="L298" s="4">
        <f>IF($M298&lt;&gt;"Yes",0,IF($H298="",0,$H298*$J298))</f>
        <v/>
      </c>
      <c r="M298" s="4" t="n"/>
      <c r="N298" s="4" t="n"/>
      <c r="O298" s="4">
        <f>IF($A298="","",TEXT($A298,"yyyy")&amp;"-W"&amp;TEXT(ISOWEEKNUM($A298),"00"))</f>
        <v/>
      </c>
      <c r="P298" s="4" t="n"/>
      <c r="Q298" s="14">
        <f>IF($A298="","",TEXT($A298,"yyyy-mm"))</f>
        <v/>
      </c>
    </row>
    <row r="299">
      <c r="A299" s="66" t="n"/>
      <c r="B299" s="4" t="n"/>
      <c r="C299" s="11">
        <f>IFERROR(VLOOKUP($B299,Members!$A:$C,2,FALSE),"")</f>
        <v/>
      </c>
      <c r="D299" s="11">
        <f>IFERROR(VLOOKUP($B299,Members!$A:$C,3,FALSE),"")</f>
        <v/>
      </c>
      <c r="E299" s="11">
        <f>IF($F299="","",IFERROR(VLOOKUP($F299,ActionMap!$A:$B,2,FALSE),"INVALID ACTION"))</f>
        <v/>
      </c>
      <c r="F299" s="4" t="n"/>
      <c r="G299" s="11">
        <f>IFERROR(VLOOKUP($E299,ActionsCatalog!$A:$B,2,FALSE),"")</f>
        <v/>
      </c>
      <c r="H299" s="4" t="n"/>
      <c r="I299" s="4">
        <f>IFERROR(VLOOKUP($E299,ActionsCatalog!$A:$D,3,FALSE),0)</f>
        <v/>
      </c>
      <c r="J299" s="4">
        <f>IFERROR(VLOOKUP($E299,ActionsCatalog!$A:$D,4,FALSE),0)</f>
        <v/>
      </c>
      <c r="K299" s="4">
        <f>IF($M299&lt;&gt;"Yes",0,IF($H299="",0,$H299*$I299))</f>
        <v/>
      </c>
      <c r="L299" s="4">
        <f>IF($M299&lt;&gt;"Yes",0,IF($H299="",0,$H299*$J299))</f>
        <v/>
      </c>
      <c r="M299" s="4" t="n"/>
      <c r="N299" s="4" t="n"/>
      <c r="O299" s="4">
        <f>IF($A299="","",TEXT($A299,"yyyy")&amp;"-W"&amp;TEXT(ISOWEEKNUM($A299),"00"))</f>
        <v/>
      </c>
      <c r="P299" s="4" t="n"/>
      <c r="Q299" s="14">
        <f>IF($A299="","",TEXT($A299,"yyyy-mm"))</f>
        <v/>
      </c>
    </row>
    <row r="300">
      <c r="A300" s="66" t="n"/>
      <c r="B300" s="4" t="n"/>
      <c r="C300" s="11">
        <f>IFERROR(VLOOKUP($B300,Members!$A:$C,2,FALSE),"")</f>
        <v/>
      </c>
      <c r="D300" s="11">
        <f>IFERROR(VLOOKUP($B300,Members!$A:$C,3,FALSE),"")</f>
        <v/>
      </c>
      <c r="E300" s="11">
        <f>IF($F300="","",IFERROR(VLOOKUP($F300,ActionMap!$A:$B,2,FALSE),"INVALID ACTION"))</f>
        <v/>
      </c>
      <c r="F300" s="4" t="n"/>
      <c r="G300" s="11">
        <f>IFERROR(VLOOKUP($E300,ActionsCatalog!$A:$B,2,FALSE),"")</f>
        <v/>
      </c>
      <c r="H300" s="4" t="n"/>
      <c r="I300" s="4">
        <f>IFERROR(VLOOKUP($E300,ActionsCatalog!$A:$D,3,FALSE),0)</f>
        <v/>
      </c>
      <c r="J300" s="4">
        <f>IFERROR(VLOOKUP($E300,ActionsCatalog!$A:$D,4,FALSE),0)</f>
        <v/>
      </c>
      <c r="K300" s="4">
        <f>IF($M300&lt;&gt;"Yes",0,IF($H300="",0,$H300*$I300))</f>
        <v/>
      </c>
      <c r="L300" s="4">
        <f>IF($M300&lt;&gt;"Yes",0,IF($H300="",0,$H300*$J300))</f>
        <v/>
      </c>
      <c r="M300" s="4" t="n"/>
      <c r="N300" s="4" t="n"/>
      <c r="O300" s="4">
        <f>IF($A300="","",TEXT($A300,"yyyy")&amp;"-W"&amp;TEXT(ISOWEEKNUM($A300),"00"))</f>
        <v/>
      </c>
      <c r="P300" s="4" t="n"/>
      <c r="Q300" s="14">
        <f>IF($A300="","",TEXT($A300,"yyyy-mm"))</f>
        <v/>
      </c>
    </row>
    <row r="301">
      <c r="A301" s="66" t="n"/>
      <c r="B301" s="4" t="n"/>
      <c r="C301" s="11">
        <f>IFERROR(VLOOKUP($B301,Members!$A:$C,2,FALSE),"")</f>
        <v/>
      </c>
      <c r="D301" s="11">
        <f>IFERROR(VLOOKUP($B301,Members!$A:$C,3,FALSE),"")</f>
        <v/>
      </c>
      <c r="E301" s="11">
        <f>IF($F301="","",IFERROR(VLOOKUP($F301,ActionMap!$A:$B,2,FALSE),"INVALID ACTION"))</f>
        <v/>
      </c>
      <c r="F301" s="4" t="n"/>
      <c r="G301" s="11">
        <f>IFERROR(VLOOKUP($E301,ActionsCatalog!$A:$B,2,FALSE),"")</f>
        <v/>
      </c>
      <c r="H301" s="4" t="n"/>
      <c r="I301" s="4">
        <f>IFERROR(VLOOKUP($E301,ActionsCatalog!$A:$D,3,FALSE),0)</f>
        <v/>
      </c>
      <c r="J301" s="4">
        <f>IFERROR(VLOOKUP($E301,ActionsCatalog!$A:$D,4,FALSE),0)</f>
        <v/>
      </c>
      <c r="K301" s="4">
        <f>IF($M301&lt;&gt;"Yes",0,IF($H301="",0,$H301*$I301))</f>
        <v/>
      </c>
      <c r="L301" s="4">
        <f>IF($M301&lt;&gt;"Yes",0,IF($H301="",0,$H301*$J301))</f>
        <v/>
      </c>
      <c r="M301" s="4" t="n"/>
      <c r="N301" s="4" t="n"/>
      <c r="O301" s="4">
        <f>IF($A301="","",TEXT($A301,"yyyy")&amp;"-W"&amp;TEXT(ISOWEEKNUM($A301),"00"))</f>
        <v/>
      </c>
      <c r="P301" s="4" t="n"/>
      <c r="Q301" s="14">
        <f>IF($A301="","",TEXT($A301,"yyyy-mm"))</f>
        <v/>
      </c>
    </row>
    <row r="302">
      <c r="A302" s="66" t="n"/>
      <c r="B302" s="4" t="n"/>
      <c r="C302" s="11">
        <f>IFERROR(VLOOKUP($B302,Members!$A:$C,2,FALSE),"")</f>
        <v/>
      </c>
      <c r="D302" s="11">
        <f>IFERROR(VLOOKUP($B302,Members!$A:$C,3,FALSE),"")</f>
        <v/>
      </c>
      <c r="E302" s="11">
        <f>IF($F302="","",IFERROR(VLOOKUP($F302,ActionMap!$A:$B,2,FALSE),"INVALID ACTION"))</f>
        <v/>
      </c>
      <c r="F302" s="4" t="n"/>
      <c r="G302" s="11">
        <f>IFERROR(VLOOKUP($E302,ActionsCatalog!$A:$B,2,FALSE),"")</f>
        <v/>
      </c>
      <c r="H302" s="4" t="n"/>
      <c r="I302" s="4">
        <f>IFERROR(VLOOKUP($E302,ActionsCatalog!$A:$D,3,FALSE),0)</f>
        <v/>
      </c>
      <c r="J302" s="4">
        <f>IFERROR(VLOOKUP($E302,ActionsCatalog!$A:$D,4,FALSE),0)</f>
        <v/>
      </c>
      <c r="K302" s="4">
        <f>IF($M302&lt;&gt;"Yes",0,IF($H302="",0,$H302*$I302))</f>
        <v/>
      </c>
      <c r="L302" s="4">
        <f>IF($M302&lt;&gt;"Yes",0,IF($H302="",0,$H302*$J302))</f>
        <v/>
      </c>
      <c r="M302" s="4" t="n"/>
      <c r="N302" s="4" t="n"/>
      <c r="O302" s="4">
        <f>IF($A302="","",TEXT($A302,"yyyy")&amp;"-W"&amp;TEXT(ISOWEEKNUM($A302),"00"))</f>
        <v/>
      </c>
      <c r="P302" s="4" t="n"/>
      <c r="Q302" s="14">
        <f>IF($A302="","",TEXT($A302,"yyyy-mm"))</f>
        <v/>
      </c>
    </row>
    <row r="303">
      <c r="A303" s="66" t="n"/>
      <c r="B303" s="4" t="n"/>
      <c r="C303" s="11">
        <f>IFERROR(VLOOKUP($B303,Members!$A:$C,2,FALSE),"")</f>
        <v/>
      </c>
      <c r="D303" s="11">
        <f>IFERROR(VLOOKUP($B303,Members!$A:$C,3,FALSE),"")</f>
        <v/>
      </c>
      <c r="E303" s="11">
        <f>IF($F303="","",IFERROR(VLOOKUP($F303,ActionMap!$A:$B,2,FALSE),"INVALID ACTION"))</f>
        <v/>
      </c>
      <c r="F303" s="4" t="n"/>
      <c r="G303" s="11">
        <f>IFERROR(VLOOKUP($E303,ActionsCatalog!$A:$B,2,FALSE),"")</f>
        <v/>
      </c>
      <c r="H303" s="4" t="n"/>
      <c r="I303" s="4">
        <f>IFERROR(VLOOKUP($E303,ActionsCatalog!$A:$D,3,FALSE),0)</f>
        <v/>
      </c>
      <c r="J303" s="4">
        <f>IFERROR(VLOOKUP($E303,ActionsCatalog!$A:$D,4,FALSE),0)</f>
        <v/>
      </c>
      <c r="K303" s="4">
        <f>IF($M303&lt;&gt;"Yes",0,IF($H303="",0,$H303*$I303))</f>
        <v/>
      </c>
      <c r="L303" s="4">
        <f>IF($M303&lt;&gt;"Yes",0,IF($H303="",0,$H303*$J303))</f>
        <v/>
      </c>
      <c r="M303" s="4" t="n"/>
      <c r="N303" s="4" t="n"/>
      <c r="O303" s="4">
        <f>IF($A303="","",TEXT($A303,"yyyy")&amp;"-W"&amp;TEXT(ISOWEEKNUM($A303),"00"))</f>
        <v/>
      </c>
      <c r="P303" s="4" t="n"/>
      <c r="Q303" s="14">
        <f>IF($A303="","",TEXT($A303,"yyyy-mm"))</f>
        <v/>
      </c>
    </row>
    <row r="304">
      <c r="A304" s="66" t="n"/>
      <c r="B304" s="4" t="n"/>
      <c r="C304" s="11">
        <f>IFERROR(VLOOKUP($B304,Members!$A:$C,2,FALSE),"")</f>
        <v/>
      </c>
      <c r="D304" s="11">
        <f>IFERROR(VLOOKUP($B304,Members!$A:$C,3,FALSE),"")</f>
        <v/>
      </c>
      <c r="E304" s="11">
        <f>IF($F304="","",IFERROR(VLOOKUP($F304,ActionMap!$A:$B,2,FALSE),"INVALID ACTION"))</f>
        <v/>
      </c>
      <c r="F304" s="4" t="n"/>
      <c r="G304" s="11">
        <f>IFERROR(VLOOKUP($E304,ActionsCatalog!$A:$B,2,FALSE),"")</f>
        <v/>
      </c>
      <c r="H304" s="4" t="n"/>
      <c r="I304" s="4">
        <f>IFERROR(VLOOKUP($E304,ActionsCatalog!$A:$D,3,FALSE),0)</f>
        <v/>
      </c>
      <c r="J304" s="4">
        <f>IFERROR(VLOOKUP($E304,ActionsCatalog!$A:$D,4,FALSE),0)</f>
        <v/>
      </c>
      <c r="K304" s="4">
        <f>IF($M304&lt;&gt;"Yes",0,IF($H304="",0,$H304*$I304))</f>
        <v/>
      </c>
      <c r="L304" s="4">
        <f>IF($M304&lt;&gt;"Yes",0,IF($H304="",0,$H304*$J304))</f>
        <v/>
      </c>
      <c r="M304" s="4" t="n"/>
      <c r="N304" s="4" t="n"/>
      <c r="O304" s="4">
        <f>IF($A304="","",TEXT($A304,"yyyy")&amp;"-W"&amp;TEXT(ISOWEEKNUM($A304),"00"))</f>
        <v/>
      </c>
      <c r="P304" s="4" t="n"/>
      <c r="Q304" s="14">
        <f>IF($A304="","",TEXT($A304,"yyyy-mm"))</f>
        <v/>
      </c>
    </row>
    <row r="305">
      <c r="A305" s="66" t="n"/>
      <c r="B305" s="4" t="n"/>
      <c r="C305" s="11">
        <f>IFERROR(VLOOKUP($B305,Members!$A:$C,2,FALSE),"")</f>
        <v/>
      </c>
      <c r="D305" s="11">
        <f>IFERROR(VLOOKUP($B305,Members!$A:$C,3,FALSE),"")</f>
        <v/>
      </c>
      <c r="E305" s="11">
        <f>IF($F305="","",IFERROR(VLOOKUP($F305,ActionMap!$A:$B,2,FALSE),"INVALID ACTION"))</f>
        <v/>
      </c>
      <c r="F305" s="4" t="n"/>
      <c r="G305" s="11">
        <f>IFERROR(VLOOKUP($E305,ActionsCatalog!$A:$B,2,FALSE),"")</f>
        <v/>
      </c>
      <c r="H305" s="4" t="n"/>
      <c r="I305" s="4">
        <f>IFERROR(VLOOKUP($E305,ActionsCatalog!$A:$D,3,FALSE),0)</f>
        <v/>
      </c>
      <c r="J305" s="4">
        <f>IFERROR(VLOOKUP($E305,ActionsCatalog!$A:$D,4,FALSE),0)</f>
        <v/>
      </c>
      <c r="K305" s="4">
        <f>IF($M305&lt;&gt;"Yes",0,IF($H305="",0,$H305*$I305))</f>
        <v/>
      </c>
      <c r="L305" s="4">
        <f>IF($M305&lt;&gt;"Yes",0,IF($H305="",0,$H305*$J305))</f>
        <v/>
      </c>
      <c r="M305" s="4" t="n"/>
      <c r="N305" s="4" t="n"/>
      <c r="O305" s="4">
        <f>IF($A305="","",TEXT($A305,"yyyy")&amp;"-W"&amp;TEXT(ISOWEEKNUM($A305),"00"))</f>
        <v/>
      </c>
      <c r="P305" s="4" t="n"/>
      <c r="Q305" s="14">
        <f>IF($A305="","",TEXT($A305,"yyyy-mm"))</f>
        <v/>
      </c>
    </row>
    <row r="306">
      <c r="A306" s="66" t="n"/>
      <c r="B306" s="4" t="n"/>
      <c r="C306" s="11">
        <f>IFERROR(VLOOKUP($B306,Members!$A:$C,2,FALSE),"")</f>
        <v/>
      </c>
      <c r="D306" s="11">
        <f>IFERROR(VLOOKUP($B306,Members!$A:$C,3,FALSE),"")</f>
        <v/>
      </c>
      <c r="E306" s="11">
        <f>IF($F306="","",IFERROR(VLOOKUP($F306,ActionMap!$A:$B,2,FALSE),"INVALID ACTION"))</f>
        <v/>
      </c>
      <c r="F306" s="4" t="n"/>
      <c r="G306" s="11">
        <f>IFERROR(VLOOKUP($E306,ActionsCatalog!$A:$B,2,FALSE),"")</f>
        <v/>
      </c>
      <c r="H306" s="4" t="n"/>
      <c r="I306" s="4">
        <f>IFERROR(VLOOKUP($E306,ActionsCatalog!$A:$D,3,FALSE),0)</f>
        <v/>
      </c>
      <c r="J306" s="4">
        <f>IFERROR(VLOOKUP($E306,ActionsCatalog!$A:$D,4,FALSE),0)</f>
        <v/>
      </c>
      <c r="K306" s="4">
        <f>IF($M306&lt;&gt;"Yes",0,IF($H306="",0,$H306*$I306))</f>
        <v/>
      </c>
      <c r="L306" s="4">
        <f>IF($M306&lt;&gt;"Yes",0,IF($H306="",0,$H306*$J306))</f>
        <v/>
      </c>
      <c r="M306" s="4" t="n"/>
      <c r="N306" s="4" t="n"/>
      <c r="O306" s="4">
        <f>IF($A306="","",TEXT($A306,"yyyy")&amp;"-W"&amp;TEXT(ISOWEEKNUM($A306),"00"))</f>
        <v/>
      </c>
      <c r="P306" s="4" t="n"/>
      <c r="Q306" s="14">
        <f>IF($A306="","",TEXT($A306,"yyyy-mm"))</f>
        <v/>
      </c>
    </row>
    <row r="307">
      <c r="A307" s="66" t="n"/>
      <c r="B307" s="4" t="n"/>
      <c r="C307" s="11">
        <f>IFERROR(VLOOKUP($B307,Members!$A:$C,2,FALSE),"")</f>
        <v/>
      </c>
      <c r="D307" s="11">
        <f>IFERROR(VLOOKUP($B307,Members!$A:$C,3,FALSE),"")</f>
        <v/>
      </c>
      <c r="E307" s="11">
        <f>IF($F307="","",IFERROR(VLOOKUP($F307,ActionMap!$A:$B,2,FALSE),"INVALID ACTION"))</f>
        <v/>
      </c>
      <c r="F307" s="4" t="n"/>
      <c r="G307" s="11">
        <f>IFERROR(VLOOKUP($E307,ActionsCatalog!$A:$B,2,FALSE),"")</f>
        <v/>
      </c>
      <c r="H307" s="4" t="n"/>
      <c r="I307" s="4">
        <f>IFERROR(VLOOKUP($E307,ActionsCatalog!$A:$D,3,FALSE),0)</f>
        <v/>
      </c>
      <c r="J307" s="4">
        <f>IFERROR(VLOOKUP($E307,ActionsCatalog!$A:$D,4,FALSE),0)</f>
        <v/>
      </c>
      <c r="K307" s="4">
        <f>IF($M307&lt;&gt;"Yes",0,IF($H307="",0,$H307*$I307))</f>
        <v/>
      </c>
      <c r="L307" s="4">
        <f>IF($M307&lt;&gt;"Yes",0,IF($H307="",0,$H307*$J307))</f>
        <v/>
      </c>
      <c r="M307" s="4" t="n"/>
      <c r="N307" s="4" t="n"/>
      <c r="O307" s="4">
        <f>IF($A307="","",TEXT($A307,"yyyy")&amp;"-W"&amp;TEXT(ISOWEEKNUM($A307),"00"))</f>
        <v/>
      </c>
      <c r="P307" s="4" t="n"/>
      <c r="Q307" s="14">
        <f>IF($A307="","",TEXT($A307,"yyyy-mm"))</f>
        <v/>
      </c>
    </row>
    <row r="308">
      <c r="A308" s="66" t="n"/>
      <c r="B308" s="4" t="n"/>
      <c r="C308" s="11">
        <f>IFERROR(VLOOKUP($B308,Members!$A:$C,2,FALSE),"")</f>
        <v/>
      </c>
      <c r="D308" s="11">
        <f>IFERROR(VLOOKUP($B308,Members!$A:$C,3,FALSE),"")</f>
        <v/>
      </c>
      <c r="E308" s="11">
        <f>IF($F308="","",IFERROR(VLOOKUP($F308,ActionMap!$A:$B,2,FALSE),"INVALID ACTION"))</f>
        <v/>
      </c>
      <c r="F308" s="4" t="n"/>
      <c r="G308" s="11">
        <f>IFERROR(VLOOKUP($E308,ActionsCatalog!$A:$B,2,FALSE),"")</f>
        <v/>
      </c>
      <c r="H308" s="4" t="n"/>
      <c r="I308" s="4">
        <f>IFERROR(VLOOKUP($E308,ActionsCatalog!$A:$D,3,FALSE),0)</f>
        <v/>
      </c>
      <c r="J308" s="4">
        <f>IFERROR(VLOOKUP($E308,ActionsCatalog!$A:$D,4,FALSE),0)</f>
        <v/>
      </c>
      <c r="K308" s="4">
        <f>IF($M308&lt;&gt;"Yes",0,IF($H308="",0,$H308*$I308))</f>
        <v/>
      </c>
      <c r="L308" s="4">
        <f>IF($M308&lt;&gt;"Yes",0,IF($H308="",0,$H308*$J308))</f>
        <v/>
      </c>
      <c r="M308" s="4" t="n"/>
      <c r="N308" s="4" t="n"/>
      <c r="O308" s="4">
        <f>IF($A308="","",TEXT($A308,"yyyy")&amp;"-W"&amp;TEXT(ISOWEEKNUM($A308),"00"))</f>
        <v/>
      </c>
      <c r="P308" s="4" t="n"/>
      <c r="Q308" s="14">
        <f>IF($A308="","",TEXT($A308,"yyyy-mm"))</f>
        <v/>
      </c>
    </row>
    <row r="309">
      <c r="A309" s="66" t="n"/>
      <c r="B309" s="4" t="n"/>
      <c r="C309" s="11">
        <f>IFERROR(VLOOKUP($B309,Members!$A:$C,2,FALSE),"")</f>
        <v/>
      </c>
      <c r="D309" s="11">
        <f>IFERROR(VLOOKUP($B309,Members!$A:$C,3,FALSE),"")</f>
        <v/>
      </c>
      <c r="E309" s="11">
        <f>IF($F309="","",IFERROR(VLOOKUP($F309,ActionMap!$A:$B,2,FALSE),"INVALID ACTION"))</f>
        <v/>
      </c>
      <c r="F309" s="4" t="n"/>
      <c r="G309" s="11">
        <f>IFERROR(VLOOKUP($E309,ActionsCatalog!$A:$B,2,FALSE),"")</f>
        <v/>
      </c>
      <c r="H309" s="4" t="n"/>
      <c r="I309" s="4">
        <f>IFERROR(VLOOKUP($E309,ActionsCatalog!$A:$D,3,FALSE),0)</f>
        <v/>
      </c>
      <c r="J309" s="4">
        <f>IFERROR(VLOOKUP($E309,ActionsCatalog!$A:$D,4,FALSE),0)</f>
        <v/>
      </c>
      <c r="K309" s="4">
        <f>IF($M309&lt;&gt;"Yes",0,IF($H309="",0,$H309*$I309))</f>
        <v/>
      </c>
      <c r="L309" s="4">
        <f>IF($M309&lt;&gt;"Yes",0,IF($H309="",0,$H309*$J309))</f>
        <v/>
      </c>
      <c r="M309" s="4" t="n"/>
      <c r="N309" s="4" t="n"/>
      <c r="O309" s="4">
        <f>IF($A309="","",TEXT($A309,"yyyy")&amp;"-W"&amp;TEXT(ISOWEEKNUM($A309),"00"))</f>
        <v/>
      </c>
      <c r="P309" s="4" t="n"/>
      <c r="Q309" s="14">
        <f>IF($A309="","",TEXT($A309,"yyyy-mm"))</f>
        <v/>
      </c>
    </row>
    <row r="310">
      <c r="A310" s="66" t="n"/>
      <c r="B310" s="4" t="n"/>
      <c r="C310" s="11">
        <f>IFERROR(VLOOKUP($B310,Members!$A:$C,2,FALSE),"")</f>
        <v/>
      </c>
      <c r="D310" s="11">
        <f>IFERROR(VLOOKUP($B310,Members!$A:$C,3,FALSE),"")</f>
        <v/>
      </c>
      <c r="E310" s="11">
        <f>IF($F310="","",IFERROR(VLOOKUP($F310,ActionMap!$A:$B,2,FALSE),"INVALID ACTION"))</f>
        <v/>
      </c>
      <c r="F310" s="4" t="n"/>
      <c r="G310" s="11">
        <f>IFERROR(VLOOKUP($E310,ActionsCatalog!$A:$B,2,FALSE),"")</f>
        <v/>
      </c>
      <c r="H310" s="4" t="n"/>
      <c r="I310" s="4">
        <f>IFERROR(VLOOKUP($E310,ActionsCatalog!$A:$D,3,FALSE),0)</f>
        <v/>
      </c>
      <c r="J310" s="4">
        <f>IFERROR(VLOOKUP($E310,ActionsCatalog!$A:$D,4,FALSE),0)</f>
        <v/>
      </c>
      <c r="K310" s="4">
        <f>IF($M310&lt;&gt;"Yes",0,IF($H310="",0,$H310*$I310))</f>
        <v/>
      </c>
      <c r="L310" s="4">
        <f>IF($M310&lt;&gt;"Yes",0,IF($H310="",0,$H310*$J310))</f>
        <v/>
      </c>
      <c r="M310" s="4" t="n"/>
      <c r="N310" s="4" t="n"/>
      <c r="O310" s="4">
        <f>IF($A310="","",TEXT($A310,"yyyy")&amp;"-W"&amp;TEXT(ISOWEEKNUM($A310),"00"))</f>
        <v/>
      </c>
      <c r="P310" s="4" t="n"/>
      <c r="Q310" s="14">
        <f>IF($A310="","",TEXT($A310,"yyyy-mm"))</f>
        <v/>
      </c>
    </row>
    <row r="311">
      <c r="A311" s="66" t="n"/>
      <c r="B311" s="4" t="n"/>
      <c r="C311" s="11">
        <f>IFERROR(VLOOKUP($B311,Members!$A:$C,2,FALSE),"")</f>
        <v/>
      </c>
      <c r="D311" s="11">
        <f>IFERROR(VLOOKUP($B311,Members!$A:$C,3,FALSE),"")</f>
        <v/>
      </c>
      <c r="E311" s="11">
        <f>IF($F311="","",IFERROR(VLOOKUP($F311,ActionMap!$A:$B,2,FALSE),"INVALID ACTION"))</f>
        <v/>
      </c>
      <c r="F311" s="4" t="n"/>
      <c r="G311" s="11">
        <f>IFERROR(VLOOKUP($E311,ActionsCatalog!$A:$B,2,FALSE),"")</f>
        <v/>
      </c>
      <c r="H311" s="4" t="n"/>
      <c r="I311" s="4">
        <f>IFERROR(VLOOKUP($E311,ActionsCatalog!$A:$D,3,FALSE),0)</f>
        <v/>
      </c>
      <c r="J311" s="4">
        <f>IFERROR(VLOOKUP($E311,ActionsCatalog!$A:$D,4,FALSE),0)</f>
        <v/>
      </c>
      <c r="K311" s="4">
        <f>IF($M311&lt;&gt;"Yes",0,IF($H311="",0,$H311*$I311))</f>
        <v/>
      </c>
      <c r="L311" s="4">
        <f>IF($M311&lt;&gt;"Yes",0,IF($H311="",0,$H311*$J311))</f>
        <v/>
      </c>
      <c r="M311" s="4" t="n"/>
      <c r="N311" s="4" t="n"/>
      <c r="O311" s="4">
        <f>IF($A311="","",TEXT($A311,"yyyy")&amp;"-W"&amp;TEXT(ISOWEEKNUM($A311),"00"))</f>
        <v/>
      </c>
      <c r="P311" s="4" t="n"/>
      <c r="Q311" s="14">
        <f>IF($A311="","",TEXT($A311,"yyyy-mm"))</f>
        <v/>
      </c>
    </row>
    <row r="312">
      <c r="A312" s="66" t="n"/>
      <c r="B312" s="4" t="n"/>
      <c r="C312" s="11">
        <f>IFERROR(VLOOKUP($B312,Members!$A:$C,2,FALSE),"")</f>
        <v/>
      </c>
      <c r="D312" s="11">
        <f>IFERROR(VLOOKUP($B312,Members!$A:$C,3,FALSE),"")</f>
        <v/>
      </c>
      <c r="E312" s="11">
        <f>IF($F312="","",IFERROR(VLOOKUP($F312,ActionMap!$A:$B,2,FALSE),"INVALID ACTION"))</f>
        <v/>
      </c>
      <c r="F312" s="4" t="n"/>
      <c r="G312" s="11">
        <f>IFERROR(VLOOKUP($E312,ActionsCatalog!$A:$B,2,FALSE),"")</f>
        <v/>
      </c>
      <c r="H312" s="4" t="n"/>
      <c r="I312" s="4">
        <f>IFERROR(VLOOKUP($E312,ActionsCatalog!$A:$D,3,FALSE),0)</f>
        <v/>
      </c>
      <c r="J312" s="4">
        <f>IFERROR(VLOOKUP($E312,ActionsCatalog!$A:$D,4,FALSE),0)</f>
        <v/>
      </c>
      <c r="K312" s="4">
        <f>IF($M312&lt;&gt;"Yes",0,IF($H312="",0,$H312*$I312))</f>
        <v/>
      </c>
      <c r="L312" s="4">
        <f>IF($M312&lt;&gt;"Yes",0,IF($H312="",0,$H312*$J312))</f>
        <v/>
      </c>
      <c r="M312" s="4" t="n"/>
      <c r="N312" s="4" t="n"/>
      <c r="O312" s="4">
        <f>IF($A312="","",TEXT($A312,"yyyy")&amp;"-W"&amp;TEXT(ISOWEEKNUM($A312),"00"))</f>
        <v/>
      </c>
      <c r="P312" s="4" t="n"/>
      <c r="Q312" s="14">
        <f>IF($A312="","",TEXT($A312,"yyyy-mm"))</f>
        <v/>
      </c>
    </row>
    <row r="313">
      <c r="A313" s="66" t="n"/>
      <c r="B313" s="4" t="n"/>
      <c r="C313" s="11">
        <f>IFERROR(VLOOKUP($B313,Members!$A:$C,2,FALSE),"")</f>
        <v/>
      </c>
      <c r="D313" s="11">
        <f>IFERROR(VLOOKUP($B313,Members!$A:$C,3,FALSE),"")</f>
        <v/>
      </c>
      <c r="E313" s="11">
        <f>IF($F313="","",IFERROR(VLOOKUP($F313,ActionMap!$A:$B,2,FALSE),"INVALID ACTION"))</f>
        <v/>
      </c>
      <c r="F313" s="4" t="n"/>
      <c r="G313" s="11">
        <f>IFERROR(VLOOKUP($E313,ActionsCatalog!$A:$B,2,FALSE),"")</f>
        <v/>
      </c>
      <c r="H313" s="4" t="n"/>
      <c r="I313" s="4">
        <f>IFERROR(VLOOKUP($E313,ActionsCatalog!$A:$D,3,FALSE),0)</f>
        <v/>
      </c>
      <c r="J313" s="4">
        <f>IFERROR(VLOOKUP($E313,ActionsCatalog!$A:$D,4,FALSE),0)</f>
        <v/>
      </c>
      <c r="K313" s="4">
        <f>IF($M313&lt;&gt;"Yes",0,IF($H313="",0,$H313*$I313))</f>
        <v/>
      </c>
      <c r="L313" s="4">
        <f>IF($M313&lt;&gt;"Yes",0,IF($H313="",0,$H313*$J313))</f>
        <v/>
      </c>
      <c r="M313" s="4" t="n"/>
      <c r="N313" s="4" t="n"/>
      <c r="O313" s="4">
        <f>IF($A313="","",TEXT($A313,"yyyy")&amp;"-W"&amp;TEXT(ISOWEEKNUM($A313),"00"))</f>
        <v/>
      </c>
      <c r="P313" s="4" t="n"/>
      <c r="Q313" s="14">
        <f>IF($A313="","",TEXT($A313,"yyyy-mm"))</f>
        <v/>
      </c>
    </row>
    <row r="314">
      <c r="A314" s="66" t="n"/>
      <c r="B314" s="4" t="n"/>
      <c r="C314" s="11">
        <f>IFERROR(VLOOKUP($B314,Members!$A:$C,2,FALSE),"")</f>
        <v/>
      </c>
      <c r="D314" s="11">
        <f>IFERROR(VLOOKUP($B314,Members!$A:$C,3,FALSE),"")</f>
        <v/>
      </c>
      <c r="E314" s="11">
        <f>IF($F314="","",IFERROR(VLOOKUP($F314,ActionMap!$A:$B,2,FALSE),"INVALID ACTION"))</f>
        <v/>
      </c>
      <c r="F314" s="4" t="n"/>
      <c r="G314" s="11">
        <f>IFERROR(VLOOKUP($E314,ActionsCatalog!$A:$B,2,FALSE),"")</f>
        <v/>
      </c>
      <c r="H314" s="4" t="n"/>
      <c r="I314" s="4">
        <f>IFERROR(VLOOKUP($E314,ActionsCatalog!$A:$D,3,FALSE),0)</f>
        <v/>
      </c>
      <c r="J314" s="4">
        <f>IFERROR(VLOOKUP($E314,ActionsCatalog!$A:$D,4,FALSE),0)</f>
        <v/>
      </c>
      <c r="K314" s="4">
        <f>IF($M314&lt;&gt;"Yes",0,IF($H314="",0,$H314*$I314))</f>
        <v/>
      </c>
      <c r="L314" s="4">
        <f>IF($M314&lt;&gt;"Yes",0,IF($H314="",0,$H314*$J314))</f>
        <v/>
      </c>
      <c r="M314" s="4" t="n"/>
      <c r="N314" s="4" t="n"/>
      <c r="O314" s="4">
        <f>IF($A314="","",TEXT($A314,"yyyy")&amp;"-W"&amp;TEXT(ISOWEEKNUM($A314),"00"))</f>
        <v/>
      </c>
      <c r="P314" s="4" t="n"/>
      <c r="Q314" s="14">
        <f>IF($A314="","",TEXT($A314,"yyyy-mm"))</f>
        <v/>
      </c>
    </row>
    <row r="315">
      <c r="A315" s="66" t="n"/>
      <c r="B315" s="4" t="n"/>
      <c r="C315" s="11">
        <f>IFERROR(VLOOKUP($B315,Members!$A:$C,2,FALSE),"")</f>
        <v/>
      </c>
      <c r="D315" s="11">
        <f>IFERROR(VLOOKUP($B315,Members!$A:$C,3,FALSE),"")</f>
        <v/>
      </c>
      <c r="E315" s="11">
        <f>IF($F315="","",IFERROR(VLOOKUP($F315,ActionMap!$A:$B,2,FALSE),"INVALID ACTION"))</f>
        <v/>
      </c>
      <c r="F315" s="4" t="n"/>
      <c r="G315" s="11">
        <f>IFERROR(VLOOKUP($E315,ActionsCatalog!$A:$B,2,FALSE),"")</f>
        <v/>
      </c>
      <c r="H315" s="4" t="n"/>
      <c r="I315" s="4">
        <f>IFERROR(VLOOKUP($E315,ActionsCatalog!$A:$D,3,FALSE),0)</f>
        <v/>
      </c>
      <c r="J315" s="4">
        <f>IFERROR(VLOOKUP($E315,ActionsCatalog!$A:$D,4,FALSE),0)</f>
        <v/>
      </c>
      <c r="K315" s="4">
        <f>IF($M315&lt;&gt;"Yes",0,IF($H315="",0,$H315*$I315))</f>
        <v/>
      </c>
      <c r="L315" s="4">
        <f>IF($M315&lt;&gt;"Yes",0,IF($H315="",0,$H315*$J315))</f>
        <v/>
      </c>
      <c r="M315" s="4" t="n"/>
      <c r="N315" s="4" t="n"/>
      <c r="O315" s="4">
        <f>IF($A315="","",TEXT($A315,"yyyy")&amp;"-W"&amp;TEXT(ISOWEEKNUM($A315),"00"))</f>
        <v/>
      </c>
      <c r="P315" s="4" t="n"/>
      <c r="Q315" s="14">
        <f>IF($A315="","",TEXT($A315,"yyyy-mm"))</f>
        <v/>
      </c>
    </row>
    <row r="316">
      <c r="A316" s="66" t="n"/>
      <c r="B316" s="4" t="n"/>
      <c r="C316" s="11">
        <f>IFERROR(VLOOKUP($B316,Members!$A:$C,2,FALSE),"")</f>
        <v/>
      </c>
      <c r="D316" s="11">
        <f>IFERROR(VLOOKUP($B316,Members!$A:$C,3,FALSE),"")</f>
        <v/>
      </c>
      <c r="E316" s="11">
        <f>IF($F316="","",IFERROR(VLOOKUP($F316,ActionMap!$A:$B,2,FALSE),"INVALID ACTION"))</f>
        <v/>
      </c>
      <c r="F316" s="4" t="n"/>
      <c r="G316" s="11">
        <f>IFERROR(VLOOKUP($E316,ActionsCatalog!$A:$B,2,FALSE),"")</f>
        <v/>
      </c>
      <c r="H316" s="4" t="n"/>
      <c r="I316" s="4">
        <f>IFERROR(VLOOKUP($E316,ActionsCatalog!$A:$D,3,FALSE),0)</f>
        <v/>
      </c>
      <c r="J316" s="4">
        <f>IFERROR(VLOOKUP($E316,ActionsCatalog!$A:$D,4,FALSE),0)</f>
        <v/>
      </c>
      <c r="K316" s="4">
        <f>IF($M316&lt;&gt;"Yes",0,IF($H316="",0,$H316*$I316))</f>
        <v/>
      </c>
      <c r="L316" s="4">
        <f>IF($M316&lt;&gt;"Yes",0,IF($H316="",0,$H316*$J316))</f>
        <v/>
      </c>
      <c r="M316" s="4" t="n"/>
      <c r="N316" s="4" t="n"/>
      <c r="O316" s="4">
        <f>IF($A316="","",TEXT($A316,"yyyy")&amp;"-W"&amp;TEXT(ISOWEEKNUM($A316),"00"))</f>
        <v/>
      </c>
      <c r="P316" s="4" t="n"/>
      <c r="Q316" s="14">
        <f>IF($A316="","",TEXT($A316,"yyyy-mm"))</f>
        <v/>
      </c>
    </row>
    <row r="317">
      <c r="A317" s="66" t="n"/>
      <c r="B317" s="4" t="n"/>
      <c r="C317" s="11">
        <f>IFERROR(VLOOKUP($B317,Members!$A:$C,2,FALSE),"")</f>
        <v/>
      </c>
      <c r="D317" s="11">
        <f>IFERROR(VLOOKUP($B317,Members!$A:$C,3,FALSE),"")</f>
        <v/>
      </c>
      <c r="E317" s="11">
        <f>IF($F317="","",IFERROR(VLOOKUP($F317,ActionMap!$A:$B,2,FALSE),"INVALID ACTION"))</f>
        <v/>
      </c>
      <c r="F317" s="4" t="n"/>
      <c r="G317" s="11">
        <f>IFERROR(VLOOKUP($E317,ActionsCatalog!$A:$B,2,FALSE),"")</f>
        <v/>
      </c>
      <c r="H317" s="4" t="n"/>
      <c r="I317" s="4">
        <f>IFERROR(VLOOKUP($E317,ActionsCatalog!$A:$D,3,FALSE),0)</f>
        <v/>
      </c>
      <c r="J317" s="4">
        <f>IFERROR(VLOOKUP($E317,ActionsCatalog!$A:$D,4,FALSE),0)</f>
        <v/>
      </c>
      <c r="K317" s="4">
        <f>IF($M317&lt;&gt;"Yes",0,IF($H317="",0,$H317*$I317))</f>
        <v/>
      </c>
      <c r="L317" s="4">
        <f>IF($M317&lt;&gt;"Yes",0,IF($H317="",0,$H317*$J317))</f>
        <v/>
      </c>
      <c r="M317" s="4" t="n"/>
      <c r="N317" s="4" t="n"/>
      <c r="O317" s="4">
        <f>IF($A317="","",TEXT($A317,"yyyy")&amp;"-W"&amp;TEXT(ISOWEEKNUM($A317),"00"))</f>
        <v/>
      </c>
      <c r="P317" s="4" t="n"/>
      <c r="Q317" s="14">
        <f>IF($A317="","",TEXT($A317,"yyyy-mm"))</f>
        <v/>
      </c>
    </row>
    <row r="318">
      <c r="A318" s="66" t="n"/>
      <c r="B318" s="4" t="n"/>
      <c r="C318" s="11">
        <f>IFERROR(VLOOKUP($B318,Members!$A:$C,2,FALSE),"")</f>
        <v/>
      </c>
      <c r="D318" s="11">
        <f>IFERROR(VLOOKUP($B318,Members!$A:$C,3,FALSE),"")</f>
        <v/>
      </c>
      <c r="E318" s="11">
        <f>IF($F318="","",IFERROR(VLOOKUP($F318,ActionMap!$A:$B,2,FALSE),"INVALID ACTION"))</f>
        <v/>
      </c>
      <c r="F318" s="4" t="n"/>
      <c r="G318" s="11">
        <f>IFERROR(VLOOKUP($E318,ActionsCatalog!$A:$B,2,FALSE),"")</f>
        <v/>
      </c>
      <c r="H318" s="4" t="n"/>
      <c r="I318" s="4">
        <f>IFERROR(VLOOKUP($E318,ActionsCatalog!$A:$D,3,FALSE),0)</f>
        <v/>
      </c>
      <c r="J318" s="4">
        <f>IFERROR(VLOOKUP($E318,ActionsCatalog!$A:$D,4,FALSE),0)</f>
        <v/>
      </c>
      <c r="K318" s="4">
        <f>IF($M318&lt;&gt;"Yes",0,IF($H318="",0,$H318*$I318))</f>
        <v/>
      </c>
      <c r="L318" s="4">
        <f>IF($M318&lt;&gt;"Yes",0,IF($H318="",0,$H318*$J318))</f>
        <v/>
      </c>
      <c r="M318" s="4" t="n"/>
      <c r="N318" s="4" t="n"/>
      <c r="O318" s="4">
        <f>IF($A318="","",TEXT($A318,"yyyy")&amp;"-W"&amp;TEXT(ISOWEEKNUM($A318),"00"))</f>
        <v/>
      </c>
      <c r="P318" s="4" t="n"/>
      <c r="Q318" s="14">
        <f>IF($A318="","",TEXT($A318,"yyyy-mm"))</f>
        <v/>
      </c>
    </row>
    <row r="319">
      <c r="A319" s="66" t="n"/>
      <c r="B319" s="4" t="n"/>
      <c r="C319" s="11">
        <f>IFERROR(VLOOKUP($B319,Members!$A:$C,2,FALSE),"")</f>
        <v/>
      </c>
      <c r="D319" s="11">
        <f>IFERROR(VLOOKUP($B319,Members!$A:$C,3,FALSE),"")</f>
        <v/>
      </c>
      <c r="E319" s="11">
        <f>IF($F319="","",IFERROR(VLOOKUP($F319,ActionMap!$A:$B,2,FALSE),"INVALID ACTION"))</f>
        <v/>
      </c>
      <c r="F319" s="4" t="n"/>
      <c r="G319" s="11">
        <f>IFERROR(VLOOKUP($E319,ActionsCatalog!$A:$B,2,FALSE),"")</f>
        <v/>
      </c>
      <c r="H319" s="4" t="n"/>
      <c r="I319" s="4">
        <f>IFERROR(VLOOKUP($E319,ActionsCatalog!$A:$D,3,FALSE),0)</f>
        <v/>
      </c>
      <c r="J319" s="4">
        <f>IFERROR(VLOOKUP($E319,ActionsCatalog!$A:$D,4,FALSE),0)</f>
        <v/>
      </c>
      <c r="K319" s="4">
        <f>IF($M319&lt;&gt;"Yes",0,IF($H319="",0,$H319*$I319))</f>
        <v/>
      </c>
      <c r="L319" s="4">
        <f>IF($M319&lt;&gt;"Yes",0,IF($H319="",0,$H319*$J319))</f>
        <v/>
      </c>
      <c r="M319" s="4" t="n"/>
      <c r="N319" s="4" t="n"/>
      <c r="O319" s="4">
        <f>IF($A319="","",TEXT($A319,"yyyy")&amp;"-W"&amp;TEXT(ISOWEEKNUM($A319),"00"))</f>
        <v/>
      </c>
      <c r="P319" s="4" t="n"/>
      <c r="Q319" s="14">
        <f>IF($A319="","",TEXT($A319,"yyyy-mm"))</f>
        <v/>
      </c>
    </row>
    <row r="320">
      <c r="A320" s="66" t="n"/>
      <c r="B320" s="4" t="n"/>
      <c r="C320" s="11">
        <f>IFERROR(VLOOKUP($B320,Members!$A:$C,2,FALSE),"")</f>
        <v/>
      </c>
      <c r="D320" s="11">
        <f>IFERROR(VLOOKUP($B320,Members!$A:$C,3,FALSE),"")</f>
        <v/>
      </c>
      <c r="E320" s="11">
        <f>IF($F320="","",IFERROR(VLOOKUP($F320,ActionMap!$A:$B,2,FALSE),"INVALID ACTION"))</f>
        <v/>
      </c>
      <c r="F320" s="4" t="n"/>
      <c r="G320" s="11">
        <f>IFERROR(VLOOKUP($E320,ActionsCatalog!$A:$B,2,FALSE),"")</f>
        <v/>
      </c>
      <c r="H320" s="4" t="n"/>
      <c r="I320" s="4">
        <f>IFERROR(VLOOKUP($E320,ActionsCatalog!$A:$D,3,FALSE),0)</f>
        <v/>
      </c>
      <c r="J320" s="4">
        <f>IFERROR(VLOOKUP($E320,ActionsCatalog!$A:$D,4,FALSE),0)</f>
        <v/>
      </c>
      <c r="K320" s="4">
        <f>IF($M320&lt;&gt;"Yes",0,IF($H320="",0,$H320*$I320))</f>
        <v/>
      </c>
      <c r="L320" s="4">
        <f>IF($M320&lt;&gt;"Yes",0,IF($H320="",0,$H320*$J320))</f>
        <v/>
      </c>
      <c r="M320" s="4" t="n"/>
      <c r="N320" s="4" t="n"/>
      <c r="O320" s="4">
        <f>IF($A320="","",TEXT($A320,"yyyy")&amp;"-W"&amp;TEXT(ISOWEEKNUM($A320),"00"))</f>
        <v/>
      </c>
      <c r="P320" s="4" t="n"/>
      <c r="Q320" s="14">
        <f>IF($A320="","",TEXT($A320,"yyyy-mm"))</f>
        <v/>
      </c>
    </row>
    <row r="321">
      <c r="A321" s="66" t="n"/>
      <c r="B321" s="4" t="n"/>
      <c r="C321" s="11">
        <f>IFERROR(VLOOKUP($B321,Members!$A:$C,2,FALSE),"")</f>
        <v/>
      </c>
      <c r="D321" s="11">
        <f>IFERROR(VLOOKUP($B321,Members!$A:$C,3,FALSE),"")</f>
        <v/>
      </c>
      <c r="E321" s="11">
        <f>IF($F321="","",IFERROR(VLOOKUP($F321,ActionMap!$A:$B,2,FALSE),"INVALID ACTION"))</f>
        <v/>
      </c>
      <c r="F321" s="4" t="n"/>
      <c r="G321" s="11">
        <f>IFERROR(VLOOKUP($E321,ActionsCatalog!$A:$B,2,FALSE),"")</f>
        <v/>
      </c>
      <c r="H321" s="4" t="n"/>
      <c r="I321" s="4">
        <f>IFERROR(VLOOKUP($E321,ActionsCatalog!$A:$D,3,FALSE),0)</f>
        <v/>
      </c>
      <c r="J321" s="4">
        <f>IFERROR(VLOOKUP($E321,ActionsCatalog!$A:$D,4,FALSE),0)</f>
        <v/>
      </c>
      <c r="K321" s="4">
        <f>IF($M321&lt;&gt;"Yes",0,IF($H321="",0,$H321*$I321))</f>
        <v/>
      </c>
      <c r="L321" s="4">
        <f>IF($M321&lt;&gt;"Yes",0,IF($H321="",0,$H321*$J321))</f>
        <v/>
      </c>
      <c r="M321" s="4" t="n"/>
      <c r="N321" s="4" t="n"/>
      <c r="O321" s="4">
        <f>IF($A321="","",TEXT($A321,"yyyy")&amp;"-W"&amp;TEXT(ISOWEEKNUM($A321),"00"))</f>
        <v/>
      </c>
      <c r="P321" s="4" t="n"/>
      <c r="Q321" s="14">
        <f>IF($A321="","",TEXT($A321,"yyyy-mm"))</f>
        <v/>
      </c>
    </row>
    <row r="322">
      <c r="A322" s="66" t="n"/>
      <c r="B322" s="4" t="n"/>
      <c r="C322" s="11">
        <f>IFERROR(VLOOKUP($B322,Members!$A:$C,2,FALSE),"")</f>
        <v/>
      </c>
      <c r="D322" s="11">
        <f>IFERROR(VLOOKUP($B322,Members!$A:$C,3,FALSE),"")</f>
        <v/>
      </c>
      <c r="E322" s="11">
        <f>IF($F322="","",IFERROR(VLOOKUP($F322,ActionMap!$A:$B,2,FALSE),"INVALID ACTION"))</f>
        <v/>
      </c>
      <c r="F322" s="4" t="n"/>
      <c r="G322" s="11">
        <f>IFERROR(VLOOKUP($E322,ActionsCatalog!$A:$B,2,FALSE),"")</f>
        <v/>
      </c>
      <c r="H322" s="4" t="n"/>
      <c r="I322" s="4">
        <f>IFERROR(VLOOKUP($E322,ActionsCatalog!$A:$D,3,FALSE),0)</f>
        <v/>
      </c>
      <c r="J322" s="4">
        <f>IFERROR(VLOOKUP($E322,ActionsCatalog!$A:$D,4,FALSE),0)</f>
        <v/>
      </c>
      <c r="K322" s="4">
        <f>IF($M322&lt;&gt;"Yes",0,IF($H322="",0,$H322*$I322))</f>
        <v/>
      </c>
      <c r="L322" s="4">
        <f>IF($M322&lt;&gt;"Yes",0,IF($H322="",0,$H322*$J322))</f>
        <v/>
      </c>
      <c r="M322" s="4" t="n"/>
      <c r="N322" s="4" t="n"/>
      <c r="O322" s="4">
        <f>IF($A322="","",TEXT($A322,"yyyy")&amp;"-W"&amp;TEXT(ISOWEEKNUM($A322),"00"))</f>
        <v/>
      </c>
      <c r="P322" s="4" t="n"/>
      <c r="Q322" s="14">
        <f>IF($A322="","",TEXT($A322,"yyyy-mm"))</f>
        <v/>
      </c>
    </row>
    <row r="323">
      <c r="A323" s="66" t="n"/>
      <c r="B323" s="4" t="n"/>
      <c r="C323" s="11">
        <f>IFERROR(VLOOKUP($B323,Members!$A:$C,2,FALSE),"")</f>
        <v/>
      </c>
      <c r="D323" s="11">
        <f>IFERROR(VLOOKUP($B323,Members!$A:$C,3,FALSE),"")</f>
        <v/>
      </c>
      <c r="E323" s="11">
        <f>IF($F323="","",IFERROR(VLOOKUP($F323,ActionMap!$A:$B,2,FALSE),"INVALID ACTION"))</f>
        <v/>
      </c>
      <c r="F323" s="4" t="n"/>
      <c r="G323" s="11">
        <f>IFERROR(VLOOKUP($E323,ActionsCatalog!$A:$B,2,FALSE),"")</f>
        <v/>
      </c>
      <c r="H323" s="4" t="n"/>
      <c r="I323" s="4">
        <f>IFERROR(VLOOKUP($E323,ActionsCatalog!$A:$D,3,FALSE),0)</f>
        <v/>
      </c>
      <c r="J323" s="4">
        <f>IFERROR(VLOOKUP($E323,ActionsCatalog!$A:$D,4,FALSE),0)</f>
        <v/>
      </c>
      <c r="K323" s="4">
        <f>IF($M323&lt;&gt;"Yes",0,IF($H323="",0,$H323*$I323))</f>
        <v/>
      </c>
      <c r="L323" s="4">
        <f>IF($M323&lt;&gt;"Yes",0,IF($H323="",0,$H323*$J323))</f>
        <v/>
      </c>
      <c r="M323" s="4" t="n"/>
      <c r="N323" s="4" t="n"/>
      <c r="O323" s="4">
        <f>IF($A323="","",TEXT($A323,"yyyy")&amp;"-W"&amp;TEXT(ISOWEEKNUM($A323),"00"))</f>
        <v/>
      </c>
      <c r="P323" s="4" t="n"/>
      <c r="Q323" s="14">
        <f>IF($A323="","",TEXT($A323,"yyyy-mm"))</f>
        <v/>
      </c>
    </row>
    <row r="324">
      <c r="A324" s="66" t="n"/>
      <c r="B324" s="4" t="n"/>
      <c r="C324" s="11">
        <f>IFERROR(VLOOKUP($B324,Members!$A:$C,2,FALSE),"")</f>
        <v/>
      </c>
      <c r="D324" s="11">
        <f>IFERROR(VLOOKUP($B324,Members!$A:$C,3,FALSE),"")</f>
        <v/>
      </c>
      <c r="E324" s="11">
        <f>IF($F324="","",IFERROR(VLOOKUP($F324,ActionMap!$A:$B,2,FALSE),"INVALID ACTION"))</f>
        <v/>
      </c>
      <c r="F324" s="4" t="n"/>
      <c r="G324" s="11">
        <f>IFERROR(VLOOKUP($E324,ActionsCatalog!$A:$B,2,FALSE),"")</f>
        <v/>
      </c>
      <c r="H324" s="4" t="n"/>
      <c r="I324" s="4">
        <f>IFERROR(VLOOKUP($E324,ActionsCatalog!$A:$D,3,FALSE),0)</f>
        <v/>
      </c>
      <c r="J324" s="4">
        <f>IFERROR(VLOOKUP($E324,ActionsCatalog!$A:$D,4,FALSE),0)</f>
        <v/>
      </c>
      <c r="K324" s="4">
        <f>IF($M324&lt;&gt;"Yes",0,IF($H324="",0,$H324*$I324))</f>
        <v/>
      </c>
      <c r="L324" s="4">
        <f>IF($M324&lt;&gt;"Yes",0,IF($H324="",0,$H324*$J324))</f>
        <v/>
      </c>
      <c r="M324" s="4" t="n"/>
      <c r="N324" s="4" t="n"/>
      <c r="O324" s="4">
        <f>IF($A324="","",TEXT($A324,"yyyy")&amp;"-W"&amp;TEXT(ISOWEEKNUM($A324),"00"))</f>
        <v/>
      </c>
      <c r="P324" s="4" t="n"/>
      <c r="Q324" s="14">
        <f>IF($A324="","",TEXT($A324,"yyyy-mm"))</f>
        <v/>
      </c>
    </row>
    <row r="325">
      <c r="A325" s="66" t="n"/>
      <c r="B325" s="4" t="n"/>
      <c r="C325" s="11">
        <f>IFERROR(VLOOKUP($B325,Members!$A:$C,2,FALSE),"")</f>
        <v/>
      </c>
      <c r="D325" s="11">
        <f>IFERROR(VLOOKUP($B325,Members!$A:$C,3,FALSE),"")</f>
        <v/>
      </c>
      <c r="E325" s="11">
        <f>IF($F325="","",IFERROR(VLOOKUP($F325,ActionMap!$A:$B,2,FALSE),"INVALID ACTION"))</f>
        <v/>
      </c>
      <c r="F325" s="4" t="n"/>
      <c r="G325" s="11">
        <f>IFERROR(VLOOKUP($E325,ActionsCatalog!$A:$B,2,FALSE),"")</f>
        <v/>
      </c>
      <c r="H325" s="4" t="n"/>
      <c r="I325" s="4">
        <f>IFERROR(VLOOKUP($E325,ActionsCatalog!$A:$D,3,FALSE),0)</f>
        <v/>
      </c>
      <c r="J325" s="4">
        <f>IFERROR(VLOOKUP($E325,ActionsCatalog!$A:$D,4,FALSE),0)</f>
        <v/>
      </c>
      <c r="K325" s="4">
        <f>IF($M325&lt;&gt;"Yes",0,IF($H325="",0,$H325*$I325))</f>
        <v/>
      </c>
      <c r="L325" s="4">
        <f>IF($M325&lt;&gt;"Yes",0,IF($H325="",0,$H325*$J325))</f>
        <v/>
      </c>
      <c r="M325" s="4" t="n"/>
      <c r="N325" s="4" t="n"/>
      <c r="O325" s="4">
        <f>IF($A325="","",TEXT($A325,"yyyy")&amp;"-W"&amp;TEXT(ISOWEEKNUM($A325),"00"))</f>
        <v/>
      </c>
      <c r="P325" s="4" t="n"/>
      <c r="Q325" s="14">
        <f>IF($A325="","",TEXT($A325,"yyyy-mm"))</f>
        <v/>
      </c>
    </row>
    <row r="326">
      <c r="A326" s="66" t="n"/>
      <c r="B326" s="4" t="n"/>
      <c r="C326" s="11">
        <f>IFERROR(VLOOKUP($B326,Members!$A:$C,2,FALSE),"")</f>
        <v/>
      </c>
      <c r="D326" s="11">
        <f>IFERROR(VLOOKUP($B326,Members!$A:$C,3,FALSE),"")</f>
        <v/>
      </c>
      <c r="E326" s="11">
        <f>IF($F326="","",IFERROR(VLOOKUP($F326,ActionMap!$A:$B,2,FALSE),"INVALID ACTION"))</f>
        <v/>
      </c>
      <c r="F326" s="4" t="n"/>
      <c r="G326" s="11">
        <f>IFERROR(VLOOKUP($E326,ActionsCatalog!$A:$B,2,FALSE),"")</f>
        <v/>
      </c>
      <c r="H326" s="4" t="n"/>
      <c r="I326" s="4">
        <f>IFERROR(VLOOKUP($E326,ActionsCatalog!$A:$D,3,FALSE),0)</f>
        <v/>
      </c>
      <c r="J326" s="4">
        <f>IFERROR(VLOOKUP($E326,ActionsCatalog!$A:$D,4,FALSE),0)</f>
        <v/>
      </c>
      <c r="K326" s="4">
        <f>IF($M326&lt;&gt;"Yes",0,IF($H326="",0,$H326*$I326))</f>
        <v/>
      </c>
      <c r="L326" s="4">
        <f>IF($M326&lt;&gt;"Yes",0,IF($H326="",0,$H326*$J326))</f>
        <v/>
      </c>
      <c r="M326" s="4" t="n"/>
      <c r="N326" s="4" t="n"/>
      <c r="O326" s="4">
        <f>IF($A326="","",TEXT($A326,"yyyy")&amp;"-W"&amp;TEXT(ISOWEEKNUM($A326),"00"))</f>
        <v/>
      </c>
      <c r="P326" s="4" t="n"/>
      <c r="Q326" s="14">
        <f>IF($A326="","",TEXT($A326,"yyyy-mm"))</f>
        <v/>
      </c>
    </row>
    <row r="327">
      <c r="A327" s="66" t="n"/>
      <c r="B327" s="4" t="n"/>
      <c r="C327" s="11">
        <f>IFERROR(VLOOKUP($B327,Members!$A:$C,2,FALSE),"")</f>
        <v/>
      </c>
      <c r="D327" s="11">
        <f>IFERROR(VLOOKUP($B327,Members!$A:$C,3,FALSE),"")</f>
        <v/>
      </c>
      <c r="E327" s="11">
        <f>IF($F327="","",IFERROR(VLOOKUP($F327,ActionMap!$A:$B,2,FALSE),"INVALID ACTION"))</f>
        <v/>
      </c>
      <c r="F327" s="4" t="n"/>
      <c r="G327" s="11">
        <f>IFERROR(VLOOKUP($E327,ActionsCatalog!$A:$B,2,FALSE),"")</f>
        <v/>
      </c>
      <c r="H327" s="4" t="n"/>
      <c r="I327" s="4">
        <f>IFERROR(VLOOKUP($E327,ActionsCatalog!$A:$D,3,FALSE),0)</f>
        <v/>
      </c>
      <c r="J327" s="4">
        <f>IFERROR(VLOOKUP($E327,ActionsCatalog!$A:$D,4,FALSE),0)</f>
        <v/>
      </c>
      <c r="K327" s="4">
        <f>IF($M327&lt;&gt;"Yes",0,IF($H327="",0,$H327*$I327))</f>
        <v/>
      </c>
      <c r="L327" s="4">
        <f>IF($M327&lt;&gt;"Yes",0,IF($H327="",0,$H327*$J327))</f>
        <v/>
      </c>
      <c r="M327" s="4" t="n"/>
      <c r="N327" s="4" t="n"/>
      <c r="O327" s="4">
        <f>IF($A327="","",TEXT($A327,"yyyy")&amp;"-W"&amp;TEXT(ISOWEEKNUM($A327),"00"))</f>
        <v/>
      </c>
      <c r="P327" s="4" t="n"/>
      <c r="Q327" s="14">
        <f>IF($A327="","",TEXT($A327,"yyyy-mm"))</f>
        <v/>
      </c>
    </row>
    <row r="328">
      <c r="A328" s="66" t="n"/>
      <c r="B328" s="4" t="n"/>
      <c r="C328" s="11">
        <f>IFERROR(VLOOKUP($B328,Members!$A:$C,2,FALSE),"")</f>
        <v/>
      </c>
      <c r="D328" s="11">
        <f>IFERROR(VLOOKUP($B328,Members!$A:$C,3,FALSE),"")</f>
        <v/>
      </c>
      <c r="E328" s="11">
        <f>IF($F328="","",IFERROR(VLOOKUP($F328,ActionMap!$A:$B,2,FALSE),"INVALID ACTION"))</f>
        <v/>
      </c>
      <c r="F328" s="4" t="n"/>
      <c r="G328" s="11">
        <f>IFERROR(VLOOKUP($E328,ActionsCatalog!$A:$B,2,FALSE),"")</f>
        <v/>
      </c>
      <c r="H328" s="4" t="n"/>
      <c r="I328" s="4">
        <f>IFERROR(VLOOKUP($E328,ActionsCatalog!$A:$D,3,FALSE),0)</f>
        <v/>
      </c>
      <c r="J328" s="4">
        <f>IFERROR(VLOOKUP($E328,ActionsCatalog!$A:$D,4,FALSE),0)</f>
        <v/>
      </c>
      <c r="K328" s="4">
        <f>IF($M328&lt;&gt;"Yes",0,IF($H328="",0,$H328*$I328))</f>
        <v/>
      </c>
      <c r="L328" s="4">
        <f>IF($M328&lt;&gt;"Yes",0,IF($H328="",0,$H328*$J328))</f>
        <v/>
      </c>
      <c r="M328" s="4" t="n"/>
      <c r="N328" s="4" t="n"/>
      <c r="O328" s="4">
        <f>IF($A328="","",TEXT($A328,"yyyy")&amp;"-W"&amp;TEXT(ISOWEEKNUM($A328),"00"))</f>
        <v/>
      </c>
      <c r="P328" s="4" t="n"/>
      <c r="Q328" s="14">
        <f>IF($A328="","",TEXT($A328,"yyyy-mm"))</f>
        <v/>
      </c>
    </row>
    <row r="329">
      <c r="A329" s="66" t="n"/>
      <c r="B329" s="4" t="n"/>
      <c r="C329" s="11">
        <f>IFERROR(VLOOKUP($B329,Members!$A:$C,2,FALSE),"")</f>
        <v/>
      </c>
      <c r="D329" s="11">
        <f>IFERROR(VLOOKUP($B329,Members!$A:$C,3,FALSE),"")</f>
        <v/>
      </c>
      <c r="E329" s="11">
        <f>IF($F329="","",IFERROR(VLOOKUP($F329,ActionMap!$A:$B,2,FALSE),"INVALID ACTION"))</f>
        <v/>
      </c>
      <c r="F329" s="4" t="n"/>
      <c r="G329" s="11">
        <f>IFERROR(VLOOKUP($E329,ActionsCatalog!$A:$B,2,FALSE),"")</f>
        <v/>
      </c>
      <c r="H329" s="4" t="n"/>
      <c r="I329" s="4">
        <f>IFERROR(VLOOKUP($E329,ActionsCatalog!$A:$D,3,FALSE),0)</f>
        <v/>
      </c>
      <c r="J329" s="4">
        <f>IFERROR(VLOOKUP($E329,ActionsCatalog!$A:$D,4,FALSE),0)</f>
        <v/>
      </c>
      <c r="K329" s="4">
        <f>IF($M329&lt;&gt;"Yes",0,IF($H329="",0,$H329*$I329))</f>
        <v/>
      </c>
      <c r="L329" s="4">
        <f>IF($M329&lt;&gt;"Yes",0,IF($H329="",0,$H329*$J329))</f>
        <v/>
      </c>
      <c r="M329" s="4" t="n"/>
      <c r="N329" s="4" t="n"/>
      <c r="O329" s="4">
        <f>IF($A329="","",TEXT($A329,"yyyy")&amp;"-W"&amp;TEXT(ISOWEEKNUM($A329),"00"))</f>
        <v/>
      </c>
      <c r="P329" s="4" t="n"/>
      <c r="Q329" s="14">
        <f>IF($A329="","",TEXT($A329,"yyyy-mm"))</f>
        <v/>
      </c>
    </row>
    <row r="330">
      <c r="A330" s="66" t="n"/>
      <c r="B330" s="4" t="n"/>
      <c r="C330" s="11">
        <f>IFERROR(VLOOKUP($B330,Members!$A:$C,2,FALSE),"")</f>
        <v/>
      </c>
      <c r="D330" s="11">
        <f>IFERROR(VLOOKUP($B330,Members!$A:$C,3,FALSE),"")</f>
        <v/>
      </c>
      <c r="E330" s="11">
        <f>IF($F330="","",IFERROR(VLOOKUP($F330,ActionMap!$A:$B,2,FALSE),"INVALID ACTION"))</f>
        <v/>
      </c>
      <c r="F330" s="4" t="n"/>
      <c r="G330" s="11">
        <f>IFERROR(VLOOKUP($E330,ActionsCatalog!$A:$B,2,FALSE),"")</f>
        <v/>
      </c>
      <c r="H330" s="4" t="n"/>
      <c r="I330" s="4">
        <f>IFERROR(VLOOKUP($E330,ActionsCatalog!$A:$D,3,FALSE),0)</f>
        <v/>
      </c>
      <c r="J330" s="4">
        <f>IFERROR(VLOOKUP($E330,ActionsCatalog!$A:$D,4,FALSE),0)</f>
        <v/>
      </c>
      <c r="K330" s="4">
        <f>IF($M330&lt;&gt;"Yes",0,IF($H330="",0,$H330*$I330))</f>
        <v/>
      </c>
      <c r="L330" s="4">
        <f>IF($M330&lt;&gt;"Yes",0,IF($H330="",0,$H330*$J330))</f>
        <v/>
      </c>
      <c r="M330" s="4" t="n"/>
      <c r="N330" s="4" t="n"/>
      <c r="O330" s="4">
        <f>IF($A330="","",TEXT($A330,"yyyy")&amp;"-W"&amp;TEXT(ISOWEEKNUM($A330),"00"))</f>
        <v/>
      </c>
      <c r="P330" s="4" t="n"/>
      <c r="Q330" s="14">
        <f>IF($A330="","",TEXT($A330,"yyyy-mm"))</f>
        <v/>
      </c>
    </row>
    <row r="331">
      <c r="A331" s="66" t="n"/>
      <c r="B331" s="4" t="n"/>
      <c r="C331" s="11">
        <f>IFERROR(VLOOKUP($B331,Members!$A:$C,2,FALSE),"")</f>
        <v/>
      </c>
      <c r="D331" s="11">
        <f>IFERROR(VLOOKUP($B331,Members!$A:$C,3,FALSE),"")</f>
        <v/>
      </c>
      <c r="E331" s="11">
        <f>IF($F331="","",IFERROR(VLOOKUP($F331,ActionMap!$A:$B,2,FALSE),"INVALID ACTION"))</f>
        <v/>
      </c>
      <c r="F331" s="4" t="n"/>
      <c r="G331" s="11">
        <f>IFERROR(VLOOKUP($E331,ActionsCatalog!$A:$B,2,FALSE),"")</f>
        <v/>
      </c>
      <c r="H331" s="4" t="n"/>
      <c r="I331" s="4">
        <f>IFERROR(VLOOKUP($E331,ActionsCatalog!$A:$D,3,FALSE),0)</f>
        <v/>
      </c>
      <c r="J331" s="4">
        <f>IFERROR(VLOOKUP($E331,ActionsCatalog!$A:$D,4,FALSE),0)</f>
        <v/>
      </c>
      <c r="K331" s="4">
        <f>IF($M331&lt;&gt;"Yes",0,IF($H331="",0,$H331*$I331))</f>
        <v/>
      </c>
      <c r="L331" s="4">
        <f>IF($M331&lt;&gt;"Yes",0,IF($H331="",0,$H331*$J331))</f>
        <v/>
      </c>
      <c r="M331" s="4" t="n"/>
      <c r="N331" s="4" t="n"/>
      <c r="O331" s="4">
        <f>IF($A331="","",TEXT($A331,"yyyy")&amp;"-W"&amp;TEXT(ISOWEEKNUM($A331),"00"))</f>
        <v/>
      </c>
      <c r="P331" s="4" t="n"/>
      <c r="Q331" s="14">
        <f>IF($A331="","",TEXT($A331,"yyyy-mm"))</f>
        <v/>
      </c>
    </row>
    <row r="332">
      <c r="A332" s="66" t="n"/>
      <c r="B332" s="4" t="n"/>
      <c r="C332" s="11">
        <f>IFERROR(VLOOKUP($B332,Members!$A:$C,2,FALSE),"")</f>
        <v/>
      </c>
      <c r="D332" s="11">
        <f>IFERROR(VLOOKUP($B332,Members!$A:$C,3,FALSE),"")</f>
        <v/>
      </c>
      <c r="E332" s="11">
        <f>IF($F332="","",IFERROR(VLOOKUP($F332,ActionMap!$A:$B,2,FALSE),"INVALID ACTION"))</f>
        <v/>
      </c>
      <c r="F332" s="4" t="n"/>
      <c r="G332" s="11">
        <f>IFERROR(VLOOKUP($E332,ActionsCatalog!$A:$B,2,FALSE),"")</f>
        <v/>
      </c>
      <c r="H332" s="4" t="n"/>
      <c r="I332" s="4">
        <f>IFERROR(VLOOKUP($E332,ActionsCatalog!$A:$D,3,FALSE),0)</f>
        <v/>
      </c>
      <c r="J332" s="4">
        <f>IFERROR(VLOOKUP($E332,ActionsCatalog!$A:$D,4,FALSE),0)</f>
        <v/>
      </c>
      <c r="K332" s="4">
        <f>IF($M332&lt;&gt;"Yes",0,IF($H332="",0,$H332*$I332))</f>
        <v/>
      </c>
      <c r="L332" s="4">
        <f>IF($M332&lt;&gt;"Yes",0,IF($H332="",0,$H332*$J332))</f>
        <v/>
      </c>
      <c r="M332" s="4" t="n"/>
      <c r="N332" s="4" t="n"/>
      <c r="O332" s="4">
        <f>IF($A332="","",TEXT($A332,"yyyy")&amp;"-W"&amp;TEXT(ISOWEEKNUM($A332),"00"))</f>
        <v/>
      </c>
      <c r="P332" s="4" t="n"/>
      <c r="Q332" s="14">
        <f>IF($A332="","",TEXT($A332,"yyyy-mm"))</f>
        <v/>
      </c>
    </row>
    <row r="333">
      <c r="A333" s="66" t="n"/>
      <c r="B333" s="4" t="n"/>
      <c r="C333" s="11">
        <f>IFERROR(VLOOKUP($B333,Members!$A:$C,2,FALSE),"")</f>
        <v/>
      </c>
      <c r="D333" s="11">
        <f>IFERROR(VLOOKUP($B333,Members!$A:$C,3,FALSE),"")</f>
        <v/>
      </c>
      <c r="E333" s="11">
        <f>IF($F333="","",IFERROR(VLOOKUP($F333,ActionMap!$A:$B,2,FALSE),"INVALID ACTION"))</f>
        <v/>
      </c>
      <c r="F333" s="4" t="n"/>
      <c r="G333" s="11">
        <f>IFERROR(VLOOKUP($E333,ActionsCatalog!$A:$B,2,FALSE),"")</f>
        <v/>
      </c>
      <c r="H333" s="4" t="n"/>
      <c r="I333" s="4">
        <f>IFERROR(VLOOKUP($E333,ActionsCatalog!$A:$D,3,FALSE),0)</f>
        <v/>
      </c>
      <c r="J333" s="4">
        <f>IFERROR(VLOOKUP($E333,ActionsCatalog!$A:$D,4,FALSE),0)</f>
        <v/>
      </c>
      <c r="K333" s="4">
        <f>IF($M333&lt;&gt;"Yes",0,IF($H333="",0,$H333*$I333))</f>
        <v/>
      </c>
      <c r="L333" s="4">
        <f>IF($M333&lt;&gt;"Yes",0,IF($H333="",0,$H333*$J333))</f>
        <v/>
      </c>
      <c r="M333" s="4" t="n"/>
      <c r="N333" s="4" t="n"/>
      <c r="O333" s="4">
        <f>IF($A333="","",TEXT($A333,"yyyy")&amp;"-W"&amp;TEXT(ISOWEEKNUM($A333),"00"))</f>
        <v/>
      </c>
      <c r="P333" s="4" t="n"/>
      <c r="Q333" s="14">
        <f>IF($A333="","",TEXT($A333,"yyyy-mm"))</f>
        <v/>
      </c>
    </row>
    <row r="334">
      <c r="A334" s="66" t="n"/>
      <c r="B334" s="4" t="n"/>
      <c r="C334" s="11">
        <f>IFERROR(VLOOKUP($B334,Members!$A:$C,2,FALSE),"")</f>
        <v/>
      </c>
      <c r="D334" s="11">
        <f>IFERROR(VLOOKUP($B334,Members!$A:$C,3,FALSE),"")</f>
        <v/>
      </c>
      <c r="E334" s="11">
        <f>IF($F334="","",IFERROR(VLOOKUP($F334,ActionMap!$A:$B,2,FALSE),"INVALID ACTION"))</f>
        <v/>
      </c>
      <c r="F334" s="4" t="n"/>
      <c r="G334" s="11">
        <f>IFERROR(VLOOKUP($E334,ActionsCatalog!$A:$B,2,FALSE),"")</f>
        <v/>
      </c>
      <c r="H334" s="4" t="n"/>
      <c r="I334" s="4">
        <f>IFERROR(VLOOKUP($E334,ActionsCatalog!$A:$D,3,FALSE),0)</f>
        <v/>
      </c>
      <c r="J334" s="4">
        <f>IFERROR(VLOOKUP($E334,ActionsCatalog!$A:$D,4,FALSE),0)</f>
        <v/>
      </c>
      <c r="K334" s="4">
        <f>IF($M334&lt;&gt;"Yes",0,IF($H334="",0,$H334*$I334))</f>
        <v/>
      </c>
      <c r="L334" s="4">
        <f>IF($M334&lt;&gt;"Yes",0,IF($H334="",0,$H334*$J334))</f>
        <v/>
      </c>
      <c r="M334" s="4" t="n"/>
      <c r="N334" s="4" t="n"/>
      <c r="O334" s="4">
        <f>IF($A334="","",TEXT($A334,"yyyy")&amp;"-W"&amp;TEXT(ISOWEEKNUM($A334),"00"))</f>
        <v/>
      </c>
      <c r="P334" s="4" t="n"/>
      <c r="Q334" s="14">
        <f>IF($A334="","",TEXT($A334,"yyyy-mm"))</f>
        <v/>
      </c>
    </row>
    <row r="335">
      <c r="A335" s="66" t="n"/>
      <c r="B335" s="4" t="n"/>
      <c r="C335" s="11">
        <f>IFERROR(VLOOKUP($B335,Members!$A:$C,2,FALSE),"")</f>
        <v/>
      </c>
      <c r="D335" s="11">
        <f>IFERROR(VLOOKUP($B335,Members!$A:$C,3,FALSE),"")</f>
        <v/>
      </c>
      <c r="E335" s="11">
        <f>IF($F335="","",IFERROR(VLOOKUP($F335,ActionMap!$A:$B,2,FALSE),"INVALID ACTION"))</f>
        <v/>
      </c>
      <c r="F335" s="4" t="n"/>
      <c r="G335" s="11">
        <f>IFERROR(VLOOKUP($E335,ActionsCatalog!$A:$B,2,FALSE),"")</f>
        <v/>
      </c>
      <c r="H335" s="4" t="n"/>
      <c r="I335" s="4">
        <f>IFERROR(VLOOKUP($E335,ActionsCatalog!$A:$D,3,FALSE),0)</f>
        <v/>
      </c>
      <c r="J335" s="4">
        <f>IFERROR(VLOOKUP($E335,ActionsCatalog!$A:$D,4,FALSE),0)</f>
        <v/>
      </c>
      <c r="K335" s="4">
        <f>IF($M335&lt;&gt;"Yes",0,IF($H335="",0,$H335*$I335))</f>
        <v/>
      </c>
      <c r="L335" s="4">
        <f>IF($M335&lt;&gt;"Yes",0,IF($H335="",0,$H335*$J335))</f>
        <v/>
      </c>
      <c r="M335" s="4" t="n"/>
      <c r="N335" s="4" t="n"/>
      <c r="O335" s="4">
        <f>IF($A335="","",TEXT($A335,"yyyy")&amp;"-W"&amp;TEXT(ISOWEEKNUM($A335),"00"))</f>
        <v/>
      </c>
      <c r="P335" s="4" t="n"/>
      <c r="Q335" s="14">
        <f>IF($A335="","",TEXT($A335,"yyyy-mm"))</f>
        <v/>
      </c>
    </row>
    <row r="336">
      <c r="A336" s="66" t="n"/>
      <c r="B336" s="4" t="n"/>
      <c r="C336" s="11">
        <f>IFERROR(VLOOKUP($B336,Members!$A:$C,2,FALSE),"")</f>
        <v/>
      </c>
      <c r="D336" s="11">
        <f>IFERROR(VLOOKUP($B336,Members!$A:$C,3,FALSE),"")</f>
        <v/>
      </c>
      <c r="E336" s="11">
        <f>IF($F336="","",IFERROR(VLOOKUP($F336,ActionMap!$A:$B,2,FALSE),"INVALID ACTION"))</f>
        <v/>
      </c>
      <c r="F336" s="4" t="n"/>
      <c r="G336" s="11">
        <f>IFERROR(VLOOKUP($E336,ActionsCatalog!$A:$B,2,FALSE),"")</f>
        <v/>
      </c>
      <c r="H336" s="4" t="n"/>
      <c r="I336" s="4">
        <f>IFERROR(VLOOKUP($E336,ActionsCatalog!$A:$D,3,FALSE),0)</f>
        <v/>
      </c>
      <c r="J336" s="4">
        <f>IFERROR(VLOOKUP($E336,ActionsCatalog!$A:$D,4,FALSE),0)</f>
        <v/>
      </c>
      <c r="K336" s="4">
        <f>IF($M336&lt;&gt;"Yes",0,IF($H336="",0,$H336*$I336))</f>
        <v/>
      </c>
      <c r="L336" s="4">
        <f>IF($M336&lt;&gt;"Yes",0,IF($H336="",0,$H336*$J336))</f>
        <v/>
      </c>
      <c r="M336" s="4" t="n"/>
      <c r="N336" s="4" t="n"/>
      <c r="O336" s="4">
        <f>IF($A336="","",TEXT($A336,"yyyy")&amp;"-W"&amp;TEXT(ISOWEEKNUM($A336),"00"))</f>
        <v/>
      </c>
      <c r="P336" s="4" t="n"/>
      <c r="Q336" s="14">
        <f>IF($A336="","",TEXT($A336,"yyyy-mm"))</f>
        <v/>
      </c>
    </row>
    <row r="337">
      <c r="A337" s="66" t="n"/>
      <c r="B337" s="4" t="n"/>
      <c r="C337" s="11">
        <f>IFERROR(VLOOKUP($B337,Members!$A:$C,2,FALSE),"")</f>
        <v/>
      </c>
      <c r="D337" s="11">
        <f>IFERROR(VLOOKUP($B337,Members!$A:$C,3,FALSE),"")</f>
        <v/>
      </c>
      <c r="E337" s="11">
        <f>IF($F337="","",IFERROR(VLOOKUP($F337,ActionMap!$A:$B,2,FALSE),"INVALID ACTION"))</f>
        <v/>
      </c>
      <c r="F337" s="4" t="n"/>
      <c r="G337" s="11">
        <f>IFERROR(VLOOKUP($E337,ActionsCatalog!$A:$B,2,FALSE),"")</f>
        <v/>
      </c>
      <c r="H337" s="4" t="n"/>
      <c r="I337" s="4">
        <f>IFERROR(VLOOKUP($E337,ActionsCatalog!$A:$D,3,FALSE),0)</f>
        <v/>
      </c>
      <c r="J337" s="4">
        <f>IFERROR(VLOOKUP($E337,ActionsCatalog!$A:$D,4,FALSE),0)</f>
        <v/>
      </c>
      <c r="K337" s="4">
        <f>IF($M337&lt;&gt;"Yes",0,IF($H337="",0,$H337*$I337))</f>
        <v/>
      </c>
      <c r="L337" s="4">
        <f>IF($M337&lt;&gt;"Yes",0,IF($H337="",0,$H337*$J337))</f>
        <v/>
      </c>
      <c r="M337" s="4" t="n"/>
      <c r="N337" s="4" t="n"/>
      <c r="O337" s="4">
        <f>IF($A337="","",TEXT($A337,"yyyy")&amp;"-W"&amp;TEXT(ISOWEEKNUM($A337),"00"))</f>
        <v/>
      </c>
      <c r="P337" s="4" t="n"/>
      <c r="Q337" s="14">
        <f>IF($A337="","",TEXT($A337,"yyyy-mm"))</f>
        <v/>
      </c>
    </row>
    <row r="338">
      <c r="A338" s="66" t="n"/>
      <c r="B338" s="4" t="n"/>
      <c r="C338" s="11">
        <f>IFERROR(VLOOKUP($B338,Members!$A:$C,2,FALSE),"")</f>
        <v/>
      </c>
      <c r="D338" s="11">
        <f>IFERROR(VLOOKUP($B338,Members!$A:$C,3,FALSE),"")</f>
        <v/>
      </c>
      <c r="E338" s="11">
        <f>IF($F338="","",IFERROR(VLOOKUP($F338,ActionMap!$A:$B,2,FALSE),"INVALID ACTION"))</f>
        <v/>
      </c>
      <c r="F338" s="4" t="n"/>
      <c r="G338" s="11">
        <f>IFERROR(VLOOKUP($E338,ActionsCatalog!$A:$B,2,FALSE),"")</f>
        <v/>
      </c>
      <c r="H338" s="4" t="n"/>
      <c r="I338" s="4">
        <f>IFERROR(VLOOKUP($E338,ActionsCatalog!$A:$D,3,FALSE),0)</f>
        <v/>
      </c>
      <c r="J338" s="4">
        <f>IFERROR(VLOOKUP($E338,ActionsCatalog!$A:$D,4,FALSE),0)</f>
        <v/>
      </c>
      <c r="K338" s="4">
        <f>IF($M338&lt;&gt;"Yes",0,IF($H338="",0,$H338*$I338))</f>
        <v/>
      </c>
      <c r="L338" s="4">
        <f>IF($M338&lt;&gt;"Yes",0,IF($H338="",0,$H338*$J338))</f>
        <v/>
      </c>
      <c r="M338" s="4" t="n"/>
      <c r="N338" s="4" t="n"/>
      <c r="O338" s="4">
        <f>IF($A338="","",TEXT($A338,"yyyy")&amp;"-W"&amp;TEXT(ISOWEEKNUM($A338),"00"))</f>
        <v/>
      </c>
      <c r="P338" s="4" t="n"/>
      <c r="Q338" s="14">
        <f>IF($A338="","",TEXT($A338,"yyyy-mm"))</f>
        <v/>
      </c>
    </row>
    <row r="339">
      <c r="A339" s="66" t="n"/>
      <c r="B339" s="4" t="n"/>
      <c r="C339" s="11">
        <f>IFERROR(VLOOKUP($B339,Members!$A:$C,2,FALSE),"")</f>
        <v/>
      </c>
      <c r="D339" s="11">
        <f>IFERROR(VLOOKUP($B339,Members!$A:$C,3,FALSE),"")</f>
        <v/>
      </c>
      <c r="E339" s="11">
        <f>IF($F339="","",IFERROR(VLOOKUP($F339,ActionMap!$A:$B,2,FALSE),"INVALID ACTION"))</f>
        <v/>
      </c>
      <c r="F339" s="4" t="n"/>
      <c r="G339" s="11">
        <f>IFERROR(VLOOKUP($E339,ActionsCatalog!$A:$B,2,FALSE),"")</f>
        <v/>
      </c>
      <c r="H339" s="4" t="n"/>
      <c r="I339" s="4">
        <f>IFERROR(VLOOKUP($E339,ActionsCatalog!$A:$D,3,FALSE),0)</f>
        <v/>
      </c>
      <c r="J339" s="4">
        <f>IFERROR(VLOOKUP($E339,ActionsCatalog!$A:$D,4,FALSE),0)</f>
        <v/>
      </c>
      <c r="K339" s="4">
        <f>IF($M339&lt;&gt;"Yes",0,IF($H339="",0,$H339*$I339))</f>
        <v/>
      </c>
      <c r="L339" s="4">
        <f>IF($M339&lt;&gt;"Yes",0,IF($H339="",0,$H339*$J339))</f>
        <v/>
      </c>
      <c r="M339" s="4" t="n"/>
      <c r="N339" s="4" t="n"/>
      <c r="O339" s="4">
        <f>IF($A339="","",TEXT($A339,"yyyy")&amp;"-W"&amp;TEXT(ISOWEEKNUM($A339),"00"))</f>
        <v/>
      </c>
      <c r="P339" s="4" t="n"/>
      <c r="Q339" s="14">
        <f>IF($A339="","",TEXT($A339,"yyyy-mm"))</f>
        <v/>
      </c>
    </row>
    <row r="340">
      <c r="A340" s="66" t="n"/>
      <c r="B340" s="4" t="n"/>
      <c r="C340" s="11">
        <f>IFERROR(VLOOKUP($B340,Members!$A:$C,2,FALSE),"")</f>
        <v/>
      </c>
      <c r="D340" s="11">
        <f>IFERROR(VLOOKUP($B340,Members!$A:$C,3,FALSE),"")</f>
        <v/>
      </c>
      <c r="E340" s="11">
        <f>IF($F340="","",IFERROR(VLOOKUP($F340,ActionMap!$A:$B,2,FALSE),"INVALID ACTION"))</f>
        <v/>
      </c>
      <c r="F340" s="4" t="n"/>
      <c r="G340" s="11">
        <f>IFERROR(VLOOKUP($E340,ActionsCatalog!$A:$B,2,FALSE),"")</f>
        <v/>
      </c>
      <c r="H340" s="4" t="n"/>
      <c r="I340" s="4">
        <f>IFERROR(VLOOKUP($E340,ActionsCatalog!$A:$D,3,FALSE),0)</f>
        <v/>
      </c>
      <c r="J340" s="4">
        <f>IFERROR(VLOOKUP($E340,ActionsCatalog!$A:$D,4,FALSE),0)</f>
        <v/>
      </c>
      <c r="K340" s="4">
        <f>IF($M340&lt;&gt;"Yes",0,IF($H340="",0,$H340*$I340))</f>
        <v/>
      </c>
      <c r="L340" s="4">
        <f>IF($M340&lt;&gt;"Yes",0,IF($H340="",0,$H340*$J340))</f>
        <v/>
      </c>
      <c r="M340" s="4" t="n"/>
      <c r="N340" s="4" t="n"/>
      <c r="O340" s="4">
        <f>IF($A340="","",TEXT($A340,"yyyy")&amp;"-W"&amp;TEXT(ISOWEEKNUM($A340),"00"))</f>
        <v/>
      </c>
      <c r="P340" s="4" t="n"/>
      <c r="Q340" s="14">
        <f>IF($A340="","",TEXT($A340,"yyyy-mm"))</f>
        <v/>
      </c>
    </row>
    <row r="341">
      <c r="A341" s="66" t="n"/>
      <c r="B341" s="4" t="n"/>
      <c r="C341" s="11">
        <f>IFERROR(VLOOKUP($B341,Members!$A:$C,2,FALSE),"")</f>
        <v/>
      </c>
      <c r="D341" s="11">
        <f>IFERROR(VLOOKUP($B341,Members!$A:$C,3,FALSE),"")</f>
        <v/>
      </c>
      <c r="E341" s="11">
        <f>IF($F341="","",IFERROR(VLOOKUP($F341,ActionMap!$A:$B,2,FALSE),"INVALID ACTION"))</f>
        <v/>
      </c>
      <c r="F341" s="4" t="n"/>
      <c r="G341" s="11">
        <f>IFERROR(VLOOKUP($E341,ActionsCatalog!$A:$B,2,FALSE),"")</f>
        <v/>
      </c>
      <c r="H341" s="4" t="n"/>
      <c r="I341" s="4">
        <f>IFERROR(VLOOKUP($E341,ActionsCatalog!$A:$D,3,FALSE),0)</f>
        <v/>
      </c>
      <c r="J341" s="4">
        <f>IFERROR(VLOOKUP($E341,ActionsCatalog!$A:$D,4,FALSE),0)</f>
        <v/>
      </c>
      <c r="K341" s="4">
        <f>IF($M341&lt;&gt;"Yes",0,IF($H341="",0,$H341*$I341))</f>
        <v/>
      </c>
      <c r="L341" s="4">
        <f>IF($M341&lt;&gt;"Yes",0,IF($H341="",0,$H341*$J341))</f>
        <v/>
      </c>
      <c r="M341" s="4" t="n"/>
      <c r="N341" s="4" t="n"/>
      <c r="O341" s="4">
        <f>IF($A341="","",TEXT($A341,"yyyy")&amp;"-W"&amp;TEXT(ISOWEEKNUM($A341),"00"))</f>
        <v/>
      </c>
      <c r="P341" s="4" t="n"/>
      <c r="Q341" s="14">
        <f>IF($A341="","",TEXT($A341,"yyyy-mm"))</f>
        <v/>
      </c>
    </row>
    <row r="342">
      <c r="A342" s="66" t="n"/>
      <c r="B342" s="4" t="n"/>
      <c r="C342" s="11">
        <f>IFERROR(VLOOKUP($B342,Members!$A:$C,2,FALSE),"")</f>
        <v/>
      </c>
      <c r="D342" s="11">
        <f>IFERROR(VLOOKUP($B342,Members!$A:$C,3,FALSE),"")</f>
        <v/>
      </c>
      <c r="E342" s="11">
        <f>IF($F342="","",IFERROR(VLOOKUP($F342,ActionMap!$A:$B,2,FALSE),"INVALID ACTION"))</f>
        <v/>
      </c>
      <c r="F342" s="4" t="n"/>
      <c r="G342" s="11">
        <f>IFERROR(VLOOKUP($E342,ActionsCatalog!$A:$B,2,FALSE),"")</f>
        <v/>
      </c>
      <c r="H342" s="4" t="n"/>
      <c r="I342" s="4">
        <f>IFERROR(VLOOKUP($E342,ActionsCatalog!$A:$D,3,FALSE),0)</f>
        <v/>
      </c>
      <c r="J342" s="4">
        <f>IFERROR(VLOOKUP($E342,ActionsCatalog!$A:$D,4,FALSE),0)</f>
        <v/>
      </c>
      <c r="K342" s="4">
        <f>IF($M342&lt;&gt;"Yes",0,IF($H342="",0,$H342*$I342))</f>
        <v/>
      </c>
      <c r="L342" s="4">
        <f>IF($M342&lt;&gt;"Yes",0,IF($H342="",0,$H342*$J342))</f>
        <v/>
      </c>
      <c r="M342" s="4" t="n"/>
      <c r="N342" s="4" t="n"/>
      <c r="O342" s="4">
        <f>IF($A342="","",TEXT($A342,"yyyy")&amp;"-W"&amp;TEXT(ISOWEEKNUM($A342),"00"))</f>
        <v/>
      </c>
      <c r="P342" s="4" t="n"/>
      <c r="Q342" s="14">
        <f>IF($A342="","",TEXT($A342,"yyyy-mm"))</f>
        <v/>
      </c>
    </row>
    <row r="343">
      <c r="A343" s="66" t="n"/>
      <c r="B343" s="4" t="n"/>
      <c r="C343" s="11">
        <f>IFERROR(VLOOKUP($B343,Members!$A:$C,2,FALSE),"")</f>
        <v/>
      </c>
      <c r="D343" s="11">
        <f>IFERROR(VLOOKUP($B343,Members!$A:$C,3,FALSE),"")</f>
        <v/>
      </c>
      <c r="E343" s="11">
        <f>IF($F343="","",IFERROR(VLOOKUP($F343,ActionMap!$A:$B,2,FALSE),"INVALID ACTION"))</f>
        <v/>
      </c>
      <c r="F343" s="4" t="n"/>
      <c r="G343" s="11">
        <f>IFERROR(VLOOKUP($E343,ActionsCatalog!$A:$B,2,FALSE),"")</f>
        <v/>
      </c>
      <c r="H343" s="4" t="n"/>
      <c r="I343" s="4">
        <f>IFERROR(VLOOKUP($E343,ActionsCatalog!$A:$D,3,FALSE),0)</f>
        <v/>
      </c>
      <c r="J343" s="4">
        <f>IFERROR(VLOOKUP($E343,ActionsCatalog!$A:$D,4,FALSE),0)</f>
        <v/>
      </c>
      <c r="K343" s="4">
        <f>IF($M343&lt;&gt;"Yes",0,IF($H343="",0,$H343*$I343))</f>
        <v/>
      </c>
      <c r="L343" s="4">
        <f>IF($M343&lt;&gt;"Yes",0,IF($H343="",0,$H343*$J343))</f>
        <v/>
      </c>
      <c r="M343" s="4" t="n"/>
      <c r="N343" s="4" t="n"/>
      <c r="O343" s="4">
        <f>IF($A343="","",TEXT($A343,"yyyy")&amp;"-W"&amp;TEXT(ISOWEEKNUM($A343),"00"))</f>
        <v/>
      </c>
      <c r="P343" s="4" t="n"/>
      <c r="Q343" s="14">
        <f>IF($A343="","",TEXT($A343,"yyyy-mm"))</f>
        <v/>
      </c>
    </row>
    <row r="344">
      <c r="A344" s="66" t="n"/>
      <c r="B344" s="4" t="n"/>
      <c r="C344" s="11">
        <f>IFERROR(VLOOKUP($B344,Members!$A:$C,2,FALSE),"")</f>
        <v/>
      </c>
      <c r="D344" s="11">
        <f>IFERROR(VLOOKUP($B344,Members!$A:$C,3,FALSE),"")</f>
        <v/>
      </c>
      <c r="E344" s="11">
        <f>IF($F344="","",IFERROR(VLOOKUP($F344,ActionMap!$A:$B,2,FALSE),"INVALID ACTION"))</f>
        <v/>
      </c>
      <c r="F344" s="4" t="n"/>
      <c r="G344" s="11">
        <f>IFERROR(VLOOKUP($E344,ActionsCatalog!$A:$B,2,FALSE),"")</f>
        <v/>
      </c>
      <c r="H344" s="4" t="n"/>
      <c r="I344" s="4">
        <f>IFERROR(VLOOKUP($E344,ActionsCatalog!$A:$D,3,FALSE),0)</f>
        <v/>
      </c>
      <c r="J344" s="4">
        <f>IFERROR(VLOOKUP($E344,ActionsCatalog!$A:$D,4,FALSE),0)</f>
        <v/>
      </c>
      <c r="K344" s="4">
        <f>IF($M344&lt;&gt;"Yes",0,IF($H344="",0,$H344*$I344))</f>
        <v/>
      </c>
      <c r="L344" s="4">
        <f>IF($M344&lt;&gt;"Yes",0,IF($H344="",0,$H344*$J344))</f>
        <v/>
      </c>
      <c r="M344" s="4" t="n"/>
      <c r="N344" s="4" t="n"/>
      <c r="O344" s="4">
        <f>IF($A344="","",TEXT($A344,"yyyy")&amp;"-W"&amp;TEXT(ISOWEEKNUM($A344),"00"))</f>
        <v/>
      </c>
      <c r="P344" s="4" t="n"/>
      <c r="Q344" s="14">
        <f>IF($A344="","",TEXT($A344,"yyyy-mm"))</f>
        <v/>
      </c>
    </row>
    <row r="345">
      <c r="A345" s="66" t="n"/>
      <c r="B345" s="4" t="n"/>
      <c r="C345" s="11">
        <f>IFERROR(VLOOKUP($B345,Members!$A:$C,2,FALSE),"")</f>
        <v/>
      </c>
      <c r="D345" s="11">
        <f>IFERROR(VLOOKUP($B345,Members!$A:$C,3,FALSE),"")</f>
        <v/>
      </c>
      <c r="E345" s="11">
        <f>IF($F345="","",IFERROR(VLOOKUP($F345,ActionMap!$A:$B,2,FALSE),"INVALID ACTION"))</f>
        <v/>
      </c>
      <c r="F345" s="4" t="n"/>
      <c r="G345" s="11">
        <f>IFERROR(VLOOKUP($E345,ActionsCatalog!$A:$B,2,FALSE),"")</f>
        <v/>
      </c>
      <c r="H345" s="4" t="n"/>
      <c r="I345" s="4">
        <f>IFERROR(VLOOKUP($E345,ActionsCatalog!$A:$D,3,FALSE),0)</f>
        <v/>
      </c>
      <c r="J345" s="4">
        <f>IFERROR(VLOOKUP($E345,ActionsCatalog!$A:$D,4,FALSE),0)</f>
        <v/>
      </c>
      <c r="K345" s="4">
        <f>IF($M345&lt;&gt;"Yes",0,IF($H345="",0,$H345*$I345))</f>
        <v/>
      </c>
      <c r="L345" s="4">
        <f>IF($M345&lt;&gt;"Yes",0,IF($H345="",0,$H345*$J345))</f>
        <v/>
      </c>
      <c r="M345" s="4" t="n"/>
      <c r="N345" s="4" t="n"/>
      <c r="O345" s="4">
        <f>IF($A345="","",TEXT($A345,"yyyy")&amp;"-W"&amp;TEXT(ISOWEEKNUM($A345),"00"))</f>
        <v/>
      </c>
      <c r="P345" s="4" t="n"/>
      <c r="Q345" s="14">
        <f>IF($A345="","",TEXT($A345,"yyyy-mm"))</f>
        <v/>
      </c>
    </row>
    <row r="346">
      <c r="A346" s="66" t="n"/>
      <c r="B346" s="4" t="n"/>
      <c r="C346" s="11">
        <f>IFERROR(VLOOKUP($B346,Members!$A:$C,2,FALSE),"")</f>
        <v/>
      </c>
      <c r="D346" s="11">
        <f>IFERROR(VLOOKUP($B346,Members!$A:$C,3,FALSE),"")</f>
        <v/>
      </c>
      <c r="E346" s="11">
        <f>IF($F346="","",IFERROR(VLOOKUP($F346,ActionMap!$A:$B,2,FALSE),"INVALID ACTION"))</f>
        <v/>
      </c>
      <c r="F346" s="4" t="n"/>
      <c r="G346" s="11">
        <f>IFERROR(VLOOKUP($E346,ActionsCatalog!$A:$B,2,FALSE),"")</f>
        <v/>
      </c>
      <c r="H346" s="4" t="n"/>
      <c r="I346" s="4">
        <f>IFERROR(VLOOKUP($E346,ActionsCatalog!$A:$D,3,FALSE),0)</f>
        <v/>
      </c>
      <c r="J346" s="4">
        <f>IFERROR(VLOOKUP($E346,ActionsCatalog!$A:$D,4,FALSE),0)</f>
        <v/>
      </c>
      <c r="K346" s="4">
        <f>IF($M346&lt;&gt;"Yes",0,IF($H346="",0,$H346*$I346))</f>
        <v/>
      </c>
      <c r="L346" s="4">
        <f>IF($M346&lt;&gt;"Yes",0,IF($H346="",0,$H346*$J346))</f>
        <v/>
      </c>
      <c r="M346" s="4" t="n"/>
      <c r="N346" s="4" t="n"/>
      <c r="O346" s="4">
        <f>IF($A346="","",TEXT($A346,"yyyy")&amp;"-W"&amp;TEXT(ISOWEEKNUM($A346),"00"))</f>
        <v/>
      </c>
      <c r="P346" s="4" t="n"/>
      <c r="Q346" s="14">
        <f>IF($A346="","",TEXT($A346,"yyyy-mm"))</f>
        <v/>
      </c>
    </row>
    <row r="347">
      <c r="A347" s="66" t="n"/>
      <c r="B347" s="4" t="n"/>
      <c r="C347" s="11">
        <f>IFERROR(VLOOKUP($B347,Members!$A:$C,2,FALSE),"")</f>
        <v/>
      </c>
      <c r="D347" s="11">
        <f>IFERROR(VLOOKUP($B347,Members!$A:$C,3,FALSE),"")</f>
        <v/>
      </c>
      <c r="E347" s="11">
        <f>IF($F347="","",IFERROR(VLOOKUP($F347,ActionMap!$A:$B,2,FALSE),"INVALID ACTION"))</f>
        <v/>
      </c>
      <c r="F347" s="4" t="n"/>
      <c r="G347" s="11">
        <f>IFERROR(VLOOKUP($E347,ActionsCatalog!$A:$B,2,FALSE),"")</f>
        <v/>
      </c>
      <c r="H347" s="4" t="n"/>
      <c r="I347" s="4">
        <f>IFERROR(VLOOKUP($E347,ActionsCatalog!$A:$D,3,FALSE),0)</f>
        <v/>
      </c>
      <c r="J347" s="4">
        <f>IFERROR(VLOOKUP($E347,ActionsCatalog!$A:$D,4,FALSE),0)</f>
        <v/>
      </c>
      <c r="K347" s="4">
        <f>IF($M347&lt;&gt;"Yes",0,IF($H347="",0,$H347*$I347))</f>
        <v/>
      </c>
      <c r="L347" s="4">
        <f>IF($M347&lt;&gt;"Yes",0,IF($H347="",0,$H347*$J347))</f>
        <v/>
      </c>
      <c r="M347" s="4" t="n"/>
      <c r="N347" s="4" t="n"/>
      <c r="O347" s="4">
        <f>IF($A347="","",TEXT($A347,"yyyy")&amp;"-W"&amp;TEXT(ISOWEEKNUM($A347),"00"))</f>
        <v/>
      </c>
      <c r="P347" s="4" t="n"/>
      <c r="Q347" s="14">
        <f>IF($A347="","",TEXT($A347,"yyyy-mm"))</f>
        <v/>
      </c>
    </row>
    <row r="348">
      <c r="A348" s="66" t="n"/>
      <c r="B348" s="4" t="n"/>
      <c r="C348" s="11">
        <f>IFERROR(VLOOKUP($B348,Members!$A:$C,2,FALSE),"")</f>
        <v/>
      </c>
      <c r="D348" s="11">
        <f>IFERROR(VLOOKUP($B348,Members!$A:$C,3,FALSE),"")</f>
        <v/>
      </c>
      <c r="E348" s="11">
        <f>IF($F348="","",IFERROR(VLOOKUP($F348,ActionMap!$A:$B,2,FALSE),"INVALID ACTION"))</f>
        <v/>
      </c>
      <c r="F348" s="4" t="n"/>
      <c r="G348" s="11">
        <f>IFERROR(VLOOKUP($E348,ActionsCatalog!$A:$B,2,FALSE),"")</f>
        <v/>
      </c>
      <c r="H348" s="4" t="n"/>
      <c r="I348" s="4">
        <f>IFERROR(VLOOKUP($E348,ActionsCatalog!$A:$D,3,FALSE),0)</f>
        <v/>
      </c>
      <c r="J348" s="4">
        <f>IFERROR(VLOOKUP($E348,ActionsCatalog!$A:$D,4,FALSE),0)</f>
        <v/>
      </c>
      <c r="K348" s="4">
        <f>IF($M348&lt;&gt;"Yes",0,IF($H348="",0,$H348*$I348))</f>
        <v/>
      </c>
      <c r="L348" s="4">
        <f>IF($M348&lt;&gt;"Yes",0,IF($H348="",0,$H348*$J348))</f>
        <v/>
      </c>
      <c r="M348" s="4" t="n"/>
      <c r="N348" s="4" t="n"/>
      <c r="O348" s="4">
        <f>IF($A348="","",TEXT($A348,"yyyy")&amp;"-W"&amp;TEXT(ISOWEEKNUM($A348),"00"))</f>
        <v/>
      </c>
      <c r="P348" s="4" t="n"/>
      <c r="Q348" s="14">
        <f>IF($A348="","",TEXT($A348,"yyyy-mm"))</f>
        <v/>
      </c>
    </row>
    <row r="349">
      <c r="A349" s="66" t="n"/>
      <c r="B349" s="4" t="n"/>
      <c r="C349" s="11">
        <f>IFERROR(VLOOKUP($B349,Members!$A:$C,2,FALSE),"")</f>
        <v/>
      </c>
      <c r="D349" s="11">
        <f>IFERROR(VLOOKUP($B349,Members!$A:$C,3,FALSE),"")</f>
        <v/>
      </c>
      <c r="E349" s="11">
        <f>IF($F349="","",IFERROR(VLOOKUP($F349,ActionMap!$A:$B,2,FALSE),"INVALID ACTION"))</f>
        <v/>
      </c>
      <c r="F349" s="4" t="n"/>
      <c r="G349" s="11">
        <f>IFERROR(VLOOKUP($E349,ActionsCatalog!$A:$B,2,FALSE),"")</f>
        <v/>
      </c>
      <c r="H349" s="4" t="n"/>
      <c r="I349" s="4">
        <f>IFERROR(VLOOKUP($E349,ActionsCatalog!$A:$D,3,FALSE),0)</f>
        <v/>
      </c>
      <c r="J349" s="4">
        <f>IFERROR(VLOOKUP($E349,ActionsCatalog!$A:$D,4,FALSE),0)</f>
        <v/>
      </c>
      <c r="K349" s="4">
        <f>IF($M349&lt;&gt;"Yes",0,IF($H349="",0,$H349*$I349))</f>
        <v/>
      </c>
      <c r="L349" s="4">
        <f>IF($M349&lt;&gt;"Yes",0,IF($H349="",0,$H349*$J349))</f>
        <v/>
      </c>
      <c r="M349" s="4" t="n"/>
      <c r="N349" s="4" t="n"/>
      <c r="O349" s="4">
        <f>IF($A349="","",TEXT($A349,"yyyy")&amp;"-W"&amp;TEXT(ISOWEEKNUM($A349),"00"))</f>
        <v/>
      </c>
      <c r="P349" s="4" t="n"/>
      <c r="Q349" s="14">
        <f>IF($A349="","",TEXT($A349,"yyyy-mm"))</f>
        <v/>
      </c>
    </row>
    <row r="350">
      <c r="A350" s="66" t="n"/>
      <c r="B350" s="4" t="n"/>
      <c r="C350" s="11">
        <f>IFERROR(VLOOKUP($B350,Members!$A:$C,2,FALSE),"")</f>
        <v/>
      </c>
      <c r="D350" s="11">
        <f>IFERROR(VLOOKUP($B350,Members!$A:$C,3,FALSE),"")</f>
        <v/>
      </c>
      <c r="E350" s="11">
        <f>IF($F350="","",IFERROR(VLOOKUP($F350,ActionMap!$A:$B,2,FALSE),"INVALID ACTION"))</f>
        <v/>
      </c>
      <c r="F350" s="4" t="n"/>
      <c r="G350" s="11">
        <f>IFERROR(VLOOKUP($E350,ActionsCatalog!$A:$B,2,FALSE),"")</f>
        <v/>
      </c>
      <c r="H350" s="4" t="n"/>
      <c r="I350" s="4">
        <f>IFERROR(VLOOKUP($E350,ActionsCatalog!$A:$D,3,FALSE),0)</f>
        <v/>
      </c>
      <c r="J350" s="4">
        <f>IFERROR(VLOOKUP($E350,ActionsCatalog!$A:$D,4,FALSE),0)</f>
        <v/>
      </c>
      <c r="K350" s="4">
        <f>IF($M350&lt;&gt;"Yes",0,IF($H350="",0,$H350*$I350))</f>
        <v/>
      </c>
      <c r="L350" s="4">
        <f>IF($M350&lt;&gt;"Yes",0,IF($H350="",0,$H350*$J350))</f>
        <v/>
      </c>
      <c r="M350" s="4" t="n"/>
      <c r="N350" s="4" t="n"/>
      <c r="O350" s="4">
        <f>IF($A350="","",TEXT($A350,"yyyy")&amp;"-W"&amp;TEXT(ISOWEEKNUM($A350),"00"))</f>
        <v/>
      </c>
      <c r="P350" s="4" t="n"/>
      <c r="Q350" s="14">
        <f>IF($A350="","",TEXT($A350,"yyyy-mm"))</f>
        <v/>
      </c>
    </row>
    <row r="351">
      <c r="A351" s="66" t="n"/>
      <c r="B351" s="4" t="n"/>
      <c r="C351" s="11">
        <f>IFERROR(VLOOKUP($B351,Members!$A:$C,2,FALSE),"")</f>
        <v/>
      </c>
      <c r="D351" s="11">
        <f>IFERROR(VLOOKUP($B351,Members!$A:$C,3,FALSE),"")</f>
        <v/>
      </c>
      <c r="E351" s="11">
        <f>IF($F351="","",IFERROR(VLOOKUP($F351,ActionMap!$A:$B,2,FALSE),"INVALID ACTION"))</f>
        <v/>
      </c>
      <c r="F351" s="4" t="n"/>
      <c r="G351" s="11">
        <f>IFERROR(VLOOKUP($E351,ActionsCatalog!$A:$B,2,FALSE),"")</f>
        <v/>
      </c>
      <c r="H351" s="4" t="n"/>
      <c r="I351" s="4">
        <f>IFERROR(VLOOKUP($E351,ActionsCatalog!$A:$D,3,FALSE),0)</f>
        <v/>
      </c>
      <c r="J351" s="4">
        <f>IFERROR(VLOOKUP($E351,ActionsCatalog!$A:$D,4,FALSE),0)</f>
        <v/>
      </c>
      <c r="K351" s="4">
        <f>IF($M351&lt;&gt;"Yes",0,IF($H351="",0,$H351*$I351))</f>
        <v/>
      </c>
      <c r="L351" s="4">
        <f>IF($M351&lt;&gt;"Yes",0,IF($H351="",0,$H351*$J351))</f>
        <v/>
      </c>
      <c r="M351" s="4" t="n"/>
      <c r="N351" s="4" t="n"/>
      <c r="O351" s="4">
        <f>IF($A351="","",TEXT($A351,"yyyy")&amp;"-W"&amp;TEXT(ISOWEEKNUM($A351),"00"))</f>
        <v/>
      </c>
      <c r="P351" s="4" t="n"/>
      <c r="Q351" s="14">
        <f>IF($A351="","",TEXT($A351,"yyyy-mm"))</f>
        <v/>
      </c>
    </row>
    <row r="352">
      <c r="A352" s="66" t="n"/>
      <c r="B352" s="4" t="n"/>
      <c r="C352" s="11">
        <f>IFERROR(VLOOKUP($B352,Members!$A:$C,2,FALSE),"")</f>
        <v/>
      </c>
      <c r="D352" s="11">
        <f>IFERROR(VLOOKUP($B352,Members!$A:$C,3,FALSE),"")</f>
        <v/>
      </c>
      <c r="E352" s="11">
        <f>IF($F352="","",IFERROR(VLOOKUP($F352,ActionMap!$A:$B,2,FALSE),"INVALID ACTION"))</f>
        <v/>
      </c>
      <c r="F352" s="4" t="n"/>
      <c r="G352" s="11">
        <f>IFERROR(VLOOKUP($E352,ActionsCatalog!$A:$B,2,FALSE),"")</f>
        <v/>
      </c>
      <c r="H352" s="4" t="n"/>
      <c r="I352" s="4">
        <f>IFERROR(VLOOKUP($E352,ActionsCatalog!$A:$D,3,FALSE),0)</f>
        <v/>
      </c>
      <c r="J352" s="4">
        <f>IFERROR(VLOOKUP($E352,ActionsCatalog!$A:$D,4,FALSE),0)</f>
        <v/>
      </c>
      <c r="K352" s="4">
        <f>IF($M352&lt;&gt;"Yes",0,IF($H352="",0,$H352*$I352))</f>
        <v/>
      </c>
      <c r="L352" s="4">
        <f>IF($M352&lt;&gt;"Yes",0,IF($H352="",0,$H352*$J352))</f>
        <v/>
      </c>
      <c r="M352" s="4" t="n"/>
      <c r="N352" s="4" t="n"/>
      <c r="O352" s="4">
        <f>IF($A352="","",TEXT($A352,"yyyy")&amp;"-W"&amp;TEXT(ISOWEEKNUM($A352),"00"))</f>
        <v/>
      </c>
      <c r="P352" s="4" t="n"/>
      <c r="Q352" s="14">
        <f>IF($A352="","",TEXT($A352,"yyyy-mm"))</f>
        <v/>
      </c>
    </row>
    <row r="353">
      <c r="A353" s="66" t="n"/>
      <c r="B353" s="4" t="n"/>
      <c r="C353" s="11">
        <f>IFERROR(VLOOKUP($B353,Members!$A:$C,2,FALSE),"")</f>
        <v/>
      </c>
      <c r="D353" s="11">
        <f>IFERROR(VLOOKUP($B353,Members!$A:$C,3,FALSE),"")</f>
        <v/>
      </c>
      <c r="E353" s="11">
        <f>IF($F353="","",IFERROR(VLOOKUP($F353,ActionMap!$A:$B,2,FALSE),"INVALID ACTION"))</f>
        <v/>
      </c>
      <c r="F353" s="4" t="n"/>
      <c r="G353" s="11">
        <f>IFERROR(VLOOKUP($E353,ActionsCatalog!$A:$B,2,FALSE),"")</f>
        <v/>
      </c>
      <c r="H353" s="4" t="n"/>
      <c r="I353" s="4">
        <f>IFERROR(VLOOKUP($E353,ActionsCatalog!$A:$D,3,FALSE),0)</f>
        <v/>
      </c>
      <c r="J353" s="4">
        <f>IFERROR(VLOOKUP($E353,ActionsCatalog!$A:$D,4,FALSE),0)</f>
        <v/>
      </c>
      <c r="K353" s="4">
        <f>IF($M353&lt;&gt;"Yes",0,IF($H353="",0,$H353*$I353))</f>
        <v/>
      </c>
      <c r="L353" s="4">
        <f>IF($M353&lt;&gt;"Yes",0,IF($H353="",0,$H353*$J353))</f>
        <v/>
      </c>
      <c r="M353" s="4" t="n"/>
      <c r="N353" s="4" t="n"/>
      <c r="O353" s="4">
        <f>IF($A353="","",TEXT($A353,"yyyy")&amp;"-W"&amp;TEXT(ISOWEEKNUM($A353),"00"))</f>
        <v/>
      </c>
      <c r="P353" s="4" t="n"/>
      <c r="Q353" s="14">
        <f>IF($A353="","",TEXT($A353,"yyyy-mm"))</f>
        <v/>
      </c>
    </row>
    <row r="354">
      <c r="A354" s="66" t="n"/>
      <c r="B354" s="4" t="n"/>
      <c r="C354" s="11">
        <f>IFERROR(VLOOKUP($B354,Members!$A:$C,2,FALSE),"")</f>
        <v/>
      </c>
      <c r="D354" s="11">
        <f>IFERROR(VLOOKUP($B354,Members!$A:$C,3,FALSE),"")</f>
        <v/>
      </c>
      <c r="E354" s="11">
        <f>IF($F354="","",IFERROR(VLOOKUP($F354,ActionMap!$A:$B,2,FALSE),"INVALID ACTION"))</f>
        <v/>
      </c>
      <c r="F354" s="4" t="n"/>
      <c r="G354" s="11">
        <f>IFERROR(VLOOKUP($E354,ActionsCatalog!$A:$B,2,FALSE),"")</f>
        <v/>
      </c>
      <c r="H354" s="4" t="n"/>
      <c r="I354" s="4">
        <f>IFERROR(VLOOKUP($E354,ActionsCatalog!$A:$D,3,FALSE),0)</f>
        <v/>
      </c>
      <c r="J354" s="4">
        <f>IFERROR(VLOOKUP($E354,ActionsCatalog!$A:$D,4,FALSE),0)</f>
        <v/>
      </c>
      <c r="K354" s="4">
        <f>IF($M354&lt;&gt;"Yes",0,IF($H354="",0,$H354*$I354))</f>
        <v/>
      </c>
      <c r="L354" s="4">
        <f>IF($M354&lt;&gt;"Yes",0,IF($H354="",0,$H354*$J354))</f>
        <v/>
      </c>
      <c r="M354" s="4" t="n"/>
      <c r="N354" s="4" t="n"/>
      <c r="O354" s="4">
        <f>IF($A354="","",TEXT($A354,"yyyy")&amp;"-W"&amp;TEXT(ISOWEEKNUM($A354),"00"))</f>
        <v/>
      </c>
      <c r="P354" s="4" t="n"/>
      <c r="Q354" s="14">
        <f>IF($A354="","",TEXT($A354,"yyyy-mm"))</f>
        <v/>
      </c>
    </row>
    <row r="355">
      <c r="A355" s="66" t="n"/>
      <c r="B355" s="4" t="n"/>
      <c r="C355" s="11">
        <f>IFERROR(VLOOKUP($B355,Members!$A:$C,2,FALSE),"")</f>
        <v/>
      </c>
      <c r="D355" s="11">
        <f>IFERROR(VLOOKUP($B355,Members!$A:$C,3,FALSE),"")</f>
        <v/>
      </c>
      <c r="E355" s="11">
        <f>IF($F355="","",IFERROR(VLOOKUP($F355,ActionMap!$A:$B,2,FALSE),"INVALID ACTION"))</f>
        <v/>
      </c>
      <c r="F355" s="4" t="n"/>
      <c r="G355" s="11">
        <f>IFERROR(VLOOKUP($E355,ActionsCatalog!$A:$B,2,FALSE),"")</f>
        <v/>
      </c>
      <c r="H355" s="4" t="n"/>
      <c r="I355" s="4">
        <f>IFERROR(VLOOKUP($E355,ActionsCatalog!$A:$D,3,FALSE),0)</f>
        <v/>
      </c>
      <c r="J355" s="4">
        <f>IFERROR(VLOOKUP($E355,ActionsCatalog!$A:$D,4,FALSE),0)</f>
        <v/>
      </c>
      <c r="K355" s="4">
        <f>IF($M355&lt;&gt;"Yes",0,IF($H355="",0,$H355*$I355))</f>
        <v/>
      </c>
      <c r="L355" s="4">
        <f>IF($M355&lt;&gt;"Yes",0,IF($H355="",0,$H355*$J355))</f>
        <v/>
      </c>
      <c r="M355" s="4" t="n"/>
      <c r="N355" s="4" t="n"/>
      <c r="O355" s="4">
        <f>IF($A355="","",TEXT($A355,"yyyy")&amp;"-W"&amp;TEXT(ISOWEEKNUM($A355),"00"))</f>
        <v/>
      </c>
      <c r="P355" s="4" t="n"/>
      <c r="Q355" s="14">
        <f>IF($A355="","",TEXT($A355,"yyyy-mm"))</f>
        <v/>
      </c>
    </row>
    <row r="356">
      <c r="A356" s="66" t="n"/>
      <c r="B356" s="4" t="n"/>
      <c r="C356" s="11">
        <f>IFERROR(VLOOKUP($B356,Members!$A:$C,2,FALSE),"")</f>
        <v/>
      </c>
      <c r="D356" s="11">
        <f>IFERROR(VLOOKUP($B356,Members!$A:$C,3,FALSE),"")</f>
        <v/>
      </c>
      <c r="E356" s="11">
        <f>IF($F356="","",IFERROR(VLOOKUP($F356,ActionMap!$A:$B,2,FALSE),"INVALID ACTION"))</f>
        <v/>
      </c>
      <c r="F356" s="4" t="n"/>
      <c r="G356" s="11">
        <f>IFERROR(VLOOKUP($E356,ActionsCatalog!$A:$B,2,FALSE),"")</f>
        <v/>
      </c>
      <c r="H356" s="4" t="n"/>
      <c r="I356" s="4">
        <f>IFERROR(VLOOKUP($E356,ActionsCatalog!$A:$D,3,FALSE),0)</f>
        <v/>
      </c>
      <c r="J356" s="4">
        <f>IFERROR(VLOOKUP($E356,ActionsCatalog!$A:$D,4,FALSE),0)</f>
        <v/>
      </c>
      <c r="K356" s="4">
        <f>IF($M356&lt;&gt;"Yes",0,IF($H356="",0,$H356*$I356))</f>
        <v/>
      </c>
      <c r="L356" s="4">
        <f>IF($M356&lt;&gt;"Yes",0,IF($H356="",0,$H356*$J356))</f>
        <v/>
      </c>
      <c r="M356" s="4" t="n"/>
      <c r="N356" s="4" t="n"/>
      <c r="O356" s="4">
        <f>IF($A356="","",TEXT($A356,"yyyy")&amp;"-W"&amp;TEXT(ISOWEEKNUM($A356),"00"))</f>
        <v/>
      </c>
      <c r="P356" s="4" t="n"/>
      <c r="Q356" s="14">
        <f>IF($A356="","",TEXT($A356,"yyyy-mm"))</f>
        <v/>
      </c>
    </row>
    <row r="357">
      <c r="A357" s="66" t="n"/>
      <c r="B357" s="4" t="n"/>
      <c r="C357" s="11">
        <f>IFERROR(VLOOKUP($B357,Members!$A:$C,2,FALSE),"")</f>
        <v/>
      </c>
      <c r="D357" s="11">
        <f>IFERROR(VLOOKUP($B357,Members!$A:$C,3,FALSE),"")</f>
        <v/>
      </c>
      <c r="E357" s="11">
        <f>IF($F357="","",IFERROR(VLOOKUP($F357,ActionMap!$A:$B,2,FALSE),"INVALID ACTION"))</f>
        <v/>
      </c>
      <c r="F357" s="4" t="n"/>
      <c r="G357" s="11">
        <f>IFERROR(VLOOKUP($E357,ActionsCatalog!$A:$B,2,FALSE),"")</f>
        <v/>
      </c>
      <c r="H357" s="4" t="n"/>
      <c r="I357" s="4">
        <f>IFERROR(VLOOKUP($E357,ActionsCatalog!$A:$D,3,FALSE),0)</f>
        <v/>
      </c>
      <c r="J357" s="4">
        <f>IFERROR(VLOOKUP($E357,ActionsCatalog!$A:$D,4,FALSE),0)</f>
        <v/>
      </c>
      <c r="K357" s="4">
        <f>IF($M357&lt;&gt;"Yes",0,IF($H357="",0,$H357*$I357))</f>
        <v/>
      </c>
      <c r="L357" s="4">
        <f>IF($M357&lt;&gt;"Yes",0,IF($H357="",0,$H357*$J357))</f>
        <v/>
      </c>
      <c r="M357" s="4" t="n"/>
      <c r="N357" s="4" t="n"/>
      <c r="O357" s="4">
        <f>IF($A357="","",TEXT($A357,"yyyy")&amp;"-W"&amp;TEXT(ISOWEEKNUM($A357),"00"))</f>
        <v/>
      </c>
      <c r="P357" s="4" t="n"/>
      <c r="Q357" s="14">
        <f>IF($A357="","",TEXT($A357,"yyyy-mm"))</f>
        <v/>
      </c>
    </row>
    <row r="358">
      <c r="A358" s="66" t="n"/>
      <c r="B358" s="4" t="n"/>
      <c r="C358" s="11">
        <f>IFERROR(VLOOKUP($B358,Members!$A:$C,2,FALSE),"")</f>
        <v/>
      </c>
      <c r="D358" s="11">
        <f>IFERROR(VLOOKUP($B358,Members!$A:$C,3,FALSE),"")</f>
        <v/>
      </c>
      <c r="E358" s="11">
        <f>IF($F358="","",IFERROR(VLOOKUP($F358,ActionMap!$A:$B,2,FALSE),"INVALID ACTION"))</f>
        <v/>
      </c>
      <c r="F358" s="4" t="n"/>
      <c r="G358" s="11">
        <f>IFERROR(VLOOKUP($E358,ActionsCatalog!$A:$B,2,FALSE),"")</f>
        <v/>
      </c>
      <c r="H358" s="4" t="n"/>
      <c r="I358" s="4">
        <f>IFERROR(VLOOKUP($E358,ActionsCatalog!$A:$D,3,FALSE),0)</f>
        <v/>
      </c>
      <c r="J358" s="4">
        <f>IFERROR(VLOOKUP($E358,ActionsCatalog!$A:$D,4,FALSE),0)</f>
        <v/>
      </c>
      <c r="K358" s="4">
        <f>IF($M358&lt;&gt;"Yes",0,IF($H358="",0,$H358*$I358))</f>
        <v/>
      </c>
      <c r="L358" s="4">
        <f>IF($M358&lt;&gt;"Yes",0,IF($H358="",0,$H358*$J358))</f>
        <v/>
      </c>
      <c r="M358" s="4" t="n"/>
      <c r="N358" s="4" t="n"/>
      <c r="O358" s="4">
        <f>IF($A358="","",TEXT($A358,"yyyy")&amp;"-W"&amp;TEXT(ISOWEEKNUM($A358),"00"))</f>
        <v/>
      </c>
      <c r="P358" s="4" t="n"/>
      <c r="Q358" s="14">
        <f>IF($A358="","",TEXT($A358,"yyyy-mm"))</f>
        <v/>
      </c>
    </row>
    <row r="359">
      <c r="A359" s="66" t="n"/>
      <c r="B359" s="4" t="n"/>
      <c r="C359" s="11">
        <f>IFERROR(VLOOKUP($B359,Members!$A:$C,2,FALSE),"")</f>
        <v/>
      </c>
      <c r="D359" s="11">
        <f>IFERROR(VLOOKUP($B359,Members!$A:$C,3,FALSE),"")</f>
        <v/>
      </c>
      <c r="E359" s="11">
        <f>IF($F359="","",IFERROR(VLOOKUP($F359,ActionMap!$A:$B,2,FALSE),"INVALID ACTION"))</f>
        <v/>
      </c>
      <c r="F359" s="4" t="n"/>
      <c r="G359" s="11">
        <f>IFERROR(VLOOKUP($E359,ActionsCatalog!$A:$B,2,FALSE),"")</f>
        <v/>
      </c>
      <c r="H359" s="4" t="n"/>
      <c r="I359" s="4">
        <f>IFERROR(VLOOKUP($E359,ActionsCatalog!$A:$D,3,FALSE),0)</f>
        <v/>
      </c>
      <c r="J359" s="4">
        <f>IFERROR(VLOOKUP($E359,ActionsCatalog!$A:$D,4,FALSE),0)</f>
        <v/>
      </c>
      <c r="K359" s="4">
        <f>IF($M359&lt;&gt;"Yes",0,IF($H359="",0,$H359*$I359))</f>
        <v/>
      </c>
      <c r="L359" s="4">
        <f>IF($M359&lt;&gt;"Yes",0,IF($H359="",0,$H359*$J359))</f>
        <v/>
      </c>
      <c r="M359" s="4" t="n"/>
      <c r="N359" s="4" t="n"/>
      <c r="O359" s="4">
        <f>IF($A359="","",TEXT($A359,"yyyy")&amp;"-W"&amp;TEXT(ISOWEEKNUM($A359),"00"))</f>
        <v/>
      </c>
      <c r="P359" s="4" t="n"/>
      <c r="Q359" s="14">
        <f>IF($A359="","",TEXT($A359,"yyyy-mm"))</f>
        <v/>
      </c>
    </row>
    <row r="360">
      <c r="A360" s="66" t="n"/>
      <c r="B360" s="4" t="n"/>
      <c r="C360" s="11">
        <f>IFERROR(VLOOKUP($B360,Members!$A:$C,2,FALSE),"")</f>
        <v/>
      </c>
      <c r="D360" s="11">
        <f>IFERROR(VLOOKUP($B360,Members!$A:$C,3,FALSE),"")</f>
        <v/>
      </c>
      <c r="E360" s="11">
        <f>IF($F360="","",IFERROR(VLOOKUP($F360,ActionMap!$A:$B,2,FALSE),"INVALID ACTION"))</f>
        <v/>
      </c>
      <c r="F360" s="4" t="n"/>
      <c r="G360" s="11">
        <f>IFERROR(VLOOKUP($E360,ActionsCatalog!$A:$B,2,FALSE),"")</f>
        <v/>
      </c>
      <c r="H360" s="4" t="n"/>
      <c r="I360" s="4">
        <f>IFERROR(VLOOKUP($E360,ActionsCatalog!$A:$D,3,FALSE),0)</f>
        <v/>
      </c>
      <c r="J360" s="4">
        <f>IFERROR(VLOOKUP($E360,ActionsCatalog!$A:$D,4,FALSE),0)</f>
        <v/>
      </c>
      <c r="K360" s="4">
        <f>IF($M360&lt;&gt;"Yes",0,IF($H360="",0,$H360*$I360))</f>
        <v/>
      </c>
      <c r="L360" s="4">
        <f>IF($M360&lt;&gt;"Yes",0,IF($H360="",0,$H360*$J360))</f>
        <v/>
      </c>
      <c r="M360" s="4" t="n"/>
      <c r="N360" s="4" t="n"/>
      <c r="O360" s="4">
        <f>IF($A360="","",TEXT($A360,"yyyy")&amp;"-W"&amp;TEXT(ISOWEEKNUM($A360),"00"))</f>
        <v/>
      </c>
      <c r="P360" s="4" t="n"/>
      <c r="Q360" s="14">
        <f>IF($A360="","",TEXT($A360,"yyyy-mm"))</f>
        <v/>
      </c>
    </row>
    <row r="361">
      <c r="A361" s="66" t="n"/>
      <c r="B361" s="4" t="n"/>
      <c r="C361" s="11">
        <f>IFERROR(VLOOKUP($B361,Members!$A:$C,2,FALSE),"")</f>
        <v/>
      </c>
      <c r="D361" s="11">
        <f>IFERROR(VLOOKUP($B361,Members!$A:$C,3,FALSE),"")</f>
        <v/>
      </c>
      <c r="E361" s="11">
        <f>IF($F361="","",IFERROR(VLOOKUP($F361,ActionMap!$A:$B,2,FALSE),"INVALID ACTION"))</f>
        <v/>
      </c>
      <c r="F361" s="4" t="n"/>
      <c r="G361" s="11">
        <f>IFERROR(VLOOKUP($E361,ActionsCatalog!$A:$B,2,FALSE),"")</f>
        <v/>
      </c>
      <c r="H361" s="4" t="n"/>
      <c r="I361" s="4">
        <f>IFERROR(VLOOKUP($E361,ActionsCatalog!$A:$D,3,FALSE),0)</f>
        <v/>
      </c>
      <c r="J361" s="4">
        <f>IFERROR(VLOOKUP($E361,ActionsCatalog!$A:$D,4,FALSE),0)</f>
        <v/>
      </c>
      <c r="K361" s="4">
        <f>IF($M361&lt;&gt;"Yes",0,IF($H361="",0,$H361*$I361))</f>
        <v/>
      </c>
      <c r="L361" s="4">
        <f>IF($M361&lt;&gt;"Yes",0,IF($H361="",0,$H361*$J361))</f>
        <v/>
      </c>
      <c r="M361" s="4" t="n"/>
      <c r="N361" s="4" t="n"/>
      <c r="O361" s="4">
        <f>IF($A361="","",TEXT($A361,"yyyy")&amp;"-W"&amp;TEXT(ISOWEEKNUM($A361),"00"))</f>
        <v/>
      </c>
      <c r="P361" s="4" t="n"/>
      <c r="Q361" s="14">
        <f>IF($A361="","",TEXT($A361,"yyyy-mm"))</f>
        <v/>
      </c>
    </row>
    <row r="362">
      <c r="A362" s="66" t="n"/>
      <c r="B362" s="4" t="n"/>
      <c r="C362" s="11">
        <f>IFERROR(VLOOKUP($B362,Members!$A:$C,2,FALSE),"")</f>
        <v/>
      </c>
      <c r="D362" s="11">
        <f>IFERROR(VLOOKUP($B362,Members!$A:$C,3,FALSE),"")</f>
        <v/>
      </c>
      <c r="E362" s="11">
        <f>IF($F362="","",IFERROR(VLOOKUP($F362,ActionMap!$A:$B,2,FALSE),"INVALID ACTION"))</f>
        <v/>
      </c>
      <c r="F362" s="4" t="n"/>
      <c r="G362" s="11">
        <f>IFERROR(VLOOKUP($E362,ActionsCatalog!$A:$B,2,FALSE),"")</f>
        <v/>
      </c>
      <c r="H362" s="4" t="n"/>
      <c r="I362" s="4">
        <f>IFERROR(VLOOKUP($E362,ActionsCatalog!$A:$D,3,FALSE),0)</f>
        <v/>
      </c>
      <c r="J362" s="4">
        <f>IFERROR(VLOOKUP($E362,ActionsCatalog!$A:$D,4,FALSE),0)</f>
        <v/>
      </c>
      <c r="K362" s="4">
        <f>IF($M362&lt;&gt;"Yes",0,IF($H362="",0,$H362*$I362))</f>
        <v/>
      </c>
      <c r="L362" s="4">
        <f>IF($M362&lt;&gt;"Yes",0,IF($H362="",0,$H362*$J362))</f>
        <v/>
      </c>
      <c r="M362" s="4" t="n"/>
      <c r="N362" s="4" t="n"/>
      <c r="O362" s="4">
        <f>IF($A362="","",TEXT($A362,"yyyy")&amp;"-W"&amp;TEXT(ISOWEEKNUM($A362),"00"))</f>
        <v/>
      </c>
      <c r="P362" s="4" t="n"/>
      <c r="Q362" s="14">
        <f>IF($A362="","",TEXT($A362,"yyyy-mm"))</f>
        <v/>
      </c>
    </row>
    <row r="363">
      <c r="A363" s="66" t="n"/>
      <c r="B363" s="4" t="n"/>
      <c r="C363" s="11">
        <f>IFERROR(VLOOKUP($B363,Members!$A:$C,2,FALSE),"")</f>
        <v/>
      </c>
      <c r="D363" s="11">
        <f>IFERROR(VLOOKUP($B363,Members!$A:$C,3,FALSE),"")</f>
        <v/>
      </c>
      <c r="E363" s="11">
        <f>IF($F363="","",IFERROR(VLOOKUP($F363,ActionMap!$A:$B,2,FALSE),"INVALID ACTION"))</f>
        <v/>
      </c>
      <c r="F363" s="4" t="n"/>
      <c r="G363" s="11">
        <f>IFERROR(VLOOKUP($E363,ActionsCatalog!$A:$B,2,FALSE),"")</f>
        <v/>
      </c>
      <c r="H363" s="4" t="n"/>
      <c r="I363" s="4">
        <f>IFERROR(VLOOKUP($E363,ActionsCatalog!$A:$D,3,FALSE),0)</f>
        <v/>
      </c>
      <c r="J363" s="4">
        <f>IFERROR(VLOOKUP($E363,ActionsCatalog!$A:$D,4,FALSE),0)</f>
        <v/>
      </c>
      <c r="K363" s="4">
        <f>IF($M363&lt;&gt;"Yes",0,IF($H363="",0,$H363*$I363))</f>
        <v/>
      </c>
      <c r="L363" s="4">
        <f>IF($M363&lt;&gt;"Yes",0,IF($H363="",0,$H363*$J363))</f>
        <v/>
      </c>
      <c r="M363" s="4" t="n"/>
      <c r="N363" s="4" t="n"/>
      <c r="O363" s="4">
        <f>IF($A363="","",TEXT($A363,"yyyy")&amp;"-W"&amp;TEXT(ISOWEEKNUM($A363),"00"))</f>
        <v/>
      </c>
      <c r="P363" s="4" t="n"/>
      <c r="Q363" s="14">
        <f>IF($A363="","",TEXT($A363,"yyyy-mm"))</f>
        <v/>
      </c>
    </row>
    <row r="364">
      <c r="A364" s="66" t="n"/>
      <c r="B364" s="4" t="n"/>
      <c r="C364" s="11">
        <f>IFERROR(VLOOKUP($B364,Members!$A:$C,2,FALSE),"")</f>
        <v/>
      </c>
      <c r="D364" s="11">
        <f>IFERROR(VLOOKUP($B364,Members!$A:$C,3,FALSE),"")</f>
        <v/>
      </c>
      <c r="E364" s="11">
        <f>IF($F364="","",IFERROR(VLOOKUP($F364,ActionMap!$A:$B,2,FALSE),"INVALID ACTION"))</f>
        <v/>
      </c>
      <c r="F364" s="4" t="n"/>
      <c r="G364" s="11">
        <f>IFERROR(VLOOKUP($E364,ActionsCatalog!$A:$B,2,FALSE),"")</f>
        <v/>
      </c>
      <c r="H364" s="4" t="n"/>
      <c r="I364" s="4">
        <f>IFERROR(VLOOKUP($E364,ActionsCatalog!$A:$D,3,FALSE),0)</f>
        <v/>
      </c>
      <c r="J364" s="4">
        <f>IFERROR(VLOOKUP($E364,ActionsCatalog!$A:$D,4,FALSE),0)</f>
        <v/>
      </c>
      <c r="K364" s="4">
        <f>IF($M364&lt;&gt;"Yes",0,IF($H364="",0,$H364*$I364))</f>
        <v/>
      </c>
      <c r="L364" s="4">
        <f>IF($M364&lt;&gt;"Yes",0,IF($H364="",0,$H364*$J364))</f>
        <v/>
      </c>
      <c r="M364" s="4" t="n"/>
      <c r="N364" s="4" t="n"/>
      <c r="O364" s="4">
        <f>IF($A364="","",TEXT($A364,"yyyy")&amp;"-W"&amp;TEXT(ISOWEEKNUM($A364),"00"))</f>
        <v/>
      </c>
      <c r="P364" s="4" t="n"/>
      <c r="Q364" s="14">
        <f>IF($A364="","",TEXT($A364,"yyyy-mm"))</f>
        <v/>
      </c>
    </row>
    <row r="365">
      <c r="A365" s="66" t="n"/>
      <c r="B365" s="4" t="n"/>
      <c r="C365" s="11">
        <f>IFERROR(VLOOKUP($B365,Members!$A:$C,2,FALSE),"")</f>
        <v/>
      </c>
      <c r="D365" s="11">
        <f>IFERROR(VLOOKUP($B365,Members!$A:$C,3,FALSE),"")</f>
        <v/>
      </c>
      <c r="E365" s="11">
        <f>IF($F365="","",IFERROR(VLOOKUP($F365,ActionMap!$A:$B,2,FALSE),"INVALID ACTION"))</f>
        <v/>
      </c>
      <c r="F365" s="4" t="n"/>
      <c r="G365" s="11">
        <f>IFERROR(VLOOKUP($E365,ActionsCatalog!$A:$B,2,FALSE),"")</f>
        <v/>
      </c>
      <c r="H365" s="4" t="n"/>
      <c r="I365" s="4">
        <f>IFERROR(VLOOKUP($E365,ActionsCatalog!$A:$D,3,FALSE),0)</f>
        <v/>
      </c>
      <c r="J365" s="4">
        <f>IFERROR(VLOOKUP($E365,ActionsCatalog!$A:$D,4,FALSE),0)</f>
        <v/>
      </c>
      <c r="K365" s="4">
        <f>IF($M365&lt;&gt;"Yes",0,IF($H365="",0,$H365*$I365))</f>
        <v/>
      </c>
      <c r="L365" s="4">
        <f>IF($M365&lt;&gt;"Yes",0,IF($H365="",0,$H365*$J365))</f>
        <v/>
      </c>
      <c r="M365" s="4" t="n"/>
      <c r="N365" s="4" t="n"/>
      <c r="O365" s="4">
        <f>IF($A365="","",TEXT($A365,"yyyy")&amp;"-W"&amp;TEXT(ISOWEEKNUM($A365),"00"))</f>
        <v/>
      </c>
      <c r="P365" s="4" t="n"/>
      <c r="Q365" s="14">
        <f>IF($A365="","",TEXT($A365,"yyyy-mm"))</f>
        <v/>
      </c>
    </row>
    <row r="366">
      <c r="A366" s="66" t="n"/>
      <c r="B366" s="4" t="n"/>
      <c r="C366" s="11">
        <f>IFERROR(VLOOKUP($B366,Members!$A:$C,2,FALSE),"")</f>
        <v/>
      </c>
      <c r="D366" s="11">
        <f>IFERROR(VLOOKUP($B366,Members!$A:$C,3,FALSE),"")</f>
        <v/>
      </c>
      <c r="E366" s="11">
        <f>IF($F366="","",IFERROR(VLOOKUP($F366,ActionMap!$A:$B,2,FALSE),"INVALID ACTION"))</f>
        <v/>
      </c>
      <c r="F366" s="4" t="n"/>
      <c r="G366" s="11">
        <f>IFERROR(VLOOKUP($E366,ActionsCatalog!$A:$B,2,FALSE),"")</f>
        <v/>
      </c>
      <c r="H366" s="4" t="n"/>
      <c r="I366" s="4">
        <f>IFERROR(VLOOKUP($E366,ActionsCatalog!$A:$D,3,FALSE),0)</f>
        <v/>
      </c>
      <c r="J366" s="4">
        <f>IFERROR(VLOOKUP($E366,ActionsCatalog!$A:$D,4,FALSE),0)</f>
        <v/>
      </c>
      <c r="K366" s="4">
        <f>IF($M366&lt;&gt;"Yes",0,IF($H366="",0,$H366*$I366))</f>
        <v/>
      </c>
      <c r="L366" s="4">
        <f>IF($M366&lt;&gt;"Yes",0,IF($H366="",0,$H366*$J366))</f>
        <v/>
      </c>
      <c r="M366" s="4" t="n"/>
      <c r="N366" s="4" t="n"/>
      <c r="O366" s="4">
        <f>IF($A366="","",TEXT($A366,"yyyy")&amp;"-W"&amp;TEXT(ISOWEEKNUM($A366),"00"))</f>
        <v/>
      </c>
      <c r="P366" s="4" t="n"/>
      <c r="Q366" s="14">
        <f>IF($A366="","",TEXT($A366,"yyyy-mm"))</f>
        <v/>
      </c>
    </row>
    <row r="367">
      <c r="A367" s="66" t="n"/>
      <c r="B367" s="4" t="n"/>
      <c r="C367" s="11">
        <f>IFERROR(VLOOKUP($B367,Members!$A:$C,2,FALSE),"")</f>
        <v/>
      </c>
      <c r="D367" s="11">
        <f>IFERROR(VLOOKUP($B367,Members!$A:$C,3,FALSE),"")</f>
        <v/>
      </c>
      <c r="E367" s="11">
        <f>IF($F367="","",IFERROR(VLOOKUP($F367,ActionMap!$A:$B,2,FALSE),"INVALID ACTION"))</f>
        <v/>
      </c>
      <c r="F367" s="4" t="n"/>
      <c r="G367" s="11">
        <f>IFERROR(VLOOKUP($E367,ActionsCatalog!$A:$B,2,FALSE),"")</f>
        <v/>
      </c>
      <c r="H367" s="4" t="n"/>
      <c r="I367" s="4">
        <f>IFERROR(VLOOKUP($E367,ActionsCatalog!$A:$D,3,FALSE),0)</f>
        <v/>
      </c>
      <c r="J367" s="4">
        <f>IFERROR(VLOOKUP($E367,ActionsCatalog!$A:$D,4,FALSE),0)</f>
        <v/>
      </c>
      <c r="K367" s="4">
        <f>IF($M367&lt;&gt;"Yes",0,IF($H367="",0,$H367*$I367))</f>
        <v/>
      </c>
      <c r="L367" s="4">
        <f>IF($M367&lt;&gt;"Yes",0,IF($H367="",0,$H367*$J367))</f>
        <v/>
      </c>
      <c r="M367" s="4" t="n"/>
      <c r="N367" s="4" t="n"/>
      <c r="O367" s="4">
        <f>IF($A367="","",TEXT($A367,"yyyy")&amp;"-W"&amp;TEXT(ISOWEEKNUM($A367),"00"))</f>
        <v/>
      </c>
      <c r="P367" s="4" t="n"/>
      <c r="Q367" s="14">
        <f>IF($A367="","",TEXT($A367,"yyyy-mm"))</f>
        <v/>
      </c>
    </row>
    <row r="368">
      <c r="A368" s="66" t="n"/>
      <c r="B368" s="4" t="n"/>
      <c r="C368" s="11">
        <f>IFERROR(VLOOKUP($B368,Members!$A:$C,2,FALSE),"")</f>
        <v/>
      </c>
      <c r="D368" s="11">
        <f>IFERROR(VLOOKUP($B368,Members!$A:$C,3,FALSE),"")</f>
        <v/>
      </c>
      <c r="E368" s="11">
        <f>IF($F368="","",IFERROR(VLOOKUP($F368,ActionMap!$A:$B,2,FALSE),"INVALID ACTION"))</f>
        <v/>
      </c>
      <c r="F368" s="4" t="n"/>
      <c r="G368" s="11">
        <f>IFERROR(VLOOKUP($E368,ActionsCatalog!$A:$B,2,FALSE),"")</f>
        <v/>
      </c>
      <c r="H368" s="4" t="n"/>
      <c r="I368" s="4">
        <f>IFERROR(VLOOKUP($E368,ActionsCatalog!$A:$D,3,FALSE),0)</f>
        <v/>
      </c>
      <c r="J368" s="4">
        <f>IFERROR(VLOOKUP($E368,ActionsCatalog!$A:$D,4,FALSE),0)</f>
        <v/>
      </c>
      <c r="K368" s="4">
        <f>IF($M368&lt;&gt;"Yes",0,IF($H368="",0,$H368*$I368))</f>
        <v/>
      </c>
      <c r="L368" s="4">
        <f>IF($M368&lt;&gt;"Yes",0,IF($H368="",0,$H368*$J368))</f>
        <v/>
      </c>
      <c r="M368" s="4" t="n"/>
      <c r="N368" s="4" t="n"/>
      <c r="O368" s="4">
        <f>IF($A368="","",TEXT($A368,"yyyy")&amp;"-W"&amp;TEXT(ISOWEEKNUM($A368),"00"))</f>
        <v/>
      </c>
      <c r="P368" s="4" t="n"/>
      <c r="Q368" s="14">
        <f>IF($A368="","",TEXT($A368,"yyyy-mm"))</f>
        <v/>
      </c>
    </row>
    <row r="369">
      <c r="A369" s="66" t="n"/>
      <c r="B369" s="4" t="n"/>
      <c r="C369" s="11">
        <f>IFERROR(VLOOKUP($B369,Members!$A:$C,2,FALSE),"")</f>
        <v/>
      </c>
      <c r="D369" s="11">
        <f>IFERROR(VLOOKUP($B369,Members!$A:$C,3,FALSE),"")</f>
        <v/>
      </c>
      <c r="E369" s="11">
        <f>IF($F369="","",IFERROR(VLOOKUP($F369,ActionMap!$A:$B,2,FALSE),"INVALID ACTION"))</f>
        <v/>
      </c>
      <c r="F369" s="4" t="n"/>
      <c r="G369" s="11">
        <f>IFERROR(VLOOKUP($E369,ActionsCatalog!$A:$B,2,FALSE),"")</f>
        <v/>
      </c>
      <c r="H369" s="4" t="n"/>
      <c r="I369" s="4">
        <f>IFERROR(VLOOKUP($E369,ActionsCatalog!$A:$D,3,FALSE),0)</f>
        <v/>
      </c>
      <c r="J369" s="4">
        <f>IFERROR(VLOOKUP($E369,ActionsCatalog!$A:$D,4,FALSE),0)</f>
        <v/>
      </c>
      <c r="K369" s="4">
        <f>IF($M369&lt;&gt;"Yes",0,IF($H369="",0,$H369*$I369))</f>
        <v/>
      </c>
      <c r="L369" s="4">
        <f>IF($M369&lt;&gt;"Yes",0,IF($H369="",0,$H369*$J369))</f>
        <v/>
      </c>
      <c r="M369" s="4" t="n"/>
      <c r="N369" s="4" t="n"/>
      <c r="O369" s="4">
        <f>IF($A369="","",TEXT($A369,"yyyy")&amp;"-W"&amp;TEXT(ISOWEEKNUM($A369),"00"))</f>
        <v/>
      </c>
      <c r="P369" s="4" t="n"/>
      <c r="Q369" s="14">
        <f>IF($A369="","",TEXT($A369,"yyyy-mm"))</f>
        <v/>
      </c>
    </row>
    <row r="370">
      <c r="A370" s="66" t="n"/>
      <c r="B370" s="4" t="n"/>
      <c r="C370" s="11">
        <f>IFERROR(VLOOKUP($B370,Members!$A:$C,2,FALSE),"")</f>
        <v/>
      </c>
      <c r="D370" s="11">
        <f>IFERROR(VLOOKUP($B370,Members!$A:$C,3,FALSE),"")</f>
        <v/>
      </c>
      <c r="E370" s="11">
        <f>IF($F370="","",IFERROR(VLOOKUP($F370,ActionMap!$A:$B,2,FALSE),"INVALID ACTION"))</f>
        <v/>
      </c>
      <c r="F370" s="4" t="n"/>
      <c r="G370" s="11">
        <f>IFERROR(VLOOKUP($E370,ActionsCatalog!$A:$B,2,FALSE),"")</f>
        <v/>
      </c>
      <c r="H370" s="4" t="n"/>
      <c r="I370" s="4">
        <f>IFERROR(VLOOKUP($E370,ActionsCatalog!$A:$D,3,FALSE),0)</f>
        <v/>
      </c>
      <c r="J370" s="4">
        <f>IFERROR(VLOOKUP($E370,ActionsCatalog!$A:$D,4,FALSE),0)</f>
        <v/>
      </c>
      <c r="K370" s="4">
        <f>IF($M370&lt;&gt;"Yes",0,IF($H370="",0,$H370*$I370))</f>
        <v/>
      </c>
      <c r="L370" s="4">
        <f>IF($M370&lt;&gt;"Yes",0,IF($H370="",0,$H370*$J370))</f>
        <v/>
      </c>
      <c r="M370" s="4" t="n"/>
      <c r="N370" s="4" t="n"/>
      <c r="O370" s="4">
        <f>IF($A370="","",TEXT($A370,"yyyy")&amp;"-W"&amp;TEXT(ISOWEEKNUM($A370),"00"))</f>
        <v/>
      </c>
      <c r="P370" s="4" t="n"/>
      <c r="Q370" s="14">
        <f>IF($A370="","",TEXT($A370,"yyyy-mm"))</f>
        <v/>
      </c>
    </row>
    <row r="371">
      <c r="A371" s="66" t="n"/>
      <c r="B371" s="4" t="n"/>
      <c r="C371" s="11">
        <f>IFERROR(VLOOKUP($B371,Members!$A:$C,2,FALSE),"")</f>
        <v/>
      </c>
      <c r="D371" s="11">
        <f>IFERROR(VLOOKUP($B371,Members!$A:$C,3,FALSE),"")</f>
        <v/>
      </c>
      <c r="E371" s="11">
        <f>IF($F371="","",IFERROR(VLOOKUP($F371,ActionMap!$A:$B,2,FALSE),"INVALID ACTION"))</f>
        <v/>
      </c>
      <c r="F371" s="4" t="n"/>
      <c r="G371" s="11">
        <f>IFERROR(VLOOKUP($E371,ActionsCatalog!$A:$B,2,FALSE),"")</f>
        <v/>
      </c>
      <c r="H371" s="4" t="n"/>
      <c r="I371" s="4">
        <f>IFERROR(VLOOKUP($E371,ActionsCatalog!$A:$D,3,FALSE),0)</f>
        <v/>
      </c>
      <c r="J371" s="4">
        <f>IFERROR(VLOOKUP($E371,ActionsCatalog!$A:$D,4,FALSE),0)</f>
        <v/>
      </c>
      <c r="K371" s="4">
        <f>IF($M371&lt;&gt;"Yes",0,IF($H371="",0,$H371*$I371))</f>
        <v/>
      </c>
      <c r="L371" s="4">
        <f>IF($M371&lt;&gt;"Yes",0,IF($H371="",0,$H371*$J371))</f>
        <v/>
      </c>
      <c r="M371" s="4" t="n"/>
      <c r="N371" s="4" t="n"/>
      <c r="O371" s="4">
        <f>IF($A371="","",TEXT($A371,"yyyy")&amp;"-W"&amp;TEXT(ISOWEEKNUM($A371),"00"))</f>
        <v/>
      </c>
      <c r="P371" s="4" t="n"/>
      <c r="Q371" s="14">
        <f>IF($A371="","",TEXT($A371,"yyyy-mm"))</f>
        <v/>
      </c>
    </row>
    <row r="372">
      <c r="A372" s="66" t="n"/>
      <c r="B372" s="4" t="n"/>
      <c r="C372" s="11">
        <f>IFERROR(VLOOKUP($B372,Members!$A:$C,2,FALSE),"")</f>
        <v/>
      </c>
      <c r="D372" s="11">
        <f>IFERROR(VLOOKUP($B372,Members!$A:$C,3,FALSE),"")</f>
        <v/>
      </c>
      <c r="E372" s="11">
        <f>IF($F372="","",IFERROR(VLOOKUP($F372,ActionMap!$A:$B,2,FALSE),"INVALID ACTION"))</f>
        <v/>
      </c>
      <c r="F372" s="4" t="n"/>
      <c r="G372" s="11">
        <f>IFERROR(VLOOKUP($E372,ActionsCatalog!$A:$B,2,FALSE),"")</f>
        <v/>
      </c>
      <c r="H372" s="4" t="n"/>
      <c r="I372" s="4">
        <f>IFERROR(VLOOKUP($E372,ActionsCatalog!$A:$D,3,FALSE),0)</f>
        <v/>
      </c>
      <c r="J372" s="4">
        <f>IFERROR(VLOOKUP($E372,ActionsCatalog!$A:$D,4,FALSE),0)</f>
        <v/>
      </c>
      <c r="K372" s="4">
        <f>IF($M372&lt;&gt;"Yes",0,IF($H372="",0,$H372*$I372))</f>
        <v/>
      </c>
      <c r="L372" s="4">
        <f>IF($M372&lt;&gt;"Yes",0,IF($H372="",0,$H372*$J372))</f>
        <v/>
      </c>
      <c r="M372" s="4" t="n"/>
      <c r="N372" s="4" t="n"/>
      <c r="O372" s="4">
        <f>IF($A372="","",TEXT($A372,"yyyy")&amp;"-W"&amp;TEXT(ISOWEEKNUM($A372),"00"))</f>
        <v/>
      </c>
      <c r="P372" s="4" t="n"/>
      <c r="Q372" s="14">
        <f>IF($A372="","",TEXT($A372,"yyyy-mm"))</f>
        <v/>
      </c>
    </row>
    <row r="373">
      <c r="A373" s="66" t="n"/>
      <c r="B373" s="4" t="n"/>
      <c r="C373" s="11">
        <f>IFERROR(VLOOKUP($B373,Members!$A:$C,2,FALSE),"")</f>
        <v/>
      </c>
      <c r="D373" s="11">
        <f>IFERROR(VLOOKUP($B373,Members!$A:$C,3,FALSE),"")</f>
        <v/>
      </c>
      <c r="E373" s="11">
        <f>IF($F373="","",IFERROR(VLOOKUP($F373,ActionMap!$A:$B,2,FALSE),"INVALID ACTION"))</f>
        <v/>
      </c>
      <c r="F373" s="4" t="n"/>
      <c r="G373" s="11">
        <f>IFERROR(VLOOKUP($E373,ActionsCatalog!$A:$B,2,FALSE),"")</f>
        <v/>
      </c>
      <c r="H373" s="4" t="n"/>
      <c r="I373" s="4">
        <f>IFERROR(VLOOKUP($E373,ActionsCatalog!$A:$D,3,FALSE),0)</f>
        <v/>
      </c>
      <c r="J373" s="4">
        <f>IFERROR(VLOOKUP($E373,ActionsCatalog!$A:$D,4,FALSE),0)</f>
        <v/>
      </c>
      <c r="K373" s="4">
        <f>IF($M373&lt;&gt;"Yes",0,IF($H373="",0,$H373*$I373))</f>
        <v/>
      </c>
      <c r="L373" s="4">
        <f>IF($M373&lt;&gt;"Yes",0,IF($H373="",0,$H373*$J373))</f>
        <v/>
      </c>
      <c r="M373" s="4" t="n"/>
      <c r="N373" s="4" t="n"/>
      <c r="O373" s="4">
        <f>IF($A373="","",TEXT($A373,"yyyy")&amp;"-W"&amp;TEXT(ISOWEEKNUM($A373),"00"))</f>
        <v/>
      </c>
      <c r="P373" s="4" t="n"/>
      <c r="Q373" s="14">
        <f>IF($A373="","",TEXT($A373,"yyyy-mm"))</f>
        <v/>
      </c>
    </row>
    <row r="374">
      <c r="A374" s="66" t="n"/>
      <c r="B374" s="4" t="n"/>
      <c r="C374" s="11">
        <f>IFERROR(VLOOKUP($B374,Members!$A:$C,2,FALSE),"")</f>
        <v/>
      </c>
      <c r="D374" s="11">
        <f>IFERROR(VLOOKUP($B374,Members!$A:$C,3,FALSE),"")</f>
        <v/>
      </c>
      <c r="E374" s="11">
        <f>IF($F374="","",IFERROR(VLOOKUP($F374,ActionMap!$A:$B,2,FALSE),"INVALID ACTION"))</f>
        <v/>
      </c>
      <c r="F374" s="4" t="n"/>
      <c r="G374" s="11">
        <f>IFERROR(VLOOKUP($E374,ActionsCatalog!$A:$B,2,FALSE),"")</f>
        <v/>
      </c>
      <c r="H374" s="4" t="n"/>
      <c r="I374" s="4">
        <f>IFERROR(VLOOKUP($E374,ActionsCatalog!$A:$D,3,FALSE),0)</f>
        <v/>
      </c>
      <c r="J374" s="4">
        <f>IFERROR(VLOOKUP($E374,ActionsCatalog!$A:$D,4,FALSE),0)</f>
        <v/>
      </c>
      <c r="K374" s="4">
        <f>IF($M374&lt;&gt;"Yes",0,IF($H374="",0,$H374*$I374))</f>
        <v/>
      </c>
      <c r="L374" s="4">
        <f>IF($M374&lt;&gt;"Yes",0,IF($H374="",0,$H374*$J374))</f>
        <v/>
      </c>
      <c r="M374" s="4" t="n"/>
      <c r="N374" s="4" t="n"/>
      <c r="O374" s="4">
        <f>IF($A374="","",TEXT($A374,"yyyy")&amp;"-W"&amp;TEXT(ISOWEEKNUM($A374),"00"))</f>
        <v/>
      </c>
      <c r="P374" s="4" t="n"/>
      <c r="Q374" s="14">
        <f>IF($A374="","",TEXT($A374,"yyyy-mm"))</f>
        <v/>
      </c>
    </row>
    <row r="375">
      <c r="A375" s="66" t="n"/>
      <c r="B375" s="4" t="n"/>
      <c r="C375" s="11">
        <f>IFERROR(VLOOKUP($B375,Members!$A:$C,2,FALSE),"")</f>
        <v/>
      </c>
      <c r="D375" s="11">
        <f>IFERROR(VLOOKUP($B375,Members!$A:$C,3,FALSE),"")</f>
        <v/>
      </c>
      <c r="E375" s="11">
        <f>IF($F375="","",IFERROR(VLOOKUP($F375,ActionMap!$A:$B,2,FALSE),"INVALID ACTION"))</f>
        <v/>
      </c>
      <c r="F375" s="4" t="n"/>
      <c r="G375" s="11">
        <f>IFERROR(VLOOKUP($E375,ActionsCatalog!$A:$B,2,FALSE),"")</f>
        <v/>
      </c>
      <c r="H375" s="4" t="n"/>
      <c r="I375" s="4">
        <f>IFERROR(VLOOKUP($E375,ActionsCatalog!$A:$D,3,FALSE),0)</f>
        <v/>
      </c>
      <c r="J375" s="4">
        <f>IFERROR(VLOOKUP($E375,ActionsCatalog!$A:$D,4,FALSE),0)</f>
        <v/>
      </c>
      <c r="K375" s="4">
        <f>IF($M375&lt;&gt;"Yes",0,IF($H375="",0,$H375*$I375))</f>
        <v/>
      </c>
      <c r="L375" s="4">
        <f>IF($M375&lt;&gt;"Yes",0,IF($H375="",0,$H375*$J375))</f>
        <v/>
      </c>
      <c r="M375" s="4" t="n"/>
      <c r="N375" s="4" t="n"/>
      <c r="O375" s="4">
        <f>IF($A375="","",TEXT($A375,"yyyy")&amp;"-W"&amp;TEXT(ISOWEEKNUM($A375),"00"))</f>
        <v/>
      </c>
      <c r="P375" s="4" t="n"/>
      <c r="Q375" s="14">
        <f>IF($A375="","",TEXT($A375,"yyyy-mm"))</f>
        <v/>
      </c>
    </row>
    <row r="376">
      <c r="A376" s="66" t="n"/>
      <c r="B376" s="4" t="n"/>
      <c r="C376" s="11">
        <f>IFERROR(VLOOKUP($B376,Members!$A:$C,2,FALSE),"")</f>
        <v/>
      </c>
      <c r="D376" s="11">
        <f>IFERROR(VLOOKUP($B376,Members!$A:$C,3,FALSE),"")</f>
        <v/>
      </c>
      <c r="E376" s="11">
        <f>IF($F376="","",IFERROR(VLOOKUP($F376,ActionMap!$A:$B,2,FALSE),"INVALID ACTION"))</f>
        <v/>
      </c>
      <c r="F376" s="4" t="n"/>
      <c r="G376" s="11">
        <f>IFERROR(VLOOKUP($E376,ActionsCatalog!$A:$B,2,FALSE),"")</f>
        <v/>
      </c>
      <c r="H376" s="4" t="n"/>
      <c r="I376" s="4">
        <f>IFERROR(VLOOKUP($E376,ActionsCatalog!$A:$D,3,FALSE),0)</f>
        <v/>
      </c>
      <c r="J376" s="4">
        <f>IFERROR(VLOOKUP($E376,ActionsCatalog!$A:$D,4,FALSE),0)</f>
        <v/>
      </c>
      <c r="K376" s="4">
        <f>IF($M376&lt;&gt;"Yes",0,IF($H376="",0,$H376*$I376))</f>
        <v/>
      </c>
      <c r="L376" s="4">
        <f>IF($M376&lt;&gt;"Yes",0,IF($H376="",0,$H376*$J376))</f>
        <v/>
      </c>
      <c r="M376" s="4" t="n"/>
      <c r="N376" s="4" t="n"/>
      <c r="O376" s="4">
        <f>IF($A376="","",TEXT($A376,"yyyy")&amp;"-W"&amp;TEXT(ISOWEEKNUM($A376),"00"))</f>
        <v/>
      </c>
      <c r="P376" s="4" t="n"/>
      <c r="Q376" s="14">
        <f>IF($A376="","",TEXT($A376,"yyyy-mm"))</f>
        <v/>
      </c>
    </row>
    <row r="377">
      <c r="A377" s="66" t="n"/>
      <c r="B377" s="4" t="n"/>
      <c r="C377" s="11">
        <f>IFERROR(VLOOKUP($B377,Members!$A:$C,2,FALSE),"")</f>
        <v/>
      </c>
      <c r="D377" s="11">
        <f>IFERROR(VLOOKUP($B377,Members!$A:$C,3,FALSE),"")</f>
        <v/>
      </c>
      <c r="E377" s="11">
        <f>IF($F377="","",IFERROR(VLOOKUP($F377,ActionMap!$A:$B,2,FALSE),"INVALID ACTION"))</f>
        <v/>
      </c>
      <c r="F377" s="4" t="n"/>
      <c r="G377" s="11">
        <f>IFERROR(VLOOKUP($E377,ActionsCatalog!$A:$B,2,FALSE),"")</f>
        <v/>
      </c>
      <c r="H377" s="4" t="n"/>
      <c r="I377" s="4">
        <f>IFERROR(VLOOKUP($E377,ActionsCatalog!$A:$D,3,FALSE),0)</f>
        <v/>
      </c>
      <c r="J377" s="4">
        <f>IFERROR(VLOOKUP($E377,ActionsCatalog!$A:$D,4,FALSE),0)</f>
        <v/>
      </c>
      <c r="K377" s="4">
        <f>IF($M377&lt;&gt;"Yes",0,IF($H377="",0,$H377*$I377))</f>
        <v/>
      </c>
      <c r="L377" s="4">
        <f>IF($M377&lt;&gt;"Yes",0,IF($H377="",0,$H377*$J377))</f>
        <v/>
      </c>
      <c r="M377" s="4" t="n"/>
      <c r="N377" s="4" t="n"/>
      <c r="O377" s="4">
        <f>IF($A377="","",TEXT($A377,"yyyy")&amp;"-W"&amp;TEXT(ISOWEEKNUM($A377),"00"))</f>
        <v/>
      </c>
      <c r="P377" s="4" t="n"/>
      <c r="Q377" s="14">
        <f>IF($A377="","",TEXT($A377,"yyyy-mm"))</f>
        <v/>
      </c>
    </row>
    <row r="378">
      <c r="A378" s="66" t="n"/>
      <c r="B378" s="4" t="n"/>
      <c r="C378" s="11">
        <f>IFERROR(VLOOKUP($B378,Members!$A:$C,2,FALSE),"")</f>
        <v/>
      </c>
      <c r="D378" s="11">
        <f>IFERROR(VLOOKUP($B378,Members!$A:$C,3,FALSE),"")</f>
        <v/>
      </c>
      <c r="E378" s="11">
        <f>IF($F378="","",IFERROR(VLOOKUP($F378,ActionMap!$A:$B,2,FALSE),"INVALID ACTION"))</f>
        <v/>
      </c>
      <c r="F378" s="4" t="n"/>
      <c r="G378" s="11">
        <f>IFERROR(VLOOKUP($E378,ActionsCatalog!$A:$B,2,FALSE),"")</f>
        <v/>
      </c>
      <c r="H378" s="4" t="n"/>
      <c r="I378" s="4">
        <f>IFERROR(VLOOKUP($E378,ActionsCatalog!$A:$D,3,FALSE),0)</f>
        <v/>
      </c>
      <c r="J378" s="4">
        <f>IFERROR(VLOOKUP($E378,ActionsCatalog!$A:$D,4,FALSE),0)</f>
        <v/>
      </c>
      <c r="K378" s="4">
        <f>IF($M378&lt;&gt;"Yes",0,IF($H378="",0,$H378*$I378))</f>
        <v/>
      </c>
      <c r="L378" s="4">
        <f>IF($M378&lt;&gt;"Yes",0,IF($H378="",0,$H378*$J378))</f>
        <v/>
      </c>
      <c r="M378" s="4" t="n"/>
      <c r="N378" s="4" t="n"/>
      <c r="O378" s="4">
        <f>IF($A378="","",TEXT($A378,"yyyy")&amp;"-W"&amp;TEXT(ISOWEEKNUM($A378),"00"))</f>
        <v/>
      </c>
      <c r="P378" s="4" t="n"/>
      <c r="Q378" s="14">
        <f>IF($A378="","",TEXT($A378,"yyyy-mm"))</f>
        <v/>
      </c>
    </row>
    <row r="379">
      <c r="A379" s="66" t="n"/>
      <c r="B379" s="4" t="n"/>
      <c r="C379" s="11">
        <f>IFERROR(VLOOKUP($B379,Members!$A:$C,2,FALSE),"")</f>
        <v/>
      </c>
      <c r="D379" s="11">
        <f>IFERROR(VLOOKUP($B379,Members!$A:$C,3,FALSE),"")</f>
        <v/>
      </c>
      <c r="E379" s="11">
        <f>IF($F379="","",IFERROR(VLOOKUP($F379,ActionMap!$A:$B,2,FALSE),"INVALID ACTION"))</f>
        <v/>
      </c>
      <c r="F379" s="4" t="n"/>
      <c r="G379" s="11">
        <f>IFERROR(VLOOKUP($E379,ActionsCatalog!$A:$B,2,FALSE),"")</f>
        <v/>
      </c>
      <c r="H379" s="4" t="n"/>
      <c r="I379" s="4">
        <f>IFERROR(VLOOKUP($E379,ActionsCatalog!$A:$D,3,FALSE),0)</f>
        <v/>
      </c>
      <c r="J379" s="4">
        <f>IFERROR(VLOOKUP($E379,ActionsCatalog!$A:$D,4,FALSE),0)</f>
        <v/>
      </c>
      <c r="K379" s="4">
        <f>IF($M379&lt;&gt;"Yes",0,IF($H379="",0,$H379*$I379))</f>
        <v/>
      </c>
      <c r="L379" s="4">
        <f>IF($M379&lt;&gt;"Yes",0,IF($H379="",0,$H379*$J379))</f>
        <v/>
      </c>
      <c r="M379" s="4" t="n"/>
      <c r="N379" s="4" t="n"/>
      <c r="O379" s="4">
        <f>IF($A379="","",TEXT($A379,"yyyy")&amp;"-W"&amp;TEXT(ISOWEEKNUM($A379),"00"))</f>
        <v/>
      </c>
      <c r="P379" s="4" t="n"/>
      <c r="Q379" s="14">
        <f>IF($A379="","",TEXT($A379,"yyyy-mm"))</f>
        <v/>
      </c>
    </row>
    <row r="380">
      <c r="A380" s="66" t="n"/>
      <c r="B380" s="4" t="n"/>
      <c r="C380" s="11">
        <f>IFERROR(VLOOKUP($B380,Members!$A:$C,2,FALSE),"")</f>
        <v/>
      </c>
      <c r="D380" s="11">
        <f>IFERROR(VLOOKUP($B380,Members!$A:$C,3,FALSE),"")</f>
        <v/>
      </c>
      <c r="E380" s="11">
        <f>IF($F380="","",IFERROR(VLOOKUP($F380,ActionMap!$A:$B,2,FALSE),"INVALID ACTION"))</f>
        <v/>
      </c>
      <c r="F380" s="4" t="n"/>
      <c r="G380" s="11">
        <f>IFERROR(VLOOKUP($E380,ActionsCatalog!$A:$B,2,FALSE),"")</f>
        <v/>
      </c>
      <c r="H380" s="4" t="n"/>
      <c r="I380" s="4">
        <f>IFERROR(VLOOKUP($E380,ActionsCatalog!$A:$D,3,FALSE),0)</f>
        <v/>
      </c>
      <c r="J380" s="4">
        <f>IFERROR(VLOOKUP($E380,ActionsCatalog!$A:$D,4,FALSE),0)</f>
        <v/>
      </c>
      <c r="K380" s="4">
        <f>IF($M380&lt;&gt;"Yes",0,IF($H380="",0,$H380*$I380))</f>
        <v/>
      </c>
      <c r="L380" s="4">
        <f>IF($M380&lt;&gt;"Yes",0,IF($H380="",0,$H380*$J380))</f>
        <v/>
      </c>
      <c r="M380" s="4" t="n"/>
      <c r="N380" s="4" t="n"/>
      <c r="O380" s="4">
        <f>IF($A380="","",TEXT($A380,"yyyy")&amp;"-W"&amp;TEXT(ISOWEEKNUM($A380),"00"))</f>
        <v/>
      </c>
      <c r="P380" s="4" t="n"/>
      <c r="Q380" s="14">
        <f>IF($A380="","",TEXT($A380,"yyyy-mm"))</f>
        <v/>
      </c>
    </row>
    <row r="381">
      <c r="A381" s="66" t="n"/>
      <c r="B381" s="4" t="n"/>
      <c r="C381" s="11">
        <f>IFERROR(VLOOKUP($B381,Members!$A:$C,2,FALSE),"")</f>
        <v/>
      </c>
      <c r="D381" s="11">
        <f>IFERROR(VLOOKUP($B381,Members!$A:$C,3,FALSE),"")</f>
        <v/>
      </c>
      <c r="E381" s="11">
        <f>IF($F381="","",IFERROR(VLOOKUP($F381,ActionMap!$A:$B,2,FALSE),"INVALID ACTION"))</f>
        <v/>
      </c>
      <c r="F381" s="4" t="n"/>
      <c r="G381" s="11">
        <f>IFERROR(VLOOKUP($E381,ActionsCatalog!$A:$B,2,FALSE),"")</f>
        <v/>
      </c>
      <c r="H381" s="4" t="n"/>
      <c r="I381" s="4">
        <f>IFERROR(VLOOKUP($E381,ActionsCatalog!$A:$D,3,FALSE),0)</f>
        <v/>
      </c>
      <c r="J381" s="4">
        <f>IFERROR(VLOOKUP($E381,ActionsCatalog!$A:$D,4,FALSE),0)</f>
        <v/>
      </c>
      <c r="K381" s="4">
        <f>IF($M381&lt;&gt;"Yes",0,IF($H381="",0,$H381*$I381))</f>
        <v/>
      </c>
      <c r="L381" s="4">
        <f>IF($M381&lt;&gt;"Yes",0,IF($H381="",0,$H381*$J381))</f>
        <v/>
      </c>
      <c r="M381" s="4" t="n"/>
      <c r="N381" s="4" t="n"/>
      <c r="O381" s="4">
        <f>IF($A381="","",TEXT($A381,"yyyy")&amp;"-W"&amp;TEXT(ISOWEEKNUM($A381),"00"))</f>
        <v/>
      </c>
      <c r="P381" s="4" t="n"/>
      <c r="Q381" s="14">
        <f>IF($A381="","",TEXT($A381,"yyyy-mm"))</f>
        <v/>
      </c>
    </row>
    <row r="382">
      <c r="A382" s="66" t="n"/>
      <c r="B382" s="4" t="n"/>
      <c r="C382" s="11">
        <f>IFERROR(VLOOKUP($B382,Members!$A:$C,2,FALSE),"")</f>
        <v/>
      </c>
      <c r="D382" s="11">
        <f>IFERROR(VLOOKUP($B382,Members!$A:$C,3,FALSE),"")</f>
        <v/>
      </c>
      <c r="E382" s="11">
        <f>IF($F382="","",IFERROR(VLOOKUP($F382,ActionMap!$A:$B,2,FALSE),"INVALID ACTION"))</f>
        <v/>
      </c>
      <c r="F382" s="4" t="n"/>
      <c r="G382" s="11">
        <f>IFERROR(VLOOKUP($E382,ActionsCatalog!$A:$B,2,FALSE),"")</f>
        <v/>
      </c>
      <c r="H382" s="4" t="n"/>
      <c r="I382" s="4">
        <f>IFERROR(VLOOKUP($E382,ActionsCatalog!$A:$D,3,FALSE),0)</f>
        <v/>
      </c>
      <c r="J382" s="4">
        <f>IFERROR(VLOOKUP($E382,ActionsCatalog!$A:$D,4,FALSE),0)</f>
        <v/>
      </c>
      <c r="K382" s="4">
        <f>IF($M382&lt;&gt;"Yes",0,IF($H382="",0,$H382*$I382))</f>
        <v/>
      </c>
      <c r="L382" s="4">
        <f>IF($M382&lt;&gt;"Yes",0,IF($H382="",0,$H382*$J382))</f>
        <v/>
      </c>
      <c r="M382" s="4" t="n"/>
      <c r="N382" s="4" t="n"/>
      <c r="O382" s="4">
        <f>IF($A382="","",TEXT($A382,"yyyy")&amp;"-W"&amp;TEXT(ISOWEEKNUM($A382),"00"))</f>
        <v/>
      </c>
      <c r="P382" s="4" t="n"/>
      <c r="Q382" s="14">
        <f>IF($A382="","",TEXT($A382,"yyyy-mm"))</f>
        <v/>
      </c>
    </row>
    <row r="383">
      <c r="A383" s="66" t="n"/>
      <c r="B383" s="4" t="n"/>
      <c r="C383" s="11">
        <f>IFERROR(VLOOKUP($B383,Members!$A:$C,2,FALSE),"")</f>
        <v/>
      </c>
      <c r="D383" s="11">
        <f>IFERROR(VLOOKUP($B383,Members!$A:$C,3,FALSE),"")</f>
        <v/>
      </c>
      <c r="E383" s="11">
        <f>IF($F383="","",IFERROR(VLOOKUP($F383,ActionMap!$A:$B,2,FALSE),"INVALID ACTION"))</f>
        <v/>
      </c>
      <c r="F383" s="4" t="n"/>
      <c r="G383" s="11">
        <f>IFERROR(VLOOKUP($E383,ActionsCatalog!$A:$B,2,FALSE),"")</f>
        <v/>
      </c>
      <c r="H383" s="4" t="n"/>
      <c r="I383" s="4">
        <f>IFERROR(VLOOKUP($E383,ActionsCatalog!$A:$D,3,FALSE),0)</f>
        <v/>
      </c>
      <c r="J383" s="4">
        <f>IFERROR(VLOOKUP($E383,ActionsCatalog!$A:$D,4,FALSE),0)</f>
        <v/>
      </c>
      <c r="K383" s="4">
        <f>IF($M383&lt;&gt;"Yes",0,IF($H383="",0,$H383*$I383))</f>
        <v/>
      </c>
      <c r="L383" s="4">
        <f>IF($M383&lt;&gt;"Yes",0,IF($H383="",0,$H383*$J383))</f>
        <v/>
      </c>
      <c r="M383" s="4" t="n"/>
      <c r="N383" s="4" t="n"/>
      <c r="O383" s="4">
        <f>IF($A383="","",TEXT($A383,"yyyy")&amp;"-W"&amp;TEXT(ISOWEEKNUM($A383),"00"))</f>
        <v/>
      </c>
      <c r="P383" s="4" t="n"/>
      <c r="Q383" s="14">
        <f>IF($A383="","",TEXT($A383,"yyyy-mm"))</f>
        <v/>
      </c>
    </row>
    <row r="384">
      <c r="A384" s="66" t="n"/>
      <c r="B384" s="4" t="n"/>
      <c r="C384" s="11">
        <f>IFERROR(VLOOKUP($B384,Members!$A:$C,2,FALSE),"")</f>
        <v/>
      </c>
      <c r="D384" s="11">
        <f>IFERROR(VLOOKUP($B384,Members!$A:$C,3,FALSE),"")</f>
        <v/>
      </c>
      <c r="E384" s="11">
        <f>IF($F384="","",IFERROR(VLOOKUP($F384,ActionMap!$A:$B,2,FALSE),"INVALID ACTION"))</f>
        <v/>
      </c>
      <c r="F384" s="4" t="n"/>
      <c r="G384" s="11">
        <f>IFERROR(VLOOKUP($E384,ActionsCatalog!$A:$B,2,FALSE),"")</f>
        <v/>
      </c>
      <c r="H384" s="4" t="n"/>
      <c r="I384" s="4">
        <f>IFERROR(VLOOKUP($E384,ActionsCatalog!$A:$D,3,FALSE),0)</f>
        <v/>
      </c>
      <c r="J384" s="4">
        <f>IFERROR(VLOOKUP($E384,ActionsCatalog!$A:$D,4,FALSE),0)</f>
        <v/>
      </c>
      <c r="K384" s="4">
        <f>IF($M384&lt;&gt;"Yes",0,IF($H384="",0,$H384*$I384))</f>
        <v/>
      </c>
      <c r="L384" s="4">
        <f>IF($M384&lt;&gt;"Yes",0,IF($H384="",0,$H384*$J384))</f>
        <v/>
      </c>
      <c r="M384" s="4" t="n"/>
      <c r="N384" s="4" t="n"/>
      <c r="O384" s="4">
        <f>IF($A384="","",TEXT($A384,"yyyy")&amp;"-W"&amp;TEXT(ISOWEEKNUM($A384),"00"))</f>
        <v/>
      </c>
      <c r="P384" s="4" t="n"/>
      <c r="Q384" s="14">
        <f>IF($A384="","",TEXT($A384,"yyyy-mm"))</f>
        <v/>
      </c>
    </row>
    <row r="385">
      <c r="A385" s="66" t="n"/>
      <c r="B385" s="4" t="n"/>
      <c r="C385" s="11">
        <f>IFERROR(VLOOKUP($B385,Members!$A:$C,2,FALSE),"")</f>
        <v/>
      </c>
      <c r="D385" s="11">
        <f>IFERROR(VLOOKUP($B385,Members!$A:$C,3,FALSE),"")</f>
        <v/>
      </c>
      <c r="E385" s="11">
        <f>IF($F385="","",IFERROR(VLOOKUP($F385,ActionMap!$A:$B,2,FALSE),"INVALID ACTION"))</f>
        <v/>
      </c>
      <c r="F385" s="4" t="n"/>
      <c r="G385" s="11">
        <f>IFERROR(VLOOKUP($E385,ActionsCatalog!$A:$B,2,FALSE),"")</f>
        <v/>
      </c>
      <c r="H385" s="4" t="n"/>
      <c r="I385" s="4">
        <f>IFERROR(VLOOKUP($E385,ActionsCatalog!$A:$D,3,FALSE),0)</f>
        <v/>
      </c>
      <c r="J385" s="4">
        <f>IFERROR(VLOOKUP($E385,ActionsCatalog!$A:$D,4,FALSE),0)</f>
        <v/>
      </c>
      <c r="K385" s="4">
        <f>IF($M385&lt;&gt;"Yes",0,IF($H385="",0,$H385*$I385))</f>
        <v/>
      </c>
      <c r="L385" s="4">
        <f>IF($M385&lt;&gt;"Yes",0,IF($H385="",0,$H385*$J385))</f>
        <v/>
      </c>
      <c r="M385" s="4" t="n"/>
      <c r="N385" s="4" t="n"/>
      <c r="O385" s="4">
        <f>IF($A385="","",TEXT($A385,"yyyy")&amp;"-W"&amp;TEXT(ISOWEEKNUM($A385),"00"))</f>
        <v/>
      </c>
      <c r="P385" s="4" t="n"/>
      <c r="Q385" s="14">
        <f>IF($A385="","",TEXT($A385,"yyyy-mm"))</f>
        <v/>
      </c>
    </row>
    <row r="386">
      <c r="A386" s="66" t="n"/>
      <c r="B386" s="4" t="n"/>
      <c r="C386" s="11">
        <f>IFERROR(VLOOKUP($B386,Members!$A:$C,2,FALSE),"")</f>
        <v/>
      </c>
      <c r="D386" s="11">
        <f>IFERROR(VLOOKUP($B386,Members!$A:$C,3,FALSE),"")</f>
        <v/>
      </c>
      <c r="E386" s="11">
        <f>IF($F386="","",IFERROR(VLOOKUP($F386,ActionMap!$A:$B,2,FALSE),"INVALID ACTION"))</f>
        <v/>
      </c>
      <c r="F386" s="4" t="n"/>
      <c r="G386" s="11">
        <f>IFERROR(VLOOKUP($E386,ActionsCatalog!$A:$B,2,FALSE),"")</f>
        <v/>
      </c>
      <c r="H386" s="4" t="n"/>
      <c r="I386" s="4">
        <f>IFERROR(VLOOKUP($E386,ActionsCatalog!$A:$D,3,FALSE),0)</f>
        <v/>
      </c>
      <c r="J386" s="4">
        <f>IFERROR(VLOOKUP($E386,ActionsCatalog!$A:$D,4,FALSE),0)</f>
        <v/>
      </c>
      <c r="K386" s="4">
        <f>IF($M386&lt;&gt;"Yes",0,IF($H386="",0,$H386*$I386))</f>
        <v/>
      </c>
      <c r="L386" s="4">
        <f>IF($M386&lt;&gt;"Yes",0,IF($H386="",0,$H386*$J386))</f>
        <v/>
      </c>
      <c r="M386" s="4" t="n"/>
      <c r="N386" s="4" t="n"/>
      <c r="O386" s="4">
        <f>IF($A386="","",TEXT($A386,"yyyy")&amp;"-W"&amp;TEXT(ISOWEEKNUM($A386),"00"))</f>
        <v/>
      </c>
      <c r="P386" s="4" t="n"/>
      <c r="Q386" s="14">
        <f>IF($A386="","",TEXT($A386,"yyyy-mm"))</f>
        <v/>
      </c>
    </row>
    <row r="387">
      <c r="A387" s="66" t="n"/>
      <c r="B387" s="4" t="n"/>
      <c r="C387" s="11">
        <f>IFERROR(VLOOKUP($B387,Members!$A:$C,2,FALSE),"")</f>
        <v/>
      </c>
      <c r="D387" s="11">
        <f>IFERROR(VLOOKUP($B387,Members!$A:$C,3,FALSE),"")</f>
        <v/>
      </c>
      <c r="E387" s="11">
        <f>IF($F387="","",IFERROR(VLOOKUP($F387,ActionMap!$A:$B,2,FALSE),"INVALID ACTION"))</f>
        <v/>
      </c>
      <c r="F387" s="4" t="n"/>
      <c r="G387" s="11">
        <f>IFERROR(VLOOKUP($E387,ActionsCatalog!$A:$B,2,FALSE),"")</f>
        <v/>
      </c>
      <c r="H387" s="4" t="n"/>
      <c r="I387" s="4">
        <f>IFERROR(VLOOKUP($E387,ActionsCatalog!$A:$D,3,FALSE),0)</f>
        <v/>
      </c>
      <c r="J387" s="4">
        <f>IFERROR(VLOOKUP($E387,ActionsCatalog!$A:$D,4,FALSE),0)</f>
        <v/>
      </c>
      <c r="K387" s="4">
        <f>IF($M387&lt;&gt;"Yes",0,IF($H387="",0,$H387*$I387))</f>
        <v/>
      </c>
      <c r="L387" s="4">
        <f>IF($M387&lt;&gt;"Yes",0,IF($H387="",0,$H387*$J387))</f>
        <v/>
      </c>
      <c r="M387" s="4" t="n"/>
      <c r="N387" s="4" t="n"/>
      <c r="O387" s="4">
        <f>IF($A387="","",TEXT($A387,"yyyy")&amp;"-W"&amp;TEXT(ISOWEEKNUM($A387),"00"))</f>
        <v/>
      </c>
      <c r="P387" s="4" t="n"/>
      <c r="Q387" s="14">
        <f>IF($A387="","",TEXT($A387,"yyyy-mm"))</f>
        <v/>
      </c>
    </row>
    <row r="388">
      <c r="A388" s="66" t="n"/>
      <c r="B388" s="4" t="n"/>
      <c r="C388" s="11">
        <f>IFERROR(VLOOKUP($B388,Members!$A:$C,2,FALSE),"")</f>
        <v/>
      </c>
      <c r="D388" s="11">
        <f>IFERROR(VLOOKUP($B388,Members!$A:$C,3,FALSE),"")</f>
        <v/>
      </c>
      <c r="E388" s="11">
        <f>IF($F388="","",IFERROR(VLOOKUP($F388,ActionMap!$A:$B,2,FALSE),"INVALID ACTION"))</f>
        <v/>
      </c>
      <c r="F388" s="4" t="n"/>
      <c r="G388" s="11">
        <f>IFERROR(VLOOKUP($E388,ActionsCatalog!$A:$B,2,FALSE),"")</f>
        <v/>
      </c>
      <c r="H388" s="4" t="n"/>
      <c r="I388" s="4">
        <f>IFERROR(VLOOKUP($E388,ActionsCatalog!$A:$D,3,FALSE),0)</f>
        <v/>
      </c>
      <c r="J388" s="4">
        <f>IFERROR(VLOOKUP($E388,ActionsCatalog!$A:$D,4,FALSE),0)</f>
        <v/>
      </c>
      <c r="K388" s="4">
        <f>IF($M388&lt;&gt;"Yes",0,IF($H388="",0,$H388*$I388))</f>
        <v/>
      </c>
      <c r="L388" s="4">
        <f>IF($M388&lt;&gt;"Yes",0,IF($H388="",0,$H388*$J388))</f>
        <v/>
      </c>
      <c r="M388" s="4" t="n"/>
      <c r="N388" s="4" t="n"/>
      <c r="O388" s="4">
        <f>IF($A388="","",TEXT($A388,"yyyy")&amp;"-W"&amp;TEXT(ISOWEEKNUM($A388),"00"))</f>
        <v/>
      </c>
      <c r="P388" s="4" t="n"/>
      <c r="Q388" s="14">
        <f>IF($A388="","",TEXT($A388,"yyyy-mm"))</f>
        <v/>
      </c>
    </row>
    <row r="389">
      <c r="A389" s="66" t="n"/>
      <c r="B389" s="4" t="n"/>
      <c r="C389" s="11">
        <f>IFERROR(VLOOKUP($B389,Members!$A:$C,2,FALSE),"")</f>
        <v/>
      </c>
      <c r="D389" s="11">
        <f>IFERROR(VLOOKUP($B389,Members!$A:$C,3,FALSE),"")</f>
        <v/>
      </c>
      <c r="E389" s="11">
        <f>IF($F389="","",IFERROR(VLOOKUP($F389,ActionMap!$A:$B,2,FALSE),"INVALID ACTION"))</f>
        <v/>
      </c>
      <c r="F389" s="4" t="n"/>
      <c r="G389" s="11">
        <f>IFERROR(VLOOKUP($E389,ActionsCatalog!$A:$B,2,FALSE),"")</f>
        <v/>
      </c>
      <c r="H389" s="4" t="n"/>
      <c r="I389" s="4">
        <f>IFERROR(VLOOKUP($E389,ActionsCatalog!$A:$D,3,FALSE),0)</f>
        <v/>
      </c>
      <c r="J389" s="4">
        <f>IFERROR(VLOOKUP($E389,ActionsCatalog!$A:$D,4,FALSE),0)</f>
        <v/>
      </c>
      <c r="K389" s="4">
        <f>IF($M389&lt;&gt;"Yes",0,IF($H389="",0,$H389*$I389))</f>
        <v/>
      </c>
      <c r="L389" s="4">
        <f>IF($M389&lt;&gt;"Yes",0,IF($H389="",0,$H389*$J389))</f>
        <v/>
      </c>
      <c r="M389" s="4" t="n"/>
      <c r="N389" s="4" t="n"/>
      <c r="O389" s="4">
        <f>IF($A389="","",TEXT($A389,"yyyy")&amp;"-W"&amp;TEXT(ISOWEEKNUM($A389),"00"))</f>
        <v/>
      </c>
      <c r="P389" s="4" t="n"/>
      <c r="Q389" s="14">
        <f>IF($A389="","",TEXT($A389,"yyyy-mm"))</f>
        <v/>
      </c>
    </row>
    <row r="390">
      <c r="A390" s="66" t="n"/>
      <c r="B390" s="4" t="n"/>
      <c r="C390" s="11">
        <f>IFERROR(VLOOKUP($B390,Members!$A:$C,2,FALSE),"")</f>
        <v/>
      </c>
      <c r="D390" s="11">
        <f>IFERROR(VLOOKUP($B390,Members!$A:$C,3,FALSE),"")</f>
        <v/>
      </c>
      <c r="E390" s="11">
        <f>IF($F390="","",IFERROR(VLOOKUP($F390,ActionMap!$A:$B,2,FALSE),"INVALID ACTION"))</f>
        <v/>
      </c>
      <c r="F390" s="4" t="n"/>
      <c r="G390" s="11">
        <f>IFERROR(VLOOKUP($E390,ActionsCatalog!$A:$B,2,FALSE),"")</f>
        <v/>
      </c>
      <c r="H390" s="4" t="n"/>
      <c r="I390" s="4">
        <f>IFERROR(VLOOKUP($E390,ActionsCatalog!$A:$D,3,FALSE),0)</f>
        <v/>
      </c>
      <c r="J390" s="4">
        <f>IFERROR(VLOOKUP($E390,ActionsCatalog!$A:$D,4,FALSE),0)</f>
        <v/>
      </c>
      <c r="K390" s="4">
        <f>IF($M390&lt;&gt;"Yes",0,IF($H390="",0,$H390*$I390))</f>
        <v/>
      </c>
      <c r="L390" s="4">
        <f>IF($M390&lt;&gt;"Yes",0,IF($H390="",0,$H390*$J390))</f>
        <v/>
      </c>
      <c r="M390" s="4" t="n"/>
      <c r="N390" s="4" t="n"/>
      <c r="O390" s="4">
        <f>IF($A390="","",TEXT($A390,"yyyy")&amp;"-W"&amp;TEXT(ISOWEEKNUM($A390),"00"))</f>
        <v/>
      </c>
      <c r="P390" s="4" t="n"/>
      <c r="Q390" s="14">
        <f>IF($A390="","",TEXT($A390,"yyyy-mm"))</f>
        <v/>
      </c>
    </row>
    <row r="391">
      <c r="A391" s="66" t="n"/>
      <c r="B391" s="4" t="n"/>
      <c r="C391" s="11">
        <f>IFERROR(VLOOKUP($B391,Members!$A:$C,2,FALSE),"")</f>
        <v/>
      </c>
      <c r="D391" s="11">
        <f>IFERROR(VLOOKUP($B391,Members!$A:$C,3,FALSE),"")</f>
        <v/>
      </c>
      <c r="E391" s="11">
        <f>IF($F391="","",IFERROR(VLOOKUP($F391,ActionMap!$A:$B,2,FALSE),"INVALID ACTION"))</f>
        <v/>
      </c>
      <c r="F391" s="4" t="n"/>
      <c r="G391" s="11">
        <f>IFERROR(VLOOKUP($E391,ActionsCatalog!$A:$B,2,FALSE),"")</f>
        <v/>
      </c>
      <c r="H391" s="4" t="n"/>
      <c r="I391" s="4">
        <f>IFERROR(VLOOKUP($E391,ActionsCatalog!$A:$D,3,FALSE),0)</f>
        <v/>
      </c>
      <c r="J391" s="4">
        <f>IFERROR(VLOOKUP($E391,ActionsCatalog!$A:$D,4,FALSE),0)</f>
        <v/>
      </c>
      <c r="K391" s="4">
        <f>IF($M391&lt;&gt;"Yes",0,IF($H391="",0,$H391*$I391))</f>
        <v/>
      </c>
      <c r="L391" s="4">
        <f>IF($M391&lt;&gt;"Yes",0,IF($H391="",0,$H391*$J391))</f>
        <v/>
      </c>
      <c r="M391" s="4" t="n"/>
      <c r="N391" s="4" t="n"/>
      <c r="O391" s="4">
        <f>IF($A391="","",TEXT($A391,"yyyy")&amp;"-W"&amp;TEXT(ISOWEEKNUM($A391),"00"))</f>
        <v/>
      </c>
      <c r="P391" s="4" t="n"/>
      <c r="Q391" s="14">
        <f>IF($A391="","",TEXT($A391,"yyyy-mm"))</f>
        <v/>
      </c>
    </row>
    <row r="392">
      <c r="A392" s="66" t="n"/>
      <c r="B392" s="4" t="n"/>
      <c r="C392" s="11">
        <f>IFERROR(VLOOKUP($B392,Members!$A:$C,2,FALSE),"")</f>
        <v/>
      </c>
      <c r="D392" s="11">
        <f>IFERROR(VLOOKUP($B392,Members!$A:$C,3,FALSE),"")</f>
        <v/>
      </c>
      <c r="E392" s="11">
        <f>IF($F392="","",IFERROR(VLOOKUP($F392,ActionMap!$A:$B,2,FALSE),"INVALID ACTION"))</f>
        <v/>
      </c>
      <c r="F392" s="4" t="n"/>
      <c r="G392" s="11">
        <f>IFERROR(VLOOKUP($E392,ActionsCatalog!$A:$B,2,FALSE),"")</f>
        <v/>
      </c>
      <c r="H392" s="4" t="n"/>
      <c r="I392" s="4">
        <f>IFERROR(VLOOKUP($E392,ActionsCatalog!$A:$D,3,FALSE),0)</f>
        <v/>
      </c>
      <c r="J392" s="4">
        <f>IFERROR(VLOOKUP($E392,ActionsCatalog!$A:$D,4,FALSE),0)</f>
        <v/>
      </c>
      <c r="K392" s="4">
        <f>IF($M392&lt;&gt;"Yes",0,IF($H392="",0,$H392*$I392))</f>
        <v/>
      </c>
      <c r="L392" s="4">
        <f>IF($M392&lt;&gt;"Yes",0,IF($H392="",0,$H392*$J392))</f>
        <v/>
      </c>
      <c r="M392" s="4" t="n"/>
      <c r="N392" s="4" t="n"/>
      <c r="O392" s="4">
        <f>IF($A392="","",TEXT($A392,"yyyy")&amp;"-W"&amp;TEXT(ISOWEEKNUM($A392),"00"))</f>
        <v/>
      </c>
      <c r="P392" s="4" t="n"/>
      <c r="Q392" s="14">
        <f>IF($A392="","",TEXT($A392,"yyyy-mm"))</f>
        <v/>
      </c>
    </row>
    <row r="393">
      <c r="A393" s="66" t="n"/>
      <c r="B393" s="4" t="n"/>
      <c r="C393" s="11">
        <f>IFERROR(VLOOKUP($B393,Members!$A:$C,2,FALSE),"")</f>
        <v/>
      </c>
      <c r="D393" s="11">
        <f>IFERROR(VLOOKUP($B393,Members!$A:$C,3,FALSE),"")</f>
        <v/>
      </c>
      <c r="E393" s="11">
        <f>IF($F393="","",IFERROR(VLOOKUP($F393,ActionMap!$A:$B,2,FALSE),"INVALID ACTION"))</f>
        <v/>
      </c>
      <c r="F393" s="4" t="n"/>
      <c r="G393" s="11">
        <f>IFERROR(VLOOKUP($E393,ActionsCatalog!$A:$B,2,FALSE),"")</f>
        <v/>
      </c>
      <c r="H393" s="4" t="n"/>
      <c r="I393" s="4">
        <f>IFERROR(VLOOKUP($E393,ActionsCatalog!$A:$D,3,FALSE),0)</f>
        <v/>
      </c>
      <c r="J393" s="4">
        <f>IFERROR(VLOOKUP($E393,ActionsCatalog!$A:$D,4,FALSE),0)</f>
        <v/>
      </c>
      <c r="K393" s="4">
        <f>IF($M393&lt;&gt;"Yes",0,IF($H393="",0,$H393*$I393))</f>
        <v/>
      </c>
      <c r="L393" s="4">
        <f>IF($M393&lt;&gt;"Yes",0,IF($H393="",0,$H393*$J393))</f>
        <v/>
      </c>
      <c r="M393" s="4" t="n"/>
      <c r="N393" s="4" t="n"/>
      <c r="O393" s="4">
        <f>IF($A393="","",TEXT($A393,"yyyy")&amp;"-W"&amp;TEXT(ISOWEEKNUM($A393),"00"))</f>
        <v/>
      </c>
      <c r="P393" s="4" t="n"/>
      <c r="Q393" s="14">
        <f>IF($A393="","",TEXT($A393,"yyyy-mm"))</f>
        <v/>
      </c>
    </row>
    <row r="394">
      <c r="A394" s="66" t="n"/>
      <c r="B394" s="4" t="n"/>
      <c r="C394" s="11">
        <f>IFERROR(VLOOKUP($B394,Members!$A:$C,2,FALSE),"")</f>
        <v/>
      </c>
      <c r="D394" s="11">
        <f>IFERROR(VLOOKUP($B394,Members!$A:$C,3,FALSE),"")</f>
        <v/>
      </c>
      <c r="E394" s="11">
        <f>IF($F394="","",IFERROR(VLOOKUP($F394,ActionMap!$A:$B,2,FALSE),"INVALID ACTION"))</f>
        <v/>
      </c>
      <c r="F394" s="4" t="n"/>
      <c r="G394" s="11">
        <f>IFERROR(VLOOKUP($E394,ActionsCatalog!$A:$B,2,FALSE),"")</f>
        <v/>
      </c>
      <c r="H394" s="4" t="n"/>
      <c r="I394" s="4">
        <f>IFERROR(VLOOKUP($E394,ActionsCatalog!$A:$D,3,FALSE),0)</f>
        <v/>
      </c>
      <c r="J394" s="4">
        <f>IFERROR(VLOOKUP($E394,ActionsCatalog!$A:$D,4,FALSE),0)</f>
        <v/>
      </c>
      <c r="K394" s="4">
        <f>IF($M394&lt;&gt;"Yes",0,IF($H394="",0,$H394*$I394))</f>
        <v/>
      </c>
      <c r="L394" s="4">
        <f>IF($M394&lt;&gt;"Yes",0,IF($H394="",0,$H394*$J394))</f>
        <v/>
      </c>
      <c r="M394" s="4" t="n"/>
      <c r="N394" s="4" t="n"/>
      <c r="O394" s="4">
        <f>IF($A394="","",TEXT($A394,"yyyy")&amp;"-W"&amp;TEXT(ISOWEEKNUM($A394),"00"))</f>
        <v/>
      </c>
      <c r="P394" s="4" t="n"/>
      <c r="Q394" s="14">
        <f>IF($A394="","",TEXT($A394,"yyyy-mm"))</f>
        <v/>
      </c>
    </row>
    <row r="395">
      <c r="A395" s="66" t="n"/>
      <c r="B395" s="4" t="n"/>
      <c r="C395" s="11">
        <f>IFERROR(VLOOKUP($B395,Members!$A:$C,2,FALSE),"")</f>
        <v/>
      </c>
      <c r="D395" s="11">
        <f>IFERROR(VLOOKUP($B395,Members!$A:$C,3,FALSE),"")</f>
        <v/>
      </c>
      <c r="E395" s="11">
        <f>IF($F395="","",IFERROR(VLOOKUP($F395,ActionMap!$A:$B,2,FALSE),"INVALID ACTION"))</f>
        <v/>
      </c>
      <c r="F395" s="4" t="n"/>
      <c r="G395" s="11">
        <f>IFERROR(VLOOKUP($E395,ActionsCatalog!$A:$B,2,FALSE),"")</f>
        <v/>
      </c>
      <c r="H395" s="4" t="n"/>
      <c r="I395" s="4">
        <f>IFERROR(VLOOKUP($E395,ActionsCatalog!$A:$D,3,FALSE),0)</f>
        <v/>
      </c>
      <c r="J395" s="4">
        <f>IFERROR(VLOOKUP($E395,ActionsCatalog!$A:$D,4,FALSE),0)</f>
        <v/>
      </c>
      <c r="K395" s="4">
        <f>IF($M395&lt;&gt;"Yes",0,IF($H395="",0,$H395*$I395))</f>
        <v/>
      </c>
      <c r="L395" s="4">
        <f>IF($M395&lt;&gt;"Yes",0,IF($H395="",0,$H395*$J395))</f>
        <v/>
      </c>
      <c r="M395" s="4" t="n"/>
      <c r="N395" s="4" t="n"/>
      <c r="O395" s="4">
        <f>IF($A395="","",TEXT($A395,"yyyy")&amp;"-W"&amp;TEXT(ISOWEEKNUM($A395),"00"))</f>
        <v/>
      </c>
      <c r="P395" s="4" t="n"/>
      <c r="Q395" s="14">
        <f>IF($A395="","",TEXT($A395,"yyyy-mm"))</f>
        <v/>
      </c>
    </row>
    <row r="396">
      <c r="A396" s="66" t="n"/>
      <c r="B396" s="4" t="n"/>
      <c r="C396" s="11">
        <f>IFERROR(VLOOKUP($B396,Members!$A:$C,2,FALSE),"")</f>
        <v/>
      </c>
      <c r="D396" s="11">
        <f>IFERROR(VLOOKUP($B396,Members!$A:$C,3,FALSE),"")</f>
        <v/>
      </c>
      <c r="E396" s="11">
        <f>IF($F396="","",IFERROR(VLOOKUP($F396,ActionMap!$A:$B,2,FALSE),"INVALID ACTION"))</f>
        <v/>
      </c>
      <c r="F396" s="4" t="n"/>
      <c r="G396" s="11">
        <f>IFERROR(VLOOKUP($E396,ActionsCatalog!$A:$B,2,FALSE),"")</f>
        <v/>
      </c>
      <c r="H396" s="4" t="n"/>
      <c r="I396" s="4">
        <f>IFERROR(VLOOKUP($E396,ActionsCatalog!$A:$D,3,FALSE),0)</f>
        <v/>
      </c>
      <c r="J396" s="4">
        <f>IFERROR(VLOOKUP($E396,ActionsCatalog!$A:$D,4,FALSE),0)</f>
        <v/>
      </c>
      <c r="K396" s="4">
        <f>IF($M396&lt;&gt;"Yes",0,IF($H396="",0,$H396*$I396))</f>
        <v/>
      </c>
      <c r="L396" s="4">
        <f>IF($M396&lt;&gt;"Yes",0,IF($H396="",0,$H396*$J396))</f>
        <v/>
      </c>
      <c r="M396" s="4" t="n"/>
      <c r="N396" s="4" t="n"/>
      <c r="O396" s="4">
        <f>IF($A396="","",TEXT($A396,"yyyy")&amp;"-W"&amp;TEXT(ISOWEEKNUM($A396),"00"))</f>
        <v/>
      </c>
      <c r="P396" s="4" t="n"/>
      <c r="Q396" s="14">
        <f>IF($A396="","",TEXT($A396,"yyyy-mm"))</f>
        <v/>
      </c>
    </row>
    <row r="397">
      <c r="A397" s="66" t="n"/>
      <c r="B397" s="4" t="n"/>
      <c r="C397" s="11">
        <f>IFERROR(VLOOKUP($B397,Members!$A:$C,2,FALSE),"")</f>
        <v/>
      </c>
      <c r="D397" s="11">
        <f>IFERROR(VLOOKUP($B397,Members!$A:$C,3,FALSE),"")</f>
        <v/>
      </c>
      <c r="E397" s="11">
        <f>IF($F397="","",IFERROR(VLOOKUP($F397,ActionMap!$A:$B,2,FALSE),"INVALID ACTION"))</f>
        <v/>
      </c>
      <c r="F397" s="4" t="n"/>
      <c r="G397" s="11">
        <f>IFERROR(VLOOKUP($E397,ActionsCatalog!$A:$B,2,FALSE),"")</f>
        <v/>
      </c>
      <c r="H397" s="4" t="n"/>
      <c r="I397" s="4">
        <f>IFERROR(VLOOKUP($E397,ActionsCatalog!$A:$D,3,FALSE),0)</f>
        <v/>
      </c>
      <c r="J397" s="4">
        <f>IFERROR(VLOOKUP($E397,ActionsCatalog!$A:$D,4,FALSE),0)</f>
        <v/>
      </c>
      <c r="K397" s="4">
        <f>IF($M397&lt;&gt;"Yes",0,IF($H397="",0,$H397*$I397))</f>
        <v/>
      </c>
      <c r="L397" s="4">
        <f>IF($M397&lt;&gt;"Yes",0,IF($H397="",0,$H397*$J397))</f>
        <v/>
      </c>
      <c r="M397" s="4" t="n"/>
      <c r="N397" s="4" t="n"/>
      <c r="O397" s="4">
        <f>IF($A397="","",TEXT($A397,"yyyy")&amp;"-W"&amp;TEXT(ISOWEEKNUM($A397),"00"))</f>
        <v/>
      </c>
      <c r="P397" s="4" t="n"/>
      <c r="Q397" s="14">
        <f>IF($A397="","",TEXT($A397,"yyyy-mm"))</f>
        <v/>
      </c>
    </row>
    <row r="398">
      <c r="A398" s="66" t="n"/>
      <c r="B398" s="4" t="n"/>
      <c r="C398" s="11">
        <f>IFERROR(VLOOKUP($B398,Members!$A:$C,2,FALSE),"")</f>
        <v/>
      </c>
      <c r="D398" s="11">
        <f>IFERROR(VLOOKUP($B398,Members!$A:$C,3,FALSE),"")</f>
        <v/>
      </c>
      <c r="E398" s="11">
        <f>IF($F398="","",IFERROR(VLOOKUP($F398,ActionMap!$A:$B,2,FALSE),"INVALID ACTION"))</f>
        <v/>
      </c>
      <c r="F398" s="4" t="n"/>
      <c r="G398" s="11">
        <f>IFERROR(VLOOKUP($E398,ActionsCatalog!$A:$B,2,FALSE),"")</f>
        <v/>
      </c>
      <c r="H398" s="4" t="n"/>
      <c r="I398" s="4">
        <f>IFERROR(VLOOKUP($E398,ActionsCatalog!$A:$D,3,FALSE),0)</f>
        <v/>
      </c>
      <c r="J398" s="4">
        <f>IFERROR(VLOOKUP($E398,ActionsCatalog!$A:$D,4,FALSE),0)</f>
        <v/>
      </c>
      <c r="K398" s="4">
        <f>IF($M398&lt;&gt;"Yes",0,IF($H398="",0,$H398*$I398))</f>
        <v/>
      </c>
      <c r="L398" s="4">
        <f>IF($M398&lt;&gt;"Yes",0,IF($H398="",0,$H398*$J398))</f>
        <v/>
      </c>
      <c r="M398" s="4" t="n"/>
      <c r="N398" s="4" t="n"/>
      <c r="O398" s="4">
        <f>IF($A398="","",TEXT($A398,"yyyy")&amp;"-W"&amp;TEXT(ISOWEEKNUM($A398),"00"))</f>
        <v/>
      </c>
      <c r="P398" s="4" t="n"/>
      <c r="Q398" s="14">
        <f>IF($A398="","",TEXT($A398,"yyyy-mm"))</f>
        <v/>
      </c>
    </row>
    <row r="399">
      <c r="A399" s="66" t="n"/>
      <c r="B399" s="4" t="n"/>
      <c r="C399" s="11">
        <f>IFERROR(VLOOKUP($B399,Members!$A:$C,2,FALSE),"")</f>
        <v/>
      </c>
      <c r="D399" s="11">
        <f>IFERROR(VLOOKUP($B399,Members!$A:$C,3,FALSE),"")</f>
        <v/>
      </c>
      <c r="E399" s="11">
        <f>IF($F399="","",IFERROR(VLOOKUP($F399,ActionMap!$A:$B,2,FALSE),"INVALID ACTION"))</f>
        <v/>
      </c>
      <c r="F399" s="4" t="n"/>
      <c r="G399" s="11">
        <f>IFERROR(VLOOKUP($E399,ActionsCatalog!$A:$B,2,FALSE),"")</f>
        <v/>
      </c>
      <c r="H399" s="4" t="n"/>
      <c r="I399" s="4">
        <f>IFERROR(VLOOKUP($E399,ActionsCatalog!$A:$D,3,FALSE),0)</f>
        <v/>
      </c>
      <c r="J399" s="4">
        <f>IFERROR(VLOOKUP($E399,ActionsCatalog!$A:$D,4,FALSE),0)</f>
        <v/>
      </c>
      <c r="K399" s="4">
        <f>IF($M399&lt;&gt;"Yes",0,IF($H399="",0,$H399*$I399))</f>
        <v/>
      </c>
      <c r="L399" s="4">
        <f>IF($M399&lt;&gt;"Yes",0,IF($H399="",0,$H399*$J399))</f>
        <v/>
      </c>
      <c r="M399" s="4" t="n"/>
      <c r="N399" s="4" t="n"/>
      <c r="O399" s="4">
        <f>IF($A399="","",TEXT($A399,"yyyy")&amp;"-W"&amp;TEXT(ISOWEEKNUM($A399),"00"))</f>
        <v/>
      </c>
      <c r="P399" s="4" t="n"/>
      <c r="Q399" s="14">
        <f>IF($A399="","",TEXT($A399,"yyyy-mm"))</f>
        <v/>
      </c>
    </row>
    <row r="400">
      <c r="A400" s="66" t="n"/>
      <c r="B400" s="4" t="n"/>
      <c r="C400" s="11">
        <f>IFERROR(VLOOKUP($B400,Members!$A:$C,2,FALSE),"")</f>
        <v/>
      </c>
      <c r="D400" s="11">
        <f>IFERROR(VLOOKUP($B400,Members!$A:$C,3,FALSE),"")</f>
        <v/>
      </c>
      <c r="E400" s="11">
        <f>IF($F400="","",IFERROR(VLOOKUP($F400,ActionMap!$A:$B,2,FALSE),"INVALID ACTION"))</f>
        <v/>
      </c>
      <c r="F400" s="4" t="n"/>
      <c r="G400" s="11">
        <f>IFERROR(VLOOKUP($E400,ActionsCatalog!$A:$B,2,FALSE),"")</f>
        <v/>
      </c>
      <c r="H400" s="4" t="n"/>
      <c r="I400" s="4">
        <f>IFERROR(VLOOKUP($E400,ActionsCatalog!$A:$D,3,FALSE),0)</f>
        <v/>
      </c>
      <c r="J400" s="4">
        <f>IFERROR(VLOOKUP($E400,ActionsCatalog!$A:$D,4,FALSE),0)</f>
        <v/>
      </c>
      <c r="K400" s="4">
        <f>IF($M400&lt;&gt;"Yes",0,IF($H400="",0,$H400*$I400))</f>
        <v/>
      </c>
      <c r="L400" s="4">
        <f>IF($M400&lt;&gt;"Yes",0,IF($H400="",0,$H400*$J400))</f>
        <v/>
      </c>
      <c r="M400" s="4" t="n"/>
      <c r="N400" s="4" t="n"/>
      <c r="O400" s="4">
        <f>IF($A400="","",TEXT($A400,"yyyy")&amp;"-W"&amp;TEXT(ISOWEEKNUM($A400),"00"))</f>
        <v/>
      </c>
      <c r="P400" s="4" t="n"/>
      <c r="Q400" s="14">
        <f>IF($A400="","",TEXT($A400,"yyyy-mm"))</f>
        <v/>
      </c>
    </row>
    <row r="401">
      <c r="A401" s="66" t="n"/>
      <c r="B401" s="4" t="n"/>
      <c r="C401" s="11">
        <f>IFERROR(VLOOKUP($B401,Members!$A:$C,2,FALSE),"")</f>
        <v/>
      </c>
      <c r="D401" s="11">
        <f>IFERROR(VLOOKUP($B401,Members!$A:$C,3,FALSE),"")</f>
        <v/>
      </c>
      <c r="E401" s="11">
        <f>IF($F401="","",IFERROR(VLOOKUP($F401,ActionMap!$A:$B,2,FALSE),"INVALID ACTION"))</f>
        <v/>
      </c>
      <c r="F401" s="4" t="n"/>
      <c r="G401" s="11">
        <f>IFERROR(VLOOKUP($E401,ActionsCatalog!$A:$B,2,FALSE),"")</f>
        <v/>
      </c>
      <c r="H401" s="4" t="n"/>
      <c r="I401" s="4">
        <f>IFERROR(VLOOKUP($E401,ActionsCatalog!$A:$D,3,FALSE),0)</f>
        <v/>
      </c>
      <c r="J401" s="4">
        <f>IFERROR(VLOOKUP($E401,ActionsCatalog!$A:$D,4,FALSE),0)</f>
        <v/>
      </c>
      <c r="K401" s="4">
        <f>IF($M401&lt;&gt;"Yes",0,IF($H401="",0,$H401*$I401))</f>
        <v/>
      </c>
      <c r="L401" s="4">
        <f>IF($M401&lt;&gt;"Yes",0,IF($H401="",0,$H401*$J401))</f>
        <v/>
      </c>
      <c r="M401" s="4" t="n"/>
      <c r="N401" s="4" t="n"/>
      <c r="O401" s="4">
        <f>IF($A401="","",TEXT($A401,"yyyy")&amp;"-W"&amp;TEXT(ISOWEEKNUM($A401),"00"))</f>
        <v/>
      </c>
      <c r="P401" s="4" t="n"/>
      <c r="Q401" s="14">
        <f>IF($A401="","",TEXT($A401,"yyyy-mm"))</f>
        <v/>
      </c>
    </row>
    <row r="402">
      <c r="A402" s="66" t="n"/>
      <c r="B402" s="4" t="n"/>
      <c r="C402" s="11">
        <f>IFERROR(VLOOKUP($B402,Members!$A:$C,2,FALSE),"")</f>
        <v/>
      </c>
      <c r="D402" s="11">
        <f>IFERROR(VLOOKUP($B402,Members!$A:$C,3,FALSE),"")</f>
        <v/>
      </c>
      <c r="E402" s="11">
        <f>IF($F402="","",IFERROR(VLOOKUP($F402,ActionMap!$A:$B,2,FALSE),"INVALID ACTION"))</f>
        <v/>
      </c>
      <c r="F402" s="4" t="n"/>
      <c r="G402" s="11">
        <f>IFERROR(VLOOKUP($E402,ActionsCatalog!$A:$B,2,FALSE),"")</f>
        <v/>
      </c>
      <c r="H402" s="4" t="n"/>
      <c r="I402" s="4">
        <f>IFERROR(VLOOKUP($E402,ActionsCatalog!$A:$D,3,FALSE),0)</f>
        <v/>
      </c>
      <c r="J402" s="4">
        <f>IFERROR(VLOOKUP($E402,ActionsCatalog!$A:$D,4,FALSE),0)</f>
        <v/>
      </c>
      <c r="K402" s="4">
        <f>IF($M402&lt;&gt;"Yes",0,IF($H402="",0,$H402*$I402))</f>
        <v/>
      </c>
      <c r="L402" s="4">
        <f>IF($M402&lt;&gt;"Yes",0,IF($H402="",0,$H402*$J402))</f>
        <v/>
      </c>
      <c r="M402" s="4" t="n"/>
      <c r="N402" s="4" t="n"/>
      <c r="O402" s="4">
        <f>IF($A402="","",TEXT($A402,"yyyy")&amp;"-W"&amp;TEXT(ISOWEEKNUM($A402),"00"))</f>
        <v/>
      </c>
      <c r="P402" s="4" t="n"/>
      <c r="Q402" s="14">
        <f>IF($A402="","",TEXT($A402,"yyyy-mm"))</f>
        <v/>
      </c>
    </row>
    <row r="403">
      <c r="A403" s="66" t="n"/>
      <c r="B403" s="4" t="n"/>
      <c r="C403" s="11">
        <f>IFERROR(VLOOKUP($B403,Members!$A:$C,2,FALSE),"")</f>
        <v/>
      </c>
      <c r="D403" s="11">
        <f>IFERROR(VLOOKUP($B403,Members!$A:$C,3,FALSE),"")</f>
        <v/>
      </c>
      <c r="E403" s="11">
        <f>IF($F403="","",IFERROR(VLOOKUP($F403,ActionMap!$A:$B,2,FALSE),"INVALID ACTION"))</f>
        <v/>
      </c>
      <c r="F403" s="4" t="n"/>
      <c r="G403" s="11">
        <f>IFERROR(VLOOKUP($E403,ActionsCatalog!$A:$B,2,FALSE),"")</f>
        <v/>
      </c>
      <c r="H403" s="4" t="n"/>
      <c r="I403" s="4">
        <f>IFERROR(VLOOKUP($E403,ActionsCatalog!$A:$D,3,FALSE),0)</f>
        <v/>
      </c>
      <c r="J403" s="4">
        <f>IFERROR(VLOOKUP($E403,ActionsCatalog!$A:$D,4,FALSE),0)</f>
        <v/>
      </c>
      <c r="K403" s="4">
        <f>IF($M403&lt;&gt;"Yes",0,IF($H403="",0,$H403*$I403))</f>
        <v/>
      </c>
      <c r="L403" s="4">
        <f>IF($M403&lt;&gt;"Yes",0,IF($H403="",0,$H403*$J403))</f>
        <v/>
      </c>
      <c r="M403" s="4" t="n"/>
      <c r="N403" s="4" t="n"/>
      <c r="O403" s="4">
        <f>IF($A403="","",TEXT($A403,"yyyy")&amp;"-W"&amp;TEXT(ISOWEEKNUM($A403),"00"))</f>
        <v/>
      </c>
      <c r="P403" s="4" t="n"/>
      <c r="Q403" s="14">
        <f>IF($A403="","",TEXT($A403,"yyyy-mm"))</f>
        <v/>
      </c>
    </row>
    <row r="404">
      <c r="A404" s="66" t="n"/>
      <c r="B404" s="4" t="n"/>
      <c r="C404" s="11">
        <f>IFERROR(VLOOKUP($B404,Members!$A:$C,2,FALSE),"")</f>
        <v/>
      </c>
      <c r="D404" s="11">
        <f>IFERROR(VLOOKUP($B404,Members!$A:$C,3,FALSE),"")</f>
        <v/>
      </c>
      <c r="E404" s="11">
        <f>IF($F404="","",IFERROR(VLOOKUP($F404,ActionMap!$A:$B,2,FALSE),"INVALID ACTION"))</f>
        <v/>
      </c>
      <c r="F404" s="4" t="n"/>
      <c r="G404" s="11">
        <f>IFERROR(VLOOKUP($E404,ActionsCatalog!$A:$B,2,FALSE),"")</f>
        <v/>
      </c>
      <c r="H404" s="4" t="n"/>
      <c r="I404" s="4">
        <f>IFERROR(VLOOKUP($E404,ActionsCatalog!$A:$D,3,FALSE),0)</f>
        <v/>
      </c>
      <c r="J404" s="4">
        <f>IFERROR(VLOOKUP($E404,ActionsCatalog!$A:$D,4,FALSE),0)</f>
        <v/>
      </c>
      <c r="K404" s="4">
        <f>IF($M404&lt;&gt;"Yes",0,IF($H404="",0,$H404*$I404))</f>
        <v/>
      </c>
      <c r="L404" s="4">
        <f>IF($M404&lt;&gt;"Yes",0,IF($H404="",0,$H404*$J404))</f>
        <v/>
      </c>
      <c r="M404" s="4" t="n"/>
      <c r="N404" s="4" t="n"/>
      <c r="O404" s="4">
        <f>IF($A404="","",TEXT($A404,"yyyy")&amp;"-W"&amp;TEXT(ISOWEEKNUM($A404),"00"))</f>
        <v/>
      </c>
      <c r="P404" s="4" t="n"/>
      <c r="Q404" s="14">
        <f>IF($A404="","",TEXT($A404,"yyyy-mm"))</f>
        <v/>
      </c>
    </row>
    <row r="405">
      <c r="A405" s="66" t="n"/>
      <c r="B405" s="4" t="n"/>
      <c r="C405" s="11">
        <f>IFERROR(VLOOKUP($B405,Members!$A:$C,2,FALSE),"")</f>
        <v/>
      </c>
      <c r="D405" s="11">
        <f>IFERROR(VLOOKUP($B405,Members!$A:$C,3,FALSE),"")</f>
        <v/>
      </c>
      <c r="E405" s="11">
        <f>IF($F405="","",IFERROR(VLOOKUP($F405,ActionMap!$A:$B,2,FALSE),"INVALID ACTION"))</f>
        <v/>
      </c>
      <c r="F405" s="4" t="n"/>
      <c r="G405" s="11">
        <f>IFERROR(VLOOKUP($E405,ActionsCatalog!$A:$B,2,FALSE),"")</f>
        <v/>
      </c>
      <c r="H405" s="4" t="n"/>
      <c r="I405" s="4">
        <f>IFERROR(VLOOKUP($E405,ActionsCatalog!$A:$D,3,FALSE),0)</f>
        <v/>
      </c>
      <c r="J405" s="4">
        <f>IFERROR(VLOOKUP($E405,ActionsCatalog!$A:$D,4,FALSE),0)</f>
        <v/>
      </c>
      <c r="K405" s="4">
        <f>IF($M405&lt;&gt;"Yes",0,IF($H405="",0,$H405*$I405))</f>
        <v/>
      </c>
      <c r="L405" s="4">
        <f>IF($M405&lt;&gt;"Yes",0,IF($H405="",0,$H405*$J405))</f>
        <v/>
      </c>
      <c r="M405" s="4" t="n"/>
      <c r="N405" s="4" t="n"/>
      <c r="O405" s="4">
        <f>IF($A405="","",TEXT($A405,"yyyy")&amp;"-W"&amp;TEXT(ISOWEEKNUM($A405),"00"))</f>
        <v/>
      </c>
      <c r="P405" s="4" t="n"/>
      <c r="Q405" s="14">
        <f>IF($A405="","",TEXT($A405,"yyyy-mm"))</f>
        <v/>
      </c>
    </row>
    <row r="406">
      <c r="A406" s="66" t="n"/>
      <c r="B406" s="4" t="n"/>
      <c r="C406" s="11">
        <f>IFERROR(VLOOKUP($B406,Members!$A:$C,2,FALSE),"")</f>
        <v/>
      </c>
      <c r="D406" s="11">
        <f>IFERROR(VLOOKUP($B406,Members!$A:$C,3,FALSE),"")</f>
        <v/>
      </c>
      <c r="E406" s="11">
        <f>IF($F406="","",IFERROR(VLOOKUP($F406,ActionMap!$A:$B,2,FALSE),"INVALID ACTION"))</f>
        <v/>
      </c>
      <c r="F406" s="4" t="n"/>
      <c r="G406" s="11">
        <f>IFERROR(VLOOKUP($E406,ActionsCatalog!$A:$B,2,FALSE),"")</f>
        <v/>
      </c>
      <c r="H406" s="4" t="n"/>
      <c r="I406" s="4">
        <f>IFERROR(VLOOKUP($E406,ActionsCatalog!$A:$D,3,FALSE),0)</f>
        <v/>
      </c>
      <c r="J406" s="4">
        <f>IFERROR(VLOOKUP($E406,ActionsCatalog!$A:$D,4,FALSE),0)</f>
        <v/>
      </c>
      <c r="K406" s="4">
        <f>IF($M406&lt;&gt;"Yes",0,IF($H406="",0,$H406*$I406))</f>
        <v/>
      </c>
      <c r="L406" s="4">
        <f>IF($M406&lt;&gt;"Yes",0,IF($H406="",0,$H406*$J406))</f>
        <v/>
      </c>
      <c r="M406" s="4" t="n"/>
      <c r="N406" s="4" t="n"/>
      <c r="O406" s="4">
        <f>IF($A406="","",TEXT($A406,"yyyy")&amp;"-W"&amp;TEXT(ISOWEEKNUM($A406),"00"))</f>
        <v/>
      </c>
      <c r="P406" s="4" t="n"/>
      <c r="Q406" s="14">
        <f>IF($A406="","",TEXT($A406,"yyyy-mm"))</f>
        <v/>
      </c>
    </row>
    <row r="407">
      <c r="A407" s="66" t="n"/>
      <c r="B407" s="4" t="n"/>
      <c r="C407" s="11">
        <f>IFERROR(VLOOKUP($B407,Members!$A:$C,2,FALSE),"")</f>
        <v/>
      </c>
      <c r="D407" s="11">
        <f>IFERROR(VLOOKUP($B407,Members!$A:$C,3,FALSE),"")</f>
        <v/>
      </c>
      <c r="E407" s="11">
        <f>IF($F407="","",IFERROR(VLOOKUP($F407,ActionMap!$A:$B,2,FALSE),"INVALID ACTION"))</f>
        <v/>
      </c>
      <c r="F407" s="4" t="n"/>
      <c r="G407" s="11">
        <f>IFERROR(VLOOKUP($E407,ActionsCatalog!$A:$B,2,FALSE),"")</f>
        <v/>
      </c>
      <c r="H407" s="4" t="n"/>
      <c r="I407" s="4">
        <f>IFERROR(VLOOKUP($E407,ActionsCatalog!$A:$D,3,FALSE),0)</f>
        <v/>
      </c>
      <c r="J407" s="4">
        <f>IFERROR(VLOOKUP($E407,ActionsCatalog!$A:$D,4,FALSE),0)</f>
        <v/>
      </c>
      <c r="K407" s="4">
        <f>IF($M407&lt;&gt;"Yes",0,IF($H407="",0,$H407*$I407))</f>
        <v/>
      </c>
      <c r="L407" s="4">
        <f>IF($M407&lt;&gt;"Yes",0,IF($H407="",0,$H407*$J407))</f>
        <v/>
      </c>
      <c r="M407" s="4" t="n"/>
      <c r="N407" s="4" t="n"/>
      <c r="O407" s="4">
        <f>IF($A407="","",TEXT($A407,"yyyy")&amp;"-W"&amp;TEXT(ISOWEEKNUM($A407),"00"))</f>
        <v/>
      </c>
      <c r="P407" s="4" t="n"/>
      <c r="Q407" s="14">
        <f>IF($A407="","",TEXT($A407,"yyyy-mm"))</f>
        <v/>
      </c>
    </row>
    <row r="408">
      <c r="A408" s="66" t="n"/>
      <c r="B408" s="4" t="n"/>
      <c r="C408" s="11">
        <f>IFERROR(VLOOKUP($B408,Members!$A:$C,2,FALSE),"")</f>
        <v/>
      </c>
      <c r="D408" s="11">
        <f>IFERROR(VLOOKUP($B408,Members!$A:$C,3,FALSE),"")</f>
        <v/>
      </c>
      <c r="E408" s="11">
        <f>IF($F408="","",IFERROR(VLOOKUP($F408,ActionMap!$A:$B,2,FALSE),"INVALID ACTION"))</f>
        <v/>
      </c>
      <c r="F408" s="4" t="n"/>
      <c r="G408" s="11">
        <f>IFERROR(VLOOKUP($E408,ActionsCatalog!$A:$B,2,FALSE),"")</f>
        <v/>
      </c>
      <c r="H408" s="4" t="n"/>
      <c r="I408" s="4">
        <f>IFERROR(VLOOKUP($E408,ActionsCatalog!$A:$D,3,FALSE),0)</f>
        <v/>
      </c>
      <c r="J408" s="4">
        <f>IFERROR(VLOOKUP($E408,ActionsCatalog!$A:$D,4,FALSE),0)</f>
        <v/>
      </c>
      <c r="K408" s="4">
        <f>IF($M408&lt;&gt;"Yes",0,IF($H408="",0,$H408*$I408))</f>
        <v/>
      </c>
      <c r="L408" s="4">
        <f>IF($M408&lt;&gt;"Yes",0,IF($H408="",0,$H408*$J408))</f>
        <v/>
      </c>
      <c r="M408" s="4" t="n"/>
      <c r="N408" s="4" t="n"/>
      <c r="O408" s="4">
        <f>IF($A408="","",TEXT($A408,"yyyy")&amp;"-W"&amp;TEXT(ISOWEEKNUM($A408),"00"))</f>
        <v/>
      </c>
      <c r="P408" s="4" t="n"/>
      <c r="Q408" s="14">
        <f>IF($A408="","",TEXT($A408,"yyyy-mm"))</f>
        <v/>
      </c>
    </row>
    <row r="409">
      <c r="A409" s="66" t="n"/>
      <c r="B409" s="4" t="n"/>
      <c r="C409" s="11">
        <f>IFERROR(VLOOKUP($B409,Members!$A:$C,2,FALSE),"")</f>
        <v/>
      </c>
      <c r="D409" s="11">
        <f>IFERROR(VLOOKUP($B409,Members!$A:$C,3,FALSE),"")</f>
        <v/>
      </c>
      <c r="E409" s="11">
        <f>IF($F409="","",IFERROR(VLOOKUP($F409,ActionMap!$A:$B,2,FALSE),"INVALID ACTION"))</f>
        <v/>
      </c>
      <c r="F409" s="4" t="n"/>
      <c r="G409" s="11">
        <f>IFERROR(VLOOKUP($E409,ActionsCatalog!$A:$B,2,FALSE),"")</f>
        <v/>
      </c>
      <c r="H409" s="4" t="n"/>
      <c r="I409" s="4">
        <f>IFERROR(VLOOKUP($E409,ActionsCatalog!$A:$D,3,FALSE),0)</f>
        <v/>
      </c>
      <c r="J409" s="4">
        <f>IFERROR(VLOOKUP($E409,ActionsCatalog!$A:$D,4,FALSE),0)</f>
        <v/>
      </c>
      <c r="K409" s="4">
        <f>IF($M409&lt;&gt;"Yes",0,IF($H409="",0,$H409*$I409))</f>
        <v/>
      </c>
      <c r="L409" s="4">
        <f>IF($M409&lt;&gt;"Yes",0,IF($H409="",0,$H409*$J409))</f>
        <v/>
      </c>
      <c r="M409" s="4" t="n"/>
      <c r="N409" s="4" t="n"/>
      <c r="O409" s="4">
        <f>IF($A409="","",TEXT($A409,"yyyy")&amp;"-W"&amp;TEXT(ISOWEEKNUM($A409),"00"))</f>
        <v/>
      </c>
      <c r="P409" s="4" t="n"/>
      <c r="Q409" s="14">
        <f>IF($A409="","",TEXT($A409,"yyyy-mm"))</f>
        <v/>
      </c>
    </row>
    <row r="410">
      <c r="A410" s="66" t="n"/>
      <c r="B410" s="4" t="n"/>
      <c r="C410" s="11">
        <f>IFERROR(VLOOKUP($B410,Members!$A:$C,2,FALSE),"")</f>
        <v/>
      </c>
      <c r="D410" s="11">
        <f>IFERROR(VLOOKUP($B410,Members!$A:$C,3,FALSE),"")</f>
        <v/>
      </c>
      <c r="E410" s="11">
        <f>IF($F410="","",IFERROR(VLOOKUP($F410,ActionMap!$A:$B,2,FALSE),"INVALID ACTION"))</f>
        <v/>
      </c>
      <c r="F410" s="4" t="n"/>
      <c r="G410" s="11">
        <f>IFERROR(VLOOKUP($E410,ActionsCatalog!$A:$B,2,FALSE),"")</f>
        <v/>
      </c>
      <c r="H410" s="4" t="n"/>
      <c r="I410" s="4">
        <f>IFERROR(VLOOKUP($E410,ActionsCatalog!$A:$D,3,FALSE),0)</f>
        <v/>
      </c>
      <c r="J410" s="4">
        <f>IFERROR(VLOOKUP($E410,ActionsCatalog!$A:$D,4,FALSE),0)</f>
        <v/>
      </c>
      <c r="K410" s="4">
        <f>IF($M410&lt;&gt;"Yes",0,IF($H410="",0,$H410*$I410))</f>
        <v/>
      </c>
      <c r="L410" s="4">
        <f>IF($M410&lt;&gt;"Yes",0,IF($H410="",0,$H410*$J410))</f>
        <v/>
      </c>
      <c r="M410" s="4" t="n"/>
      <c r="N410" s="4" t="n"/>
      <c r="O410" s="4">
        <f>IF($A410="","",TEXT($A410,"yyyy")&amp;"-W"&amp;TEXT(ISOWEEKNUM($A410),"00"))</f>
        <v/>
      </c>
      <c r="P410" s="4" t="n"/>
      <c r="Q410" s="14">
        <f>IF($A410="","",TEXT($A410,"yyyy-mm"))</f>
        <v/>
      </c>
    </row>
    <row r="411">
      <c r="A411" s="66" t="n"/>
      <c r="B411" s="4" t="n"/>
      <c r="C411" s="11">
        <f>IFERROR(VLOOKUP($B411,Members!$A:$C,2,FALSE),"")</f>
        <v/>
      </c>
      <c r="D411" s="11">
        <f>IFERROR(VLOOKUP($B411,Members!$A:$C,3,FALSE),"")</f>
        <v/>
      </c>
      <c r="E411" s="11">
        <f>IF($F411="","",IFERROR(VLOOKUP($F411,ActionMap!$A:$B,2,FALSE),"INVALID ACTION"))</f>
        <v/>
      </c>
      <c r="F411" s="4" t="n"/>
      <c r="G411" s="11">
        <f>IFERROR(VLOOKUP($E411,ActionsCatalog!$A:$B,2,FALSE),"")</f>
        <v/>
      </c>
      <c r="H411" s="4" t="n"/>
      <c r="I411" s="4">
        <f>IFERROR(VLOOKUP($E411,ActionsCatalog!$A:$D,3,FALSE),0)</f>
        <v/>
      </c>
      <c r="J411" s="4">
        <f>IFERROR(VLOOKUP($E411,ActionsCatalog!$A:$D,4,FALSE),0)</f>
        <v/>
      </c>
      <c r="K411" s="4">
        <f>IF($M411&lt;&gt;"Yes",0,IF($H411="",0,$H411*$I411))</f>
        <v/>
      </c>
      <c r="L411" s="4">
        <f>IF($M411&lt;&gt;"Yes",0,IF($H411="",0,$H411*$J411))</f>
        <v/>
      </c>
      <c r="M411" s="4" t="n"/>
      <c r="N411" s="4" t="n"/>
      <c r="O411" s="4">
        <f>IF($A411="","",TEXT($A411,"yyyy")&amp;"-W"&amp;TEXT(ISOWEEKNUM($A411),"00"))</f>
        <v/>
      </c>
      <c r="P411" s="4" t="n"/>
      <c r="Q411" s="14">
        <f>IF($A411="","",TEXT($A411,"yyyy-mm"))</f>
        <v/>
      </c>
    </row>
    <row r="412">
      <c r="A412" s="66" t="n"/>
      <c r="B412" s="4" t="n"/>
      <c r="C412" s="11">
        <f>IFERROR(VLOOKUP($B412,Members!$A:$C,2,FALSE),"")</f>
        <v/>
      </c>
      <c r="D412" s="11">
        <f>IFERROR(VLOOKUP($B412,Members!$A:$C,3,FALSE),"")</f>
        <v/>
      </c>
      <c r="E412" s="11">
        <f>IF($F412="","",IFERROR(VLOOKUP($F412,ActionMap!$A:$B,2,FALSE),"INVALID ACTION"))</f>
        <v/>
      </c>
      <c r="F412" s="4" t="n"/>
      <c r="G412" s="11">
        <f>IFERROR(VLOOKUP($E412,ActionsCatalog!$A:$B,2,FALSE),"")</f>
        <v/>
      </c>
      <c r="H412" s="4" t="n"/>
      <c r="I412" s="4">
        <f>IFERROR(VLOOKUP($E412,ActionsCatalog!$A:$D,3,FALSE),0)</f>
        <v/>
      </c>
      <c r="J412" s="4">
        <f>IFERROR(VLOOKUP($E412,ActionsCatalog!$A:$D,4,FALSE),0)</f>
        <v/>
      </c>
      <c r="K412" s="4">
        <f>IF($M412&lt;&gt;"Yes",0,IF($H412="",0,$H412*$I412))</f>
        <v/>
      </c>
      <c r="L412" s="4">
        <f>IF($M412&lt;&gt;"Yes",0,IF($H412="",0,$H412*$J412))</f>
        <v/>
      </c>
      <c r="M412" s="4" t="n"/>
      <c r="N412" s="4" t="n"/>
      <c r="O412" s="4">
        <f>IF($A412="","",TEXT($A412,"yyyy")&amp;"-W"&amp;TEXT(ISOWEEKNUM($A412),"00"))</f>
        <v/>
      </c>
      <c r="P412" s="4" t="n"/>
      <c r="Q412" s="14">
        <f>IF($A412="","",TEXT($A412,"yyyy-mm"))</f>
        <v/>
      </c>
    </row>
    <row r="413">
      <c r="A413" s="66" t="n"/>
      <c r="B413" s="4" t="n"/>
      <c r="C413" s="11">
        <f>IFERROR(VLOOKUP($B413,Members!$A:$C,2,FALSE),"")</f>
        <v/>
      </c>
      <c r="D413" s="11">
        <f>IFERROR(VLOOKUP($B413,Members!$A:$C,3,FALSE),"")</f>
        <v/>
      </c>
      <c r="E413" s="11">
        <f>IF($F413="","",IFERROR(VLOOKUP($F413,ActionMap!$A:$B,2,FALSE),"INVALID ACTION"))</f>
        <v/>
      </c>
      <c r="F413" s="4" t="n"/>
      <c r="G413" s="11">
        <f>IFERROR(VLOOKUP($E413,ActionsCatalog!$A:$B,2,FALSE),"")</f>
        <v/>
      </c>
      <c r="H413" s="4" t="n"/>
      <c r="I413" s="4">
        <f>IFERROR(VLOOKUP($E413,ActionsCatalog!$A:$D,3,FALSE),0)</f>
        <v/>
      </c>
      <c r="J413" s="4">
        <f>IFERROR(VLOOKUP($E413,ActionsCatalog!$A:$D,4,FALSE),0)</f>
        <v/>
      </c>
      <c r="K413" s="4">
        <f>IF($M413&lt;&gt;"Yes",0,IF($H413="",0,$H413*$I413))</f>
        <v/>
      </c>
      <c r="L413" s="4">
        <f>IF($M413&lt;&gt;"Yes",0,IF($H413="",0,$H413*$J413))</f>
        <v/>
      </c>
      <c r="M413" s="4" t="n"/>
      <c r="N413" s="4" t="n"/>
      <c r="O413" s="4">
        <f>IF($A413="","",TEXT($A413,"yyyy")&amp;"-W"&amp;TEXT(ISOWEEKNUM($A413),"00"))</f>
        <v/>
      </c>
      <c r="P413" s="4" t="n"/>
      <c r="Q413" s="14">
        <f>IF($A413="","",TEXT($A413,"yyyy-mm"))</f>
        <v/>
      </c>
    </row>
    <row r="414">
      <c r="A414" s="66" t="n"/>
      <c r="B414" s="4" t="n"/>
      <c r="C414" s="11">
        <f>IFERROR(VLOOKUP($B414,Members!$A:$C,2,FALSE),"")</f>
        <v/>
      </c>
      <c r="D414" s="11">
        <f>IFERROR(VLOOKUP($B414,Members!$A:$C,3,FALSE),"")</f>
        <v/>
      </c>
      <c r="E414" s="11">
        <f>IF($F414="","",IFERROR(VLOOKUP($F414,ActionMap!$A:$B,2,FALSE),"INVALID ACTION"))</f>
        <v/>
      </c>
      <c r="F414" s="4" t="n"/>
      <c r="G414" s="11">
        <f>IFERROR(VLOOKUP($E414,ActionsCatalog!$A:$B,2,FALSE),"")</f>
        <v/>
      </c>
      <c r="H414" s="4" t="n"/>
      <c r="I414" s="4">
        <f>IFERROR(VLOOKUP($E414,ActionsCatalog!$A:$D,3,FALSE),0)</f>
        <v/>
      </c>
      <c r="J414" s="4">
        <f>IFERROR(VLOOKUP($E414,ActionsCatalog!$A:$D,4,FALSE),0)</f>
        <v/>
      </c>
      <c r="K414" s="4">
        <f>IF($M414&lt;&gt;"Yes",0,IF($H414="",0,$H414*$I414))</f>
        <v/>
      </c>
      <c r="L414" s="4">
        <f>IF($M414&lt;&gt;"Yes",0,IF($H414="",0,$H414*$J414))</f>
        <v/>
      </c>
      <c r="M414" s="4" t="n"/>
      <c r="N414" s="4" t="n"/>
      <c r="O414" s="4">
        <f>IF($A414="","",TEXT($A414,"yyyy")&amp;"-W"&amp;TEXT(ISOWEEKNUM($A414),"00"))</f>
        <v/>
      </c>
      <c r="P414" s="4" t="n"/>
      <c r="Q414" s="14">
        <f>IF($A414="","",TEXT($A414,"yyyy-mm"))</f>
        <v/>
      </c>
    </row>
    <row r="415">
      <c r="A415" s="66" t="n"/>
      <c r="B415" s="4" t="n"/>
      <c r="C415" s="11">
        <f>IFERROR(VLOOKUP($B415,Members!$A:$C,2,FALSE),"")</f>
        <v/>
      </c>
      <c r="D415" s="11">
        <f>IFERROR(VLOOKUP($B415,Members!$A:$C,3,FALSE),"")</f>
        <v/>
      </c>
      <c r="E415" s="11">
        <f>IF($F415="","",IFERROR(VLOOKUP($F415,ActionMap!$A:$B,2,FALSE),"INVALID ACTION"))</f>
        <v/>
      </c>
      <c r="F415" s="4" t="n"/>
      <c r="G415" s="11">
        <f>IFERROR(VLOOKUP($E415,ActionsCatalog!$A:$B,2,FALSE),"")</f>
        <v/>
      </c>
      <c r="H415" s="4" t="n"/>
      <c r="I415" s="4">
        <f>IFERROR(VLOOKUP($E415,ActionsCatalog!$A:$D,3,FALSE),0)</f>
        <v/>
      </c>
      <c r="J415" s="4">
        <f>IFERROR(VLOOKUP($E415,ActionsCatalog!$A:$D,4,FALSE),0)</f>
        <v/>
      </c>
      <c r="K415" s="4">
        <f>IF($M415&lt;&gt;"Yes",0,IF($H415="",0,$H415*$I415))</f>
        <v/>
      </c>
      <c r="L415" s="4">
        <f>IF($M415&lt;&gt;"Yes",0,IF($H415="",0,$H415*$J415))</f>
        <v/>
      </c>
      <c r="M415" s="4" t="n"/>
      <c r="N415" s="4" t="n"/>
      <c r="O415" s="4">
        <f>IF($A415="","",TEXT($A415,"yyyy")&amp;"-W"&amp;TEXT(ISOWEEKNUM($A415),"00"))</f>
        <v/>
      </c>
      <c r="P415" s="4" t="n"/>
      <c r="Q415" s="14">
        <f>IF($A415="","",TEXT($A415,"yyyy-mm"))</f>
        <v/>
      </c>
    </row>
    <row r="416">
      <c r="A416" s="66" t="n"/>
      <c r="B416" s="4" t="n"/>
      <c r="C416" s="11">
        <f>IFERROR(VLOOKUP($B416,Members!$A:$C,2,FALSE),"")</f>
        <v/>
      </c>
      <c r="D416" s="11">
        <f>IFERROR(VLOOKUP($B416,Members!$A:$C,3,FALSE),"")</f>
        <v/>
      </c>
      <c r="E416" s="11">
        <f>IF($F416="","",IFERROR(VLOOKUP($F416,ActionMap!$A:$B,2,FALSE),"INVALID ACTION"))</f>
        <v/>
      </c>
      <c r="F416" s="4" t="n"/>
      <c r="G416" s="11">
        <f>IFERROR(VLOOKUP($E416,ActionsCatalog!$A:$B,2,FALSE),"")</f>
        <v/>
      </c>
      <c r="H416" s="4" t="n"/>
      <c r="I416" s="4">
        <f>IFERROR(VLOOKUP($E416,ActionsCatalog!$A:$D,3,FALSE),0)</f>
        <v/>
      </c>
      <c r="J416" s="4">
        <f>IFERROR(VLOOKUP($E416,ActionsCatalog!$A:$D,4,FALSE),0)</f>
        <v/>
      </c>
      <c r="K416" s="4">
        <f>IF($M416&lt;&gt;"Yes",0,IF($H416="",0,$H416*$I416))</f>
        <v/>
      </c>
      <c r="L416" s="4">
        <f>IF($M416&lt;&gt;"Yes",0,IF($H416="",0,$H416*$J416))</f>
        <v/>
      </c>
      <c r="M416" s="4" t="n"/>
      <c r="N416" s="4" t="n"/>
      <c r="O416" s="4">
        <f>IF($A416="","",TEXT($A416,"yyyy")&amp;"-W"&amp;TEXT(ISOWEEKNUM($A416),"00"))</f>
        <v/>
      </c>
      <c r="P416" s="4" t="n"/>
      <c r="Q416" s="14">
        <f>IF($A416="","",TEXT($A416,"yyyy-mm"))</f>
        <v/>
      </c>
    </row>
    <row r="417">
      <c r="A417" s="66" t="n"/>
      <c r="B417" s="4" t="n"/>
      <c r="C417" s="11">
        <f>IFERROR(VLOOKUP($B417,Members!$A:$C,2,FALSE),"")</f>
        <v/>
      </c>
      <c r="D417" s="11">
        <f>IFERROR(VLOOKUP($B417,Members!$A:$C,3,FALSE),"")</f>
        <v/>
      </c>
      <c r="E417" s="11">
        <f>IF($F417="","",IFERROR(VLOOKUP($F417,ActionMap!$A:$B,2,FALSE),"INVALID ACTION"))</f>
        <v/>
      </c>
      <c r="F417" s="4" t="n"/>
      <c r="G417" s="11">
        <f>IFERROR(VLOOKUP($E417,ActionsCatalog!$A:$B,2,FALSE),"")</f>
        <v/>
      </c>
      <c r="H417" s="4" t="n"/>
      <c r="I417" s="4">
        <f>IFERROR(VLOOKUP($E417,ActionsCatalog!$A:$D,3,FALSE),0)</f>
        <v/>
      </c>
      <c r="J417" s="4">
        <f>IFERROR(VLOOKUP($E417,ActionsCatalog!$A:$D,4,FALSE),0)</f>
        <v/>
      </c>
      <c r="K417" s="4">
        <f>IF($M417&lt;&gt;"Yes",0,IF($H417="",0,$H417*$I417))</f>
        <v/>
      </c>
      <c r="L417" s="4">
        <f>IF($M417&lt;&gt;"Yes",0,IF($H417="",0,$H417*$J417))</f>
        <v/>
      </c>
      <c r="M417" s="4" t="n"/>
      <c r="N417" s="4" t="n"/>
      <c r="O417" s="4">
        <f>IF($A417="","",TEXT($A417,"yyyy")&amp;"-W"&amp;TEXT(ISOWEEKNUM($A417),"00"))</f>
        <v/>
      </c>
      <c r="P417" s="4" t="n"/>
      <c r="Q417" s="14">
        <f>IF($A417="","",TEXT($A417,"yyyy-mm"))</f>
        <v/>
      </c>
    </row>
    <row r="418">
      <c r="A418" s="66" t="n"/>
      <c r="B418" s="4" t="n"/>
      <c r="C418" s="11">
        <f>IFERROR(VLOOKUP($B418,Members!$A:$C,2,FALSE),"")</f>
        <v/>
      </c>
      <c r="D418" s="11">
        <f>IFERROR(VLOOKUP($B418,Members!$A:$C,3,FALSE),"")</f>
        <v/>
      </c>
      <c r="E418" s="11">
        <f>IF($F418="","",IFERROR(VLOOKUP($F418,ActionMap!$A:$B,2,FALSE),"INVALID ACTION"))</f>
        <v/>
      </c>
      <c r="F418" s="4" t="n"/>
      <c r="G418" s="11">
        <f>IFERROR(VLOOKUP($E418,ActionsCatalog!$A:$B,2,FALSE),"")</f>
        <v/>
      </c>
      <c r="H418" s="4" t="n"/>
      <c r="I418" s="4">
        <f>IFERROR(VLOOKUP($E418,ActionsCatalog!$A:$D,3,FALSE),0)</f>
        <v/>
      </c>
      <c r="J418" s="4">
        <f>IFERROR(VLOOKUP($E418,ActionsCatalog!$A:$D,4,FALSE),0)</f>
        <v/>
      </c>
      <c r="K418" s="4">
        <f>IF($M418&lt;&gt;"Yes",0,IF($H418="",0,$H418*$I418))</f>
        <v/>
      </c>
      <c r="L418" s="4">
        <f>IF($M418&lt;&gt;"Yes",0,IF($H418="",0,$H418*$J418))</f>
        <v/>
      </c>
      <c r="M418" s="4" t="n"/>
      <c r="N418" s="4" t="n"/>
      <c r="O418" s="4">
        <f>IF($A418="","",TEXT($A418,"yyyy")&amp;"-W"&amp;TEXT(ISOWEEKNUM($A418),"00"))</f>
        <v/>
      </c>
      <c r="P418" s="4" t="n"/>
      <c r="Q418" s="14">
        <f>IF($A418="","",TEXT($A418,"yyyy-mm"))</f>
        <v/>
      </c>
    </row>
    <row r="419">
      <c r="A419" s="66" t="n"/>
      <c r="B419" s="4" t="n"/>
      <c r="C419" s="11">
        <f>IFERROR(VLOOKUP($B419,Members!$A:$C,2,FALSE),"")</f>
        <v/>
      </c>
      <c r="D419" s="11">
        <f>IFERROR(VLOOKUP($B419,Members!$A:$C,3,FALSE),"")</f>
        <v/>
      </c>
      <c r="E419" s="11">
        <f>IF($F419="","",IFERROR(VLOOKUP($F419,ActionMap!$A:$B,2,FALSE),"INVALID ACTION"))</f>
        <v/>
      </c>
      <c r="F419" s="4" t="n"/>
      <c r="G419" s="11">
        <f>IFERROR(VLOOKUP($E419,ActionsCatalog!$A:$B,2,FALSE),"")</f>
        <v/>
      </c>
      <c r="H419" s="4" t="n"/>
      <c r="I419" s="4">
        <f>IFERROR(VLOOKUP($E419,ActionsCatalog!$A:$D,3,FALSE),0)</f>
        <v/>
      </c>
      <c r="J419" s="4">
        <f>IFERROR(VLOOKUP($E419,ActionsCatalog!$A:$D,4,FALSE),0)</f>
        <v/>
      </c>
      <c r="K419" s="4">
        <f>IF($M419&lt;&gt;"Yes",0,IF($H419="",0,$H419*$I419))</f>
        <v/>
      </c>
      <c r="L419" s="4">
        <f>IF($M419&lt;&gt;"Yes",0,IF($H419="",0,$H419*$J419))</f>
        <v/>
      </c>
      <c r="M419" s="4" t="n"/>
      <c r="N419" s="4" t="n"/>
      <c r="O419" s="4">
        <f>IF($A419="","",TEXT($A419,"yyyy")&amp;"-W"&amp;TEXT(ISOWEEKNUM($A419),"00"))</f>
        <v/>
      </c>
      <c r="P419" s="4" t="n"/>
      <c r="Q419" s="14">
        <f>IF($A419="","",TEXT($A419,"yyyy-mm"))</f>
        <v/>
      </c>
    </row>
    <row r="420">
      <c r="A420" s="66" t="n"/>
      <c r="B420" s="4" t="n"/>
      <c r="C420" s="11">
        <f>IFERROR(VLOOKUP($B420,Members!$A:$C,2,FALSE),"")</f>
        <v/>
      </c>
      <c r="D420" s="11">
        <f>IFERROR(VLOOKUP($B420,Members!$A:$C,3,FALSE),"")</f>
        <v/>
      </c>
      <c r="E420" s="11">
        <f>IF($F420="","",IFERROR(VLOOKUP($F420,ActionMap!$A:$B,2,FALSE),"INVALID ACTION"))</f>
        <v/>
      </c>
      <c r="F420" s="4" t="n"/>
      <c r="G420" s="11">
        <f>IFERROR(VLOOKUP($E420,ActionsCatalog!$A:$B,2,FALSE),"")</f>
        <v/>
      </c>
      <c r="H420" s="4" t="n"/>
      <c r="I420" s="4">
        <f>IFERROR(VLOOKUP($E420,ActionsCatalog!$A:$D,3,FALSE),0)</f>
        <v/>
      </c>
      <c r="J420" s="4">
        <f>IFERROR(VLOOKUP($E420,ActionsCatalog!$A:$D,4,FALSE),0)</f>
        <v/>
      </c>
      <c r="K420" s="4">
        <f>IF($M420&lt;&gt;"Yes",0,IF($H420="",0,$H420*$I420))</f>
        <v/>
      </c>
      <c r="L420" s="4">
        <f>IF($M420&lt;&gt;"Yes",0,IF($H420="",0,$H420*$J420))</f>
        <v/>
      </c>
      <c r="M420" s="4" t="n"/>
      <c r="N420" s="4" t="n"/>
      <c r="O420" s="4">
        <f>IF($A420="","",TEXT($A420,"yyyy")&amp;"-W"&amp;TEXT(ISOWEEKNUM($A420),"00"))</f>
        <v/>
      </c>
      <c r="P420" s="4" t="n"/>
      <c r="Q420" s="14">
        <f>IF($A420="","",TEXT($A420,"yyyy-mm"))</f>
        <v/>
      </c>
    </row>
    <row r="421">
      <c r="A421" s="66" t="n"/>
      <c r="B421" s="4" t="n"/>
      <c r="C421" s="11">
        <f>IFERROR(VLOOKUP($B421,Members!$A:$C,2,FALSE),"")</f>
        <v/>
      </c>
      <c r="D421" s="11">
        <f>IFERROR(VLOOKUP($B421,Members!$A:$C,3,FALSE),"")</f>
        <v/>
      </c>
      <c r="E421" s="11">
        <f>IF($F421="","",IFERROR(VLOOKUP($F421,ActionMap!$A:$B,2,FALSE),"INVALID ACTION"))</f>
        <v/>
      </c>
      <c r="F421" s="4" t="n"/>
      <c r="G421" s="11">
        <f>IFERROR(VLOOKUP($E421,ActionsCatalog!$A:$B,2,FALSE),"")</f>
        <v/>
      </c>
      <c r="H421" s="4" t="n"/>
      <c r="I421" s="4">
        <f>IFERROR(VLOOKUP($E421,ActionsCatalog!$A:$D,3,FALSE),0)</f>
        <v/>
      </c>
      <c r="J421" s="4">
        <f>IFERROR(VLOOKUP($E421,ActionsCatalog!$A:$D,4,FALSE),0)</f>
        <v/>
      </c>
      <c r="K421" s="4">
        <f>IF($M421&lt;&gt;"Yes",0,IF($H421="",0,$H421*$I421))</f>
        <v/>
      </c>
      <c r="L421" s="4">
        <f>IF($M421&lt;&gt;"Yes",0,IF($H421="",0,$H421*$J421))</f>
        <v/>
      </c>
      <c r="M421" s="4" t="n"/>
      <c r="N421" s="4" t="n"/>
      <c r="O421" s="4">
        <f>IF($A421="","",TEXT($A421,"yyyy")&amp;"-W"&amp;TEXT(ISOWEEKNUM($A421),"00"))</f>
        <v/>
      </c>
      <c r="P421" s="4" t="n"/>
      <c r="Q421" s="14">
        <f>IF($A421="","",TEXT($A421,"yyyy-mm"))</f>
        <v/>
      </c>
    </row>
    <row r="422">
      <c r="A422" s="66" t="n"/>
      <c r="B422" s="4" t="n"/>
      <c r="C422" s="11">
        <f>IFERROR(VLOOKUP($B422,Members!$A:$C,2,FALSE),"")</f>
        <v/>
      </c>
      <c r="D422" s="11">
        <f>IFERROR(VLOOKUP($B422,Members!$A:$C,3,FALSE),"")</f>
        <v/>
      </c>
      <c r="E422" s="11">
        <f>IF($F422="","",IFERROR(VLOOKUP($F422,ActionMap!$A:$B,2,FALSE),"INVALID ACTION"))</f>
        <v/>
      </c>
      <c r="F422" s="4" t="n"/>
      <c r="G422" s="11">
        <f>IFERROR(VLOOKUP($E422,ActionsCatalog!$A:$B,2,FALSE),"")</f>
        <v/>
      </c>
      <c r="H422" s="4" t="n"/>
      <c r="I422" s="4">
        <f>IFERROR(VLOOKUP($E422,ActionsCatalog!$A:$D,3,FALSE),0)</f>
        <v/>
      </c>
      <c r="J422" s="4">
        <f>IFERROR(VLOOKUP($E422,ActionsCatalog!$A:$D,4,FALSE),0)</f>
        <v/>
      </c>
      <c r="K422" s="4">
        <f>IF($M422&lt;&gt;"Yes",0,IF($H422="",0,$H422*$I422))</f>
        <v/>
      </c>
      <c r="L422" s="4">
        <f>IF($M422&lt;&gt;"Yes",0,IF($H422="",0,$H422*$J422))</f>
        <v/>
      </c>
      <c r="M422" s="4" t="n"/>
      <c r="N422" s="4" t="n"/>
      <c r="O422" s="4">
        <f>IF($A422="","",TEXT($A422,"yyyy")&amp;"-W"&amp;TEXT(ISOWEEKNUM($A422),"00"))</f>
        <v/>
      </c>
      <c r="P422" s="4" t="n"/>
      <c r="Q422" s="14">
        <f>IF($A422="","",TEXT($A422,"yyyy-mm"))</f>
        <v/>
      </c>
    </row>
    <row r="423">
      <c r="A423" s="66" t="n"/>
      <c r="B423" s="4" t="n"/>
      <c r="C423" s="11">
        <f>IFERROR(VLOOKUP($B423,Members!$A:$C,2,FALSE),"")</f>
        <v/>
      </c>
      <c r="D423" s="11">
        <f>IFERROR(VLOOKUP($B423,Members!$A:$C,3,FALSE),"")</f>
        <v/>
      </c>
      <c r="E423" s="11">
        <f>IF($F423="","",IFERROR(VLOOKUP($F423,ActionMap!$A:$B,2,FALSE),"INVALID ACTION"))</f>
        <v/>
      </c>
      <c r="F423" s="4" t="n"/>
      <c r="G423" s="11">
        <f>IFERROR(VLOOKUP($E423,ActionsCatalog!$A:$B,2,FALSE),"")</f>
        <v/>
      </c>
      <c r="H423" s="4" t="n"/>
      <c r="I423" s="4">
        <f>IFERROR(VLOOKUP($E423,ActionsCatalog!$A:$D,3,FALSE),0)</f>
        <v/>
      </c>
      <c r="J423" s="4">
        <f>IFERROR(VLOOKUP($E423,ActionsCatalog!$A:$D,4,FALSE),0)</f>
        <v/>
      </c>
      <c r="K423" s="4">
        <f>IF($M423&lt;&gt;"Yes",0,IF($H423="",0,$H423*$I423))</f>
        <v/>
      </c>
      <c r="L423" s="4">
        <f>IF($M423&lt;&gt;"Yes",0,IF($H423="",0,$H423*$J423))</f>
        <v/>
      </c>
      <c r="M423" s="4" t="n"/>
      <c r="N423" s="4" t="n"/>
      <c r="O423" s="4">
        <f>IF($A423="","",TEXT($A423,"yyyy")&amp;"-W"&amp;TEXT(ISOWEEKNUM($A423),"00"))</f>
        <v/>
      </c>
      <c r="P423" s="4" t="n"/>
      <c r="Q423" s="14">
        <f>IF($A423="","",TEXT($A423,"yyyy-mm"))</f>
        <v/>
      </c>
    </row>
    <row r="424">
      <c r="A424" s="66" t="n"/>
      <c r="B424" s="4" t="n"/>
      <c r="C424" s="11">
        <f>IFERROR(VLOOKUP($B424,Members!$A:$C,2,FALSE),"")</f>
        <v/>
      </c>
      <c r="D424" s="11">
        <f>IFERROR(VLOOKUP($B424,Members!$A:$C,3,FALSE),"")</f>
        <v/>
      </c>
      <c r="E424" s="11">
        <f>IF($F424="","",IFERROR(VLOOKUP($F424,ActionMap!$A:$B,2,FALSE),"INVALID ACTION"))</f>
        <v/>
      </c>
      <c r="F424" s="4" t="n"/>
      <c r="G424" s="11">
        <f>IFERROR(VLOOKUP($E424,ActionsCatalog!$A:$B,2,FALSE),"")</f>
        <v/>
      </c>
      <c r="H424" s="4" t="n"/>
      <c r="I424" s="4">
        <f>IFERROR(VLOOKUP($E424,ActionsCatalog!$A:$D,3,FALSE),0)</f>
        <v/>
      </c>
      <c r="J424" s="4">
        <f>IFERROR(VLOOKUP($E424,ActionsCatalog!$A:$D,4,FALSE),0)</f>
        <v/>
      </c>
      <c r="K424" s="4">
        <f>IF($M424&lt;&gt;"Yes",0,IF($H424="",0,$H424*$I424))</f>
        <v/>
      </c>
      <c r="L424" s="4">
        <f>IF($M424&lt;&gt;"Yes",0,IF($H424="",0,$H424*$J424))</f>
        <v/>
      </c>
      <c r="M424" s="4" t="n"/>
      <c r="N424" s="4" t="n"/>
      <c r="O424" s="4">
        <f>IF($A424="","",TEXT($A424,"yyyy")&amp;"-W"&amp;TEXT(ISOWEEKNUM($A424),"00"))</f>
        <v/>
      </c>
      <c r="P424" s="4" t="n"/>
      <c r="Q424" s="14">
        <f>IF($A424="","",TEXT($A424,"yyyy-mm"))</f>
        <v/>
      </c>
    </row>
    <row r="425">
      <c r="A425" s="66" t="n"/>
      <c r="B425" s="4" t="n"/>
      <c r="C425" s="11">
        <f>IFERROR(VLOOKUP($B425,Members!$A:$C,2,FALSE),"")</f>
        <v/>
      </c>
      <c r="D425" s="11">
        <f>IFERROR(VLOOKUP($B425,Members!$A:$C,3,FALSE),"")</f>
        <v/>
      </c>
      <c r="E425" s="11">
        <f>IF($F425="","",IFERROR(VLOOKUP($F425,ActionMap!$A:$B,2,FALSE),"INVALID ACTION"))</f>
        <v/>
      </c>
      <c r="F425" s="4" t="n"/>
      <c r="G425" s="11">
        <f>IFERROR(VLOOKUP($E425,ActionsCatalog!$A:$B,2,FALSE),"")</f>
        <v/>
      </c>
      <c r="H425" s="4" t="n"/>
      <c r="I425" s="4">
        <f>IFERROR(VLOOKUP($E425,ActionsCatalog!$A:$D,3,FALSE),0)</f>
        <v/>
      </c>
      <c r="J425" s="4">
        <f>IFERROR(VLOOKUP($E425,ActionsCatalog!$A:$D,4,FALSE),0)</f>
        <v/>
      </c>
      <c r="K425" s="4">
        <f>IF($M425&lt;&gt;"Yes",0,IF($H425="",0,$H425*$I425))</f>
        <v/>
      </c>
      <c r="L425" s="4">
        <f>IF($M425&lt;&gt;"Yes",0,IF($H425="",0,$H425*$J425))</f>
        <v/>
      </c>
      <c r="M425" s="4" t="n"/>
      <c r="N425" s="4" t="n"/>
      <c r="O425" s="4">
        <f>IF($A425="","",TEXT($A425,"yyyy")&amp;"-W"&amp;TEXT(ISOWEEKNUM($A425),"00"))</f>
        <v/>
      </c>
      <c r="P425" s="4" t="n"/>
      <c r="Q425" s="14">
        <f>IF($A425="","",TEXT($A425,"yyyy-mm"))</f>
        <v/>
      </c>
    </row>
    <row r="426">
      <c r="A426" s="66" t="n"/>
      <c r="B426" s="4" t="n"/>
      <c r="C426" s="11">
        <f>IFERROR(VLOOKUP($B426,Members!$A:$C,2,FALSE),"")</f>
        <v/>
      </c>
      <c r="D426" s="11">
        <f>IFERROR(VLOOKUP($B426,Members!$A:$C,3,FALSE),"")</f>
        <v/>
      </c>
      <c r="E426" s="11">
        <f>IF($F426="","",IFERROR(VLOOKUP($F426,ActionMap!$A:$B,2,FALSE),"INVALID ACTION"))</f>
        <v/>
      </c>
      <c r="F426" s="4" t="n"/>
      <c r="G426" s="11">
        <f>IFERROR(VLOOKUP($E426,ActionsCatalog!$A:$B,2,FALSE),"")</f>
        <v/>
      </c>
      <c r="H426" s="4" t="n"/>
      <c r="I426" s="4">
        <f>IFERROR(VLOOKUP($E426,ActionsCatalog!$A:$D,3,FALSE),0)</f>
        <v/>
      </c>
      <c r="J426" s="4">
        <f>IFERROR(VLOOKUP($E426,ActionsCatalog!$A:$D,4,FALSE),0)</f>
        <v/>
      </c>
      <c r="K426" s="4">
        <f>IF($M426&lt;&gt;"Yes",0,IF($H426="",0,$H426*$I426))</f>
        <v/>
      </c>
      <c r="L426" s="4">
        <f>IF($M426&lt;&gt;"Yes",0,IF($H426="",0,$H426*$J426))</f>
        <v/>
      </c>
      <c r="M426" s="4" t="n"/>
      <c r="N426" s="4" t="n"/>
      <c r="O426" s="4">
        <f>IF($A426="","",TEXT($A426,"yyyy")&amp;"-W"&amp;TEXT(ISOWEEKNUM($A426),"00"))</f>
        <v/>
      </c>
      <c r="P426" s="4" t="n"/>
      <c r="Q426" s="14">
        <f>IF($A426="","",TEXT($A426,"yyyy-mm"))</f>
        <v/>
      </c>
    </row>
    <row r="427">
      <c r="A427" s="66" t="n"/>
      <c r="B427" s="4" t="n"/>
      <c r="C427" s="11">
        <f>IFERROR(VLOOKUP($B427,Members!$A:$C,2,FALSE),"")</f>
        <v/>
      </c>
      <c r="D427" s="11">
        <f>IFERROR(VLOOKUP($B427,Members!$A:$C,3,FALSE),"")</f>
        <v/>
      </c>
      <c r="E427" s="11">
        <f>IF($F427="","",IFERROR(VLOOKUP($F427,ActionMap!$A:$B,2,FALSE),"INVALID ACTION"))</f>
        <v/>
      </c>
      <c r="F427" s="4" t="n"/>
      <c r="G427" s="11">
        <f>IFERROR(VLOOKUP($E427,ActionsCatalog!$A:$B,2,FALSE),"")</f>
        <v/>
      </c>
      <c r="H427" s="4" t="n"/>
      <c r="I427" s="4">
        <f>IFERROR(VLOOKUP($E427,ActionsCatalog!$A:$D,3,FALSE),0)</f>
        <v/>
      </c>
      <c r="J427" s="4">
        <f>IFERROR(VLOOKUP($E427,ActionsCatalog!$A:$D,4,FALSE),0)</f>
        <v/>
      </c>
      <c r="K427" s="4">
        <f>IF($M427&lt;&gt;"Yes",0,IF($H427="",0,$H427*$I427))</f>
        <v/>
      </c>
      <c r="L427" s="4">
        <f>IF($M427&lt;&gt;"Yes",0,IF($H427="",0,$H427*$J427))</f>
        <v/>
      </c>
      <c r="M427" s="4" t="n"/>
      <c r="N427" s="4" t="n"/>
      <c r="O427" s="4">
        <f>IF($A427="","",TEXT($A427,"yyyy")&amp;"-W"&amp;TEXT(ISOWEEKNUM($A427),"00"))</f>
        <v/>
      </c>
      <c r="P427" s="4" t="n"/>
      <c r="Q427" s="14">
        <f>IF($A427="","",TEXT($A427,"yyyy-mm"))</f>
        <v/>
      </c>
    </row>
    <row r="428">
      <c r="A428" s="66" t="n"/>
      <c r="B428" s="4" t="n"/>
      <c r="C428" s="11">
        <f>IFERROR(VLOOKUP($B428,Members!$A:$C,2,FALSE),"")</f>
        <v/>
      </c>
      <c r="D428" s="11">
        <f>IFERROR(VLOOKUP($B428,Members!$A:$C,3,FALSE),"")</f>
        <v/>
      </c>
      <c r="E428" s="11">
        <f>IF($F428="","",IFERROR(VLOOKUP($F428,ActionMap!$A:$B,2,FALSE),"INVALID ACTION"))</f>
        <v/>
      </c>
      <c r="F428" s="4" t="n"/>
      <c r="G428" s="11">
        <f>IFERROR(VLOOKUP($E428,ActionsCatalog!$A:$B,2,FALSE),"")</f>
        <v/>
      </c>
      <c r="H428" s="4" t="n"/>
      <c r="I428" s="4">
        <f>IFERROR(VLOOKUP($E428,ActionsCatalog!$A:$D,3,FALSE),0)</f>
        <v/>
      </c>
      <c r="J428" s="4">
        <f>IFERROR(VLOOKUP($E428,ActionsCatalog!$A:$D,4,FALSE),0)</f>
        <v/>
      </c>
      <c r="K428" s="4">
        <f>IF($M428&lt;&gt;"Yes",0,IF($H428="",0,$H428*$I428))</f>
        <v/>
      </c>
      <c r="L428" s="4">
        <f>IF($M428&lt;&gt;"Yes",0,IF($H428="",0,$H428*$J428))</f>
        <v/>
      </c>
      <c r="M428" s="4" t="n"/>
      <c r="N428" s="4" t="n"/>
      <c r="O428" s="4">
        <f>IF($A428="","",TEXT($A428,"yyyy")&amp;"-W"&amp;TEXT(ISOWEEKNUM($A428),"00"))</f>
        <v/>
      </c>
      <c r="P428" s="4" t="n"/>
      <c r="Q428" s="14">
        <f>IF($A428="","",TEXT($A428,"yyyy-mm"))</f>
        <v/>
      </c>
    </row>
    <row r="429">
      <c r="A429" s="66" t="n"/>
      <c r="B429" s="4" t="n"/>
      <c r="C429" s="11">
        <f>IFERROR(VLOOKUP($B429,Members!$A:$C,2,FALSE),"")</f>
        <v/>
      </c>
      <c r="D429" s="11">
        <f>IFERROR(VLOOKUP($B429,Members!$A:$C,3,FALSE),"")</f>
        <v/>
      </c>
      <c r="E429" s="11">
        <f>IF($F429="","",IFERROR(VLOOKUP($F429,ActionMap!$A:$B,2,FALSE),"INVALID ACTION"))</f>
        <v/>
      </c>
      <c r="F429" s="4" t="n"/>
      <c r="G429" s="11">
        <f>IFERROR(VLOOKUP($E429,ActionsCatalog!$A:$B,2,FALSE),"")</f>
        <v/>
      </c>
      <c r="H429" s="4" t="n"/>
      <c r="I429" s="4">
        <f>IFERROR(VLOOKUP($E429,ActionsCatalog!$A:$D,3,FALSE),0)</f>
        <v/>
      </c>
      <c r="J429" s="4">
        <f>IFERROR(VLOOKUP($E429,ActionsCatalog!$A:$D,4,FALSE),0)</f>
        <v/>
      </c>
      <c r="K429" s="4">
        <f>IF($M429&lt;&gt;"Yes",0,IF($H429="",0,$H429*$I429))</f>
        <v/>
      </c>
      <c r="L429" s="4">
        <f>IF($M429&lt;&gt;"Yes",0,IF($H429="",0,$H429*$J429))</f>
        <v/>
      </c>
      <c r="M429" s="4" t="n"/>
      <c r="N429" s="4" t="n"/>
      <c r="O429" s="4">
        <f>IF($A429="","",TEXT($A429,"yyyy")&amp;"-W"&amp;TEXT(ISOWEEKNUM($A429),"00"))</f>
        <v/>
      </c>
      <c r="P429" s="4" t="n"/>
      <c r="Q429" s="14">
        <f>IF($A429="","",TEXT($A429,"yyyy-mm"))</f>
        <v/>
      </c>
    </row>
    <row r="430">
      <c r="A430" s="66" t="n"/>
      <c r="B430" s="4" t="n"/>
      <c r="C430" s="11">
        <f>IFERROR(VLOOKUP($B430,Members!$A:$C,2,FALSE),"")</f>
        <v/>
      </c>
      <c r="D430" s="11">
        <f>IFERROR(VLOOKUP($B430,Members!$A:$C,3,FALSE),"")</f>
        <v/>
      </c>
      <c r="E430" s="11">
        <f>IF($F430="","",IFERROR(VLOOKUP($F430,ActionMap!$A:$B,2,FALSE),"INVALID ACTION"))</f>
        <v/>
      </c>
      <c r="F430" s="4" t="n"/>
      <c r="G430" s="11">
        <f>IFERROR(VLOOKUP($E430,ActionsCatalog!$A:$B,2,FALSE),"")</f>
        <v/>
      </c>
      <c r="H430" s="4" t="n"/>
      <c r="I430" s="4">
        <f>IFERROR(VLOOKUP($E430,ActionsCatalog!$A:$D,3,FALSE),0)</f>
        <v/>
      </c>
      <c r="J430" s="4">
        <f>IFERROR(VLOOKUP($E430,ActionsCatalog!$A:$D,4,FALSE),0)</f>
        <v/>
      </c>
      <c r="K430" s="4">
        <f>IF($M430&lt;&gt;"Yes",0,IF($H430="",0,$H430*$I430))</f>
        <v/>
      </c>
      <c r="L430" s="4">
        <f>IF($M430&lt;&gt;"Yes",0,IF($H430="",0,$H430*$J430))</f>
        <v/>
      </c>
      <c r="M430" s="4" t="n"/>
      <c r="N430" s="4" t="n"/>
      <c r="O430" s="4">
        <f>IF($A430="","",TEXT($A430,"yyyy")&amp;"-W"&amp;TEXT(ISOWEEKNUM($A430),"00"))</f>
        <v/>
      </c>
      <c r="P430" s="4" t="n"/>
      <c r="Q430" s="14">
        <f>IF($A430="","",TEXT($A430,"yyyy-mm"))</f>
        <v/>
      </c>
    </row>
    <row r="431">
      <c r="A431" s="66" t="n"/>
      <c r="B431" s="4" t="n"/>
      <c r="C431" s="11">
        <f>IFERROR(VLOOKUP($B431,Members!$A:$C,2,FALSE),"")</f>
        <v/>
      </c>
      <c r="D431" s="11">
        <f>IFERROR(VLOOKUP($B431,Members!$A:$C,3,FALSE),"")</f>
        <v/>
      </c>
      <c r="E431" s="11">
        <f>IF($F431="","",IFERROR(VLOOKUP($F431,ActionMap!$A:$B,2,FALSE),"INVALID ACTION"))</f>
        <v/>
      </c>
      <c r="F431" s="4" t="n"/>
      <c r="G431" s="11">
        <f>IFERROR(VLOOKUP($E431,ActionsCatalog!$A:$B,2,FALSE),"")</f>
        <v/>
      </c>
      <c r="H431" s="4" t="n"/>
      <c r="I431" s="4">
        <f>IFERROR(VLOOKUP($E431,ActionsCatalog!$A:$D,3,FALSE),0)</f>
        <v/>
      </c>
      <c r="J431" s="4">
        <f>IFERROR(VLOOKUP($E431,ActionsCatalog!$A:$D,4,FALSE),0)</f>
        <v/>
      </c>
      <c r="K431" s="4">
        <f>IF($M431&lt;&gt;"Yes",0,IF($H431="",0,$H431*$I431))</f>
        <v/>
      </c>
      <c r="L431" s="4">
        <f>IF($M431&lt;&gt;"Yes",0,IF($H431="",0,$H431*$J431))</f>
        <v/>
      </c>
      <c r="M431" s="4" t="n"/>
      <c r="N431" s="4" t="n"/>
      <c r="O431" s="4">
        <f>IF($A431="","",TEXT($A431,"yyyy")&amp;"-W"&amp;TEXT(ISOWEEKNUM($A431),"00"))</f>
        <v/>
      </c>
      <c r="P431" s="4" t="n"/>
      <c r="Q431" s="14">
        <f>IF($A431="","",TEXT($A431,"yyyy-mm"))</f>
        <v/>
      </c>
    </row>
    <row r="432">
      <c r="A432" s="66" t="n"/>
      <c r="B432" s="4" t="n"/>
      <c r="C432" s="11">
        <f>IFERROR(VLOOKUP($B432,Members!$A:$C,2,FALSE),"")</f>
        <v/>
      </c>
      <c r="D432" s="11">
        <f>IFERROR(VLOOKUP($B432,Members!$A:$C,3,FALSE),"")</f>
        <v/>
      </c>
      <c r="E432" s="11">
        <f>IF($F432="","",IFERROR(VLOOKUP($F432,ActionMap!$A:$B,2,FALSE),"INVALID ACTION"))</f>
        <v/>
      </c>
      <c r="F432" s="4" t="n"/>
      <c r="G432" s="11">
        <f>IFERROR(VLOOKUP($E432,ActionsCatalog!$A:$B,2,FALSE),"")</f>
        <v/>
      </c>
      <c r="H432" s="4" t="n"/>
      <c r="I432" s="4">
        <f>IFERROR(VLOOKUP($E432,ActionsCatalog!$A:$D,3,FALSE),0)</f>
        <v/>
      </c>
      <c r="J432" s="4">
        <f>IFERROR(VLOOKUP($E432,ActionsCatalog!$A:$D,4,FALSE),0)</f>
        <v/>
      </c>
      <c r="K432" s="4">
        <f>IF($M432&lt;&gt;"Yes",0,IF($H432="",0,$H432*$I432))</f>
        <v/>
      </c>
      <c r="L432" s="4">
        <f>IF($M432&lt;&gt;"Yes",0,IF($H432="",0,$H432*$J432))</f>
        <v/>
      </c>
      <c r="M432" s="4" t="n"/>
      <c r="N432" s="4" t="n"/>
      <c r="O432" s="4">
        <f>IF($A432="","",TEXT($A432,"yyyy")&amp;"-W"&amp;TEXT(ISOWEEKNUM($A432),"00"))</f>
        <v/>
      </c>
      <c r="P432" s="4" t="n"/>
      <c r="Q432" s="14">
        <f>IF($A432="","",TEXT($A432,"yyyy-mm"))</f>
        <v/>
      </c>
    </row>
    <row r="433">
      <c r="A433" s="66" t="n"/>
      <c r="B433" s="4" t="n"/>
      <c r="C433" s="11">
        <f>IFERROR(VLOOKUP($B433,Members!$A:$C,2,FALSE),"")</f>
        <v/>
      </c>
      <c r="D433" s="11">
        <f>IFERROR(VLOOKUP($B433,Members!$A:$C,3,FALSE),"")</f>
        <v/>
      </c>
      <c r="E433" s="11">
        <f>IF($F433="","",IFERROR(VLOOKUP($F433,ActionMap!$A:$B,2,FALSE),"INVALID ACTION"))</f>
        <v/>
      </c>
      <c r="F433" s="4" t="n"/>
      <c r="G433" s="11">
        <f>IFERROR(VLOOKUP($E433,ActionsCatalog!$A:$B,2,FALSE),"")</f>
        <v/>
      </c>
      <c r="H433" s="4" t="n"/>
      <c r="I433" s="4">
        <f>IFERROR(VLOOKUP($E433,ActionsCatalog!$A:$D,3,FALSE),0)</f>
        <v/>
      </c>
      <c r="J433" s="4">
        <f>IFERROR(VLOOKUP($E433,ActionsCatalog!$A:$D,4,FALSE),0)</f>
        <v/>
      </c>
      <c r="K433" s="4">
        <f>IF($M433&lt;&gt;"Yes",0,IF($H433="",0,$H433*$I433))</f>
        <v/>
      </c>
      <c r="L433" s="4">
        <f>IF($M433&lt;&gt;"Yes",0,IF($H433="",0,$H433*$J433))</f>
        <v/>
      </c>
      <c r="M433" s="4" t="n"/>
      <c r="N433" s="4" t="n"/>
      <c r="O433" s="4">
        <f>IF($A433="","",TEXT($A433,"yyyy")&amp;"-W"&amp;TEXT(ISOWEEKNUM($A433),"00"))</f>
        <v/>
      </c>
      <c r="P433" s="4" t="n"/>
      <c r="Q433" s="14">
        <f>IF($A433="","",TEXT($A433,"yyyy-mm"))</f>
        <v/>
      </c>
    </row>
    <row r="434">
      <c r="A434" s="66" t="n"/>
      <c r="B434" s="4" t="n"/>
      <c r="C434" s="11">
        <f>IFERROR(VLOOKUP($B434,Members!$A:$C,2,FALSE),"")</f>
        <v/>
      </c>
      <c r="D434" s="11">
        <f>IFERROR(VLOOKUP($B434,Members!$A:$C,3,FALSE),"")</f>
        <v/>
      </c>
      <c r="E434" s="11">
        <f>IF($F434="","",IFERROR(VLOOKUP($F434,ActionMap!$A:$B,2,FALSE),"INVALID ACTION"))</f>
        <v/>
      </c>
      <c r="F434" s="4" t="n"/>
      <c r="G434" s="11">
        <f>IFERROR(VLOOKUP($E434,ActionsCatalog!$A:$B,2,FALSE),"")</f>
        <v/>
      </c>
      <c r="H434" s="4" t="n"/>
      <c r="I434" s="4">
        <f>IFERROR(VLOOKUP($E434,ActionsCatalog!$A:$D,3,FALSE),0)</f>
        <v/>
      </c>
      <c r="J434" s="4">
        <f>IFERROR(VLOOKUP($E434,ActionsCatalog!$A:$D,4,FALSE),0)</f>
        <v/>
      </c>
      <c r="K434" s="4">
        <f>IF($M434&lt;&gt;"Yes",0,IF($H434="",0,$H434*$I434))</f>
        <v/>
      </c>
      <c r="L434" s="4">
        <f>IF($M434&lt;&gt;"Yes",0,IF($H434="",0,$H434*$J434))</f>
        <v/>
      </c>
      <c r="M434" s="4" t="n"/>
      <c r="N434" s="4" t="n"/>
      <c r="O434" s="4">
        <f>IF($A434="","",TEXT($A434,"yyyy")&amp;"-W"&amp;TEXT(ISOWEEKNUM($A434),"00"))</f>
        <v/>
      </c>
      <c r="P434" s="4" t="n"/>
      <c r="Q434" s="14">
        <f>IF($A434="","",TEXT($A434,"yyyy-mm"))</f>
        <v/>
      </c>
    </row>
    <row r="435">
      <c r="A435" s="66" t="n"/>
      <c r="B435" s="4" t="n"/>
      <c r="C435" s="11">
        <f>IFERROR(VLOOKUP($B435,Members!$A:$C,2,FALSE),"")</f>
        <v/>
      </c>
      <c r="D435" s="11">
        <f>IFERROR(VLOOKUP($B435,Members!$A:$C,3,FALSE),"")</f>
        <v/>
      </c>
      <c r="E435" s="11">
        <f>IF($F435="","",IFERROR(VLOOKUP($F435,ActionMap!$A:$B,2,FALSE),"INVALID ACTION"))</f>
        <v/>
      </c>
      <c r="F435" s="4" t="n"/>
      <c r="G435" s="11">
        <f>IFERROR(VLOOKUP($E435,ActionsCatalog!$A:$B,2,FALSE),"")</f>
        <v/>
      </c>
      <c r="H435" s="4" t="n"/>
      <c r="I435" s="4">
        <f>IFERROR(VLOOKUP($E435,ActionsCatalog!$A:$D,3,FALSE),0)</f>
        <v/>
      </c>
      <c r="J435" s="4">
        <f>IFERROR(VLOOKUP($E435,ActionsCatalog!$A:$D,4,FALSE),0)</f>
        <v/>
      </c>
      <c r="K435" s="4">
        <f>IF($M435&lt;&gt;"Yes",0,IF($H435="",0,$H435*$I435))</f>
        <v/>
      </c>
      <c r="L435" s="4">
        <f>IF($M435&lt;&gt;"Yes",0,IF($H435="",0,$H435*$J435))</f>
        <v/>
      </c>
      <c r="M435" s="4" t="n"/>
      <c r="N435" s="4" t="n"/>
      <c r="O435" s="4">
        <f>IF($A435="","",TEXT($A435,"yyyy")&amp;"-W"&amp;TEXT(ISOWEEKNUM($A435),"00"))</f>
        <v/>
      </c>
      <c r="P435" s="4" t="n"/>
      <c r="Q435" s="14">
        <f>IF($A435="","",TEXT($A435,"yyyy-mm"))</f>
        <v/>
      </c>
    </row>
    <row r="436">
      <c r="A436" s="66" t="n"/>
      <c r="B436" s="4" t="n"/>
      <c r="C436" s="11">
        <f>IFERROR(VLOOKUP($B436,Members!$A:$C,2,FALSE),"")</f>
        <v/>
      </c>
      <c r="D436" s="11">
        <f>IFERROR(VLOOKUP($B436,Members!$A:$C,3,FALSE),"")</f>
        <v/>
      </c>
      <c r="E436" s="11">
        <f>IF($F436="","",IFERROR(VLOOKUP($F436,ActionMap!$A:$B,2,FALSE),"INVALID ACTION"))</f>
        <v/>
      </c>
      <c r="F436" s="4" t="n"/>
      <c r="G436" s="11">
        <f>IFERROR(VLOOKUP($E436,ActionsCatalog!$A:$B,2,FALSE),"")</f>
        <v/>
      </c>
      <c r="H436" s="4" t="n"/>
      <c r="I436" s="4">
        <f>IFERROR(VLOOKUP($E436,ActionsCatalog!$A:$D,3,FALSE),0)</f>
        <v/>
      </c>
      <c r="J436" s="4">
        <f>IFERROR(VLOOKUP($E436,ActionsCatalog!$A:$D,4,FALSE),0)</f>
        <v/>
      </c>
      <c r="K436" s="4">
        <f>IF($M436&lt;&gt;"Yes",0,IF($H436="",0,$H436*$I436))</f>
        <v/>
      </c>
      <c r="L436" s="4">
        <f>IF($M436&lt;&gt;"Yes",0,IF($H436="",0,$H436*$J436))</f>
        <v/>
      </c>
      <c r="M436" s="4" t="n"/>
      <c r="N436" s="4" t="n"/>
      <c r="O436" s="4">
        <f>IF($A436="","",TEXT($A436,"yyyy")&amp;"-W"&amp;TEXT(ISOWEEKNUM($A436),"00"))</f>
        <v/>
      </c>
      <c r="P436" s="4" t="n"/>
      <c r="Q436" s="14">
        <f>IF($A436="","",TEXT($A436,"yyyy-mm"))</f>
        <v/>
      </c>
    </row>
    <row r="437">
      <c r="A437" s="66" t="n"/>
      <c r="B437" s="4" t="n"/>
      <c r="C437" s="11">
        <f>IFERROR(VLOOKUP($B437,Members!$A:$C,2,FALSE),"")</f>
        <v/>
      </c>
      <c r="D437" s="11">
        <f>IFERROR(VLOOKUP($B437,Members!$A:$C,3,FALSE),"")</f>
        <v/>
      </c>
      <c r="E437" s="11">
        <f>IF($F437="","",IFERROR(VLOOKUP($F437,ActionMap!$A:$B,2,FALSE),"INVALID ACTION"))</f>
        <v/>
      </c>
      <c r="F437" s="4" t="n"/>
      <c r="G437" s="11">
        <f>IFERROR(VLOOKUP($E437,ActionsCatalog!$A:$B,2,FALSE),"")</f>
        <v/>
      </c>
      <c r="H437" s="4" t="n"/>
      <c r="I437" s="4">
        <f>IFERROR(VLOOKUP($E437,ActionsCatalog!$A:$D,3,FALSE),0)</f>
        <v/>
      </c>
      <c r="J437" s="4">
        <f>IFERROR(VLOOKUP($E437,ActionsCatalog!$A:$D,4,FALSE),0)</f>
        <v/>
      </c>
      <c r="K437" s="4">
        <f>IF($M437&lt;&gt;"Yes",0,IF($H437="",0,$H437*$I437))</f>
        <v/>
      </c>
      <c r="L437" s="4">
        <f>IF($M437&lt;&gt;"Yes",0,IF($H437="",0,$H437*$J437))</f>
        <v/>
      </c>
      <c r="M437" s="4" t="n"/>
      <c r="N437" s="4" t="n"/>
      <c r="O437" s="4">
        <f>IF($A437="","",TEXT($A437,"yyyy")&amp;"-W"&amp;TEXT(ISOWEEKNUM($A437),"00"))</f>
        <v/>
      </c>
      <c r="P437" s="4" t="n"/>
      <c r="Q437" s="14">
        <f>IF($A437="","",TEXT($A437,"yyyy-mm"))</f>
        <v/>
      </c>
    </row>
    <row r="438">
      <c r="A438" s="66" t="n"/>
      <c r="B438" s="4" t="n"/>
      <c r="C438" s="11">
        <f>IFERROR(VLOOKUP($B438,Members!$A:$C,2,FALSE),"")</f>
        <v/>
      </c>
      <c r="D438" s="11">
        <f>IFERROR(VLOOKUP($B438,Members!$A:$C,3,FALSE),"")</f>
        <v/>
      </c>
      <c r="E438" s="11">
        <f>IF($F438="","",IFERROR(VLOOKUP($F438,ActionMap!$A:$B,2,FALSE),"INVALID ACTION"))</f>
        <v/>
      </c>
      <c r="F438" s="4" t="n"/>
      <c r="G438" s="11">
        <f>IFERROR(VLOOKUP($E438,ActionsCatalog!$A:$B,2,FALSE),"")</f>
        <v/>
      </c>
      <c r="H438" s="4" t="n"/>
      <c r="I438" s="4">
        <f>IFERROR(VLOOKUP($E438,ActionsCatalog!$A:$D,3,FALSE),0)</f>
        <v/>
      </c>
      <c r="J438" s="4">
        <f>IFERROR(VLOOKUP($E438,ActionsCatalog!$A:$D,4,FALSE),0)</f>
        <v/>
      </c>
      <c r="K438" s="4">
        <f>IF($M438&lt;&gt;"Yes",0,IF($H438="",0,$H438*$I438))</f>
        <v/>
      </c>
      <c r="L438" s="4">
        <f>IF($M438&lt;&gt;"Yes",0,IF($H438="",0,$H438*$J438))</f>
        <v/>
      </c>
      <c r="M438" s="4" t="n"/>
      <c r="N438" s="4" t="n"/>
      <c r="O438" s="4">
        <f>IF($A438="","",TEXT($A438,"yyyy")&amp;"-W"&amp;TEXT(ISOWEEKNUM($A438),"00"))</f>
        <v/>
      </c>
      <c r="P438" s="4" t="n"/>
      <c r="Q438" s="14">
        <f>IF($A438="","",TEXT($A438,"yyyy-mm"))</f>
        <v/>
      </c>
    </row>
    <row r="439">
      <c r="A439" s="66" t="n"/>
      <c r="B439" s="4" t="n"/>
      <c r="C439" s="11">
        <f>IFERROR(VLOOKUP($B439,Members!$A:$C,2,FALSE),"")</f>
        <v/>
      </c>
      <c r="D439" s="11">
        <f>IFERROR(VLOOKUP($B439,Members!$A:$C,3,FALSE),"")</f>
        <v/>
      </c>
      <c r="E439" s="11">
        <f>IF($F439="","",IFERROR(VLOOKUP($F439,ActionMap!$A:$B,2,FALSE),"INVALID ACTION"))</f>
        <v/>
      </c>
      <c r="F439" s="4" t="n"/>
      <c r="G439" s="11">
        <f>IFERROR(VLOOKUP($E439,ActionsCatalog!$A:$B,2,FALSE),"")</f>
        <v/>
      </c>
      <c r="H439" s="4" t="n"/>
      <c r="I439" s="4">
        <f>IFERROR(VLOOKUP($E439,ActionsCatalog!$A:$D,3,FALSE),0)</f>
        <v/>
      </c>
      <c r="J439" s="4">
        <f>IFERROR(VLOOKUP($E439,ActionsCatalog!$A:$D,4,FALSE),0)</f>
        <v/>
      </c>
      <c r="K439" s="4">
        <f>IF($M439&lt;&gt;"Yes",0,IF($H439="",0,$H439*$I439))</f>
        <v/>
      </c>
      <c r="L439" s="4">
        <f>IF($M439&lt;&gt;"Yes",0,IF($H439="",0,$H439*$J439))</f>
        <v/>
      </c>
      <c r="M439" s="4" t="n"/>
      <c r="N439" s="4" t="n"/>
      <c r="O439" s="4">
        <f>IF($A439="","",TEXT($A439,"yyyy")&amp;"-W"&amp;TEXT(ISOWEEKNUM($A439),"00"))</f>
        <v/>
      </c>
      <c r="P439" s="4" t="n"/>
      <c r="Q439" s="14">
        <f>IF($A439="","",TEXT($A439,"yyyy-mm"))</f>
        <v/>
      </c>
    </row>
    <row r="440">
      <c r="A440" s="66" t="n"/>
      <c r="B440" s="4" t="n"/>
      <c r="C440" s="11">
        <f>IFERROR(VLOOKUP($B440,Members!$A:$C,2,FALSE),"")</f>
        <v/>
      </c>
      <c r="D440" s="11">
        <f>IFERROR(VLOOKUP($B440,Members!$A:$C,3,FALSE),"")</f>
        <v/>
      </c>
      <c r="E440" s="11">
        <f>IF($F440="","",IFERROR(VLOOKUP($F440,ActionMap!$A:$B,2,FALSE),"INVALID ACTION"))</f>
        <v/>
      </c>
      <c r="F440" s="4" t="n"/>
      <c r="G440" s="11">
        <f>IFERROR(VLOOKUP($E440,ActionsCatalog!$A:$B,2,FALSE),"")</f>
        <v/>
      </c>
      <c r="H440" s="4" t="n"/>
      <c r="I440" s="4">
        <f>IFERROR(VLOOKUP($E440,ActionsCatalog!$A:$D,3,FALSE),0)</f>
        <v/>
      </c>
      <c r="J440" s="4">
        <f>IFERROR(VLOOKUP($E440,ActionsCatalog!$A:$D,4,FALSE),0)</f>
        <v/>
      </c>
      <c r="K440" s="4">
        <f>IF($M440&lt;&gt;"Yes",0,IF($H440="",0,$H440*$I440))</f>
        <v/>
      </c>
      <c r="L440" s="4">
        <f>IF($M440&lt;&gt;"Yes",0,IF($H440="",0,$H440*$J440))</f>
        <v/>
      </c>
      <c r="M440" s="4" t="n"/>
      <c r="N440" s="4" t="n"/>
      <c r="O440" s="4">
        <f>IF($A440="","",TEXT($A440,"yyyy")&amp;"-W"&amp;TEXT(ISOWEEKNUM($A440),"00"))</f>
        <v/>
      </c>
      <c r="P440" s="4" t="n"/>
      <c r="Q440" s="14">
        <f>IF($A440="","",TEXT($A440,"yyyy-mm"))</f>
        <v/>
      </c>
    </row>
    <row r="441">
      <c r="A441" s="66" t="n"/>
      <c r="B441" s="4" t="n"/>
      <c r="C441" s="11">
        <f>IFERROR(VLOOKUP($B441,Members!$A:$C,2,FALSE),"")</f>
        <v/>
      </c>
      <c r="D441" s="11">
        <f>IFERROR(VLOOKUP($B441,Members!$A:$C,3,FALSE),"")</f>
        <v/>
      </c>
      <c r="E441" s="11">
        <f>IF($F441="","",IFERROR(VLOOKUP($F441,ActionMap!$A:$B,2,FALSE),"INVALID ACTION"))</f>
        <v/>
      </c>
      <c r="F441" s="4" t="n"/>
      <c r="G441" s="11">
        <f>IFERROR(VLOOKUP($E441,ActionsCatalog!$A:$B,2,FALSE),"")</f>
        <v/>
      </c>
      <c r="H441" s="4" t="n"/>
      <c r="I441" s="4">
        <f>IFERROR(VLOOKUP($E441,ActionsCatalog!$A:$D,3,FALSE),0)</f>
        <v/>
      </c>
      <c r="J441" s="4">
        <f>IFERROR(VLOOKUP($E441,ActionsCatalog!$A:$D,4,FALSE),0)</f>
        <v/>
      </c>
      <c r="K441" s="4">
        <f>IF($M441&lt;&gt;"Yes",0,IF($H441="",0,$H441*$I441))</f>
        <v/>
      </c>
      <c r="L441" s="4">
        <f>IF($M441&lt;&gt;"Yes",0,IF($H441="",0,$H441*$J441))</f>
        <v/>
      </c>
      <c r="M441" s="4" t="n"/>
      <c r="N441" s="4" t="n"/>
      <c r="O441" s="4">
        <f>IF($A441="","",TEXT($A441,"yyyy")&amp;"-W"&amp;TEXT(ISOWEEKNUM($A441),"00"))</f>
        <v/>
      </c>
      <c r="P441" s="4" t="n"/>
      <c r="Q441" s="14">
        <f>IF($A441="","",TEXT($A441,"yyyy-mm"))</f>
        <v/>
      </c>
    </row>
    <row r="442">
      <c r="A442" s="66" t="n"/>
      <c r="B442" s="4" t="n"/>
      <c r="C442" s="11">
        <f>IFERROR(VLOOKUP($B442,Members!$A:$C,2,FALSE),"")</f>
        <v/>
      </c>
      <c r="D442" s="11">
        <f>IFERROR(VLOOKUP($B442,Members!$A:$C,3,FALSE),"")</f>
        <v/>
      </c>
      <c r="E442" s="11">
        <f>IF($F442="","",IFERROR(VLOOKUP($F442,ActionMap!$A:$B,2,FALSE),"INVALID ACTION"))</f>
        <v/>
      </c>
      <c r="F442" s="4" t="n"/>
      <c r="G442" s="11">
        <f>IFERROR(VLOOKUP($E442,ActionsCatalog!$A:$B,2,FALSE),"")</f>
        <v/>
      </c>
      <c r="H442" s="4" t="n"/>
      <c r="I442" s="4">
        <f>IFERROR(VLOOKUP($E442,ActionsCatalog!$A:$D,3,FALSE),0)</f>
        <v/>
      </c>
      <c r="J442" s="4">
        <f>IFERROR(VLOOKUP($E442,ActionsCatalog!$A:$D,4,FALSE),0)</f>
        <v/>
      </c>
      <c r="K442" s="4">
        <f>IF($M442&lt;&gt;"Yes",0,IF($H442="",0,$H442*$I442))</f>
        <v/>
      </c>
      <c r="L442" s="4">
        <f>IF($M442&lt;&gt;"Yes",0,IF($H442="",0,$H442*$J442))</f>
        <v/>
      </c>
      <c r="M442" s="4" t="n"/>
      <c r="N442" s="4" t="n"/>
      <c r="O442" s="4">
        <f>IF($A442="","",TEXT($A442,"yyyy")&amp;"-W"&amp;TEXT(ISOWEEKNUM($A442),"00"))</f>
        <v/>
      </c>
      <c r="P442" s="4" t="n"/>
      <c r="Q442" s="14">
        <f>IF($A442="","",TEXT($A442,"yyyy-mm"))</f>
        <v/>
      </c>
    </row>
    <row r="443">
      <c r="A443" s="66" t="n"/>
      <c r="B443" s="4" t="n"/>
      <c r="C443" s="11">
        <f>IFERROR(VLOOKUP($B443,Members!$A:$C,2,FALSE),"")</f>
        <v/>
      </c>
      <c r="D443" s="11">
        <f>IFERROR(VLOOKUP($B443,Members!$A:$C,3,FALSE),"")</f>
        <v/>
      </c>
      <c r="E443" s="11">
        <f>IF($F443="","",IFERROR(VLOOKUP($F443,ActionMap!$A:$B,2,FALSE),"INVALID ACTION"))</f>
        <v/>
      </c>
      <c r="F443" s="4" t="n"/>
      <c r="G443" s="11">
        <f>IFERROR(VLOOKUP($E443,ActionsCatalog!$A:$B,2,FALSE),"")</f>
        <v/>
      </c>
      <c r="H443" s="4" t="n"/>
      <c r="I443" s="4">
        <f>IFERROR(VLOOKUP($E443,ActionsCatalog!$A:$D,3,FALSE),0)</f>
        <v/>
      </c>
      <c r="J443" s="4">
        <f>IFERROR(VLOOKUP($E443,ActionsCatalog!$A:$D,4,FALSE),0)</f>
        <v/>
      </c>
      <c r="K443" s="4">
        <f>IF($M443&lt;&gt;"Yes",0,IF($H443="",0,$H443*$I443))</f>
        <v/>
      </c>
      <c r="L443" s="4">
        <f>IF($M443&lt;&gt;"Yes",0,IF($H443="",0,$H443*$J443))</f>
        <v/>
      </c>
      <c r="M443" s="4" t="n"/>
      <c r="N443" s="4" t="n"/>
      <c r="O443" s="4">
        <f>IF($A443="","",TEXT($A443,"yyyy")&amp;"-W"&amp;TEXT(ISOWEEKNUM($A443),"00"))</f>
        <v/>
      </c>
      <c r="P443" s="4" t="n"/>
      <c r="Q443" s="14">
        <f>IF($A443="","",TEXT($A443,"yyyy-mm"))</f>
        <v/>
      </c>
    </row>
    <row r="444">
      <c r="A444" s="66" t="n"/>
      <c r="B444" s="4" t="n"/>
      <c r="C444" s="11">
        <f>IFERROR(VLOOKUP($B444,Members!$A:$C,2,FALSE),"")</f>
        <v/>
      </c>
      <c r="D444" s="11">
        <f>IFERROR(VLOOKUP($B444,Members!$A:$C,3,FALSE),"")</f>
        <v/>
      </c>
      <c r="E444" s="11">
        <f>IF($F444="","",IFERROR(VLOOKUP($F444,ActionMap!$A:$B,2,FALSE),"INVALID ACTION"))</f>
        <v/>
      </c>
      <c r="F444" s="4" t="n"/>
      <c r="G444" s="11">
        <f>IFERROR(VLOOKUP($E444,ActionsCatalog!$A:$B,2,FALSE),"")</f>
        <v/>
      </c>
      <c r="H444" s="4" t="n"/>
      <c r="I444" s="4">
        <f>IFERROR(VLOOKUP($E444,ActionsCatalog!$A:$D,3,FALSE),0)</f>
        <v/>
      </c>
      <c r="J444" s="4">
        <f>IFERROR(VLOOKUP($E444,ActionsCatalog!$A:$D,4,FALSE),0)</f>
        <v/>
      </c>
      <c r="K444" s="4">
        <f>IF($M444&lt;&gt;"Yes",0,IF($H444="",0,$H444*$I444))</f>
        <v/>
      </c>
      <c r="L444" s="4">
        <f>IF($M444&lt;&gt;"Yes",0,IF($H444="",0,$H444*$J444))</f>
        <v/>
      </c>
      <c r="M444" s="4" t="n"/>
      <c r="N444" s="4" t="n"/>
      <c r="O444" s="4">
        <f>IF($A444="","",TEXT($A444,"yyyy")&amp;"-W"&amp;TEXT(ISOWEEKNUM($A444),"00"))</f>
        <v/>
      </c>
      <c r="P444" s="4" t="n"/>
      <c r="Q444" s="14">
        <f>IF($A444="","",TEXT($A444,"yyyy-mm"))</f>
        <v/>
      </c>
    </row>
    <row r="445">
      <c r="A445" s="66" t="n"/>
      <c r="B445" s="4" t="n"/>
      <c r="C445" s="11">
        <f>IFERROR(VLOOKUP($B445,Members!$A:$C,2,FALSE),"")</f>
        <v/>
      </c>
      <c r="D445" s="11">
        <f>IFERROR(VLOOKUP($B445,Members!$A:$C,3,FALSE),"")</f>
        <v/>
      </c>
      <c r="E445" s="11">
        <f>IF($F445="","",IFERROR(VLOOKUP($F445,ActionMap!$A:$B,2,FALSE),"INVALID ACTION"))</f>
        <v/>
      </c>
      <c r="F445" s="4" t="n"/>
      <c r="G445" s="11">
        <f>IFERROR(VLOOKUP($E445,ActionsCatalog!$A:$B,2,FALSE),"")</f>
        <v/>
      </c>
      <c r="H445" s="4" t="n"/>
      <c r="I445" s="4">
        <f>IFERROR(VLOOKUP($E445,ActionsCatalog!$A:$D,3,FALSE),0)</f>
        <v/>
      </c>
      <c r="J445" s="4">
        <f>IFERROR(VLOOKUP($E445,ActionsCatalog!$A:$D,4,FALSE),0)</f>
        <v/>
      </c>
      <c r="K445" s="4">
        <f>IF($M445&lt;&gt;"Yes",0,IF($H445="",0,$H445*$I445))</f>
        <v/>
      </c>
      <c r="L445" s="4">
        <f>IF($M445&lt;&gt;"Yes",0,IF($H445="",0,$H445*$J445))</f>
        <v/>
      </c>
      <c r="M445" s="4" t="n"/>
      <c r="N445" s="4" t="n"/>
      <c r="O445" s="4">
        <f>IF($A445="","",TEXT($A445,"yyyy")&amp;"-W"&amp;TEXT(ISOWEEKNUM($A445),"00"))</f>
        <v/>
      </c>
      <c r="P445" s="4" t="n"/>
      <c r="Q445" s="14">
        <f>IF($A445="","",TEXT($A445,"yyyy-mm"))</f>
        <v/>
      </c>
    </row>
    <row r="446">
      <c r="A446" s="66" t="n"/>
      <c r="B446" s="4" t="n"/>
      <c r="C446" s="11">
        <f>IFERROR(VLOOKUP($B446,Members!$A:$C,2,FALSE),"")</f>
        <v/>
      </c>
      <c r="D446" s="11">
        <f>IFERROR(VLOOKUP($B446,Members!$A:$C,3,FALSE),"")</f>
        <v/>
      </c>
      <c r="E446" s="11">
        <f>IF($F446="","",IFERROR(VLOOKUP($F446,ActionMap!$A:$B,2,FALSE),"INVALID ACTION"))</f>
        <v/>
      </c>
      <c r="F446" s="4" t="n"/>
      <c r="G446" s="11">
        <f>IFERROR(VLOOKUP($E446,ActionsCatalog!$A:$B,2,FALSE),"")</f>
        <v/>
      </c>
      <c r="H446" s="4" t="n"/>
      <c r="I446" s="4">
        <f>IFERROR(VLOOKUP($E446,ActionsCatalog!$A:$D,3,FALSE),0)</f>
        <v/>
      </c>
      <c r="J446" s="4">
        <f>IFERROR(VLOOKUP($E446,ActionsCatalog!$A:$D,4,FALSE),0)</f>
        <v/>
      </c>
      <c r="K446" s="4">
        <f>IF($M446&lt;&gt;"Yes",0,IF($H446="",0,$H446*$I446))</f>
        <v/>
      </c>
      <c r="L446" s="4">
        <f>IF($M446&lt;&gt;"Yes",0,IF($H446="",0,$H446*$J446))</f>
        <v/>
      </c>
      <c r="M446" s="4" t="n"/>
      <c r="N446" s="4" t="n"/>
      <c r="O446" s="4">
        <f>IF($A446="","",TEXT($A446,"yyyy")&amp;"-W"&amp;TEXT(ISOWEEKNUM($A446),"00"))</f>
        <v/>
      </c>
      <c r="P446" s="4" t="n"/>
      <c r="Q446" s="14">
        <f>IF($A446="","",TEXT($A446,"yyyy-mm"))</f>
        <v/>
      </c>
    </row>
    <row r="447">
      <c r="A447" s="66" t="n"/>
      <c r="B447" s="4" t="n"/>
      <c r="C447" s="11">
        <f>IFERROR(VLOOKUP($B447,Members!$A:$C,2,FALSE),"")</f>
        <v/>
      </c>
      <c r="D447" s="11">
        <f>IFERROR(VLOOKUP($B447,Members!$A:$C,3,FALSE),"")</f>
        <v/>
      </c>
      <c r="E447" s="11">
        <f>IF($F447="","",IFERROR(VLOOKUP($F447,ActionMap!$A:$B,2,FALSE),"INVALID ACTION"))</f>
        <v/>
      </c>
      <c r="F447" s="4" t="n"/>
      <c r="G447" s="11">
        <f>IFERROR(VLOOKUP($E447,ActionsCatalog!$A:$B,2,FALSE),"")</f>
        <v/>
      </c>
      <c r="H447" s="4" t="n"/>
      <c r="I447" s="4">
        <f>IFERROR(VLOOKUP($E447,ActionsCatalog!$A:$D,3,FALSE),0)</f>
        <v/>
      </c>
      <c r="J447" s="4">
        <f>IFERROR(VLOOKUP($E447,ActionsCatalog!$A:$D,4,FALSE),0)</f>
        <v/>
      </c>
      <c r="K447" s="4">
        <f>IF($M447&lt;&gt;"Yes",0,IF($H447="",0,$H447*$I447))</f>
        <v/>
      </c>
      <c r="L447" s="4">
        <f>IF($M447&lt;&gt;"Yes",0,IF($H447="",0,$H447*$J447))</f>
        <v/>
      </c>
      <c r="M447" s="4" t="n"/>
      <c r="N447" s="4" t="n"/>
      <c r="O447" s="4">
        <f>IF($A447="","",TEXT($A447,"yyyy")&amp;"-W"&amp;TEXT(ISOWEEKNUM($A447),"00"))</f>
        <v/>
      </c>
      <c r="P447" s="4" t="n"/>
      <c r="Q447" s="14">
        <f>IF($A447="","",TEXT($A447,"yyyy-mm"))</f>
        <v/>
      </c>
    </row>
    <row r="448">
      <c r="A448" s="66" t="n"/>
      <c r="B448" s="4" t="n"/>
      <c r="C448" s="11">
        <f>IFERROR(VLOOKUP($B448,Members!$A:$C,2,FALSE),"")</f>
        <v/>
      </c>
      <c r="D448" s="11">
        <f>IFERROR(VLOOKUP($B448,Members!$A:$C,3,FALSE),"")</f>
        <v/>
      </c>
      <c r="E448" s="11">
        <f>IF($F448="","",IFERROR(VLOOKUP($F448,ActionMap!$A:$B,2,FALSE),"INVALID ACTION"))</f>
        <v/>
      </c>
      <c r="F448" s="4" t="n"/>
      <c r="G448" s="11">
        <f>IFERROR(VLOOKUP($E448,ActionsCatalog!$A:$B,2,FALSE),"")</f>
        <v/>
      </c>
      <c r="H448" s="4" t="n"/>
      <c r="I448" s="4">
        <f>IFERROR(VLOOKUP($E448,ActionsCatalog!$A:$D,3,FALSE),0)</f>
        <v/>
      </c>
      <c r="J448" s="4">
        <f>IFERROR(VLOOKUP($E448,ActionsCatalog!$A:$D,4,FALSE),0)</f>
        <v/>
      </c>
      <c r="K448" s="4">
        <f>IF($M448&lt;&gt;"Yes",0,IF($H448="",0,$H448*$I448))</f>
        <v/>
      </c>
      <c r="L448" s="4">
        <f>IF($M448&lt;&gt;"Yes",0,IF($H448="",0,$H448*$J448))</f>
        <v/>
      </c>
      <c r="M448" s="4" t="n"/>
      <c r="N448" s="4" t="n"/>
      <c r="O448" s="4">
        <f>IF($A448="","",TEXT($A448,"yyyy")&amp;"-W"&amp;TEXT(ISOWEEKNUM($A448),"00"))</f>
        <v/>
      </c>
      <c r="P448" s="4" t="n"/>
      <c r="Q448" s="14">
        <f>IF($A448="","",TEXT($A448,"yyyy-mm"))</f>
        <v/>
      </c>
    </row>
    <row r="449">
      <c r="A449" s="66" t="n"/>
      <c r="B449" s="4" t="n"/>
      <c r="C449" s="11">
        <f>IFERROR(VLOOKUP($B449,Members!$A:$C,2,FALSE),"")</f>
        <v/>
      </c>
      <c r="D449" s="11">
        <f>IFERROR(VLOOKUP($B449,Members!$A:$C,3,FALSE),"")</f>
        <v/>
      </c>
      <c r="E449" s="11">
        <f>IF($F449="","",IFERROR(VLOOKUP($F449,ActionMap!$A:$B,2,FALSE),"INVALID ACTION"))</f>
        <v/>
      </c>
      <c r="F449" s="4" t="n"/>
      <c r="G449" s="11">
        <f>IFERROR(VLOOKUP($E449,ActionsCatalog!$A:$B,2,FALSE),"")</f>
        <v/>
      </c>
      <c r="H449" s="4" t="n"/>
      <c r="I449" s="4">
        <f>IFERROR(VLOOKUP($E449,ActionsCatalog!$A:$D,3,FALSE),0)</f>
        <v/>
      </c>
      <c r="J449" s="4">
        <f>IFERROR(VLOOKUP($E449,ActionsCatalog!$A:$D,4,FALSE),0)</f>
        <v/>
      </c>
      <c r="K449" s="4">
        <f>IF($M449&lt;&gt;"Yes",0,IF($H449="",0,$H449*$I449))</f>
        <v/>
      </c>
      <c r="L449" s="4">
        <f>IF($M449&lt;&gt;"Yes",0,IF($H449="",0,$H449*$J449))</f>
        <v/>
      </c>
      <c r="M449" s="4" t="n"/>
      <c r="N449" s="4" t="n"/>
      <c r="O449" s="4">
        <f>IF($A449="","",TEXT($A449,"yyyy")&amp;"-W"&amp;TEXT(ISOWEEKNUM($A449),"00"))</f>
        <v/>
      </c>
      <c r="P449" s="4" t="n"/>
      <c r="Q449" s="14">
        <f>IF($A449="","",TEXT($A449,"yyyy-mm"))</f>
        <v/>
      </c>
    </row>
    <row r="450">
      <c r="A450" s="66" t="n"/>
      <c r="B450" s="4" t="n"/>
      <c r="C450" s="11">
        <f>IFERROR(VLOOKUP($B450,Members!$A:$C,2,FALSE),"")</f>
        <v/>
      </c>
      <c r="D450" s="11">
        <f>IFERROR(VLOOKUP($B450,Members!$A:$C,3,FALSE),"")</f>
        <v/>
      </c>
      <c r="E450" s="11">
        <f>IF($F450="","",IFERROR(VLOOKUP($F450,ActionMap!$A:$B,2,FALSE),"INVALID ACTION"))</f>
        <v/>
      </c>
      <c r="F450" s="4" t="n"/>
      <c r="G450" s="11">
        <f>IFERROR(VLOOKUP($E450,ActionsCatalog!$A:$B,2,FALSE),"")</f>
        <v/>
      </c>
      <c r="H450" s="4" t="n"/>
      <c r="I450" s="4">
        <f>IFERROR(VLOOKUP($E450,ActionsCatalog!$A:$D,3,FALSE),0)</f>
        <v/>
      </c>
      <c r="J450" s="4">
        <f>IFERROR(VLOOKUP($E450,ActionsCatalog!$A:$D,4,FALSE),0)</f>
        <v/>
      </c>
      <c r="K450" s="4">
        <f>IF($M450&lt;&gt;"Yes",0,IF($H450="",0,$H450*$I450))</f>
        <v/>
      </c>
      <c r="L450" s="4">
        <f>IF($M450&lt;&gt;"Yes",0,IF($H450="",0,$H450*$J450))</f>
        <v/>
      </c>
      <c r="M450" s="4" t="n"/>
      <c r="N450" s="4" t="n"/>
      <c r="O450" s="4">
        <f>IF($A450="","",TEXT($A450,"yyyy")&amp;"-W"&amp;TEXT(ISOWEEKNUM($A450),"00"))</f>
        <v/>
      </c>
      <c r="P450" s="4" t="n"/>
      <c r="Q450" s="14">
        <f>IF($A450="","",TEXT($A450,"yyyy-mm"))</f>
        <v/>
      </c>
    </row>
    <row r="451">
      <c r="A451" s="66" t="n"/>
      <c r="B451" s="4" t="n"/>
      <c r="C451" s="11">
        <f>IFERROR(VLOOKUP($B451,Members!$A:$C,2,FALSE),"")</f>
        <v/>
      </c>
      <c r="D451" s="11">
        <f>IFERROR(VLOOKUP($B451,Members!$A:$C,3,FALSE),"")</f>
        <v/>
      </c>
      <c r="E451" s="11">
        <f>IF($F451="","",IFERROR(VLOOKUP($F451,ActionMap!$A:$B,2,FALSE),"INVALID ACTION"))</f>
        <v/>
      </c>
      <c r="F451" s="4" t="n"/>
      <c r="G451" s="11">
        <f>IFERROR(VLOOKUP($E451,ActionsCatalog!$A:$B,2,FALSE),"")</f>
        <v/>
      </c>
      <c r="H451" s="4" t="n"/>
      <c r="I451" s="4">
        <f>IFERROR(VLOOKUP($E451,ActionsCatalog!$A:$D,3,FALSE),0)</f>
        <v/>
      </c>
      <c r="J451" s="4">
        <f>IFERROR(VLOOKUP($E451,ActionsCatalog!$A:$D,4,FALSE),0)</f>
        <v/>
      </c>
      <c r="K451" s="4">
        <f>IF($M451&lt;&gt;"Yes",0,IF($H451="",0,$H451*$I451))</f>
        <v/>
      </c>
      <c r="L451" s="4">
        <f>IF($M451&lt;&gt;"Yes",0,IF($H451="",0,$H451*$J451))</f>
        <v/>
      </c>
      <c r="M451" s="4" t="n"/>
      <c r="N451" s="4" t="n"/>
      <c r="O451" s="4">
        <f>IF($A451="","",TEXT($A451,"yyyy")&amp;"-W"&amp;TEXT(ISOWEEKNUM($A451),"00"))</f>
        <v/>
      </c>
      <c r="P451" s="4" t="n"/>
      <c r="Q451" s="14">
        <f>IF($A451="","",TEXT($A451,"yyyy-mm"))</f>
        <v/>
      </c>
    </row>
    <row r="452">
      <c r="A452" s="66" t="n"/>
      <c r="B452" s="4" t="n"/>
      <c r="C452" s="11">
        <f>IFERROR(VLOOKUP($B452,Members!$A:$C,2,FALSE),"")</f>
        <v/>
      </c>
      <c r="D452" s="11">
        <f>IFERROR(VLOOKUP($B452,Members!$A:$C,3,FALSE),"")</f>
        <v/>
      </c>
      <c r="E452" s="11">
        <f>IF($F452="","",IFERROR(VLOOKUP($F452,ActionMap!$A:$B,2,FALSE),"INVALID ACTION"))</f>
        <v/>
      </c>
      <c r="F452" s="4" t="n"/>
      <c r="G452" s="11">
        <f>IFERROR(VLOOKUP($E452,ActionsCatalog!$A:$B,2,FALSE),"")</f>
        <v/>
      </c>
      <c r="H452" s="4" t="n"/>
      <c r="I452" s="4">
        <f>IFERROR(VLOOKUP($E452,ActionsCatalog!$A:$D,3,FALSE),0)</f>
        <v/>
      </c>
      <c r="J452" s="4">
        <f>IFERROR(VLOOKUP($E452,ActionsCatalog!$A:$D,4,FALSE),0)</f>
        <v/>
      </c>
      <c r="K452" s="4">
        <f>IF($M452&lt;&gt;"Yes",0,IF($H452="",0,$H452*$I452))</f>
        <v/>
      </c>
      <c r="L452" s="4">
        <f>IF($M452&lt;&gt;"Yes",0,IF($H452="",0,$H452*$J452))</f>
        <v/>
      </c>
      <c r="M452" s="4" t="n"/>
      <c r="N452" s="4" t="n"/>
      <c r="O452" s="4">
        <f>IF($A452="","",TEXT($A452,"yyyy")&amp;"-W"&amp;TEXT(ISOWEEKNUM($A452),"00"))</f>
        <v/>
      </c>
      <c r="P452" s="4" t="n"/>
      <c r="Q452" s="14">
        <f>IF($A452="","",TEXT($A452,"yyyy-mm"))</f>
        <v/>
      </c>
    </row>
    <row r="453">
      <c r="A453" s="66" t="n"/>
      <c r="B453" s="4" t="n"/>
      <c r="C453" s="11">
        <f>IFERROR(VLOOKUP($B453,Members!$A:$C,2,FALSE),"")</f>
        <v/>
      </c>
      <c r="D453" s="11">
        <f>IFERROR(VLOOKUP($B453,Members!$A:$C,3,FALSE),"")</f>
        <v/>
      </c>
      <c r="E453" s="11">
        <f>IF($F453="","",IFERROR(VLOOKUP($F453,ActionMap!$A:$B,2,FALSE),"INVALID ACTION"))</f>
        <v/>
      </c>
      <c r="F453" s="4" t="n"/>
      <c r="G453" s="11">
        <f>IFERROR(VLOOKUP($E453,ActionsCatalog!$A:$B,2,FALSE),"")</f>
        <v/>
      </c>
      <c r="H453" s="4" t="n"/>
      <c r="I453" s="4">
        <f>IFERROR(VLOOKUP($E453,ActionsCatalog!$A:$D,3,FALSE),0)</f>
        <v/>
      </c>
      <c r="J453" s="4">
        <f>IFERROR(VLOOKUP($E453,ActionsCatalog!$A:$D,4,FALSE),0)</f>
        <v/>
      </c>
      <c r="K453" s="4">
        <f>IF($M453&lt;&gt;"Yes",0,IF($H453="",0,$H453*$I453))</f>
        <v/>
      </c>
      <c r="L453" s="4">
        <f>IF($M453&lt;&gt;"Yes",0,IF($H453="",0,$H453*$J453))</f>
        <v/>
      </c>
      <c r="M453" s="4" t="n"/>
      <c r="N453" s="4" t="n"/>
      <c r="O453" s="4">
        <f>IF($A453="","",TEXT($A453,"yyyy")&amp;"-W"&amp;TEXT(ISOWEEKNUM($A453),"00"))</f>
        <v/>
      </c>
      <c r="P453" s="4" t="n"/>
      <c r="Q453" s="14">
        <f>IF($A453="","",TEXT($A453,"yyyy-mm"))</f>
        <v/>
      </c>
    </row>
    <row r="454">
      <c r="A454" s="66" t="n"/>
      <c r="B454" s="4" t="n"/>
      <c r="C454" s="11">
        <f>IFERROR(VLOOKUP($B454,Members!$A:$C,2,FALSE),"")</f>
        <v/>
      </c>
      <c r="D454" s="11">
        <f>IFERROR(VLOOKUP($B454,Members!$A:$C,3,FALSE),"")</f>
        <v/>
      </c>
      <c r="E454" s="11">
        <f>IF($F454="","",IFERROR(VLOOKUP($F454,ActionMap!$A:$B,2,FALSE),"INVALID ACTION"))</f>
        <v/>
      </c>
      <c r="F454" s="4" t="n"/>
      <c r="G454" s="11">
        <f>IFERROR(VLOOKUP($E454,ActionsCatalog!$A:$B,2,FALSE),"")</f>
        <v/>
      </c>
      <c r="H454" s="4" t="n"/>
      <c r="I454" s="4">
        <f>IFERROR(VLOOKUP($E454,ActionsCatalog!$A:$D,3,FALSE),0)</f>
        <v/>
      </c>
      <c r="J454" s="4">
        <f>IFERROR(VLOOKUP($E454,ActionsCatalog!$A:$D,4,FALSE),0)</f>
        <v/>
      </c>
      <c r="K454" s="4">
        <f>IF($M454&lt;&gt;"Yes",0,IF($H454="",0,$H454*$I454))</f>
        <v/>
      </c>
      <c r="L454" s="4">
        <f>IF($M454&lt;&gt;"Yes",0,IF($H454="",0,$H454*$J454))</f>
        <v/>
      </c>
      <c r="M454" s="4" t="n"/>
      <c r="N454" s="4" t="n"/>
      <c r="O454" s="4">
        <f>IF($A454="","",TEXT($A454,"yyyy")&amp;"-W"&amp;TEXT(ISOWEEKNUM($A454),"00"))</f>
        <v/>
      </c>
      <c r="P454" s="4" t="n"/>
      <c r="Q454" s="14">
        <f>IF($A454="","",TEXT($A454,"yyyy-mm"))</f>
        <v/>
      </c>
    </row>
    <row r="455">
      <c r="A455" s="66" t="n"/>
      <c r="B455" s="4" t="n"/>
      <c r="C455" s="11">
        <f>IFERROR(VLOOKUP($B455,Members!$A:$C,2,FALSE),"")</f>
        <v/>
      </c>
      <c r="D455" s="11">
        <f>IFERROR(VLOOKUP($B455,Members!$A:$C,3,FALSE),"")</f>
        <v/>
      </c>
      <c r="E455" s="11">
        <f>IF($F455="","",IFERROR(VLOOKUP($F455,ActionMap!$A:$B,2,FALSE),"INVALID ACTION"))</f>
        <v/>
      </c>
      <c r="F455" s="4" t="n"/>
      <c r="G455" s="11">
        <f>IFERROR(VLOOKUP($E455,ActionsCatalog!$A:$B,2,FALSE),"")</f>
        <v/>
      </c>
      <c r="H455" s="4" t="n"/>
      <c r="I455" s="4">
        <f>IFERROR(VLOOKUP($E455,ActionsCatalog!$A:$D,3,FALSE),0)</f>
        <v/>
      </c>
      <c r="J455" s="4">
        <f>IFERROR(VLOOKUP($E455,ActionsCatalog!$A:$D,4,FALSE),0)</f>
        <v/>
      </c>
      <c r="K455" s="4">
        <f>IF($M455&lt;&gt;"Yes",0,IF($H455="",0,$H455*$I455))</f>
        <v/>
      </c>
      <c r="L455" s="4">
        <f>IF($M455&lt;&gt;"Yes",0,IF($H455="",0,$H455*$J455))</f>
        <v/>
      </c>
      <c r="M455" s="4" t="n"/>
      <c r="N455" s="4" t="n"/>
      <c r="O455" s="4">
        <f>IF($A455="","",TEXT($A455,"yyyy")&amp;"-W"&amp;TEXT(ISOWEEKNUM($A455),"00"))</f>
        <v/>
      </c>
      <c r="P455" s="4" t="n"/>
      <c r="Q455" s="14">
        <f>IF($A455="","",TEXT($A455,"yyyy-mm"))</f>
        <v/>
      </c>
    </row>
    <row r="456">
      <c r="A456" s="66" t="n"/>
      <c r="B456" s="4" t="n"/>
      <c r="C456" s="11">
        <f>IFERROR(VLOOKUP($B456,Members!$A:$C,2,FALSE),"")</f>
        <v/>
      </c>
      <c r="D456" s="11">
        <f>IFERROR(VLOOKUP($B456,Members!$A:$C,3,FALSE),"")</f>
        <v/>
      </c>
      <c r="E456" s="11">
        <f>IF($F456="","",IFERROR(VLOOKUP($F456,ActionMap!$A:$B,2,FALSE),"INVALID ACTION"))</f>
        <v/>
      </c>
      <c r="F456" s="4" t="n"/>
      <c r="G456" s="11">
        <f>IFERROR(VLOOKUP($E456,ActionsCatalog!$A:$B,2,FALSE),"")</f>
        <v/>
      </c>
      <c r="H456" s="4" t="n"/>
      <c r="I456" s="4">
        <f>IFERROR(VLOOKUP($E456,ActionsCatalog!$A:$D,3,FALSE),0)</f>
        <v/>
      </c>
      <c r="J456" s="4">
        <f>IFERROR(VLOOKUP($E456,ActionsCatalog!$A:$D,4,FALSE),0)</f>
        <v/>
      </c>
      <c r="K456" s="4">
        <f>IF($M456&lt;&gt;"Yes",0,IF($H456="",0,$H456*$I456))</f>
        <v/>
      </c>
      <c r="L456" s="4">
        <f>IF($M456&lt;&gt;"Yes",0,IF($H456="",0,$H456*$J456))</f>
        <v/>
      </c>
      <c r="M456" s="4" t="n"/>
      <c r="N456" s="4" t="n"/>
      <c r="O456" s="4">
        <f>IF($A456="","",TEXT($A456,"yyyy")&amp;"-W"&amp;TEXT(ISOWEEKNUM($A456),"00"))</f>
        <v/>
      </c>
      <c r="P456" s="4" t="n"/>
      <c r="Q456" s="14">
        <f>IF($A456="","",TEXT($A456,"yyyy-mm"))</f>
        <v/>
      </c>
    </row>
    <row r="457">
      <c r="A457" s="66" t="n"/>
      <c r="B457" s="4" t="n"/>
      <c r="C457" s="11">
        <f>IFERROR(VLOOKUP($B457,Members!$A:$C,2,FALSE),"")</f>
        <v/>
      </c>
      <c r="D457" s="11">
        <f>IFERROR(VLOOKUP($B457,Members!$A:$C,3,FALSE),"")</f>
        <v/>
      </c>
      <c r="E457" s="11">
        <f>IF($F457="","",IFERROR(VLOOKUP($F457,ActionMap!$A:$B,2,FALSE),"INVALID ACTION"))</f>
        <v/>
      </c>
      <c r="F457" s="4" t="n"/>
      <c r="G457" s="11">
        <f>IFERROR(VLOOKUP($E457,ActionsCatalog!$A:$B,2,FALSE),"")</f>
        <v/>
      </c>
      <c r="H457" s="4" t="n"/>
      <c r="I457" s="4">
        <f>IFERROR(VLOOKUP($E457,ActionsCatalog!$A:$D,3,FALSE),0)</f>
        <v/>
      </c>
      <c r="J457" s="4">
        <f>IFERROR(VLOOKUP($E457,ActionsCatalog!$A:$D,4,FALSE),0)</f>
        <v/>
      </c>
      <c r="K457" s="4">
        <f>IF($M457&lt;&gt;"Yes",0,IF($H457="",0,$H457*$I457))</f>
        <v/>
      </c>
      <c r="L457" s="4">
        <f>IF($M457&lt;&gt;"Yes",0,IF($H457="",0,$H457*$J457))</f>
        <v/>
      </c>
      <c r="M457" s="4" t="n"/>
      <c r="N457" s="4" t="n"/>
      <c r="O457" s="4">
        <f>IF($A457="","",TEXT($A457,"yyyy")&amp;"-W"&amp;TEXT(ISOWEEKNUM($A457),"00"))</f>
        <v/>
      </c>
      <c r="P457" s="4" t="n"/>
      <c r="Q457" s="14">
        <f>IF($A457="","",TEXT($A457,"yyyy-mm"))</f>
        <v/>
      </c>
    </row>
    <row r="458">
      <c r="A458" s="66" t="n"/>
      <c r="B458" s="4" t="n"/>
      <c r="C458" s="11">
        <f>IFERROR(VLOOKUP($B458,Members!$A:$C,2,FALSE),"")</f>
        <v/>
      </c>
      <c r="D458" s="11">
        <f>IFERROR(VLOOKUP($B458,Members!$A:$C,3,FALSE),"")</f>
        <v/>
      </c>
      <c r="E458" s="11">
        <f>IF($F458="","",IFERROR(VLOOKUP($F458,ActionMap!$A:$B,2,FALSE),"INVALID ACTION"))</f>
        <v/>
      </c>
      <c r="F458" s="4" t="n"/>
      <c r="G458" s="11">
        <f>IFERROR(VLOOKUP($E458,ActionsCatalog!$A:$B,2,FALSE),"")</f>
        <v/>
      </c>
      <c r="H458" s="4" t="n"/>
      <c r="I458" s="4">
        <f>IFERROR(VLOOKUP($E458,ActionsCatalog!$A:$D,3,FALSE),0)</f>
        <v/>
      </c>
      <c r="J458" s="4">
        <f>IFERROR(VLOOKUP($E458,ActionsCatalog!$A:$D,4,FALSE),0)</f>
        <v/>
      </c>
      <c r="K458" s="4">
        <f>IF($M458&lt;&gt;"Yes",0,IF($H458="",0,$H458*$I458))</f>
        <v/>
      </c>
      <c r="L458" s="4">
        <f>IF($M458&lt;&gt;"Yes",0,IF($H458="",0,$H458*$J458))</f>
        <v/>
      </c>
      <c r="M458" s="4" t="n"/>
      <c r="N458" s="4" t="n"/>
      <c r="O458" s="4">
        <f>IF($A458="","",TEXT($A458,"yyyy")&amp;"-W"&amp;TEXT(ISOWEEKNUM($A458),"00"))</f>
        <v/>
      </c>
      <c r="P458" s="4" t="n"/>
      <c r="Q458" s="14">
        <f>IF($A458="","",TEXT($A458,"yyyy-mm"))</f>
        <v/>
      </c>
    </row>
    <row r="459">
      <c r="A459" s="66" t="n"/>
      <c r="B459" s="4" t="n"/>
      <c r="C459" s="11">
        <f>IFERROR(VLOOKUP($B459,Members!$A:$C,2,FALSE),"")</f>
        <v/>
      </c>
      <c r="D459" s="11">
        <f>IFERROR(VLOOKUP($B459,Members!$A:$C,3,FALSE),"")</f>
        <v/>
      </c>
      <c r="E459" s="11">
        <f>IF($F459="","",IFERROR(VLOOKUP($F459,ActionMap!$A:$B,2,FALSE),"INVALID ACTION"))</f>
        <v/>
      </c>
      <c r="F459" s="4" t="n"/>
      <c r="G459" s="11">
        <f>IFERROR(VLOOKUP($E459,ActionsCatalog!$A:$B,2,FALSE),"")</f>
        <v/>
      </c>
      <c r="H459" s="4" t="n"/>
      <c r="I459" s="4">
        <f>IFERROR(VLOOKUP($E459,ActionsCatalog!$A:$D,3,FALSE),0)</f>
        <v/>
      </c>
      <c r="J459" s="4">
        <f>IFERROR(VLOOKUP($E459,ActionsCatalog!$A:$D,4,FALSE),0)</f>
        <v/>
      </c>
      <c r="K459" s="4">
        <f>IF($M459&lt;&gt;"Yes",0,IF($H459="",0,$H459*$I459))</f>
        <v/>
      </c>
      <c r="L459" s="4">
        <f>IF($M459&lt;&gt;"Yes",0,IF($H459="",0,$H459*$J459))</f>
        <v/>
      </c>
      <c r="M459" s="4" t="n"/>
      <c r="N459" s="4" t="n"/>
      <c r="O459" s="4">
        <f>IF($A459="","",TEXT($A459,"yyyy")&amp;"-W"&amp;TEXT(ISOWEEKNUM($A459),"00"))</f>
        <v/>
      </c>
      <c r="P459" s="4" t="n"/>
      <c r="Q459" s="14">
        <f>IF($A459="","",TEXT($A459,"yyyy-mm"))</f>
        <v/>
      </c>
    </row>
    <row r="460">
      <c r="A460" s="66" t="n"/>
      <c r="B460" s="4" t="n"/>
      <c r="C460" s="11">
        <f>IFERROR(VLOOKUP($B460,Members!$A:$C,2,FALSE),"")</f>
        <v/>
      </c>
      <c r="D460" s="11">
        <f>IFERROR(VLOOKUP($B460,Members!$A:$C,3,FALSE),"")</f>
        <v/>
      </c>
      <c r="E460" s="11">
        <f>IF($F460="","",IFERROR(VLOOKUP($F460,ActionMap!$A:$B,2,FALSE),"INVALID ACTION"))</f>
        <v/>
      </c>
      <c r="F460" s="4" t="n"/>
      <c r="G460" s="11">
        <f>IFERROR(VLOOKUP($E460,ActionsCatalog!$A:$B,2,FALSE),"")</f>
        <v/>
      </c>
      <c r="H460" s="4" t="n"/>
      <c r="I460" s="4">
        <f>IFERROR(VLOOKUP($E460,ActionsCatalog!$A:$D,3,FALSE),0)</f>
        <v/>
      </c>
      <c r="J460" s="4">
        <f>IFERROR(VLOOKUP($E460,ActionsCatalog!$A:$D,4,FALSE),0)</f>
        <v/>
      </c>
      <c r="K460" s="4">
        <f>IF($M460&lt;&gt;"Yes",0,IF($H460="",0,$H460*$I460))</f>
        <v/>
      </c>
      <c r="L460" s="4">
        <f>IF($M460&lt;&gt;"Yes",0,IF($H460="",0,$H460*$J460))</f>
        <v/>
      </c>
      <c r="M460" s="4" t="n"/>
      <c r="N460" s="4" t="n"/>
      <c r="O460" s="4">
        <f>IF($A460="","",TEXT($A460,"yyyy")&amp;"-W"&amp;TEXT(ISOWEEKNUM($A460),"00"))</f>
        <v/>
      </c>
      <c r="P460" s="4" t="n"/>
      <c r="Q460" s="14">
        <f>IF($A460="","",TEXT($A460,"yyyy-mm"))</f>
        <v/>
      </c>
    </row>
    <row r="461">
      <c r="A461" s="66" t="n"/>
      <c r="B461" s="4" t="n"/>
      <c r="C461" s="11">
        <f>IFERROR(VLOOKUP($B461,Members!$A:$C,2,FALSE),"")</f>
        <v/>
      </c>
      <c r="D461" s="11">
        <f>IFERROR(VLOOKUP($B461,Members!$A:$C,3,FALSE),"")</f>
        <v/>
      </c>
      <c r="E461" s="11">
        <f>IF($F461="","",IFERROR(VLOOKUP($F461,ActionMap!$A:$B,2,FALSE),"INVALID ACTION"))</f>
        <v/>
      </c>
      <c r="F461" s="4" t="n"/>
      <c r="G461" s="11">
        <f>IFERROR(VLOOKUP($E461,ActionsCatalog!$A:$B,2,FALSE),"")</f>
        <v/>
      </c>
      <c r="H461" s="4" t="n"/>
      <c r="I461" s="4">
        <f>IFERROR(VLOOKUP($E461,ActionsCatalog!$A:$D,3,FALSE),0)</f>
        <v/>
      </c>
      <c r="J461" s="4">
        <f>IFERROR(VLOOKUP($E461,ActionsCatalog!$A:$D,4,FALSE),0)</f>
        <v/>
      </c>
      <c r="K461" s="4">
        <f>IF($M461&lt;&gt;"Yes",0,IF($H461="",0,$H461*$I461))</f>
        <v/>
      </c>
      <c r="L461" s="4">
        <f>IF($M461&lt;&gt;"Yes",0,IF($H461="",0,$H461*$J461))</f>
        <v/>
      </c>
      <c r="M461" s="4" t="n"/>
      <c r="N461" s="4" t="n"/>
      <c r="O461" s="4">
        <f>IF($A461="","",TEXT($A461,"yyyy")&amp;"-W"&amp;TEXT(ISOWEEKNUM($A461),"00"))</f>
        <v/>
      </c>
      <c r="P461" s="4" t="n"/>
      <c r="Q461" s="14">
        <f>IF($A461="","",TEXT($A461,"yyyy-mm"))</f>
        <v/>
      </c>
    </row>
    <row r="462">
      <c r="A462" s="66" t="n"/>
      <c r="B462" s="4" t="n"/>
      <c r="C462" s="11">
        <f>IFERROR(VLOOKUP($B462,Members!$A:$C,2,FALSE),"")</f>
        <v/>
      </c>
      <c r="D462" s="11">
        <f>IFERROR(VLOOKUP($B462,Members!$A:$C,3,FALSE),"")</f>
        <v/>
      </c>
      <c r="E462" s="11">
        <f>IF($F462="","",IFERROR(VLOOKUP($F462,ActionMap!$A:$B,2,FALSE),"INVALID ACTION"))</f>
        <v/>
      </c>
      <c r="F462" s="4" t="n"/>
      <c r="G462" s="11">
        <f>IFERROR(VLOOKUP($E462,ActionsCatalog!$A:$B,2,FALSE),"")</f>
        <v/>
      </c>
      <c r="H462" s="4" t="n"/>
      <c r="I462" s="4">
        <f>IFERROR(VLOOKUP($E462,ActionsCatalog!$A:$D,3,FALSE),0)</f>
        <v/>
      </c>
      <c r="J462" s="4">
        <f>IFERROR(VLOOKUP($E462,ActionsCatalog!$A:$D,4,FALSE),0)</f>
        <v/>
      </c>
      <c r="K462" s="4">
        <f>IF($M462&lt;&gt;"Yes",0,IF($H462="",0,$H462*$I462))</f>
        <v/>
      </c>
      <c r="L462" s="4">
        <f>IF($M462&lt;&gt;"Yes",0,IF($H462="",0,$H462*$J462))</f>
        <v/>
      </c>
      <c r="M462" s="4" t="n"/>
      <c r="N462" s="4" t="n"/>
      <c r="O462" s="4">
        <f>IF($A462="","",TEXT($A462,"yyyy")&amp;"-W"&amp;TEXT(ISOWEEKNUM($A462),"00"))</f>
        <v/>
      </c>
      <c r="P462" s="4" t="n"/>
      <c r="Q462" s="14">
        <f>IF($A462="","",TEXT($A462,"yyyy-mm"))</f>
        <v/>
      </c>
    </row>
    <row r="463">
      <c r="A463" s="66" t="n"/>
      <c r="B463" s="4" t="n"/>
      <c r="C463" s="11">
        <f>IFERROR(VLOOKUP($B463,Members!$A:$C,2,FALSE),"")</f>
        <v/>
      </c>
      <c r="D463" s="11">
        <f>IFERROR(VLOOKUP($B463,Members!$A:$C,3,FALSE),"")</f>
        <v/>
      </c>
      <c r="E463" s="11">
        <f>IF($F463="","",IFERROR(VLOOKUP($F463,ActionMap!$A:$B,2,FALSE),"INVALID ACTION"))</f>
        <v/>
      </c>
      <c r="F463" s="4" t="n"/>
      <c r="G463" s="11">
        <f>IFERROR(VLOOKUP($E463,ActionsCatalog!$A:$B,2,FALSE),"")</f>
        <v/>
      </c>
      <c r="H463" s="4" t="n"/>
      <c r="I463" s="4">
        <f>IFERROR(VLOOKUP($E463,ActionsCatalog!$A:$D,3,FALSE),0)</f>
        <v/>
      </c>
      <c r="J463" s="4">
        <f>IFERROR(VLOOKUP($E463,ActionsCatalog!$A:$D,4,FALSE),0)</f>
        <v/>
      </c>
      <c r="K463" s="4">
        <f>IF($M463&lt;&gt;"Yes",0,IF($H463="",0,$H463*$I463))</f>
        <v/>
      </c>
      <c r="L463" s="4">
        <f>IF($M463&lt;&gt;"Yes",0,IF($H463="",0,$H463*$J463))</f>
        <v/>
      </c>
      <c r="M463" s="4" t="n"/>
      <c r="N463" s="4" t="n"/>
      <c r="O463" s="4">
        <f>IF($A463="","",TEXT($A463,"yyyy")&amp;"-W"&amp;TEXT(ISOWEEKNUM($A463),"00"))</f>
        <v/>
      </c>
      <c r="P463" s="4" t="n"/>
      <c r="Q463" s="14">
        <f>IF($A463="","",TEXT($A463,"yyyy-mm"))</f>
        <v/>
      </c>
    </row>
    <row r="464">
      <c r="A464" s="66" t="n"/>
      <c r="B464" s="4" t="n"/>
      <c r="C464" s="11">
        <f>IFERROR(VLOOKUP($B464,Members!$A:$C,2,FALSE),"")</f>
        <v/>
      </c>
      <c r="D464" s="11">
        <f>IFERROR(VLOOKUP($B464,Members!$A:$C,3,FALSE),"")</f>
        <v/>
      </c>
      <c r="E464" s="11">
        <f>IF($F464="","",IFERROR(VLOOKUP($F464,ActionMap!$A:$B,2,FALSE),"INVALID ACTION"))</f>
        <v/>
      </c>
      <c r="F464" s="4" t="n"/>
      <c r="G464" s="11">
        <f>IFERROR(VLOOKUP($E464,ActionsCatalog!$A:$B,2,FALSE),"")</f>
        <v/>
      </c>
      <c r="H464" s="4" t="n"/>
      <c r="I464" s="4">
        <f>IFERROR(VLOOKUP($E464,ActionsCatalog!$A:$D,3,FALSE),0)</f>
        <v/>
      </c>
      <c r="J464" s="4">
        <f>IFERROR(VLOOKUP($E464,ActionsCatalog!$A:$D,4,FALSE),0)</f>
        <v/>
      </c>
      <c r="K464" s="4">
        <f>IF($M464&lt;&gt;"Yes",0,IF($H464="",0,$H464*$I464))</f>
        <v/>
      </c>
      <c r="L464" s="4">
        <f>IF($M464&lt;&gt;"Yes",0,IF($H464="",0,$H464*$J464))</f>
        <v/>
      </c>
      <c r="M464" s="4" t="n"/>
      <c r="N464" s="4" t="n"/>
      <c r="O464" s="4">
        <f>IF($A464="","",TEXT($A464,"yyyy")&amp;"-W"&amp;TEXT(ISOWEEKNUM($A464),"00"))</f>
        <v/>
      </c>
      <c r="P464" s="4" t="n"/>
      <c r="Q464" s="14">
        <f>IF($A464="","",TEXT($A464,"yyyy-mm"))</f>
        <v/>
      </c>
    </row>
    <row r="465">
      <c r="A465" s="66" t="n"/>
      <c r="B465" s="4" t="n"/>
      <c r="C465" s="11">
        <f>IFERROR(VLOOKUP($B465,Members!$A:$C,2,FALSE),"")</f>
        <v/>
      </c>
      <c r="D465" s="11">
        <f>IFERROR(VLOOKUP($B465,Members!$A:$C,3,FALSE),"")</f>
        <v/>
      </c>
      <c r="E465" s="11">
        <f>IF($F465="","",IFERROR(VLOOKUP($F465,ActionMap!$A:$B,2,FALSE),"INVALID ACTION"))</f>
        <v/>
      </c>
      <c r="F465" s="4" t="n"/>
      <c r="G465" s="11">
        <f>IFERROR(VLOOKUP($E465,ActionsCatalog!$A:$B,2,FALSE),"")</f>
        <v/>
      </c>
      <c r="H465" s="4" t="n"/>
      <c r="I465" s="4">
        <f>IFERROR(VLOOKUP($E465,ActionsCatalog!$A:$D,3,FALSE),0)</f>
        <v/>
      </c>
      <c r="J465" s="4">
        <f>IFERROR(VLOOKUP($E465,ActionsCatalog!$A:$D,4,FALSE),0)</f>
        <v/>
      </c>
      <c r="K465" s="4">
        <f>IF($M465&lt;&gt;"Yes",0,IF($H465="",0,$H465*$I465))</f>
        <v/>
      </c>
      <c r="L465" s="4">
        <f>IF($M465&lt;&gt;"Yes",0,IF($H465="",0,$H465*$J465))</f>
        <v/>
      </c>
      <c r="M465" s="4" t="n"/>
      <c r="N465" s="4" t="n"/>
      <c r="O465" s="4">
        <f>IF($A465="","",TEXT($A465,"yyyy")&amp;"-W"&amp;TEXT(ISOWEEKNUM($A465),"00"))</f>
        <v/>
      </c>
      <c r="P465" s="4" t="n"/>
      <c r="Q465" s="14">
        <f>IF($A465="","",TEXT($A465,"yyyy-mm"))</f>
        <v/>
      </c>
    </row>
    <row r="466">
      <c r="A466" s="66" t="n"/>
      <c r="B466" s="4" t="n"/>
      <c r="C466" s="11">
        <f>IFERROR(VLOOKUP($B466,Members!$A:$C,2,FALSE),"")</f>
        <v/>
      </c>
      <c r="D466" s="11">
        <f>IFERROR(VLOOKUP($B466,Members!$A:$C,3,FALSE),"")</f>
        <v/>
      </c>
      <c r="E466" s="11">
        <f>IF($F466="","",IFERROR(VLOOKUP($F466,ActionMap!$A:$B,2,FALSE),"INVALID ACTION"))</f>
        <v/>
      </c>
      <c r="F466" s="4" t="n"/>
      <c r="G466" s="11">
        <f>IFERROR(VLOOKUP($E466,ActionsCatalog!$A:$B,2,FALSE),"")</f>
        <v/>
      </c>
      <c r="H466" s="4" t="n"/>
      <c r="I466" s="4">
        <f>IFERROR(VLOOKUP($E466,ActionsCatalog!$A:$D,3,FALSE),0)</f>
        <v/>
      </c>
      <c r="J466" s="4">
        <f>IFERROR(VLOOKUP($E466,ActionsCatalog!$A:$D,4,FALSE),0)</f>
        <v/>
      </c>
      <c r="K466" s="4">
        <f>IF($M466&lt;&gt;"Yes",0,IF($H466="",0,$H466*$I466))</f>
        <v/>
      </c>
      <c r="L466" s="4">
        <f>IF($M466&lt;&gt;"Yes",0,IF($H466="",0,$H466*$J466))</f>
        <v/>
      </c>
      <c r="M466" s="4" t="n"/>
      <c r="N466" s="4" t="n"/>
      <c r="O466" s="4">
        <f>IF($A466="","",TEXT($A466,"yyyy")&amp;"-W"&amp;TEXT(ISOWEEKNUM($A466),"00"))</f>
        <v/>
      </c>
      <c r="P466" s="4" t="n"/>
      <c r="Q466" s="14">
        <f>IF($A466="","",TEXT($A466,"yyyy-mm"))</f>
        <v/>
      </c>
    </row>
    <row r="467">
      <c r="A467" s="66" t="n"/>
      <c r="B467" s="4" t="n"/>
      <c r="C467" s="11">
        <f>IFERROR(VLOOKUP($B467,Members!$A:$C,2,FALSE),"")</f>
        <v/>
      </c>
      <c r="D467" s="11">
        <f>IFERROR(VLOOKUP($B467,Members!$A:$C,3,FALSE),"")</f>
        <v/>
      </c>
      <c r="E467" s="11">
        <f>IF($F467="","",IFERROR(VLOOKUP($F467,ActionMap!$A:$B,2,FALSE),"INVALID ACTION"))</f>
        <v/>
      </c>
      <c r="F467" s="4" t="n"/>
      <c r="G467" s="11">
        <f>IFERROR(VLOOKUP($E467,ActionsCatalog!$A:$B,2,FALSE),"")</f>
        <v/>
      </c>
      <c r="H467" s="4" t="n"/>
      <c r="I467" s="4">
        <f>IFERROR(VLOOKUP($E467,ActionsCatalog!$A:$D,3,FALSE),0)</f>
        <v/>
      </c>
      <c r="J467" s="4">
        <f>IFERROR(VLOOKUP($E467,ActionsCatalog!$A:$D,4,FALSE),0)</f>
        <v/>
      </c>
      <c r="K467" s="4">
        <f>IF($M467&lt;&gt;"Yes",0,IF($H467="",0,$H467*$I467))</f>
        <v/>
      </c>
      <c r="L467" s="4">
        <f>IF($M467&lt;&gt;"Yes",0,IF($H467="",0,$H467*$J467))</f>
        <v/>
      </c>
      <c r="M467" s="4" t="n"/>
      <c r="N467" s="4" t="n"/>
      <c r="O467" s="4">
        <f>IF($A467="","",TEXT($A467,"yyyy")&amp;"-W"&amp;TEXT(ISOWEEKNUM($A467),"00"))</f>
        <v/>
      </c>
      <c r="P467" s="4" t="n"/>
      <c r="Q467" s="14">
        <f>IF($A467="","",TEXT($A467,"yyyy-mm"))</f>
        <v/>
      </c>
    </row>
    <row r="468">
      <c r="A468" s="66" t="n"/>
      <c r="B468" s="4" t="n"/>
      <c r="C468" s="11">
        <f>IFERROR(VLOOKUP($B468,Members!$A:$C,2,FALSE),"")</f>
        <v/>
      </c>
      <c r="D468" s="11">
        <f>IFERROR(VLOOKUP($B468,Members!$A:$C,3,FALSE),"")</f>
        <v/>
      </c>
      <c r="E468" s="11">
        <f>IF($F468="","",IFERROR(VLOOKUP($F468,ActionMap!$A:$B,2,FALSE),"INVALID ACTION"))</f>
        <v/>
      </c>
      <c r="F468" s="4" t="n"/>
      <c r="G468" s="11">
        <f>IFERROR(VLOOKUP($E468,ActionsCatalog!$A:$B,2,FALSE),"")</f>
        <v/>
      </c>
      <c r="H468" s="4" t="n"/>
      <c r="I468" s="4">
        <f>IFERROR(VLOOKUP($E468,ActionsCatalog!$A:$D,3,FALSE),0)</f>
        <v/>
      </c>
      <c r="J468" s="4">
        <f>IFERROR(VLOOKUP($E468,ActionsCatalog!$A:$D,4,FALSE),0)</f>
        <v/>
      </c>
      <c r="K468" s="4">
        <f>IF($M468&lt;&gt;"Yes",0,IF($H468="",0,$H468*$I468))</f>
        <v/>
      </c>
      <c r="L468" s="4">
        <f>IF($M468&lt;&gt;"Yes",0,IF($H468="",0,$H468*$J468))</f>
        <v/>
      </c>
      <c r="M468" s="4" t="n"/>
      <c r="N468" s="4" t="n"/>
      <c r="O468" s="4">
        <f>IF($A468="","",TEXT($A468,"yyyy")&amp;"-W"&amp;TEXT(ISOWEEKNUM($A468),"00"))</f>
        <v/>
      </c>
      <c r="P468" s="4" t="n"/>
      <c r="Q468" s="14">
        <f>IF($A468="","",TEXT($A468,"yyyy-mm"))</f>
        <v/>
      </c>
    </row>
    <row r="469">
      <c r="A469" s="66" t="n"/>
      <c r="B469" s="4" t="n"/>
      <c r="C469" s="11">
        <f>IFERROR(VLOOKUP($B469,Members!$A:$C,2,FALSE),"")</f>
        <v/>
      </c>
      <c r="D469" s="11">
        <f>IFERROR(VLOOKUP($B469,Members!$A:$C,3,FALSE),"")</f>
        <v/>
      </c>
      <c r="E469" s="11">
        <f>IF($F469="","",IFERROR(VLOOKUP($F469,ActionMap!$A:$B,2,FALSE),"INVALID ACTION"))</f>
        <v/>
      </c>
      <c r="F469" s="4" t="n"/>
      <c r="G469" s="11">
        <f>IFERROR(VLOOKUP($E469,ActionsCatalog!$A:$B,2,FALSE),"")</f>
        <v/>
      </c>
      <c r="H469" s="4" t="n"/>
      <c r="I469" s="4">
        <f>IFERROR(VLOOKUP($E469,ActionsCatalog!$A:$D,3,FALSE),0)</f>
        <v/>
      </c>
      <c r="J469" s="4">
        <f>IFERROR(VLOOKUP($E469,ActionsCatalog!$A:$D,4,FALSE),0)</f>
        <v/>
      </c>
      <c r="K469" s="4">
        <f>IF($M469&lt;&gt;"Yes",0,IF($H469="",0,$H469*$I469))</f>
        <v/>
      </c>
      <c r="L469" s="4">
        <f>IF($M469&lt;&gt;"Yes",0,IF($H469="",0,$H469*$J469))</f>
        <v/>
      </c>
      <c r="M469" s="4" t="n"/>
      <c r="N469" s="4" t="n"/>
      <c r="O469" s="4">
        <f>IF($A469="","",TEXT($A469,"yyyy")&amp;"-W"&amp;TEXT(ISOWEEKNUM($A469),"00"))</f>
        <v/>
      </c>
      <c r="P469" s="4" t="n"/>
      <c r="Q469" s="14">
        <f>IF($A469="","",TEXT($A469,"yyyy-mm"))</f>
        <v/>
      </c>
    </row>
    <row r="470">
      <c r="A470" s="66" t="n"/>
      <c r="B470" s="4" t="n"/>
      <c r="C470" s="11">
        <f>IFERROR(VLOOKUP($B470,Members!$A:$C,2,FALSE),"")</f>
        <v/>
      </c>
      <c r="D470" s="11">
        <f>IFERROR(VLOOKUP($B470,Members!$A:$C,3,FALSE),"")</f>
        <v/>
      </c>
      <c r="E470" s="11">
        <f>IF($F470="","",IFERROR(VLOOKUP($F470,ActionMap!$A:$B,2,FALSE),"INVALID ACTION"))</f>
        <v/>
      </c>
      <c r="F470" s="4" t="n"/>
      <c r="G470" s="11">
        <f>IFERROR(VLOOKUP($E470,ActionsCatalog!$A:$B,2,FALSE),"")</f>
        <v/>
      </c>
      <c r="H470" s="4" t="n"/>
      <c r="I470" s="4">
        <f>IFERROR(VLOOKUP($E470,ActionsCatalog!$A:$D,3,FALSE),0)</f>
        <v/>
      </c>
      <c r="J470" s="4">
        <f>IFERROR(VLOOKUP($E470,ActionsCatalog!$A:$D,4,FALSE),0)</f>
        <v/>
      </c>
      <c r="K470" s="4">
        <f>IF($M470&lt;&gt;"Yes",0,IF($H470="",0,$H470*$I470))</f>
        <v/>
      </c>
      <c r="L470" s="4">
        <f>IF($M470&lt;&gt;"Yes",0,IF($H470="",0,$H470*$J470))</f>
        <v/>
      </c>
      <c r="M470" s="4" t="n"/>
      <c r="N470" s="4" t="n"/>
      <c r="O470" s="4">
        <f>IF($A470="","",TEXT($A470,"yyyy")&amp;"-W"&amp;TEXT(ISOWEEKNUM($A470),"00"))</f>
        <v/>
      </c>
      <c r="P470" s="4" t="n"/>
      <c r="Q470" s="14">
        <f>IF($A470="","",TEXT($A470,"yyyy-mm"))</f>
        <v/>
      </c>
    </row>
    <row r="471">
      <c r="A471" s="66" t="n"/>
      <c r="B471" s="4" t="n"/>
      <c r="C471" s="11">
        <f>IFERROR(VLOOKUP($B471,Members!$A:$C,2,FALSE),"")</f>
        <v/>
      </c>
      <c r="D471" s="11">
        <f>IFERROR(VLOOKUP($B471,Members!$A:$C,3,FALSE),"")</f>
        <v/>
      </c>
      <c r="E471" s="11">
        <f>IF($F471="","",IFERROR(VLOOKUP($F471,ActionMap!$A:$B,2,FALSE),"INVALID ACTION"))</f>
        <v/>
      </c>
      <c r="F471" s="4" t="n"/>
      <c r="G471" s="11">
        <f>IFERROR(VLOOKUP($E471,ActionsCatalog!$A:$B,2,FALSE),"")</f>
        <v/>
      </c>
      <c r="H471" s="4" t="n"/>
      <c r="I471" s="4">
        <f>IFERROR(VLOOKUP($E471,ActionsCatalog!$A:$D,3,FALSE),0)</f>
        <v/>
      </c>
      <c r="J471" s="4">
        <f>IFERROR(VLOOKUP($E471,ActionsCatalog!$A:$D,4,FALSE),0)</f>
        <v/>
      </c>
      <c r="K471" s="4">
        <f>IF($M471&lt;&gt;"Yes",0,IF($H471="",0,$H471*$I471))</f>
        <v/>
      </c>
      <c r="L471" s="4">
        <f>IF($M471&lt;&gt;"Yes",0,IF($H471="",0,$H471*$J471))</f>
        <v/>
      </c>
      <c r="M471" s="4" t="n"/>
      <c r="N471" s="4" t="n"/>
      <c r="O471" s="4">
        <f>IF($A471="","",TEXT($A471,"yyyy")&amp;"-W"&amp;TEXT(ISOWEEKNUM($A471),"00"))</f>
        <v/>
      </c>
      <c r="P471" s="4" t="n"/>
      <c r="Q471" s="14">
        <f>IF($A471="","",TEXT($A471,"yyyy-mm"))</f>
        <v/>
      </c>
    </row>
    <row r="472">
      <c r="A472" s="66" t="n"/>
      <c r="B472" s="4" t="n"/>
      <c r="C472" s="11">
        <f>IFERROR(VLOOKUP($B472,Members!$A:$C,2,FALSE),"")</f>
        <v/>
      </c>
      <c r="D472" s="11">
        <f>IFERROR(VLOOKUP($B472,Members!$A:$C,3,FALSE),"")</f>
        <v/>
      </c>
      <c r="E472" s="11">
        <f>IF($F472="","",IFERROR(VLOOKUP($F472,ActionMap!$A:$B,2,FALSE),"INVALID ACTION"))</f>
        <v/>
      </c>
      <c r="F472" s="4" t="n"/>
      <c r="G472" s="11">
        <f>IFERROR(VLOOKUP($E472,ActionsCatalog!$A:$B,2,FALSE),"")</f>
        <v/>
      </c>
      <c r="H472" s="4" t="n"/>
      <c r="I472" s="4">
        <f>IFERROR(VLOOKUP($E472,ActionsCatalog!$A:$D,3,FALSE),0)</f>
        <v/>
      </c>
      <c r="J472" s="4">
        <f>IFERROR(VLOOKUP($E472,ActionsCatalog!$A:$D,4,FALSE),0)</f>
        <v/>
      </c>
      <c r="K472" s="4">
        <f>IF($M472&lt;&gt;"Yes",0,IF($H472="",0,$H472*$I472))</f>
        <v/>
      </c>
      <c r="L472" s="4">
        <f>IF($M472&lt;&gt;"Yes",0,IF($H472="",0,$H472*$J472))</f>
        <v/>
      </c>
      <c r="M472" s="4" t="n"/>
      <c r="N472" s="4" t="n"/>
      <c r="O472" s="4">
        <f>IF($A472="","",TEXT($A472,"yyyy")&amp;"-W"&amp;TEXT(ISOWEEKNUM($A472),"00"))</f>
        <v/>
      </c>
      <c r="P472" s="4" t="n"/>
      <c r="Q472" s="14">
        <f>IF($A472="","",TEXT($A472,"yyyy-mm"))</f>
        <v/>
      </c>
    </row>
    <row r="473">
      <c r="A473" s="66" t="n"/>
      <c r="B473" s="4" t="n"/>
      <c r="C473" s="11">
        <f>IFERROR(VLOOKUP($B473,Members!$A:$C,2,FALSE),"")</f>
        <v/>
      </c>
      <c r="D473" s="11">
        <f>IFERROR(VLOOKUP($B473,Members!$A:$C,3,FALSE),"")</f>
        <v/>
      </c>
      <c r="E473" s="11">
        <f>IF($F473="","",IFERROR(VLOOKUP($F473,ActionMap!$A:$B,2,FALSE),"INVALID ACTION"))</f>
        <v/>
      </c>
      <c r="F473" s="4" t="n"/>
      <c r="G473" s="11">
        <f>IFERROR(VLOOKUP($E473,ActionsCatalog!$A:$B,2,FALSE),"")</f>
        <v/>
      </c>
      <c r="H473" s="4" t="n"/>
      <c r="I473" s="4">
        <f>IFERROR(VLOOKUP($E473,ActionsCatalog!$A:$D,3,FALSE),0)</f>
        <v/>
      </c>
      <c r="J473" s="4">
        <f>IFERROR(VLOOKUP($E473,ActionsCatalog!$A:$D,4,FALSE),0)</f>
        <v/>
      </c>
      <c r="K473" s="4">
        <f>IF($M473&lt;&gt;"Yes",0,IF($H473="",0,$H473*$I473))</f>
        <v/>
      </c>
      <c r="L473" s="4">
        <f>IF($M473&lt;&gt;"Yes",0,IF($H473="",0,$H473*$J473))</f>
        <v/>
      </c>
      <c r="M473" s="4" t="n"/>
      <c r="N473" s="4" t="n"/>
      <c r="O473" s="4">
        <f>IF($A473="","",TEXT($A473,"yyyy")&amp;"-W"&amp;TEXT(ISOWEEKNUM($A473),"00"))</f>
        <v/>
      </c>
      <c r="P473" s="4" t="n"/>
      <c r="Q473" s="14">
        <f>IF($A473="","",TEXT($A473,"yyyy-mm"))</f>
        <v/>
      </c>
    </row>
    <row r="474">
      <c r="A474" s="66" t="n"/>
      <c r="B474" s="4" t="n"/>
      <c r="C474" s="11">
        <f>IFERROR(VLOOKUP($B474,Members!$A:$C,2,FALSE),"")</f>
        <v/>
      </c>
      <c r="D474" s="11">
        <f>IFERROR(VLOOKUP($B474,Members!$A:$C,3,FALSE),"")</f>
        <v/>
      </c>
      <c r="E474" s="11">
        <f>IF($F474="","",IFERROR(VLOOKUP($F474,ActionMap!$A:$B,2,FALSE),"INVALID ACTION"))</f>
        <v/>
      </c>
      <c r="F474" s="4" t="n"/>
      <c r="G474" s="11">
        <f>IFERROR(VLOOKUP($E474,ActionsCatalog!$A:$B,2,FALSE),"")</f>
        <v/>
      </c>
      <c r="H474" s="4" t="n"/>
      <c r="I474" s="4">
        <f>IFERROR(VLOOKUP($E474,ActionsCatalog!$A:$D,3,FALSE),0)</f>
        <v/>
      </c>
      <c r="J474" s="4">
        <f>IFERROR(VLOOKUP($E474,ActionsCatalog!$A:$D,4,FALSE),0)</f>
        <v/>
      </c>
      <c r="K474" s="4">
        <f>IF($M474&lt;&gt;"Yes",0,IF($H474="",0,$H474*$I474))</f>
        <v/>
      </c>
      <c r="L474" s="4">
        <f>IF($M474&lt;&gt;"Yes",0,IF($H474="",0,$H474*$J474))</f>
        <v/>
      </c>
      <c r="M474" s="4" t="n"/>
      <c r="N474" s="4" t="n"/>
      <c r="O474" s="4">
        <f>IF($A474="","",TEXT($A474,"yyyy")&amp;"-W"&amp;TEXT(ISOWEEKNUM($A474),"00"))</f>
        <v/>
      </c>
      <c r="P474" s="4" t="n"/>
      <c r="Q474" s="14">
        <f>IF($A474="","",TEXT($A474,"yyyy-mm"))</f>
        <v/>
      </c>
    </row>
    <row r="475">
      <c r="A475" s="66" t="n"/>
      <c r="B475" s="4" t="n"/>
      <c r="C475" s="11">
        <f>IFERROR(VLOOKUP($B475,Members!$A:$C,2,FALSE),"")</f>
        <v/>
      </c>
      <c r="D475" s="11">
        <f>IFERROR(VLOOKUP($B475,Members!$A:$C,3,FALSE),"")</f>
        <v/>
      </c>
      <c r="E475" s="11">
        <f>IF($F475="","",IFERROR(VLOOKUP($F475,ActionMap!$A:$B,2,FALSE),"INVALID ACTION"))</f>
        <v/>
      </c>
      <c r="F475" s="4" t="n"/>
      <c r="G475" s="11">
        <f>IFERROR(VLOOKUP($E475,ActionsCatalog!$A:$B,2,FALSE),"")</f>
        <v/>
      </c>
      <c r="H475" s="4" t="n"/>
      <c r="I475" s="4">
        <f>IFERROR(VLOOKUP($E475,ActionsCatalog!$A:$D,3,FALSE),0)</f>
        <v/>
      </c>
      <c r="J475" s="4">
        <f>IFERROR(VLOOKUP($E475,ActionsCatalog!$A:$D,4,FALSE),0)</f>
        <v/>
      </c>
      <c r="K475" s="4">
        <f>IF($M475&lt;&gt;"Yes",0,IF($H475="",0,$H475*$I475))</f>
        <v/>
      </c>
      <c r="L475" s="4">
        <f>IF($M475&lt;&gt;"Yes",0,IF($H475="",0,$H475*$J475))</f>
        <v/>
      </c>
      <c r="M475" s="4" t="n"/>
      <c r="N475" s="4" t="n"/>
      <c r="O475" s="4">
        <f>IF($A475="","",TEXT($A475,"yyyy")&amp;"-W"&amp;TEXT(ISOWEEKNUM($A475),"00"))</f>
        <v/>
      </c>
      <c r="P475" s="4" t="n"/>
      <c r="Q475" s="14">
        <f>IF($A475="","",TEXT($A475,"yyyy-mm"))</f>
        <v/>
      </c>
    </row>
    <row r="476">
      <c r="A476" s="66" t="n"/>
      <c r="B476" s="4" t="n"/>
      <c r="C476" s="11">
        <f>IFERROR(VLOOKUP($B476,Members!$A:$C,2,FALSE),"")</f>
        <v/>
      </c>
      <c r="D476" s="11">
        <f>IFERROR(VLOOKUP($B476,Members!$A:$C,3,FALSE),"")</f>
        <v/>
      </c>
      <c r="E476" s="11">
        <f>IF($F476="","",IFERROR(VLOOKUP($F476,ActionMap!$A:$B,2,FALSE),"INVALID ACTION"))</f>
        <v/>
      </c>
      <c r="F476" s="4" t="n"/>
      <c r="G476" s="11">
        <f>IFERROR(VLOOKUP($E476,ActionsCatalog!$A:$B,2,FALSE),"")</f>
        <v/>
      </c>
      <c r="H476" s="4" t="n"/>
      <c r="I476" s="4">
        <f>IFERROR(VLOOKUP($E476,ActionsCatalog!$A:$D,3,FALSE),0)</f>
        <v/>
      </c>
      <c r="J476" s="4">
        <f>IFERROR(VLOOKUP($E476,ActionsCatalog!$A:$D,4,FALSE),0)</f>
        <v/>
      </c>
      <c r="K476" s="4">
        <f>IF($M476&lt;&gt;"Yes",0,IF($H476="",0,$H476*$I476))</f>
        <v/>
      </c>
      <c r="L476" s="4">
        <f>IF($M476&lt;&gt;"Yes",0,IF($H476="",0,$H476*$J476))</f>
        <v/>
      </c>
      <c r="M476" s="4" t="n"/>
      <c r="N476" s="4" t="n"/>
      <c r="O476" s="4">
        <f>IF($A476="","",TEXT($A476,"yyyy")&amp;"-W"&amp;TEXT(ISOWEEKNUM($A476),"00"))</f>
        <v/>
      </c>
      <c r="P476" s="4" t="n"/>
      <c r="Q476" s="14">
        <f>IF($A476="","",TEXT($A476,"yyyy-mm"))</f>
        <v/>
      </c>
    </row>
    <row r="477">
      <c r="A477" s="66" t="n"/>
      <c r="B477" s="4" t="n"/>
      <c r="C477" s="11">
        <f>IFERROR(VLOOKUP($B477,Members!$A:$C,2,FALSE),"")</f>
        <v/>
      </c>
      <c r="D477" s="11">
        <f>IFERROR(VLOOKUP($B477,Members!$A:$C,3,FALSE),"")</f>
        <v/>
      </c>
      <c r="E477" s="11">
        <f>IF($F477="","",IFERROR(VLOOKUP($F477,ActionMap!$A:$B,2,FALSE),"INVALID ACTION"))</f>
        <v/>
      </c>
      <c r="F477" s="4" t="n"/>
      <c r="G477" s="11">
        <f>IFERROR(VLOOKUP($E477,ActionsCatalog!$A:$B,2,FALSE),"")</f>
        <v/>
      </c>
      <c r="H477" s="4" t="n"/>
      <c r="I477" s="4">
        <f>IFERROR(VLOOKUP($E477,ActionsCatalog!$A:$D,3,FALSE),0)</f>
        <v/>
      </c>
      <c r="J477" s="4">
        <f>IFERROR(VLOOKUP($E477,ActionsCatalog!$A:$D,4,FALSE),0)</f>
        <v/>
      </c>
      <c r="K477" s="4">
        <f>IF($M477&lt;&gt;"Yes",0,IF($H477="",0,$H477*$I477))</f>
        <v/>
      </c>
      <c r="L477" s="4">
        <f>IF($M477&lt;&gt;"Yes",0,IF($H477="",0,$H477*$J477))</f>
        <v/>
      </c>
      <c r="M477" s="4" t="n"/>
      <c r="N477" s="4" t="n"/>
      <c r="O477" s="4">
        <f>IF($A477="","",TEXT($A477,"yyyy")&amp;"-W"&amp;TEXT(ISOWEEKNUM($A477),"00"))</f>
        <v/>
      </c>
      <c r="P477" s="4" t="n"/>
      <c r="Q477" s="14">
        <f>IF($A477="","",TEXT($A477,"yyyy-mm"))</f>
        <v/>
      </c>
    </row>
    <row r="478">
      <c r="A478" s="66" t="n"/>
      <c r="B478" s="4" t="n"/>
      <c r="C478" s="11">
        <f>IFERROR(VLOOKUP($B478,Members!$A:$C,2,FALSE),"")</f>
        <v/>
      </c>
      <c r="D478" s="11">
        <f>IFERROR(VLOOKUP($B478,Members!$A:$C,3,FALSE),"")</f>
        <v/>
      </c>
      <c r="E478" s="11">
        <f>IF($F478="","",IFERROR(VLOOKUP($F478,ActionMap!$A:$B,2,FALSE),"INVALID ACTION"))</f>
        <v/>
      </c>
      <c r="F478" s="4" t="n"/>
      <c r="G478" s="11">
        <f>IFERROR(VLOOKUP($E478,ActionsCatalog!$A:$B,2,FALSE),"")</f>
        <v/>
      </c>
      <c r="H478" s="4" t="n"/>
      <c r="I478" s="4">
        <f>IFERROR(VLOOKUP($E478,ActionsCatalog!$A:$D,3,FALSE),0)</f>
        <v/>
      </c>
      <c r="J478" s="4">
        <f>IFERROR(VLOOKUP($E478,ActionsCatalog!$A:$D,4,FALSE),0)</f>
        <v/>
      </c>
      <c r="K478" s="4">
        <f>IF($M478&lt;&gt;"Yes",0,IF($H478="",0,$H478*$I478))</f>
        <v/>
      </c>
      <c r="L478" s="4">
        <f>IF($M478&lt;&gt;"Yes",0,IF($H478="",0,$H478*$J478))</f>
        <v/>
      </c>
      <c r="M478" s="4" t="n"/>
      <c r="N478" s="4" t="n"/>
      <c r="O478" s="4">
        <f>IF($A478="","",TEXT($A478,"yyyy")&amp;"-W"&amp;TEXT(ISOWEEKNUM($A478),"00"))</f>
        <v/>
      </c>
      <c r="P478" s="4" t="n"/>
      <c r="Q478" s="14">
        <f>IF($A478="","",TEXT($A478,"yyyy-mm"))</f>
        <v/>
      </c>
    </row>
    <row r="479">
      <c r="A479" s="66" t="n"/>
      <c r="B479" s="4" t="n"/>
      <c r="C479" s="11">
        <f>IFERROR(VLOOKUP($B479,Members!$A:$C,2,FALSE),"")</f>
        <v/>
      </c>
      <c r="D479" s="11">
        <f>IFERROR(VLOOKUP($B479,Members!$A:$C,3,FALSE),"")</f>
        <v/>
      </c>
      <c r="E479" s="11">
        <f>IF($F479="","",IFERROR(VLOOKUP($F479,ActionMap!$A:$B,2,FALSE),"INVALID ACTION"))</f>
        <v/>
      </c>
      <c r="F479" s="4" t="n"/>
      <c r="G479" s="11">
        <f>IFERROR(VLOOKUP($E479,ActionsCatalog!$A:$B,2,FALSE),"")</f>
        <v/>
      </c>
      <c r="H479" s="4" t="n"/>
      <c r="I479" s="4">
        <f>IFERROR(VLOOKUP($E479,ActionsCatalog!$A:$D,3,FALSE),0)</f>
        <v/>
      </c>
      <c r="J479" s="4">
        <f>IFERROR(VLOOKUP($E479,ActionsCatalog!$A:$D,4,FALSE),0)</f>
        <v/>
      </c>
      <c r="K479" s="4">
        <f>IF($M479&lt;&gt;"Yes",0,IF($H479="",0,$H479*$I479))</f>
        <v/>
      </c>
      <c r="L479" s="4">
        <f>IF($M479&lt;&gt;"Yes",0,IF($H479="",0,$H479*$J479))</f>
        <v/>
      </c>
      <c r="M479" s="4" t="n"/>
      <c r="N479" s="4" t="n"/>
      <c r="O479" s="4">
        <f>IF($A479="","",TEXT($A479,"yyyy")&amp;"-W"&amp;TEXT(ISOWEEKNUM($A479),"00"))</f>
        <v/>
      </c>
      <c r="P479" s="4" t="n"/>
      <c r="Q479" s="14">
        <f>IF($A479="","",TEXT($A479,"yyyy-mm"))</f>
        <v/>
      </c>
    </row>
    <row r="480">
      <c r="A480" s="66" t="n"/>
      <c r="B480" s="4" t="n"/>
      <c r="C480" s="11">
        <f>IFERROR(VLOOKUP($B480,Members!$A:$C,2,FALSE),"")</f>
        <v/>
      </c>
      <c r="D480" s="11">
        <f>IFERROR(VLOOKUP($B480,Members!$A:$C,3,FALSE),"")</f>
        <v/>
      </c>
      <c r="E480" s="11">
        <f>IF($F480="","",IFERROR(VLOOKUP($F480,ActionMap!$A:$B,2,FALSE),"INVALID ACTION"))</f>
        <v/>
      </c>
      <c r="F480" s="4" t="n"/>
      <c r="G480" s="11">
        <f>IFERROR(VLOOKUP($E480,ActionsCatalog!$A:$B,2,FALSE),"")</f>
        <v/>
      </c>
      <c r="H480" s="4" t="n"/>
      <c r="I480" s="4">
        <f>IFERROR(VLOOKUP($E480,ActionsCatalog!$A:$D,3,FALSE),0)</f>
        <v/>
      </c>
      <c r="J480" s="4">
        <f>IFERROR(VLOOKUP($E480,ActionsCatalog!$A:$D,4,FALSE),0)</f>
        <v/>
      </c>
      <c r="K480" s="4">
        <f>IF($M480&lt;&gt;"Yes",0,IF($H480="",0,$H480*$I480))</f>
        <v/>
      </c>
      <c r="L480" s="4">
        <f>IF($M480&lt;&gt;"Yes",0,IF($H480="",0,$H480*$J480))</f>
        <v/>
      </c>
      <c r="M480" s="4" t="n"/>
      <c r="N480" s="4" t="n"/>
      <c r="O480" s="4">
        <f>IF($A480="","",TEXT($A480,"yyyy")&amp;"-W"&amp;TEXT(ISOWEEKNUM($A480),"00"))</f>
        <v/>
      </c>
      <c r="P480" s="4" t="n"/>
      <c r="Q480" s="14">
        <f>IF($A480="","",TEXT($A480,"yyyy-mm"))</f>
        <v/>
      </c>
    </row>
    <row r="481">
      <c r="A481" s="66" t="n"/>
      <c r="B481" s="4" t="n"/>
      <c r="C481" s="11">
        <f>IFERROR(VLOOKUP($B481,Members!$A:$C,2,FALSE),"")</f>
        <v/>
      </c>
      <c r="D481" s="11">
        <f>IFERROR(VLOOKUP($B481,Members!$A:$C,3,FALSE),"")</f>
        <v/>
      </c>
      <c r="E481" s="11">
        <f>IF($F481="","",IFERROR(VLOOKUP($F481,ActionMap!$A:$B,2,FALSE),"INVALID ACTION"))</f>
        <v/>
      </c>
      <c r="F481" s="4" t="n"/>
      <c r="G481" s="11">
        <f>IFERROR(VLOOKUP($E481,ActionsCatalog!$A:$B,2,FALSE),"")</f>
        <v/>
      </c>
      <c r="H481" s="4" t="n"/>
      <c r="I481" s="4">
        <f>IFERROR(VLOOKUP($E481,ActionsCatalog!$A:$D,3,FALSE),0)</f>
        <v/>
      </c>
      <c r="J481" s="4">
        <f>IFERROR(VLOOKUP($E481,ActionsCatalog!$A:$D,4,FALSE),0)</f>
        <v/>
      </c>
      <c r="K481" s="4">
        <f>IF($M481&lt;&gt;"Yes",0,IF($H481="",0,$H481*$I481))</f>
        <v/>
      </c>
      <c r="L481" s="4">
        <f>IF($M481&lt;&gt;"Yes",0,IF($H481="",0,$H481*$J481))</f>
        <v/>
      </c>
      <c r="M481" s="4" t="n"/>
      <c r="N481" s="4" t="n"/>
      <c r="O481" s="4">
        <f>IF($A481="","",TEXT($A481,"yyyy")&amp;"-W"&amp;TEXT(ISOWEEKNUM($A481),"00"))</f>
        <v/>
      </c>
      <c r="P481" s="4" t="n"/>
      <c r="Q481" s="14">
        <f>IF($A481="","",TEXT($A481,"yyyy-mm"))</f>
        <v/>
      </c>
    </row>
    <row r="482">
      <c r="A482" s="66" t="n"/>
      <c r="B482" s="4" t="n"/>
      <c r="C482" s="11">
        <f>IFERROR(VLOOKUP($B482,Members!$A:$C,2,FALSE),"")</f>
        <v/>
      </c>
      <c r="D482" s="11">
        <f>IFERROR(VLOOKUP($B482,Members!$A:$C,3,FALSE),"")</f>
        <v/>
      </c>
      <c r="E482" s="11">
        <f>IF($F482="","",IFERROR(VLOOKUP($F482,ActionMap!$A:$B,2,FALSE),"INVALID ACTION"))</f>
        <v/>
      </c>
      <c r="F482" s="4" t="n"/>
      <c r="G482" s="11">
        <f>IFERROR(VLOOKUP($E482,ActionsCatalog!$A:$B,2,FALSE),"")</f>
        <v/>
      </c>
      <c r="H482" s="4" t="n"/>
      <c r="I482" s="4">
        <f>IFERROR(VLOOKUP($E482,ActionsCatalog!$A:$D,3,FALSE),0)</f>
        <v/>
      </c>
      <c r="J482" s="4">
        <f>IFERROR(VLOOKUP($E482,ActionsCatalog!$A:$D,4,FALSE),0)</f>
        <v/>
      </c>
      <c r="K482" s="4">
        <f>IF($M482&lt;&gt;"Yes",0,IF($H482="",0,$H482*$I482))</f>
        <v/>
      </c>
      <c r="L482" s="4">
        <f>IF($M482&lt;&gt;"Yes",0,IF($H482="",0,$H482*$J482))</f>
        <v/>
      </c>
      <c r="M482" s="4" t="n"/>
      <c r="N482" s="4" t="n"/>
      <c r="O482" s="4">
        <f>IF($A482="","",TEXT($A482,"yyyy")&amp;"-W"&amp;TEXT(ISOWEEKNUM($A482),"00"))</f>
        <v/>
      </c>
      <c r="P482" s="4" t="n"/>
      <c r="Q482" s="14">
        <f>IF($A482="","",TEXT($A482,"yyyy-mm"))</f>
        <v/>
      </c>
    </row>
    <row r="483">
      <c r="A483" s="66" t="n"/>
      <c r="B483" s="4" t="n"/>
      <c r="C483" s="11">
        <f>IFERROR(VLOOKUP($B483,Members!$A:$C,2,FALSE),"")</f>
        <v/>
      </c>
      <c r="D483" s="11">
        <f>IFERROR(VLOOKUP($B483,Members!$A:$C,3,FALSE),"")</f>
        <v/>
      </c>
      <c r="E483" s="11">
        <f>IF($F483="","",IFERROR(VLOOKUP($F483,ActionMap!$A:$B,2,FALSE),"INVALID ACTION"))</f>
        <v/>
      </c>
      <c r="F483" s="4" t="n"/>
      <c r="G483" s="11">
        <f>IFERROR(VLOOKUP($E483,ActionsCatalog!$A:$B,2,FALSE),"")</f>
        <v/>
      </c>
      <c r="H483" s="4" t="n"/>
      <c r="I483" s="4">
        <f>IFERROR(VLOOKUP($E483,ActionsCatalog!$A:$D,3,FALSE),0)</f>
        <v/>
      </c>
      <c r="J483" s="4">
        <f>IFERROR(VLOOKUP($E483,ActionsCatalog!$A:$D,4,FALSE),0)</f>
        <v/>
      </c>
      <c r="K483" s="4">
        <f>IF($M483&lt;&gt;"Yes",0,IF($H483="",0,$H483*$I483))</f>
        <v/>
      </c>
      <c r="L483" s="4">
        <f>IF($M483&lt;&gt;"Yes",0,IF($H483="",0,$H483*$J483))</f>
        <v/>
      </c>
      <c r="M483" s="4" t="n"/>
      <c r="N483" s="4" t="n"/>
      <c r="O483" s="4">
        <f>IF($A483="","",TEXT($A483,"yyyy")&amp;"-W"&amp;TEXT(ISOWEEKNUM($A483),"00"))</f>
        <v/>
      </c>
      <c r="P483" s="4" t="n"/>
      <c r="Q483" s="14">
        <f>IF($A483="","",TEXT($A483,"yyyy-mm"))</f>
        <v/>
      </c>
    </row>
    <row r="484">
      <c r="A484" s="66" t="n"/>
      <c r="B484" s="4" t="n"/>
      <c r="C484" s="11">
        <f>IFERROR(VLOOKUP($B484,Members!$A:$C,2,FALSE),"")</f>
        <v/>
      </c>
      <c r="D484" s="11">
        <f>IFERROR(VLOOKUP($B484,Members!$A:$C,3,FALSE),"")</f>
        <v/>
      </c>
      <c r="E484" s="11">
        <f>IF($F484="","",IFERROR(VLOOKUP($F484,ActionMap!$A:$B,2,FALSE),"INVALID ACTION"))</f>
        <v/>
      </c>
      <c r="F484" s="4" t="n"/>
      <c r="G484" s="11">
        <f>IFERROR(VLOOKUP($E484,ActionsCatalog!$A:$B,2,FALSE),"")</f>
        <v/>
      </c>
      <c r="H484" s="4" t="n"/>
      <c r="I484" s="4">
        <f>IFERROR(VLOOKUP($E484,ActionsCatalog!$A:$D,3,FALSE),0)</f>
        <v/>
      </c>
      <c r="J484" s="4">
        <f>IFERROR(VLOOKUP($E484,ActionsCatalog!$A:$D,4,FALSE),0)</f>
        <v/>
      </c>
      <c r="K484" s="4">
        <f>IF($M484&lt;&gt;"Yes",0,IF($H484="",0,$H484*$I484))</f>
        <v/>
      </c>
      <c r="L484" s="4">
        <f>IF($M484&lt;&gt;"Yes",0,IF($H484="",0,$H484*$J484))</f>
        <v/>
      </c>
      <c r="M484" s="4" t="n"/>
      <c r="N484" s="4" t="n"/>
      <c r="O484" s="4">
        <f>IF($A484="","",TEXT($A484,"yyyy")&amp;"-W"&amp;TEXT(ISOWEEKNUM($A484),"00"))</f>
        <v/>
      </c>
      <c r="P484" s="4" t="n"/>
      <c r="Q484" s="14">
        <f>IF($A484="","",TEXT($A484,"yyyy-mm"))</f>
        <v/>
      </c>
    </row>
    <row r="485">
      <c r="A485" s="66" t="n"/>
      <c r="B485" s="4" t="n"/>
      <c r="C485" s="11">
        <f>IFERROR(VLOOKUP($B485,Members!$A:$C,2,FALSE),"")</f>
        <v/>
      </c>
      <c r="D485" s="11">
        <f>IFERROR(VLOOKUP($B485,Members!$A:$C,3,FALSE),"")</f>
        <v/>
      </c>
      <c r="E485" s="11">
        <f>IF($F485="","",IFERROR(VLOOKUP($F485,ActionMap!$A:$B,2,FALSE),"INVALID ACTION"))</f>
        <v/>
      </c>
      <c r="F485" s="4" t="n"/>
      <c r="G485" s="11">
        <f>IFERROR(VLOOKUP($E485,ActionsCatalog!$A:$B,2,FALSE),"")</f>
        <v/>
      </c>
      <c r="H485" s="4" t="n"/>
      <c r="I485" s="4">
        <f>IFERROR(VLOOKUP($E485,ActionsCatalog!$A:$D,3,FALSE),0)</f>
        <v/>
      </c>
      <c r="J485" s="4">
        <f>IFERROR(VLOOKUP($E485,ActionsCatalog!$A:$D,4,FALSE),0)</f>
        <v/>
      </c>
      <c r="K485" s="4">
        <f>IF($M485&lt;&gt;"Yes",0,IF($H485="",0,$H485*$I485))</f>
        <v/>
      </c>
      <c r="L485" s="4">
        <f>IF($M485&lt;&gt;"Yes",0,IF($H485="",0,$H485*$J485))</f>
        <v/>
      </c>
      <c r="M485" s="4" t="n"/>
      <c r="N485" s="4" t="n"/>
      <c r="O485" s="4">
        <f>IF($A485="","",TEXT($A485,"yyyy")&amp;"-W"&amp;TEXT(ISOWEEKNUM($A485),"00"))</f>
        <v/>
      </c>
      <c r="P485" s="4" t="n"/>
      <c r="Q485" s="14">
        <f>IF($A485="","",TEXT($A485,"yyyy-mm"))</f>
        <v/>
      </c>
    </row>
    <row r="486">
      <c r="A486" s="66" t="n"/>
      <c r="B486" s="4" t="n"/>
      <c r="C486" s="11">
        <f>IFERROR(VLOOKUP($B486,Members!$A:$C,2,FALSE),"")</f>
        <v/>
      </c>
      <c r="D486" s="11">
        <f>IFERROR(VLOOKUP($B486,Members!$A:$C,3,FALSE),"")</f>
        <v/>
      </c>
      <c r="E486" s="11">
        <f>IF($F486="","",IFERROR(VLOOKUP($F486,ActionMap!$A:$B,2,FALSE),"INVALID ACTION"))</f>
        <v/>
      </c>
      <c r="F486" s="4" t="n"/>
      <c r="G486" s="11">
        <f>IFERROR(VLOOKUP($E486,ActionsCatalog!$A:$B,2,FALSE),"")</f>
        <v/>
      </c>
      <c r="H486" s="4" t="n"/>
      <c r="I486" s="4">
        <f>IFERROR(VLOOKUP($E486,ActionsCatalog!$A:$D,3,FALSE),0)</f>
        <v/>
      </c>
      <c r="J486" s="4">
        <f>IFERROR(VLOOKUP($E486,ActionsCatalog!$A:$D,4,FALSE),0)</f>
        <v/>
      </c>
      <c r="K486" s="4">
        <f>IF($M486&lt;&gt;"Yes",0,IF($H486="",0,$H486*$I486))</f>
        <v/>
      </c>
      <c r="L486" s="4">
        <f>IF($M486&lt;&gt;"Yes",0,IF($H486="",0,$H486*$J486))</f>
        <v/>
      </c>
      <c r="M486" s="4" t="n"/>
      <c r="N486" s="4" t="n"/>
      <c r="O486" s="4">
        <f>IF($A486="","",TEXT($A486,"yyyy")&amp;"-W"&amp;TEXT(ISOWEEKNUM($A486),"00"))</f>
        <v/>
      </c>
      <c r="P486" s="4" t="n"/>
      <c r="Q486" s="14">
        <f>IF($A486="","",TEXT($A486,"yyyy-mm"))</f>
        <v/>
      </c>
    </row>
    <row r="487">
      <c r="A487" s="66" t="n"/>
      <c r="B487" s="4" t="n"/>
      <c r="C487" s="11">
        <f>IFERROR(VLOOKUP($B487,Members!$A:$C,2,FALSE),"")</f>
        <v/>
      </c>
      <c r="D487" s="11">
        <f>IFERROR(VLOOKUP($B487,Members!$A:$C,3,FALSE),"")</f>
        <v/>
      </c>
      <c r="E487" s="11">
        <f>IF($F487="","",IFERROR(VLOOKUP($F487,ActionMap!$A:$B,2,FALSE),"INVALID ACTION"))</f>
        <v/>
      </c>
      <c r="F487" s="4" t="n"/>
      <c r="G487" s="11">
        <f>IFERROR(VLOOKUP($E487,ActionsCatalog!$A:$B,2,FALSE),"")</f>
        <v/>
      </c>
      <c r="H487" s="4" t="n"/>
      <c r="I487" s="4">
        <f>IFERROR(VLOOKUP($E487,ActionsCatalog!$A:$D,3,FALSE),0)</f>
        <v/>
      </c>
      <c r="J487" s="4">
        <f>IFERROR(VLOOKUP($E487,ActionsCatalog!$A:$D,4,FALSE),0)</f>
        <v/>
      </c>
      <c r="K487" s="4">
        <f>IF($M487&lt;&gt;"Yes",0,IF($H487="",0,$H487*$I487))</f>
        <v/>
      </c>
      <c r="L487" s="4">
        <f>IF($M487&lt;&gt;"Yes",0,IF($H487="",0,$H487*$J487))</f>
        <v/>
      </c>
      <c r="M487" s="4" t="n"/>
      <c r="N487" s="4" t="n"/>
      <c r="O487" s="4">
        <f>IF($A487="","",TEXT($A487,"yyyy")&amp;"-W"&amp;TEXT(ISOWEEKNUM($A487),"00"))</f>
        <v/>
      </c>
      <c r="P487" s="4" t="n"/>
      <c r="Q487" s="14">
        <f>IF($A487="","",TEXT($A487,"yyyy-mm"))</f>
        <v/>
      </c>
    </row>
    <row r="488">
      <c r="A488" s="66" t="n"/>
      <c r="B488" s="4" t="n"/>
      <c r="C488" s="11">
        <f>IFERROR(VLOOKUP($B488,Members!$A:$C,2,FALSE),"")</f>
        <v/>
      </c>
      <c r="D488" s="11">
        <f>IFERROR(VLOOKUP($B488,Members!$A:$C,3,FALSE),"")</f>
        <v/>
      </c>
      <c r="E488" s="11">
        <f>IF($F488="","",IFERROR(VLOOKUP($F488,ActionMap!$A:$B,2,FALSE),"INVALID ACTION"))</f>
        <v/>
      </c>
      <c r="F488" s="4" t="n"/>
      <c r="G488" s="11">
        <f>IFERROR(VLOOKUP($E488,ActionsCatalog!$A:$B,2,FALSE),"")</f>
        <v/>
      </c>
      <c r="H488" s="4" t="n"/>
      <c r="I488" s="4">
        <f>IFERROR(VLOOKUP($E488,ActionsCatalog!$A:$D,3,FALSE),0)</f>
        <v/>
      </c>
      <c r="J488" s="4">
        <f>IFERROR(VLOOKUP($E488,ActionsCatalog!$A:$D,4,FALSE),0)</f>
        <v/>
      </c>
      <c r="K488" s="4">
        <f>IF($M488&lt;&gt;"Yes",0,IF($H488="",0,$H488*$I488))</f>
        <v/>
      </c>
      <c r="L488" s="4">
        <f>IF($M488&lt;&gt;"Yes",0,IF($H488="",0,$H488*$J488))</f>
        <v/>
      </c>
      <c r="M488" s="4" t="n"/>
      <c r="N488" s="4" t="n"/>
      <c r="O488" s="4">
        <f>IF($A488="","",TEXT($A488,"yyyy")&amp;"-W"&amp;TEXT(ISOWEEKNUM($A488),"00"))</f>
        <v/>
      </c>
      <c r="P488" s="4" t="n"/>
      <c r="Q488" s="14">
        <f>IF($A488="","",TEXT($A488,"yyyy-mm"))</f>
        <v/>
      </c>
    </row>
    <row r="489">
      <c r="A489" s="66" t="n"/>
      <c r="B489" s="4" t="n"/>
      <c r="C489" s="11">
        <f>IFERROR(VLOOKUP($B489,Members!$A:$C,2,FALSE),"")</f>
        <v/>
      </c>
      <c r="D489" s="11">
        <f>IFERROR(VLOOKUP($B489,Members!$A:$C,3,FALSE),"")</f>
        <v/>
      </c>
      <c r="E489" s="11">
        <f>IF($F489="","",IFERROR(VLOOKUP($F489,ActionMap!$A:$B,2,FALSE),"INVALID ACTION"))</f>
        <v/>
      </c>
      <c r="F489" s="4" t="n"/>
      <c r="G489" s="11">
        <f>IFERROR(VLOOKUP($E489,ActionsCatalog!$A:$B,2,FALSE),"")</f>
        <v/>
      </c>
      <c r="H489" s="4" t="n"/>
      <c r="I489" s="4">
        <f>IFERROR(VLOOKUP($E489,ActionsCatalog!$A:$D,3,FALSE),0)</f>
        <v/>
      </c>
      <c r="J489" s="4">
        <f>IFERROR(VLOOKUP($E489,ActionsCatalog!$A:$D,4,FALSE),0)</f>
        <v/>
      </c>
      <c r="K489" s="4">
        <f>IF($M489&lt;&gt;"Yes",0,IF($H489="",0,$H489*$I489))</f>
        <v/>
      </c>
      <c r="L489" s="4">
        <f>IF($M489&lt;&gt;"Yes",0,IF($H489="",0,$H489*$J489))</f>
        <v/>
      </c>
      <c r="M489" s="4" t="n"/>
      <c r="N489" s="4" t="n"/>
      <c r="O489" s="4">
        <f>IF($A489="","",TEXT($A489,"yyyy")&amp;"-W"&amp;TEXT(ISOWEEKNUM($A489),"00"))</f>
        <v/>
      </c>
      <c r="P489" s="4" t="n"/>
      <c r="Q489" s="14">
        <f>IF($A489="","",TEXT($A489,"yyyy-mm"))</f>
        <v/>
      </c>
    </row>
    <row r="490">
      <c r="A490" s="66" t="n"/>
      <c r="B490" s="4" t="n"/>
      <c r="C490" s="11">
        <f>IFERROR(VLOOKUP($B490,Members!$A:$C,2,FALSE),"")</f>
        <v/>
      </c>
      <c r="D490" s="11">
        <f>IFERROR(VLOOKUP($B490,Members!$A:$C,3,FALSE),"")</f>
        <v/>
      </c>
      <c r="E490" s="11">
        <f>IF($F490="","",IFERROR(VLOOKUP($F490,ActionMap!$A:$B,2,FALSE),"INVALID ACTION"))</f>
        <v/>
      </c>
      <c r="F490" s="4" t="n"/>
      <c r="G490" s="11">
        <f>IFERROR(VLOOKUP($E490,ActionsCatalog!$A:$B,2,FALSE),"")</f>
        <v/>
      </c>
      <c r="H490" s="4" t="n"/>
      <c r="I490" s="4">
        <f>IFERROR(VLOOKUP($E490,ActionsCatalog!$A:$D,3,FALSE),0)</f>
        <v/>
      </c>
      <c r="J490" s="4">
        <f>IFERROR(VLOOKUP($E490,ActionsCatalog!$A:$D,4,FALSE),0)</f>
        <v/>
      </c>
      <c r="K490" s="4">
        <f>IF($M490&lt;&gt;"Yes",0,IF($H490="",0,$H490*$I490))</f>
        <v/>
      </c>
      <c r="L490" s="4">
        <f>IF($M490&lt;&gt;"Yes",0,IF($H490="",0,$H490*$J490))</f>
        <v/>
      </c>
      <c r="M490" s="4" t="n"/>
      <c r="N490" s="4" t="n"/>
      <c r="O490" s="4">
        <f>IF($A490="","",TEXT($A490,"yyyy")&amp;"-W"&amp;TEXT(ISOWEEKNUM($A490),"00"))</f>
        <v/>
      </c>
      <c r="P490" s="4" t="n"/>
      <c r="Q490" s="14">
        <f>IF($A490="","",TEXT($A490,"yyyy-mm"))</f>
        <v/>
      </c>
    </row>
    <row r="491">
      <c r="A491" s="66" t="n"/>
      <c r="B491" s="4" t="n"/>
      <c r="C491" s="11">
        <f>IFERROR(VLOOKUP($B491,Members!$A:$C,2,FALSE),"")</f>
        <v/>
      </c>
      <c r="D491" s="11">
        <f>IFERROR(VLOOKUP($B491,Members!$A:$C,3,FALSE),"")</f>
        <v/>
      </c>
      <c r="E491" s="11">
        <f>IF($F491="","",IFERROR(VLOOKUP($F491,ActionMap!$A:$B,2,FALSE),"INVALID ACTION"))</f>
        <v/>
      </c>
      <c r="F491" s="4" t="n"/>
      <c r="G491" s="11">
        <f>IFERROR(VLOOKUP($E491,ActionsCatalog!$A:$B,2,FALSE),"")</f>
        <v/>
      </c>
      <c r="H491" s="4" t="n"/>
      <c r="I491" s="4">
        <f>IFERROR(VLOOKUP($E491,ActionsCatalog!$A:$D,3,FALSE),0)</f>
        <v/>
      </c>
      <c r="J491" s="4">
        <f>IFERROR(VLOOKUP($E491,ActionsCatalog!$A:$D,4,FALSE),0)</f>
        <v/>
      </c>
      <c r="K491" s="4">
        <f>IF($M491&lt;&gt;"Yes",0,IF($H491="",0,$H491*$I491))</f>
        <v/>
      </c>
      <c r="L491" s="4">
        <f>IF($M491&lt;&gt;"Yes",0,IF($H491="",0,$H491*$J491))</f>
        <v/>
      </c>
      <c r="M491" s="4" t="n"/>
      <c r="N491" s="4" t="n"/>
      <c r="O491" s="4">
        <f>IF($A491="","",TEXT($A491,"yyyy")&amp;"-W"&amp;TEXT(ISOWEEKNUM($A491),"00"))</f>
        <v/>
      </c>
      <c r="P491" s="4" t="n"/>
      <c r="Q491" s="14">
        <f>IF($A491="","",TEXT($A491,"yyyy-mm"))</f>
        <v/>
      </c>
    </row>
    <row r="492">
      <c r="A492" s="66" t="n"/>
      <c r="B492" s="4" t="n"/>
      <c r="C492" s="11">
        <f>IFERROR(VLOOKUP($B492,Members!$A:$C,2,FALSE),"")</f>
        <v/>
      </c>
      <c r="D492" s="11">
        <f>IFERROR(VLOOKUP($B492,Members!$A:$C,3,FALSE),"")</f>
        <v/>
      </c>
      <c r="E492" s="11">
        <f>IF($F492="","",IFERROR(VLOOKUP($F492,ActionMap!$A:$B,2,FALSE),"INVALID ACTION"))</f>
        <v/>
      </c>
      <c r="F492" s="4" t="n"/>
      <c r="G492" s="11">
        <f>IFERROR(VLOOKUP($E492,ActionsCatalog!$A:$B,2,FALSE),"")</f>
        <v/>
      </c>
      <c r="H492" s="4" t="n"/>
      <c r="I492" s="4">
        <f>IFERROR(VLOOKUP($E492,ActionsCatalog!$A:$D,3,FALSE),0)</f>
        <v/>
      </c>
      <c r="J492" s="4">
        <f>IFERROR(VLOOKUP($E492,ActionsCatalog!$A:$D,4,FALSE),0)</f>
        <v/>
      </c>
      <c r="K492" s="4">
        <f>IF($M492&lt;&gt;"Yes",0,IF($H492="",0,$H492*$I492))</f>
        <v/>
      </c>
      <c r="L492" s="4">
        <f>IF($M492&lt;&gt;"Yes",0,IF($H492="",0,$H492*$J492))</f>
        <v/>
      </c>
      <c r="M492" s="4" t="n"/>
      <c r="N492" s="4" t="n"/>
      <c r="O492" s="4">
        <f>IF($A492="","",TEXT($A492,"yyyy")&amp;"-W"&amp;TEXT(ISOWEEKNUM($A492),"00"))</f>
        <v/>
      </c>
      <c r="P492" s="4" t="n"/>
      <c r="Q492" s="14">
        <f>IF($A492="","",TEXT($A492,"yyyy-mm"))</f>
        <v/>
      </c>
    </row>
    <row r="493">
      <c r="A493" s="66" t="n"/>
      <c r="B493" s="4" t="n"/>
      <c r="C493" s="11">
        <f>IFERROR(VLOOKUP($B493,Members!$A:$C,2,FALSE),"")</f>
        <v/>
      </c>
      <c r="D493" s="11">
        <f>IFERROR(VLOOKUP($B493,Members!$A:$C,3,FALSE),"")</f>
        <v/>
      </c>
      <c r="E493" s="11">
        <f>IF($F493="","",IFERROR(VLOOKUP($F493,ActionMap!$A:$B,2,FALSE),"INVALID ACTION"))</f>
        <v/>
      </c>
      <c r="F493" s="4" t="n"/>
      <c r="G493" s="11">
        <f>IFERROR(VLOOKUP($E493,ActionsCatalog!$A:$B,2,FALSE),"")</f>
        <v/>
      </c>
      <c r="H493" s="4" t="n"/>
      <c r="I493" s="4">
        <f>IFERROR(VLOOKUP($E493,ActionsCatalog!$A:$D,3,FALSE),0)</f>
        <v/>
      </c>
      <c r="J493" s="4">
        <f>IFERROR(VLOOKUP($E493,ActionsCatalog!$A:$D,4,FALSE),0)</f>
        <v/>
      </c>
      <c r="K493" s="4">
        <f>IF($M493&lt;&gt;"Yes",0,IF($H493="",0,$H493*$I493))</f>
        <v/>
      </c>
      <c r="L493" s="4">
        <f>IF($M493&lt;&gt;"Yes",0,IF($H493="",0,$H493*$J493))</f>
        <v/>
      </c>
      <c r="M493" s="4" t="n"/>
      <c r="N493" s="4" t="n"/>
      <c r="O493" s="4">
        <f>IF($A493="","",TEXT($A493,"yyyy")&amp;"-W"&amp;TEXT(ISOWEEKNUM($A493),"00"))</f>
        <v/>
      </c>
      <c r="P493" s="4" t="n"/>
      <c r="Q493" s="14">
        <f>IF($A493="","",TEXT($A493,"yyyy-mm"))</f>
        <v/>
      </c>
    </row>
    <row r="494">
      <c r="A494" s="66" t="n"/>
      <c r="B494" s="4" t="n"/>
      <c r="C494" s="11">
        <f>IFERROR(VLOOKUP($B494,Members!$A:$C,2,FALSE),"")</f>
        <v/>
      </c>
      <c r="D494" s="11">
        <f>IFERROR(VLOOKUP($B494,Members!$A:$C,3,FALSE),"")</f>
        <v/>
      </c>
      <c r="E494" s="11">
        <f>IF($F494="","",IFERROR(VLOOKUP($F494,ActionMap!$A:$B,2,FALSE),"INVALID ACTION"))</f>
        <v/>
      </c>
      <c r="F494" s="4" t="n"/>
      <c r="G494" s="11">
        <f>IFERROR(VLOOKUP($E494,ActionsCatalog!$A:$B,2,FALSE),"")</f>
        <v/>
      </c>
      <c r="H494" s="4" t="n"/>
      <c r="I494" s="4">
        <f>IFERROR(VLOOKUP($E494,ActionsCatalog!$A:$D,3,FALSE),0)</f>
        <v/>
      </c>
      <c r="J494" s="4">
        <f>IFERROR(VLOOKUP($E494,ActionsCatalog!$A:$D,4,FALSE),0)</f>
        <v/>
      </c>
      <c r="K494" s="4">
        <f>IF($M494&lt;&gt;"Yes",0,IF($H494="",0,$H494*$I494))</f>
        <v/>
      </c>
      <c r="L494" s="4">
        <f>IF($M494&lt;&gt;"Yes",0,IF($H494="",0,$H494*$J494))</f>
        <v/>
      </c>
      <c r="M494" s="4" t="n"/>
      <c r="N494" s="4" t="n"/>
      <c r="O494" s="4">
        <f>IF($A494="","",TEXT($A494,"yyyy")&amp;"-W"&amp;TEXT(ISOWEEKNUM($A494),"00"))</f>
        <v/>
      </c>
      <c r="P494" s="4" t="n"/>
      <c r="Q494" s="14">
        <f>IF($A494="","",TEXT($A494,"yyyy-mm"))</f>
        <v/>
      </c>
    </row>
    <row r="495">
      <c r="A495" s="66" t="n"/>
      <c r="B495" s="4" t="n"/>
      <c r="C495" s="11">
        <f>IFERROR(VLOOKUP($B495,Members!$A:$C,2,FALSE),"")</f>
        <v/>
      </c>
      <c r="D495" s="11">
        <f>IFERROR(VLOOKUP($B495,Members!$A:$C,3,FALSE),"")</f>
        <v/>
      </c>
      <c r="E495" s="11">
        <f>IF($F495="","",IFERROR(VLOOKUP($F495,ActionMap!$A:$B,2,FALSE),"INVALID ACTION"))</f>
        <v/>
      </c>
      <c r="F495" s="4" t="n"/>
      <c r="G495" s="11">
        <f>IFERROR(VLOOKUP($E495,ActionsCatalog!$A:$B,2,FALSE),"")</f>
        <v/>
      </c>
      <c r="H495" s="4" t="n"/>
      <c r="I495" s="4">
        <f>IFERROR(VLOOKUP($E495,ActionsCatalog!$A:$D,3,FALSE),0)</f>
        <v/>
      </c>
      <c r="J495" s="4">
        <f>IFERROR(VLOOKUP($E495,ActionsCatalog!$A:$D,4,FALSE),0)</f>
        <v/>
      </c>
      <c r="K495" s="4">
        <f>IF($M495&lt;&gt;"Yes",0,IF($H495="",0,$H495*$I495))</f>
        <v/>
      </c>
      <c r="L495" s="4">
        <f>IF($M495&lt;&gt;"Yes",0,IF($H495="",0,$H495*$J495))</f>
        <v/>
      </c>
      <c r="M495" s="4" t="n"/>
      <c r="N495" s="4" t="n"/>
      <c r="O495" s="4">
        <f>IF($A495="","",TEXT($A495,"yyyy")&amp;"-W"&amp;TEXT(ISOWEEKNUM($A495),"00"))</f>
        <v/>
      </c>
      <c r="P495" s="4" t="n"/>
      <c r="Q495" s="14">
        <f>IF($A495="","",TEXT($A495,"yyyy-mm"))</f>
        <v/>
      </c>
    </row>
    <row r="496">
      <c r="A496" s="66" t="n"/>
      <c r="B496" s="4" t="n"/>
      <c r="C496" s="11">
        <f>IFERROR(VLOOKUP($B496,Members!$A:$C,2,FALSE),"")</f>
        <v/>
      </c>
      <c r="D496" s="11">
        <f>IFERROR(VLOOKUP($B496,Members!$A:$C,3,FALSE),"")</f>
        <v/>
      </c>
      <c r="E496" s="11">
        <f>IF($F496="","",IFERROR(VLOOKUP($F496,ActionMap!$A:$B,2,FALSE),"INVALID ACTION"))</f>
        <v/>
      </c>
      <c r="F496" s="4" t="n"/>
      <c r="G496" s="11">
        <f>IFERROR(VLOOKUP($E496,ActionsCatalog!$A:$B,2,FALSE),"")</f>
        <v/>
      </c>
      <c r="H496" s="4" t="n"/>
      <c r="I496" s="4">
        <f>IFERROR(VLOOKUP($E496,ActionsCatalog!$A:$D,3,FALSE),0)</f>
        <v/>
      </c>
      <c r="J496" s="4">
        <f>IFERROR(VLOOKUP($E496,ActionsCatalog!$A:$D,4,FALSE),0)</f>
        <v/>
      </c>
      <c r="K496" s="4">
        <f>IF($M496&lt;&gt;"Yes",0,IF($H496="",0,$H496*$I496))</f>
        <v/>
      </c>
      <c r="L496" s="4">
        <f>IF($M496&lt;&gt;"Yes",0,IF($H496="",0,$H496*$J496))</f>
        <v/>
      </c>
      <c r="M496" s="4" t="n"/>
      <c r="N496" s="4" t="n"/>
      <c r="O496" s="4">
        <f>IF($A496="","",TEXT($A496,"yyyy")&amp;"-W"&amp;TEXT(ISOWEEKNUM($A496),"00"))</f>
        <v/>
      </c>
      <c r="P496" s="4" t="n"/>
      <c r="Q496" s="14">
        <f>IF($A496="","",TEXT($A496,"yyyy-mm"))</f>
        <v/>
      </c>
    </row>
    <row r="497">
      <c r="A497" s="66" t="n"/>
      <c r="B497" s="4" t="n"/>
      <c r="C497" s="11">
        <f>IFERROR(VLOOKUP($B497,Members!$A:$C,2,FALSE),"")</f>
        <v/>
      </c>
      <c r="D497" s="11">
        <f>IFERROR(VLOOKUP($B497,Members!$A:$C,3,FALSE),"")</f>
        <v/>
      </c>
      <c r="E497" s="11">
        <f>IF($F497="","",IFERROR(VLOOKUP($F497,ActionMap!$A:$B,2,FALSE),"INVALID ACTION"))</f>
        <v/>
      </c>
      <c r="F497" s="4" t="n"/>
      <c r="G497" s="11">
        <f>IFERROR(VLOOKUP($E497,ActionsCatalog!$A:$B,2,FALSE),"")</f>
        <v/>
      </c>
      <c r="H497" s="4" t="n"/>
      <c r="I497" s="4">
        <f>IFERROR(VLOOKUP($E497,ActionsCatalog!$A:$D,3,FALSE),0)</f>
        <v/>
      </c>
      <c r="J497" s="4">
        <f>IFERROR(VLOOKUP($E497,ActionsCatalog!$A:$D,4,FALSE),0)</f>
        <v/>
      </c>
      <c r="K497" s="4">
        <f>IF($M497&lt;&gt;"Yes",0,IF($H497="",0,$H497*$I497))</f>
        <v/>
      </c>
      <c r="L497" s="4">
        <f>IF($M497&lt;&gt;"Yes",0,IF($H497="",0,$H497*$J497))</f>
        <v/>
      </c>
      <c r="M497" s="4" t="n"/>
      <c r="N497" s="4" t="n"/>
      <c r="O497" s="4">
        <f>IF($A497="","",TEXT($A497,"yyyy")&amp;"-W"&amp;TEXT(ISOWEEKNUM($A497),"00"))</f>
        <v/>
      </c>
      <c r="P497" s="4" t="n"/>
      <c r="Q497" s="14">
        <f>IF($A497="","",TEXT($A497,"yyyy-mm"))</f>
        <v/>
      </c>
    </row>
    <row r="498">
      <c r="A498" s="66" t="n"/>
      <c r="B498" s="4" t="n"/>
      <c r="C498" s="11">
        <f>IFERROR(VLOOKUP($B498,Members!$A:$C,2,FALSE),"")</f>
        <v/>
      </c>
      <c r="D498" s="11">
        <f>IFERROR(VLOOKUP($B498,Members!$A:$C,3,FALSE),"")</f>
        <v/>
      </c>
      <c r="E498" s="11">
        <f>IF($F498="","",IFERROR(VLOOKUP($F498,ActionMap!$A:$B,2,FALSE),"INVALID ACTION"))</f>
        <v/>
      </c>
      <c r="F498" s="4" t="n"/>
      <c r="G498" s="11">
        <f>IFERROR(VLOOKUP($E498,ActionsCatalog!$A:$B,2,FALSE),"")</f>
        <v/>
      </c>
      <c r="H498" s="4" t="n"/>
      <c r="I498" s="4">
        <f>IFERROR(VLOOKUP($E498,ActionsCatalog!$A:$D,3,FALSE),0)</f>
        <v/>
      </c>
      <c r="J498" s="4">
        <f>IFERROR(VLOOKUP($E498,ActionsCatalog!$A:$D,4,FALSE),0)</f>
        <v/>
      </c>
      <c r="K498" s="4">
        <f>IF($M498&lt;&gt;"Yes",0,IF($H498="",0,$H498*$I498))</f>
        <v/>
      </c>
      <c r="L498" s="4">
        <f>IF($M498&lt;&gt;"Yes",0,IF($H498="",0,$H498*$J498))</f>
        <v/>
      </c>
      <c r="M498" s="4" t="n"/>
      <c r="N498" s="4" t="n"/>
      <c r="O498" s="4">
        <f>IF($A498="","",TEXT($A498,"yyyy")&amp;"-W"&amp;TEXT(ISOWEEKNUM($A498),"00"))</f>
        <v/>
      </c>
      <c r="P498" s="4" t="n"/>
      <c r="Q498" s="14">
        <f>IF($A498="","",TEXT($A498,"yyyy-mm"))</f>
        <v/>
      </c>
    </row>
    <row r="499">
      <c r="A499" s="66" t="n"/>
      <c r="B499" s="4" t="n"/>
      <c r="C499" s="11">
        <f>IFERROR(VLOOKUP($B499,Members!$A:$C,2,FALSE),"")</f>
        <v/>
      </c>
      <c r="D499" s="11">
        <f>IFERROR(VLOOKUP($B499,Members!$A:$C,3,FALSE),"")</f>
        <v/>
      </c>
      <c r="E499" s="11">
        <f>IF($F499="","",IFERROR(VLOOKUP($F499,ActionMap!$A:$B,2,FALSE),"INVALID ACTION"))</f>
        <v/>
      </c>
      <c r="F499" s="4" t="n"/>
      <c r="G499" s="11">
        <f>IFERROR(VLOOKUP($E499,ActionsCatalog!$A:$B,2,FALSE),"")</f>
        <v/>
      </c>
      <c r="H499" s="4" t="n"/>
      <c r="I499" s="4">
        <f>IFERROR(VLOOKUP($E499,ActionsCatalog!$A:$D,3,FALSE),0)</f>
        <v/>
      </c>
      <c r="J499" s="4">
        <f>IFERROR(VLOOKUP($E499,ActionsCatalog!$A:$D,4,FALSE),0)</f>
        <v/>
      </c>
      <c r="K499" s="4">
        <f>IF($M499&lt;&gt;"Yes",0,IF($H499="",0,$H499*$I499))</f>
        <v/>
      </c>
      <c r="L499" s="4">
        <f>IF($M499&lt;&gt;"Yes",0,IF($H499="",0,$H499*$J499))</f>
        <v/>
      </c>
      <c r="M499" s="4" t="n"/>
      <c r="N499" s="4" t="n"/>
      <c r="O499" s="4">
        <f>IF($A499="","",TEXT($A499,"yyyy")&amp;"-W"&amp;TEXT(ISOWEEKNUM($A499),"00"))</f>
        <v/>
      </c>
      <c r="P499" s="4" t="n"/>
      <c r="Q499" s="14">
        <f>IF($A499="","",TEXT($A499,"yyyy-mm"))</f>
        <v/>
      </c>
    </row>
    <row r="500">
      <c r="A500" s="66" t="n"/>
      <c r="B500" s="4" t="n"/>
      <c r="C500" s="11">
        <f>IFERROR(VLOOKUP($B500,Members!$A:$C,2,FALSE),"")</f>
        <v/>
      </c>
      <c r="D500" s="11">
        <f>IFERROR(VLOOKUP($B500,Members!$A:$C,3,FALSE),"")</f>
        <v/>
      </c>
      <c r="E500" s="11">
        <f>IF($F500="","",IFERROR(VLOOKUP($F500,ActionMap!$A:$B,2,FALSE),"INVALID ACTION"))</f>
        <v/>
      </c>
      <c r="F500" s="4" t="n"/>
      <c r="G500" s="11">
        <f>IFERROR(VLOOKUP($E500,ActionsCatalog!$A:$B,2,FALSE),"")</f>
        <v/>
      </c>
      <c r="H500" s="4" t="n"/>
      <c r="I500" s="4">
        <f>IFERROR(VLOOKUP($E500,ActionsCatalog!$A:$D,3,FALSE),0)</f>
        <v/>
      </c>
      <c r="J500" s="4">
        <f>IFERROR(VLOOKUP($E500,ActionsCatalog!$A:$D,4,FALSE),0)</f>
        <v/>
      </c>
      <c r="K500" s="4">
        <f>IF($M500&lt;&gt;"Yes",0,IF($H500="",0,$H500*$I500))</f>
        <v/>
      </c>
      <c r="L500" s="4">
        <f>IF($M500&lt;&gt;"Yes",0,IF($H500="",0,$H500*$J500))</f>
        <v/>
      </c>
      <c r="M500" s="4" t="n"/>
      <c r="N500" s="4" t="n"/>
      <c r="O500" s="4">
        <f>IF($A500="","",TEXT($A500,"yyyy")&amp;"-W"&amp;TEXT(ISOWEEKNUM($A500),"00"))</f>
        <v/>
      </c>
      <c r="P500" s="4" t="n"/>
      <c r="Q500" s="14">
        <f>IF($A500="","",TEXT($A500,"yyyy-mm"))</f>
        <v/>
      </c>
    </row>
    <row r="501">
      <c r="A501" s="66" t="n"/>
      <c r="B501" s="4" t="n"/>
      <c r="C501" s="11">
        <f>IFERROR(VLOOKUP($B501,Members!$A:$C,2,FALSE),"")</f>
        <v/>
      </c>
      <c r="D501" s="11">
        <f>IFERROR(VLOOKUP($B501,Members!$A:$C,3,FALSE),"")</f>
        <v/>
      </c>
      <c r="E501" s="11">
        <f>IF($F501="","",IFERROR(VLOOKUP($F501,ActionMap!$A:$B,2,FALSE),"INVALID ACTION"))</f>
        <v/>
      </c>
      <c r="F501" s="4" t="n"/>
      <c r="G501" s="11">
        <f>IFERROR(VLOOKUP($E501,ActionsCatalog!$A:$B,2,FALSE),"")</f>
        <v/>
      </c>
      <c r="H501" s="4" t="n"/>
      <c r="I501" s="4">
        <f>IFERROR(VLOOKUP($E501,ActionsCatalog!$A:$D,3,FALSE),0)</f>
        <v/>
      </c>
      <c r="J501" s="4">
        <f>IFERROR(VLOOKUP($E501,ActionsCatalog!$A:$D,4,FALSE),0)</f>
        <v/>
      </c>
      <c r="K501" s="4">
        <f>IF($M501&lt;&gt;"Yes",0,IF($H501="",0,$H501*$I501))</f>
        <v/>
      </c>
      <c r="L501" s="4">
        <f>IF($M501&lt;&gt;"Yes",0,IF($H501="",0,$H501*$J501))</f>
        <v/>
      </c>
      <c r="M501" s="4" t="n"/>
      <c r="N501" s="4" t="n"/>
      <c r="O501" s="4">
        <f>IF($A501="","",TEXT($A501,"yyyy")&amp;"-W"&amp;TEXT(ISOWEEKNUM($A501),"00"))</f>
        <v/>
      </c>
      <c r="P501" s="4" t="n"/>
      <c r="Q501" s="14">
        <f>IF($A501="","",TEXT($A501,"yyyy-mm"))</f>
        <v/>
      </c>
    </row>
    <row r="502">
      <c r="A502" s="66" t="n"/>
      <c r="B502" s="4" t="n"/>
      <c r="C502" s="11">
        <f>IFERROR(VLOOKUP($B502,Members!$A:$C,2,FALSE),"")</f>
        <v/>
      </c>
      <c r="D502" s="11">
        <f>IFERROR(VLOOKUP($B502,Members!$A:$C,3,FALSE),"")</f>
        <v/>
      </c>
      <c r="E502" s="11">
        <f>IF($F502="","",IFERROR(VLOOKUP($F502,ActionMap!$A:$B,2,FALSE),"INVALID ACTION"))</f>
        <v/>
      </c>
      <c r="F502" s="4" t="n"/>
      <c r="G502" s="11">
        <f>IFERROR(VLOOKUP($E502,ActionsCatalog!$A:$B,2,FALSE),"")</f>
        <v/>
      </c>
      <c r="H502" s="4" t="n"/>
      <c r="I502" s="4">
        <f>IFERROR(VLOOKUP($E502,ActionsCatalog!$A:$D,3,FALSE),0)</f>
        <v/>
      </c>
      <c r="J502" s="4">
        <f>IFERROR(VLOOKUP($E502,ActionsCatalog!$A:$D,4,FALSE),0)</f>
        <v/>
      </c>
      <c r="K502" s="4">
        <f>IF($M502&lt;&gt;"Yes",0,IF($H502="",0,$H502*$I502))</f>
        <v/>
      </c>
      <c r="L502" s="4">
        <f>IF($M502&lt;&gt;"Yes",0,IF($H502="",0,$H502*$J502))</f>
        <v/>
      </c>
      <c r="M502" s="4" t="n"/>
      <c r="N502" s="4" t="n"/>
      <c r="O502" s="4">
        <f>IF($A502="","",TEXT($A502,"yyyy")&amp;"-W"&amp;TEXT(ISOWEEKNUM($A502),"00"))</f>
        <v/>
      </c>
      <c r="P502" s="4" t="n"/>
      <c r="Q502" s="14">
        <f>IF($A502="","",TEXT($A502,"yyyy-mm"))</f>
        <v/>
      </c>
    </row>
    <row r="503">
      <c r="A503" s="66" t="n"/>
      <c r="B503" s="4" t="n"/>
      <c r="C503" s="11">
        <f>IFERROR(VLOOKUP($B503,Members!$A:$C,2,FALSE),"")</f>
        <v/>
      </c>
      <c r="D503" s="11">
        <f>IFERROR(VLOOKUP($B503,Members!$A:$C,3,FALSE),"")</f>
        <v/>
      </c>
      <c r="E503" s="11">
        <f>IF($F503="","",IFERROR(VLOOKUP($F503,ActionMap!$A:$B,2,FALSE),"INVALID ACTION"))</f>
        <v/>
      </c>
      <c r="F503" s="4" t="n"/>
      <c r="G503" s="11">
        <f>IFERROR(VLOOKUP($E503,ActionsCatalog!$A:$B,2,FALSE),"")</f>
        <v/>
      </c>
      <c r="H503" s="4" t="n"/>
      <c r="I503" s="4">
        <f>IFERROR(VLOOKUP($E503,ActionsCatalog!$A:$D,3,FALSE),0)</f>
        <v/>
      </c>
      <c r="J503" s="4">
        <f>IFERROR(VLOOKUP($E503,ActionsCatalog!$A:$D,4,FALSE),0)</f>
        <v/>
      </c>
      <c r="K503" s="4">
        <f>IF($M503&lt;&gt;"Yes",0,IF($H503="",0,$H503*$I503))</f>
        <v/>
      </c>
      <c r="L503" s="4">
        <f>IF($M503&lt;&gt;"Yes",0,IF($H503="",0,$H503*$J503))</f>
        <v/>
      </c>
      <c r="M503" s="4" t="n"/>
      <c r="N503" s="4" t="n"/>
      <c r="O503" s="4">
        <f>IF($A503="","",TEXT($A503,"yyyy")&amp;"-W"&amp;TEXT(ISOWEEKNUM($A503),"00"))</f>
        <v/>
      </c>
      <c r="P503" s="4" t="n"/>
      <c r="Q503" s="14">
        <f>IF($A503="","",TEXT($A503,"yyyy-mm"))</f>
        <v/>
      </c>
    </row>
    <row r="504">
      <c r="A504" s="66" t="n"/>
      <c r="B504" s="4" t="n"/>
      <c r="C504" s="11">
        <f>IFERROR(VLOOKUP($B504,Members!$A:$C,2,FALSE),"")</f>
        <v/>
      </c>
      <c r="D504" s="11">
        <f>IFERROR(VLOOKUP($B504,Members!$A:$C,3,FALSE),"")</f>
        <v/>
      </c>
      <c r="E504" s="11">
        <f>IF($F504="","",IFERROR(VLOOKUP($F504,ActionMap!$A:$B,2,FALSE),"INVALID ACTION"))</f>
        <v/>
      </c>
      <c r="F504" s="4" t="n"/>
      <c r="G504" s="11">
        <f>IFERROR(VLOOKUP($E504,ActionsCatalog!$A:$B,2,FALSE),"")</f>
        <v/>
      </c>
      <c r="H504" s="4" t="n"/>
      <c r="I504" s="4">
        <f>IFERROR(VLOOKUP($E504,ActionsCatalog!$A:$D,3,FALSE),0)</f>
        <v/>
      </c>
      <c r="J504" s="4">
        <f>IFERROR(VLOOKUP($E504,ActionsCatalog!$A:$D,4,FALSE),0)</f>
        <v/>
      </c>
      <c r="K504" s="4">
        <f>IF($M504&lt;&gt;"Yes",0,IF($H504="",0,$H504*$I504))</f>
        <v/>
      </c>
      <c r="L504" s="4">
        <f>IF($M504&lt;&gt;"Yes",0,IF($H504="",0,$H504*$J504))</f>
        <v/>
      </c>
      <c r="M504" s="4" t="n"/>
      <c r="N504" s="4" t="n"/>
      <c r="O504" s="4">
        <f>IF($A504="","",TEXT($A504,"yyyy")&amp;"-W"&amp;TEXT(ISOWEEKNUM($A504),"00"))</f>
        <v/>
      </c>
      <c r="P504" s="4" t="n"/>
      <c r="Q504" s="14">
        <f>IF($A504="","",TEXT($A504,"yyyy-mm"))</f>
        <v/>
      </c>
    </row>
    <row r="505">
      <c r="A505" s="66" t="n"/>
      <c r="B505" s="4" t="n"/>
      <c r="C505" s="11">
        <f>IFERROR(VLOOKUP($B505,Members!$A:$C,2,FALSE),"")</f>
        <v/>
      </c>
      <c r="D505" s="11">
        <f>IFERROR(VLOOKUP($B505,Members!$A:$C,3,FALSE),"")</f>
        <v/>
      </c>
      <c r="E505" s="11">
        <f>IF($F505="","",IFERROR(VLOOKUP($F505,ActionMap!$A:$B,2,FALSE),"INVALID ACTION"))</f>
        <v/>
      </c>
      <c r="F505" s="4" t="n"/>
      <c r="G505" s="11">
        <f>IFERROR(VLOOKUP($E505,ActionsCatalog!$A:$B,2,FALSE),"")</f>
        <v/>
      </c>
      <c r="H505" s="4" t="n"/>
      <c r="I505" s="4">
        <f>IFERROR(VLOOKUP($E505,ActionsCatalog!$A:$D,3,FALSE),0)</f>
        <v/>
      </c>
      <c r="J505" s="4">
        <f>IFERROR(VLOOKUP($E505,ActionsCatalog!$A:$D,4,FALSE),0)</f>
        <v/>
      </c>
      <c r="K505" s="4">
        <f>IF($M505&lt;&gt;"Yes",0,IF($H505="",0,$H505*$I505))</f>
        <v/>
      </c>
      <c r="L505" s="4">
        <f>IF($M505&lt;&gt;"Yes",0,IF($H505="",0,$H505*$J505))</f>
        <v/>
      </c>
      <c r="M505" s="4" t="n"/>
      <c r="N505" s="4" t="n"/>
      <c r="O505" s="4">
        <f>IF($A505="","",TEXT($A505,"yyyy")&amp;"-W"&amp;TEXT(ISOWEEKNUM($A505),"00"))</f>
        <v/>
      </c>
      <c r="P505" s="4" t="n"/>
      <c r="Q505" s="14">
        <f>IF($A505="","",TEXT($A505,"yyyy-mm"))</f>
        <v/>
      </c>
    </row>
    <row r="506">
      <c r="A506" s="66" t="n"/>
      <c r="B506" s="4" t="n"/>
      <c r="C506" s="11">
        <f>IFERROR(VLOOKUP($B506,Members!$A:$C,2,FALSE),"")</f>
        <v/>
      </c>
      <c r="D506" s="11">
        <f>IFERROR(VLOOKUP($B506,Members!$A:$C,3,FALSE),"")</f>
        <v/>
      </c>
      <c r="E506" s="11">
        <f>IF($F506="","",IFERROR(VLOOKUP($F506,ActionMap!$A:$B,2,FALSE),"INVALID ACTION"))</f>
        <v/>
      </c>
      <c r="F506" s="4" t="n"/>
      <c r="G506" s="11">
        <f>IFERROR(VLOOKUP($E506,ActionsCatalog!$A:$B,2,FALSE),"")</f>
        <v/>
      </c>
      <c r="H506" s="4" t="n"/>
      <c r="I506" s="4">
        <f>IFERROR(VLOOKUP($E506,ActionsCatalog!$A:$D,3,FALSE),0)</f>
        <v/>
      </c>
      <c r="J506" s="4">
        <f>IFERROR(VLOOKUP($E506,ActionsCatalog!$A:$D,4,FALSE),0)</f>
        <v/>
      </c>
      <c r="K506" s="4">
        <f>IF($M506&lt;&gt;"Yes",0,IF($H506="",0,$H506*$I506))</f>
        <v/>
      </c>
      <c r="L506" s="4">
        <f>IF($M506&lt;&gt;"Yes",0,IF($H506="",0,$H506*$J506))</f>
        <v/>
      </c>
      <c r="M506" s="4" t="n"/>
      <c r="N506" s="4" t="n"/>
      <c r="O506" s="4">
        <f>IF($A506="","",TEXT($A506,"yyyy")&amp;"-W"&amp;TEXT(ISOWEEKNUM($A506),"00"))</f>
        <v/>
      </c>
      <c r="P506" s="4" t="n"/>
      <c r="Q506" s="14">
        <f>IF($A506="","",TEXT($A506,"yyyy-mm"))</f>
        <v/>
      </c>
    </row>
    <row r="507">
      <c r="A507" s="66" t="n"/>
      <c r="B507" s="4" t="n"/>
      <c r="C507" s="11">
        <f>IFERROR(VLOOKUP($B507,Members!$A:$C,2,FALSE),"")</f>
        <v/>
      </c>
      <c r="D507" s="11">
        <f>IFERROR(VLOOKUP($B507,Members!$A:$C,3,FALSE),"")</f>
        <v/>
      </c>
      <c r="E507" s="11">
        <f>IF($F507="","",IFERROR(VLOOKUP($F507,ActionMap!$A:$B,2,FALSE),"INVALID ACTION"))</f>
        <v/>
      </c>
      <c r="F507" s="4" t="n"/>
      <c r="G507" s="11">
        <f>IFERROR(VLOOKUP($E507,ActionsCatalog!$A:$B,2,FALSE),"")</f>
        <v/>
      </c>
      <c r="H507" s="4" t="n"/>
      <c r="I507" s="4">
        <f>IFERROR(VLOOKUP($E507,ActionsCatalog!$A:$D,3,FALSE),0)</f>
        <v/>
      </c>
      <c r="J507" s="4">
        <f>IFERROR(VLOOKUP($E507,ActionsCatalog!$A:$D,4,FALSE),0)</f>
        <v/>
      </c>
      <c r="K507" s="4">
        <f>IF($M507&lt;&gt;"Yes",0,IF($H507="",0,$H507*$I507))</f>
        <v/>
      </c>
      <c r="L507" s="4">
        <f>IF($M507&lt;&gt;"Yes",0,IF($H507="",0,$H507*$J507))</f>
        <v/>
      </c>
      <c r="M507" s="4" t="n"/>
      <c r="N507" s="4" t="n"/>
      <c r="O507" s="4">
        <f>IF($A507="","",TEXT($A507,"yyyy")&amp;"-W"&amp;TEXT(ISOWEEKNUM($A507),"00"))</f>
        <v/>
      </c>
      <c r="P507" s="4" t="n"/>
      <c r="Q507" s="14">
        <f>IF($A507="","",TEXT($A507,"yyyy-mm"))</f>
        <v/>
      </c>
    </row>
    <row r="508">
      <c r="A508" s="66" t="n"/>
      <c r="B508" s="4" t="n"/>
      <c r="C508" s="11">
        <f>IFERROR(VLOOKUP($B508,Members!$A:$C,2,FALSE),"")</f>
        <v/>
      </c>
      <c r="D508" s="11">
        <f>IFERROR(VLOOKUP($B508,Members!$A:$C,3,FALSE),"")</f>
        <v/>
      </c>
      <c r="E508" s="11">
        <f>IF($F508="","",IFERROR(VLOOKUP($F508,ActionMap!$A:$B,2,FALSE),"INVALID ACTION"))</f>
        <v/>
      </c>
      <c r="F508" s="4" t="n"/>
      <c r="G508" s="11">
        <f>IFERROR(VLOOKUP($E508,ActionsCatalog!$A:$B,2,FALSE),"")</f>
        <v/>
      </c>
      <c r="H508" s="4" t="n"/>
      <c r="I508" s="4">
        <f>IFERROR(VLOOKUP($E508,ActionsCatalog!$A:$D,3,FALSE),0)</f>
        <v/>
      </c>
      <c r="J508" s="4">
        <f>IFERROR(VLOOKUP($E508,ActionsCatalog!$A:$D,4,FALSE),0)</f>
        <v/>
      </c>
      <c r="K508" s="4">
        <f>IF($M508&lt;&gt;"Yes",0,IF($H508="",0,$H508*$I508))</f>
        <v/>
      </c>
      <c r="L508" s="4">
        <f>IF($M508&lt;&gt;"Yes",0,IF($H508="",0,$H508*$J508))</f>
        <v/>
      </c>
      <c r="M508" s="4" t="n"/>
      <c r="N508" s="4" t="n"/>
      <c r="O508" s="4">
        <f>IF($A508="","",TEXT($A508,"yyyy")&amp;"-W"&amp;TEXT(ISOWEEKNUM($A508),"00"))</f>
        <v/>
      </c>
      <c r="P508" s="4" t="n"/>
      <c r="Q508" s="14">
        <f>IF($A508="","",TEXT($A508,"yyyy-mm"))</f>
        <v/>
      </c>
    </row>
    <row r="509">
      <c r="A509" s="66" t="n"/>
      <c r="B509" s="4" t="n"/>
      <c r="C509" s="11">
        <f>IFERROR(VLOOKUP($B509,Members!$A:$C,2,FALSE),"")</f>
        <v/>
      </c>
      <c r="D509" s="11">
        <f>IFERROR(VLOOKUP($B509,Members!$A:$C,3,FALSE),"")</f>
        <v/>
      </c>
      <c r="E509" s="11">
        <f>IF($F509="","",IFERROR(VLOOKUP($F509,ActionMap!$A:$B,2,FALSE),"INVALID ACTION"))</f>
        <v/>
      </c>
      <c r="F509" s="4" t="n"/>
      <c r="G509" s="11">
        <f>IFERROR(VLOOKUP($E509,ActionsCatalog!$A:$B,2,FALSE),"")</f>
        <v/>
      </c>
      <c r="H509" s="4" t="n"/>
      <c r="I509" s="4">
        <f>IFERROR(VLOOKUP($E509,ActionsCatalog!$A:$D,3,FALSE),0)</f>
        <v/>
      </c>
      <c r="J509" s="4">
        <f>IFERROR(VLOOKUP($E509,ActionsCatalog!$A:$D,4,FALSE),0)</f>
        <v/>
      </c>
      <c r="K509" s="4">
        <f>IF($M509&lt;&gt;"Yes",0,IF($H509="",0,$H509*$I509))</f>
        <v/>
      </c>
      <c r="L509" s="4">
        <f>IF($M509&lt;&gt;"Yes",0,IF($H509="",0,$H509*$J509))</f>
        <v/>
      </c>
      <c r="M509" s="4" t="n"/>
      <c r="N509" s="4" t="n"/>
      <c r="O509" s="4">
        <f>IF($A509="","",TEXT($A509,"yyyy")&amp;"-W"&amp;TEXT(ISOWEEKNUM($A509),"00"))</f>
        <v/>
      </c>
      <c r="P509" s="4" t="n"/>
      <c r="Q509" s="14">
        <f>IF($A509="","",TEXT($A509,"yyyy-mm"))</f>
        <v/>
      </c>
    </row>
    <row r="510">
      <c r="A510" s="66" t="n"/>
      <c r="B510" s="4" t="n"/>
      <c r="C510" s="11">
        <f>IFERROR(VLOOKUP($B510,Members!$A:$C,2,FALSE),"")</f>
        <v/>
      </c>
      <c r="D510" s="11">
        <f>IFERROR(VLOOKUP($B510,Members!$A:$C,3,FALSE),"")</f>
        <v/>
      </c>
      <c r="E510" s="11">
        <f>IF($F510="","",IFERROR(VLOOKUP($F510,ActionMap!$A:$B,2,FALSE),"INVALID ACTION"))</f>
        <v/>
      </c>
      <c r="F510" s="4" t="n"/>
      <c r="G510" s="11">
        <f>IFERROR(VLOOKUP($E510,ActionsCatalog!$A:$B,2,FALSE),"")</f>
        <v/>
      </c>
      <c r="H510" s="4" t="n"/>
      <c r="I510" s="4">
        <f>IFERROR(VLOOKUP($E510,ActionsCatalog!$A:$D,3,FALSE),0)</f>
        <v/>
      </c>
      <c r="J510" s="4">
        <f>IFERROR(VLOOKUP($E510,ActionsCatalog!$A:$D,4,FALSE),0)</f>
        <v/>
      </c>
      <c r="K510" s="4">
        <f>IF($M510&lt;&gt;"Yes",0,IF($H510="",0,$H510*$I510))</f>
        <v/>
      </c>
      <c r="L510" s="4">
        <f>IF($M510&lt;&gt;"Yes",0,IF($H510="",0,$H510*$J510))</f>
        <v/>
      </c>
      <c r="M510" s="4" t="n"/>
      <c r="N510" s="4" t="n"/>
      <c r="O510" s="4">
        <f>IF($A510="","",TEXT($A510,"yyyy")&amp;"-W"&amp;TEXT(ISOWEEKNUM($A510),"00"))</f>
        <v/>
      </c>
      <c r="P510" s="4" t="n"/>
      <c r="Q510" s="14">
        <f>IF($A510="","",TEXT($A510,"yyyy-mm"))</f>
        <v/>
      </c>
    </row>
    <row r="511">
      <c r="A511" s="66" t="n"/>
      <c r="B511" s="4" t="n"/>
      <c r="C511" s="11">
        <f>IFERROR(VLOOKUP($B511,Members!$A:$C,2,FALSE),"")</f>
        <v/>
      </c>
      <c r="D511" s="11">
        <f>IFERROR(VLOOKUP($B511,Members!$A:$C,3,FALSE),"")</f>
        <v/>
      </c>
      <c r="E511" s="11">
        <f>IF($F511="","",IFERROR(VLOOKUP($F511,ActionMap!$A:$B,2,FALSE),"INVALID ACTION"))</f>
        <v/>
      </c>
      <c r="F511" s="4" t="n"/>
      <c r="G511" s="11">
        <f>IFERROR(VLOOKUP($E511,ActionsCatalog!$A:$B,2,FALSE),"")</f>
        <v/>
      </c>
      <c r="H511" s="4" t="n"/>
      <c r="I511" s="4">
        <f>IFERROR(VLOOKUP($E511,ActionsCatalog!$A:$D,3,FALSE),0)</f>
        <v/>
      </c>
      <c r="J511" s="4">
        <f>IFERROR(VLOOKUP($E511,ActionsCatalog!$A:$D,4,FALSE),0)</f>
        <v/>
      </c>
      <c r="K511" s="4">
        <f>IF($M511&lt;&gt;"Yes",0,IF($H511="",0,$H511*$I511))</f>
        <v/>
      </c>
      <c r="L511" s="4">
        <f>IF($M511&lt;&gt;"Yes",0,IF($H511="",0,$H511*$J511))</f>
        <v/>
      </c>
      <c r="M511" s="4" t="n"/>
      <c r="N511" s="4" t="n"/>
      <c r="O511" s="4">
        <f>IF($A511="","",TEXT($A511,"yyyy")&amp;"-W"&amp;TEXT(ISOWEEKNUM($A511),"00"))</f>
        <v/>
      </c>
      <c r="P511" s="4" t="n"/>
      <c r="Q511" s="14">
        <f>IF($A511="","",TEXT($A511,"yyyy-mm"))</f>
        <v/>
      </c>
    </row>
    <row r="512">
      <c r="A512" s="66" t="n"/>
      <c r="B512" s="4" t="n"/>
      <c r="C512" s="11">
        <f>IFERROR(VLOOKUP($B512,Members!$A:$C,2,FALSE),"")</f>
        <v/>
      </c>
      <c r="D512" s="11">
        <f>IFERROR(VLOOKUP($B512,Members!$A:$C,3,FALSE),"")</f>
        <v/>
      </c>
      <c r="E512" s="11">
        <f>IF($F512="","",IFERROR(VLOOKUP($F512,ActionMap!$A:$B,2,FALSE),"INVALID ACTION"))</f>
        <v/>
      </c>
      <c r="F512" s="4" t="n"/>
      <c r="G512" s="11">
        <f>IFERROR(VLOOKUP($E512,ActionsCatalog!$A:$B,2,FALSE),"")</f>
        <v/>
      </c>
      <c r="H512" s="4" t="n"/>
      <c r="I512" s="4">
        <f>IFERROR(VLOOKUP($E512,ActionsCatalog!$A:$D,3,FALSE),0)</f>
        <v/>
      </c>
      <c r="J512" s="4">
        <f>IFERROR(VLOOKUP($E512,ActionsCatalog!$A:$D,4,FALSE),0)</f>
        <v/>
      </c>
      <c r="K512" s="4">
        <f>IF($M512&lt;&gt;"Yes",0,IF($H512="",0,$H512*$I512))</f>
        <v/>
      </c>
      <c r="L512" s="4">
        <f>IF($M512&lt;&gt;"Yes",0,IF($H512="",0,$H512*$J512))</f>
        <v/>
      </c>
      <c r="M512" s="4" t="n"/>
      <c r="N512" s="4" t="n"/>
      <c r="O512" s="4">
        <f>IF($A512="","",TEXT($A512,"yyyy")&amp;"-W"&amp;TEXT(ISOWEEKNUM($A512),"00"))</f>
        <v/>
      </c>
      <c r="P512" s="4" t="n"/>
      <c r="Q512" s="14">
        <f>IF($A512="","",TEXT($A512,"yyyy-mm"))</f>
        <v/>
      </c>
    </row>
    <row r="513">
      <c r="A513" s="66" t="n"/>
      <c r="B513" s="4" t="n"/>
      <c r="C513" s="11">
        <f>IFERROR(VLOOKUP($B513,Members!$A:$C,2,FALSE),"")</f>
        <v/>
      </c>
      <c r="D513" s="11">
        <f>IFERROR(VLOOKUP($B513,Members!$A:$C,3,FALSE),"")</f>
        <v/>
      </c>
      <c r="E513" s="11">
        <f>IF($F513="","",IFERROR(VLOOKUP($F513,ActionMap!$A:$B,2,FALSE),"INVALID ACTION"))</f>
        <v/>
      </c>
      <c r="F513" s="4" t="n"/>
      <c r="G513" s="11">
        <f>IFERROR(VLOOKUP($E513,ActionsCatalog!$A:$B,2,FALSE),"")</f>
        <v/>
      </c>
      <c r="H513" s="4" t="n"/>
      <c r="I513" s="4">
        <f>IFERROR(VLOOKUP($E513,ActionsCatalog!$A:$D,3,FALSE),0)</f>
        <v/>
      </c>
      <c r="J513" s="4">
        <f>IFERROR(VLOOKUP($E513,ActionsCatalog!$A:$D,4,FALSE),0)</f>
        <v/>
      </c>
      <c r="K513" s="4">
        <f>IF($M513&lt;&gt;"Yes",0,IF($H513="",0,$H513*$I513))</f>
        <v/>
      </c>
      <c r="L513" s="4">
        <f>IF($M513&lt;&gt;"Yes",0,IF($H513="",0,$H513*$J513))</f>
        <v/>
      </c>
      <c r="M513" s="4" t="n"/>
      <c r="N513" s="4" t="n"/>
      <c r="O513" s="4">
        <f>IF($A513="","",TEXT($A513,"yyyy")&amp;"-W"&amp;TEXT(ISOWEEKNUM($A513),"00"))</f>
        <v/>
      </c>
      <c r="P513" s="4" t="n"/>
      <c r="Q513" s="14">
        <f>IF($A513="","",TEXT($A513,"yyyy-mm"))</f>
        <v/>
      </c>
    </row>
    <row r="514">
      <c r="A514" s="66" t="n"/>
      <c r="B514" s="4" t="n"/>
      <c r="C514" s="11">
        <f>IFERROR(VLOOKUP($B514,Members!$A:$C,2,FALSE),"")</f>
        <v/>
      </c>
      <c r="D514" s="11">
        <f>IFERROR(VLOOKUP($B514,Members!$A:$C,3,FALSE),"")</f>
        <v/>
      </c>
      <c r="E514" s="11">
        <f>IF($F514="","",IFERROR(VLOOKUP($F514,ActionMap!$A:$B,2,FALSE),"INVALID ACTION"))</f>
        <v/>
      </c>
      <c r="F514" s="4" t="n"/>
      <c r="G514" s="11">
        <f>IFERROR(VLOOKUP($E514,ActionsCatalog!$A:$B,2,FALSE),"")</f>
        <v/>
      </c>
      <c r="H514" s="4" t="n"/>
      <c r="I514" s="4">
        <f>IFERROR(VLOOKUP($E514,ActionsCatalog!$A:$D,3,FALSE),0)</f>
        <v/>
      </c>
      <c r="J514" s="4">
        <f>IFERROR(VLOOKUP($E514,ActionsCatalog!$A:$D,4,FALSE),0)</f>
        <v/>
      </c>
      <c r="K514" s="4">
        <f>IF($M514&lt;&gt;"Yes",0,IF($H514="",0,$H514*$I514))</f>
        <v/>
      </c>
      <c r="L514" s="4">
        <f>IF($M514&lt;&gt;"Yes",0,IF($H514="",0,$H514*$J514))</f>
        <v/>
      </c>
      <c r="M514" s="4" t="n"/>
      <c r="N514" s="4" t="n"/>
      <c r="O514" s="4">
        <f>IF($A514="","",TEXT($A514,"yyyy")&amp;"-W"&amp;TEXT(ISOWEEKNUM($A514),"00"))</f>
        <v/>
      </c>
      <c r="P514" s="4" t="n"/>
      <c r="Q514" s="14">
        <f>IF($A514="","",TEXT($A514,"yyyy-mm"))</f>
        <v/>
      </c>
    </row>
    <row r="515">
      <c r="A515" s="66" t="n"/>
      <c r="B515" s="4" t="n"/>
      <c r="C515" s="11">
        <f>IFERROR(VLOOKUP($B515,Members!$A:$C,2,FALSE),"")</f>
        <v/>
      </c>
      <c r="D515" s="11">
        <f>IFERROR(VLOOKUP($B515,Members!$A:$C,3,FALSE),"")</f>
        <v/>
      </c>
      <c r="E515" s="11">
        <f>IF($F515="","",IFERROR(VLOOKUP($F515,ActionMap!$A:$B,2,FALSE),"INVALID ACTION"))</f>
        <v/>
      </c>
      <c r="F515" s="4" t="n"/>
      <c r="G515" s="11">
        <f>IFERROR(VLOOKUP($E515,ActionsCatalog!$A:$B,2,FALSE),"")</f>
        <v/>
      </c>
      <c r="H515" s="4" t="n"/>
      <c r="I515" s="4">
        <f>IFERROR(VLOOKUP($E515,ActionsCatalog!$A:$D,3,FALSE),0)</f>
        <v/>
      </c>
      <c r="J515" s="4">
        <f>IFERROR(VLOOKUP($E515,ActionsCatalog!$A:$D,4,FALSE),0)</f>
        <v/>
      </c>
      <c r="K515" s="4">
        <f>IF($M515&lt;&gt;"Yes",0,IF($H515="",0,$H515*$I515))</f>
        <v/>
      </c>
      <c r="L515" s="4">
        <f>IF($M515&lt;&gt;"Yes",0,IF($H515="",0,$H515*$J515))</f>
        <v/>
      </c>
      <c r="M515" s="4" t="n"/>
      <c r="N515" s="4" t="n"/>
      <c r="O515" s="4">
        <f>IF($A515="","",TEXT($A515,"yyyy")&amp;"-W"&amp;TEXT(ISOWEEKNUM($A515),"00"))</f>
        <v/>
      </c>
      <c r="P515" s="4" t="n"/>
      <c r="Q515" s="14">
        <f>IF($A515="","",TEXT($A515,"yyyy-mm"))</f>
        <v/>
      </c>
    </row>
    <row r="516">
      <c r="A516" s="66" t="n"/>
      <c r="B516" s="4" t="n"/>
      <c r="C516" s="11">
        <f>IFERROR(VLOOKUP($B516,Members!$A:$C,2,FALSE),"")</f>
        <v/>
      </c>
      <c r="D516" s="11">
        <f>IFERROR(VLOOKUP($B516,Members!$A:$C,3,FALSE),"")</f>
        <v/>
      </c>
      <c r="E516" s="11">
        <f>IF($F516="","",IFERROR(VLOOKUP($F516,ActionMap!$A:$B,2,FALSE),"INVALID ACTION"))</f>
        <v/>
      </c>
      <c r="F516" s="4" t="n"/>
      <c r="G516" s="11">
        <f>IFERROR(VLOOKUP($E516,ActionsCatalog!$A:$B,2,FALSE),"")</f>
        <v/>
      </c>
      <c r="H516" s="4" t="n"/>
      <c r="I516" s="4">
        <f>IFERROR(VLOOKUP($E516,ActionsCatalog!$A:$D,3,FALSE),0)</f>
        <v/>
      </c>
      <c r="J516" s="4">
        <f>IFERROR(VLOOKUP($E516,ActionsCatalog!$A:$D,4,FALSE),0)</f>
        <v/>
      </c>
      <c r="K516" s="4">
        <f>IF($M516&lt;&gt;"Yes",0,IF($H516="",0,$H516*$I516))</f>
        <v/>
      </c>
      <c r="L516" s="4">
        <f>IF($M516&lt;&gt;"Yes",0,IF($H516="",0,$H516*$J516))</f>
        <v/>
      </c>
      <c r="M516" s="4" t="n"/>
      <c r="N516" s="4" t="n"/>
      <c r="O516" s="4">
        <f>IF($A516="","",TEXT($A516,"yyyy")&amp;"-W"&amp;TEXT(ISOWEEKNUM($A516),"00"))</f>
        <v/>
      </c>
      <c r="P516" s="4" t="n"/>
      <c r="Q516" s="14">
        <f>IF($A516="","",TEXT($A516,"yyyy-mm"))</f>
        <v/>
      </c>
    </row>
    <row r="517">
      <c r="A517" s="66" t="n"/>
      <c r="B517" s="4" t="n"/>
      <c r="C517" s="11">
        <f>IFERROR(VLOOKUP($B517,Members!$A:$C,2,FALSE),"")</f>
        <v/>
      </c>
      <c r="D517" s="11">
        <f>IFERROR(VLOOKUP($B517,Members!$A:$C,3,FALSE),"")</f>
        <v/>
      </c>
      <c r="E517" s="11">
        <f>IF($F517="","",IFERROR(VLOOKUP($F517,ActionMap!$A:$B,2,FALSE),"INVALID ACTION"))</f>
        <v/>
      </c>
      <c r="F517" s="4" t="n"/>
      <c r="G517" s="11">
        <f>IFERROR(VLOOKUP($E517,ActionsCatalog!$A:$B,2,FALSE),"")</f>
        <v/>
      </c>
      <c r="H517" s="4" t="n"/>
      <c r="I517" s="4">
        <f>IFERROR(VLOOKUP($E517,ActionsCatalog!$A:$D,3,FALSE),0)</f>
        <v/>
      </c>
      <c r="J517" s="4">
        <f>IFERROR(VLOOKUP($E517,ActionsCatalog!$A:$D,4,FALSE),0)</f>
        <v/>
      </c>
      <c r="K517" s="4">
        <f>IF($M517&lt;&gt;"Yes",0,IF($H517="",0,$H517*$I517))</f>
        <v/>
      </c>
      <c r="L517" s="4">
        <f>IF($M517&lt;&gt;"Yes",0,IF($H517="",0,$H517*$J517))</f>
        <v/>
      </c>
      <c r="M517" s="4" t="n"/>
      <c r="N517" s="4" t="n"/>
      <c r="O517" s="4">
        <f>IF($A517="","",TEXT($A517,"yyyy")&amp;"-W"&amp;TEXT(ISOWEEKNUM($A517),"00"))</f>
        <v/>
      </c>
      <c r="P517" s="4" t="n"/>
      <c r="Q517" s="14">
        <f>IF($A517="","",TEXT($A517,"yyyy-mm"))</f>
        <v/>
      </c>
    </row>
    <row r="518">
      <c r="A518" s="66" t="n"/>
      <c r="B518" s="4" t="n"/>
      <c r="C518" s="11">
        <f>IFERROR(VLOOKUP($B518,Members!$A:$C,2,FALSE),"")</f>
        <v/>
      </c>
      <c r="D518" s="11">
        <f>IFERROR(VLOOKUP($B518,Members!$A:$C,3,FALSE),"")</f>
        <v/>
      </c>
      <c r="E518" s="11">
        <f>IF($F518="","",IFERROR(VLOOKUP($F518,ActionMap!$A:$B,2,FALSE),"INVALID ACTION"))</f>
        <v/>
      </c>
      <c r="F518" s="4" t="n"/>
      <c r="G518" s="11">
        <f>IFERROR(VLOOKUP($E518,ActionsCatalog!$A:$B,2,FALSE),"")</f>
        <v/>
      </c>
      <c r="H518" s="4" t="n"/>
      <c r="I518" s="4">
        <f>IFERROR(VLOOKUP($E518,ActionsCatalog!$A:$D,3,FALSE),0)</f>
        <v/>
      </c>
      <c r="J518" s="4">
        <f>IFERROR(VLOOKUP($E518,ActionsCatalog!$A:$D,4,FALSE),0)</f>
        <v/>
      </c>
      <c r="K518" s="4">
        <f>IF($M518&lt;&gt;"Yes",0,IF($H518="",0,$H518*$I518))</f>
        <v/>
      </c>
      <c r="L518" s="4">
        <f>IF($M518&lt;&gt;"Yes",0,IF($H518="",0,$H518*$J518))</f>
        <v/>
      </c>
      <c r="M518" s="4" t="n"/>
      <c r="N518" s="4" t="n"/>
      <c r="O518" s="4">
        <f>IF($A518="","",TEXT($A518,"yyyy")&amp;"-W"&amp;TEXT(ISOWEEKNUM($A518),"00"))</f>
        <v/>
      </c>
      <c r="P518" s="4" t="n"/>
      <c r="Q518" s="14">
        <f>IF($A518="","",TEXT($A518,"yyyy-mm"))</f>
        <v/>
      </c>
    </row>
    <row r="519">
      <c r="A519" s="66" t="n"/>
      <c r="B519" s="4" t="n"/>
      <c r="C519" s="11">
        <f>IFERROR(VLOOKUP($B519,Members!$A:$C,2,FALSE),"")</f>
        <v/>
      </c>
      <c r="D519" s="11">
        <f>IFERROR(VLOOKUP($B519,Members!$A:$C,3,FALSE),"")</f>
        <v/>
      </c>
      <c r="E519" s="11">
        <f>IF($F519="","",IFERROR(VLOOKUP($F519,ActionMap!$A:$B,2,FALSE),"INVALID ACTION"))</f>
        <v/>
      </c>
      <c r="F519" s="4" t="n"/>
      <c r="G519" s="11">
        <f>IFERROR(VLOOKUP($E519,ActionsCatalog!$A:$B,2,FALSE),"")</f>
        <v/>
      </c>
      <c r="H519" s="4" t="n"/>
      <c r="I519" s="4">
        <f>IFERROR(VLOOKUP($E519,ActionsCatalog!$A:$D,3,FALSE),0)</f>
        <v/>
      </c>
      <c r="J519" s="4">
        <f>IFERROR(VLOOKUP($E519,ActionsCatalog!$A:$D,4,FALSE),0)</f>
        <v/>
      </c>
      <c r="K519" s="4">
        <f>IF($M519&lt;&gt;"Yes",0,IF($H519="",0,$H519*$I519))</f>
        <v/>
      </c>
      <c r="L519" s="4">
        <f>IF($M519&lt;&gt;"Yes",0,IF($H519="",0,$H519*$J519))</f>
        <v/>
      </c>
      <c r="M519" s="4" t="n"/>
      <c r="N519" s="4" t="n"/>
      <c r="O519" s="4">
        <f>IF($A519="","",TEXT($A519,"yyyy")&amp;"-W"&amp;TEXT(ISOWEEKNUM($A519),"00"))</f>
        <v/>
      </c>
      <c r="P519" s="4" t="n"/>
      <c r="Q519" s="14">
        <f>IF($A519="","",TEXT($A519,"yyyy-mm"))</f>
        <v/>
      </c>
    </row>
    <row r="520">
      <c r="A520" s="66" t="n"/>
      <c r="B520" s="4" t="n"/>
      <c r="C520" s="11">
        <f>IFERROR(VLOOKUP($B520,Members!$A:$C,2,FALSE),"")</f>
        <v/>
      </c>
      <c r="D520" s="11">
        <f>IFERROR(VLOOKUP($B520,Members!$A:$C,3,FALSE),"")</f>
        <v/>
      </c>
      <c r="E520" s="11">
        <f>IF($F520="","",IFERROR(VLOOKUP($F520,ActionMap!$A:$B,2,FALSE),"INVALID ACTION"))</f>
        <v/>
      </c>
      <c r="F520" s="4" t="n"/>
      <c r="G520" s="11">
        <f>IFERROR(VLOOKUP($E520,ActionsCatalog!$A:$B,2,FALSE),"")</f>
        <v/>
      </c>
      <c r="H520" s="4" t="n"/>
      <c r="I520" s="4">
        <f>IFERROR(VLOOKUP($E520,ActionsCatalog!$A:$D,3,FALSE),0)</f>
        <v/>
      </c>
      <c r="J520" s="4">
        <f>IFERROR(VLOOKUP($E520,ActionsCatalog!$A:$D,4,FALSE),0)</f>
        <v/>
      </c>
      <c r="K520" s="4">
        <f>IF($M520&lt;&gt;"Yes",0,IF($H520="",0,$H520*$I520))</f>
        <v/>
      </c>
      <c r="L520" s="4">
        <f>IF($M520&lt;&gt;"Yes",0,IF($H520="",0,$H520*$J520))</f>
        <v/>
      </c>
      <c r="M520" s="4" t="n"/>
      <c r="N520" s="4" t="n"/>
      <c r="O520" s="4">
        <f>IF($A520="","",TEXT($A520,"yyyy")&amp;"-W"&amp;TEXT(ISOWEEKNUM($A520),"00"))</f>
        <v/>
      </c>
      <c r="P520" s="4" t="n"/>
      <c r="Q520" s="14">
        <f>IF($A520="","",TEXT($A520,"yyyy-mm"))</f>
        <v/>
      </c>
    </row>
    <row r="521">
      <c r="A521" s="66" t="n"/>
      <c r="B521" s="4" t="n"/>
      <c r="C521" s="11">
        <f>IFERROR(VLOOKUP($B521,Members!$A:$C,2,FALSE),"")</f>
        <v/>
      </c>
      <c r="D521" s="11">
        <f>IFERROR(VLOOKUP($B521,Members!$A:$C,3,FALSE),"")</f>
        <v/>
      </c>
      <c r="E521" s="11">
        <f>IF($F521="","",IFERROR(VLOOKUP($F521,ActionMap!$A:$B,2,FALSE),"INVALID ACTION"))</f>
        <v/>
      </c>
      <c r="F521" s="4" t="n"/>
      <c r="G521" s="11">
        <f>IFERROR(VLOOKUP($E521,ActionsCatalog!$A:$B,2,FALSE),"")</f>
        <v/>
      </c>
      <c r="H521" s="4" t="n"/>
      <c r="I521" s="4">
        <f>IFERROR(VLOOKUP($E521,ActionsCatalog!$A:$D,3,FALSE),0)</f>
        <v/>
      </c>
      <c r="J521" s="4">
        <f>IFERROR(VLOOKUP($E521,ActionsCatalog!$A:$D,4,FALSE),0)</f>
        <v/>
      </c>
      <c r="K521" s="4">
        <f>IF($M521&lt;&gt;"Yes",0,IF($H521="",0,$H521*$I521))</f>
        <v/>
      </c>
      <c r="L521" s="4">
        <f>IF($M521&lt;&gt;"Yes",0,IF($H521="",0,$H521*$J521))</f>
        <v/>
      </c>
      <c r="M521" s="4" t="n"/>
      <c r="N521" s="4" t="n"/>
      <c r="O521" s="4">
        <f>IF($A521="","",TEXT($A521,"yyyy")&amp;"-W"&amp;TEXT(ISOWEEKNUM($A521),"00"))</f>
        <v/>
      </c>
      <c r="P521" s="4" t="n"/>
      <c r="Q521" s="14">
        <f>IF($A521="","",TEXT($A521,"yyyy-mm"))</f>
        <v/>
      </c>
    </row>
    <row r="522">
      <c r="A522" s="66" t="n"/>
      <c r="B522" s="4" t="n"/>
      <c r="C522" s="11">
        <f>IFERROR(VLOOKUP($B522,Members!$A:$C,2,FALSE),"")</f>
        <v/>
      </c>
      <c r="D522" s="11">
        <f>IFERROR(VLOOKUP($B522,Members!$A:$C,3,FALSE),"")</f>
        <v/>
      </c>
      <c r="E522" s="11">
        <f>IF($F522="","",IFERROR(VLOOKUP($F522,ActionMap!$A:$B,2,FALSE),"INVALID ACTION"))</f>
        <v/>
      </c>
      <c r="F522" s="4" t="n"/>
      <c r="G522" s="11">
        <f>IFERROR(VLOOKUP($E522,ActionsCatalog!$A:$B,2,FALSE),"")</f>
        <v/>
      </c>
      <c r="H522" s="4" t="n"/>
      <c r="I522" s="4">
        <f>IFERROR(VLOOKUP($E522,ActionsCatalog!$A:$D,3,FALSE),0)</f>
        <v/>
      </c>
      <c r="J522" s="4">
        <f>IFERROR(VLOOKUP($E522,ActionsCatalog!$A:$D,4,FALSE),0)</f>
        <v/>
      </c>
      <c r="K522" s="4">
        <f>IF($M522&lt;&gt;"Yes",0,IF($H522="",0,$H522*$I522))</f>
        <v/>
      </c>
      <c r="L522" s="4">
        <f>IF($M522&lt;&gt;"Yes",0,IF($H522="",0,$H522*$J522))</f>
        <v/>
      </c>
      <c r="M522" s="4" t="n"/>
      <c r="N522" s="4" t="n"/>
      <c r="O522" s="4">
        <f>IF($A522="","",TEXT($A522,"yyyy")&amp;"-W"&amp;TEXT(ISOWEEKNUM($A522),"00"))</f>
        <v/>
      </c>
      <c r="P522" s="4" t="n"/>
      <c r="Q522" s="14">
        <f>IF($A522="","",TEXT($A522,"yyyy-mm"))</f>
        <v/>
      </c>
    </row>
    <row r="523">
      <c r="A523" s="66" t="n"/>
      <c r="B523" s="4" t="n"/>
      <c r="C523" s="11">
        <f>IFERROR(VLOOKUP($B523,Members!$A:$C,2,FALSE),"")</f>
        <v/>
      </c>
      <c r="D523" s="11">
        <f>IFERROR(VLOOKUP($B523,Members!$A:$C,3,FALSE),"")</f>
        <v/>
      </c>
      <c r="E523" s="11">
        <f>IF($F523="","",IFERROR(VLOOKUP($F523,ActionMap!$A:$B,2,FALSE),"INVALID ACTION"))</f>
        <v/>
      </c>
      <c r="F523" s="4" t="n"/>
      <c r="G523" s="11">
        <f>IFERROR(VLOOKUP($E523,ActionsCatalog!$A:$B,2,FALSE),"")</f>
        <v/>
      </c>
      <c r="H523" s="4" t="n"/>
      <c r="I523" s="4">
        <f>IFERROR(VLOOKUP($E523,ActionsCatalog!$A:$D,3,FALSE),0)</f>
        <v/>
      </c>
      <c r="J523" s="4">
        <f>IFERROR(VLOOKUP($E523,ActionsCatalog!$A:$D,4,FALSE),0)</f>
        <v/>
      </c>
      <c r="K523" s="4">
        <f>IF($M523&lt;&gt;"Yes",0,IF($H523="",0,$H523*$I523))</f>
        <v/>
      </c>
      <c r="L523" s="4">
        <f>IF($M523&lt;&gt;"Yes",0,IF($H523="",0,$H523*$J523))</f>
        <v/>
      </c>
      <c r="M523" s="4" t="n"/>
      <c r="N523" s="4" t="n"/>
      <c r="O523" s="4">
        <f>IF($A523="","",TEXT($A523,"yyyy")&amp;"-W"&amp;TEXT(ISOWEEKNUM($A523),"00"))</f>
        <v/>
      </c>
      <c r="P523" s="4" t="n"/>
      <c r="Q523" s="14">
        <f>IF($A523="","",TEXT($A523,"yyyy-mm"))</f>
        <v/>
      </c>
    </row>
    <row r="524">
      <c r="A524" s="66" t="n"/>
      <c r="B524" s="4" t="n"/>
      <c r="C524" s="11">
        <f>IFERROR(VLOOKUP($B524,Members!$A:$C,2,FALSE),"")</f>
        <v/>
      </c>
      <c r="D524" s="11">
        <f>IFERROR(VLOOKUP($B524,Members!$A:$C,3,FALSE),"")</f>
        <v/>
      </c>
      <c r="E524" s="11">
        <f>IF($F524="","",IFERROR(VLOOKUP($F524,ActionMap!$A:$B,2,FALSE),"INVALID ACTION"))</f>
        <v/>
      </c>
      <c r="F524" s="4" t="n"/>
      <c r="G524" s="11">
        <f>IFERROR(VLOOKUP($E524,ActionsCatalog!$A:$B,2,FALSE),"")</f>
        <v/>
      </c>
      <c r="H524" s="4" t="n"/>
      <c r="I524" s="4">
        <f>IFERROR(VLOOKUP($E524,ActionsCatalog!$A:$D,3,FALSE),0)</f>
        <v/>
      </c>
      <c r="J524" s="4">
        <f>IFERROR(VLOOKUP($E524,ActionsCatalog!$A:$D,4,FALSE),0)</f>
        <v/>
      </c>
      <c r="K524" s="4">
        <f>IF($M524&lt;&gt;"Yes",0,IF($H524="",0,$H524*$I524))</f>
        <v/>
      </c>
      <c r="L524" s="4">
        <f>IF($M524&lt;&gt;"Yes",0,IF($H524="",0,$H524*$J524))</f>
        <v/>
      </c>
      <c r="M524" s="4" t="n"/>
      <c r="N524" s="4" t="n"/>
      <c r="O524" s="4">
        <f>IF($A524="","",TEXT($A524,"yyyy")&amp;"-W"&amp;TEXT(ISOWEEKNUM($A524),"00"))</f>
        <v/>
      </c>
      <c r="P524" s="4" t="n"/>
      <c r="Q524" s="14">
        <f>IF($A524="","",TEXT($A524,"yyyy-mm"))</f>
        <v/>
      </c>
    </row>
    <row r="525">
      <c r="A525" s="66" t="n"/>
      <c r="B525" s="4" t="n"/>
      <c r="C525" s="11">
        <f>IFERROR(VLOOKUP($B525,Members!$A:$C,2,FALSE),"")</f>
        <v/>
      </c>
      <c r="D525" s="11">
        <f>IFERROR(VLOOKUP($B525,Members!$A:$C,3,FALSE),"")</f>
        <v/>
      </c>
      <c r="E525" s="11">
        <f>IF($F525="","",IFERROR(VLOOKUP($F525,ActionMap!$A:$B,2,FALSE),"INVALID ACTION"))</f>
        <v/>
      </c>
      <c r="F525" s="4" t="n"/>
      <c r="G525" s="11">
        <f>IFERROR(VLOOKUP($E525,ActionsCatalog!$A:$B,2,FALSE),"")</f>
        <v/>
      </c>
      <c r="H525" s="4" t="n"/>
      <c r="I525" s="4">
        <f>IFERROR(VLOOKUP($E525,ActionsCatalog!$A:$D,3,FALSE),0)</f>
        <v/>
      </c>
      <c r="J525" s="4">
        <f>IFERROR(VLOOKUP($E525,ActionsCatalog!$A:$D,4,FALSE),0)</f>
        <v/>
      </c>
      <c r="K525" s="4">
        <f>IF($M525&lt;&gt;"Yes",0,IF($H525="",0,$H525*$I525))</f>
        <v/>
      </c>
      <c r="L525" s="4">
        <f>IF($M525&lt;&gt;"Yes",0,IF($H525="",0,$H525*$J525))</f>
        <v/>
      </c>
      <c r="M525" s="4" t="n"/>
      <c r="N525" s="4" t="n"/>
      <c r="O525" s="4">
        <f>IF($A525="","",TEXT($A525,"yyyy")&amp;"-W"&amp;TEXT(ISOWEEKNUM($A525),"00"))</f>
        <v/>
      </c>
      <c r="P525" s="4" t="n"/>
      <c r="Q525" s="14">
        <f>IF($A525="","",TEXT($A525,"yyyy-mm"))</f>
        <v/>
      </c>
    </row>
    <row r="526">
      <c r="A526" s="66" t="n"/>
      <c r="B526" s="4" t="n"/>
      <c r="C526" s="11">
        <f>IFERROR(VLOOKUP($B526,Members!$A:$C,2,FALSE),"")</f>
        <v/>
      </c>
      <c r="D526" s="11">
        <f>IFERROR(VLOOKUP($B526,Members!$A:$C,3,FALSE),"")</f>
        <v/>
      </c>
      <c r="E526" s="11">
        <f>IF($F526="","",IFERROR(VLOOKUP($F526,ActionMap!$A:$B,2,FALSE),"INVALID ACTION"))</f>
        <v/>
      </c>
      <c r="F526" s="4" t="n"/>
      <c r="G526" s="11">
        <f>IFERROR(VLOOKUP($E526,ActionsCatalog!$A:$B,2,FALSE),"")</f>
        <v/>
      </c>
      <c r="H526" s="4" t="n"/>
      <c r="I526" s="4">
        <f>IFERROR(VLOOKUP($E526,ActionsCatalog!$A:$D,3,FALSE),0)</f>
        <v/>
      </c>
      <c r="J526" s="4">
        <f>IFERROR(VLOOKUP($E526,ActionsCatalog!$A:$D,4,FALSE),0)</f>
        <v/>
      </c>
      <c r="K526" s="4">
        <f>IF($M526&lt;&gt;"Yes",0,IF($H526="",0,$H526*$I526))</f>
        <v/>
      </c>
      <c r="L526" s="4">
        <f>IF($M526&lt;&gt;"Yes",0,IF($H526="",0,$H526*$J526))</f>
        <v/>
      </c>
      <c r="M526" s="4" t="n"/>
      <c r="N526" s="4" t="n"/>
      <c r="O526" s="4">
        <f>IF($A526="","",TEXT($A526,"yyyy")&amp;"-W"&amp;TEXT(ISOWEEKNUM($A526),"00"))</f>
        <v/>
      </c>
      <c r="P526" s="4" t="n"/>
      <c r="Q526" s="14">
        <f>IF($A526="","",TEXT($A526,"yyyy-mm"))</f>
        <v/>
      </c>
    </row>
    <row r="527">
      <c r="A527" s="66" t="n"/>
      <c r="B527" s="4" t="n"/>
      <c r="C527" s="11">
        <f>IFERROR(VLOOKUP($B527,Members!$A:$C,2,FALSE),"")</f>
        <v/>
      </c>
      <c r="D527" s="11">
        <f>IFERROR(VLOOKUP($B527,Members!$A:$C,3,FALSE),"")</f>
        <v/>
      </c>
      <c r="E527" s="11">
        <f>IF($F527="","",IFERROR(VLOOKUP($F527,ActionMap!$A:$B,2,FALSE),"INVALID ACTION"))</f>
        <v/>
      </c>
      <c r="F527" s="4" t="n"/>
      <c r="G527" s="11">
        <f>IFERROR(VLOOKUP($E527,ActionsCatalog!$A:$B,2,FALSE),"")</f>
        <v/>
      </c>
      <c r="H527" s="4" t="n"/>
      <c r="I527" s="4">
        <f>IFERROR(VLOOKUP($E527,ActionsCatalog!$A:$D,3,FALSE),0)</f>
        <v/>
      </c>
      <c r="J527" s="4">
        <f>IFERROR(VLOOKUP($E527,ActionsCatalog!$A:$D,4,FALSE),0)</f>
        <v/>
      </c>
      <c r="K527" s="4">
        <f>IF($M527&lt;&gt;"Yes",0,IF($H527="",0,$H527*$I527))</f>
        <v/>
      </c>
      <c r="L527" s="4">
        <f>IF($M527&lt;&gt;"Yes",0,IF($H527="",0,$H527*$J527))</f>
        <v/>
      </c>
      <c r="M527" s="4" t="n"/>
      <c r="N527" s="4" t="n"/>
      <c r="O527" s="4">
        <f>IF($A527="","",TEXT($A527,"yyyy")&amp;"-W"&amp;TEXT(ISOWEEKNUM($A527),"00"))</f>
        <v/>
      </c>
      <c r="P527" s="4" t="n"/>
      <c r="Q527" s="14">
        <f>IF($A527="","",TEXT($A527,"yyyy-mm"))</f>
        <v/>
      </c>
    </row>
    <row r="528">
      <c r="A528" s="66" t="n"/>
      <c r="B528" s="4" t="n"/>
      <c r="C528" s="11">
        <f>IFERROR(VLOOKUP($B528,Members!$A:$C,2,FALSE),"")</f>
        <v/>
      </c>
      <c r="D528" s="11">
        <f>IFERROR(VLOOKUP($B528,Members!$A:$C,3,FALSE),"")</f>
        <v/>
      </c>
      <c r="E528" s="11">
        <f>IF($F528="","",IFERROR(VLOOKUP($F528,ActionMap!$A:$B,2,FALSE),"INVALID ACTION"))</f>
        <v/>
      </c>
      <c r="F528" s="4" t="n"/>
      <c r="G528" s="11">
        <f>IFERROR(VLOOKUP($E528,ActionsCatalog!$A:$B,2,FALSE),"")</f>
        <v/>
      </c>
      <c r="H528" s="4" t="n"/>
      <c r="I528" s="4">
        <f>IFERROR(VLOOKUP($E528,ActionsCatalog!$A:$D,3,FALSE),0)</f>
        <v/>
      </c>
      <c r="J528" s="4">
        <f>IFERROR(VLOOKUP($E528,ActionsCatalog!$A:$D,4,FALSE),0)</f>
        <v/>
      </c>
      <c r="K528" s="4">
        <f>IF($M528&lt;&gt;"Yes",0,IF($H528="",0,$H528*$I528))</f>
        <v/>
      </c>
      <c r="L528" s="4">
        <f>IF($M528&lt;&gt;"Yes",0,IF($H528="",0,$H528*$J528))</f>
        <v/>
      </c>
      <c r="M528" s="4" t="n"/>
      <c r="N528" s="4" t="n"/>
      <c r="O528" s="4">
        <f>IF($A528="","",TEXT($A528,"yyyy")&amp;"-W"&amp;TEXT(ISOWEEKNUM($A528),"00"))</f>
        <v/>
      </c>
      <c r="P528" s="4" t="n"/>
      <c r="Q528" s="14">
        <f>IF($A528="","",TEXT($A528,"yyyy-mm"))</f>
        <v/>
      </c>
    </row>
    <row r="529">
      <c r="A529" s="66" t="n"/>
      <c r="B529" s="4" t="n"/>
      <c r="C529" s="11">
        <f>IFERROR(VLOOKUP($B529,Members!$A:$C,2,FALSE),"")</f>
        <v/>
      </c>
      <c r="D529" s="11">
        <f>IFERROR(VLOOKUP($B529,Members!$A:$C,3,FALSE),"")</f>
        <v/>
      </c>
      <c r="E529" s="11">
        <f>IF($F529="","",IFERROR(VLOOKUP($F529,ActionMap!$A:$B,2,FALSE),"INVALID ACTION"))</f>
        <v/>
      </c>
      <c r="F529" s="4" t="n"/>
      <c r="G529" s="11">
        <f>IFERROR(VLOOKUP($E529,ActionsCatalog!$A:$B,2,FALSE),"")</f>
        <v/>
      </c>
      <c r="H529" s="4" t="n"/>
      <c r="I529" s="4">
        <f>IFERROR(VLOOKUP($E529,ActionsCatalog!$A:$D,3,FALSE),0)</f>
        <v/>
      </c>
      <c r="J529" s="4">
        <f>IFERROR(VLOOKUP($E529,ActionsCatalog!$A:$D,4,FALSE),0)</f>
        <v/>
      </c>
      <c r="K529" s="4">
        <f>IF($M529&lt;&gt;"Yes",0,IF($H529="",0,$H529*$I529))</f>
        <v/>
      </c>
      <c r="L529" s="4">
        <f>IF($M529&lt;&gt;"Yes",0,IF($H529="",0,$H529*$J529))</f>
        <v/>
      </c>
      <c r="M529" s="4" t="n"/>
      <c r="N529" s="4" t="n"/>
      <c r="O529" s="4">
        <f>IF($A529="","",TEXT($A529,"yyyy")&amp;"-W"&amp;TEXT(ISOWEEKNUM($A529),"00"))</f>
        <v/>
      </c>
      <c r="P529" s="4" t="n"/>
      <c r="Q529" s="14">
        <f>IF($A529="","",TEXT($A529,"yyyy-mm"))</f>
        <v/>
      </c>
    </row>
    <row r="530">
      <c r="A530" s="66" t="n"/>
      <c r="B530" s="4" t="n"/>
      <c r="C530" s="11">
        <f>IFERROR(VLOOKUP($B530,Members!$A:$C,2,FALSE),"")</f>
        <v/>
      </c>
      <c r="D530" s="11">
        <f>IFERROR(VLOOKUP($B530,Members!$A:$C,3,FALSE),"")</f>
        <v/>
      </c>
      <c r="E530" s="11">
        <f>IF($F530="","",IFERROR(VLOOKUP($F530,ActionMap!$A:$B,2,FALSE),"INVALID ACTION"))</f>
        <v/>
      </c>
      <c r="F530" s="4" t="n"/>
      <c r="G530" s="11">
        <f>IFERROR(VLOOKUP($E530,ActionsCatalog!$A:$B,2,FALSE),"")</f>
        <v/>
      </c>
      <c r="H530" s="4" t="n"/>
      <c r="I530" s="4">
        <f>IFERROR(VLOOKUP($E530,ActionsCatalog!$A:$D,3,FALSE),0)</f>
        <v/>
      </c>
      <c r="J530" s="4">
        <f>IFERROR(VLOOKUP($E530,ActionsCatalog!$A:$D,4,FALSE),0)</f>
        <v/>
      </c>
      <c r="K530" s="4">
        <f>IF($M530&lt;&gt;"Yes",0,IF($H530="",0,$H530*$I530))</f>
        <v/>
      </c>
      <c r="L530" s="4">
        <f>IF($M530&lt;&gt;"Yes",0,IF($H530="",0,$H530*$J530))</f>
        <v/>
      </c>
      <c r="M530" s="4" t="n"/>
      <c r="N530" s="4" t="n"/>
      <c r="O530" s="4">
        <f>IF($A530="","",TEXT($A530,"yyyy")&amp;"-W"&amp;TEXT(ISOWEEKNUM($A530),"00"))</f>
        <v/>
      </c>
      <c r="P530" s="4" t="n"/>
      <c r="Q530" s="14">
        <f>IF($A530="","",TEXT($A530,"yyyy-mm"))</f>
        <v/>
      </c>
    </row>
    <row r="531">
      <c r="A531" s="66" t="n"/>
      <c r="B531" s="4" t="n"/>
      <c r="C531" s="11">
        <f>IFERROR(VLOOKUP($B531,Members!$A:$C,2,FALSE),"")</f>
        <v/>
      </c>
      <c r="D531" s="11">
        <f>IFERROR(VLOOKUP($B531,Members!$A:$C,3,FALSE),"")</f>
        <v/>
      </c>
      <c r="E531" s="11">
        <f>IF($F531="","",IFERROR(VLOOKUP($F531,ActionMap!$A:$B,2,FALSE),"INVALID ACTION"))</f>
        <v/>
      </c>
      <c r="F531" s="4" t="n"/>
      <c r="G531" s="11">
        <f>IFERROR(VLOOKUP($E531,ActionsCatalog!$A:$B,2,FALSE),"")</f>
        <v/>
      </c>
      <c r="H531" s="4" t="n"/>
      <c r="I531" s="4">
        <f>IFERROR(VLOOKUP($E531,ActionsCatalog!$A:$D,3,FALSE),0)</f>
        <v/>
      </c>
      <c r="J531" s="4">
        <f>IFERROR(VLOOKUP($E531,ActionsCatalog!$A:$D,4,FALSE),0)</f>
        <v/>
      </c>
      <c r="K531" s="4">
        <f>IF($M531&lt;&gt;"Yes",0,IF($H531="",0,$H531*$I531))</f>
        <v/>
      </c>
      <c r="L531" s="4">
        <f>IF($M531&lt;&gt;"Yes",0,IF($H531="",0,$H531*$J531))</f>
        <v/>
      </c>
      <c r="M531" s="4" t="n"/>
      <c r="N531" s="4" t="n"/>
      <c r="O531" s="4">
        <f>IF($A531="","",TEXT($A531,"yyyy")&amp;"-W"&amp;TEXT(ISOWEEKNUM($A531),"00"))</f>
        <v/>
      </c>
      <c r="P531" s="4" t="n"/>
      <c r="Q531" s="14">
        <f>IF($A531="","",TEXT($A531,"yyyy-mm"))</f>
        <v/>
      </c>
    </row>
    <row r="532">
      <c r="A532" s="66" t="n"/>
      <c r="B532" s="4" t="n"/>
      <c r="C532" s="11">
        <f>IFERROR(VLOOKUP($B532,Members!$A:$C,2,FALSE),"")</f>
        <v/>
      </c>
      <c r="D532" s="11">
        <f>IFERROR(VLOOKUP($B532,Members!$A:$C,3,FALSE),"")</f>
        <v/>
      </c>
      <c r="E532" s="11">
        <f>IF($F532="","",IFERROR(VLOOKUP($F532,ActionMap!$A:$B,2,FALSE),"INVALID ACTION"))</f>
        <v/>
      </c>
      <c r="F532" s="4" t="n"/>
      <c r="G532" s="11">
        <f>IFERROR(VLOOKUP($E532,ActionsCatalog!$A:$B,2,FALSE),"")</f>
        <v/>
      </c>
      <c r="H532" s="4" t="n"/>
      <c r="I532" s="4">
        <f>IFERROR(VLOOKUP($E532,ActionsCatalog!$A:$D,3,FALSE),0)</f>
        <v/>
      </c>
      <c r="J532" s="4">
        <f>IFERROR(VLOOKUP($E532,ActionsCatalog!$A:$D,4,FALSE),0)</f>
        <v/>
      </c>
      <c r="K532" s="4">
        <f>IF($M532&lt;&gt;"Yes",0,IF($H532="",0,$H532*$I532))</f>
        <v/>
      </c>
      <c r="L532" s="4">
        <f>IF($M532&lt;&gt;"Yes",0,IF($H532="",0,$H532*$J532))</f>
        <v/>
      </c>
      <c r="M532" s="4" t="n"/>
      <c r="N532" s="4" t="n"/>
      <c r="O532" s="4">
        <f>IF($A532="","",TEXT($A532,"yyyy")&amp;"-W"&amp;TEXT(ISOWEEKNUM($A532),"00"))</f>
        <v/>
      </c>
      <c r="P532" s="4" t="n"/>
      <c r="Q532" s="14">
        <f>IF($A532="","",TEXT($A532,"yyyy-mm"))</f>
        <v/>
      </c>
    </row>
    <row r="533">
      <c r="A533" s="66" t="n"/>
      <c r="B533" s="4" t="n"/>
      <c r="C533" s="11">
        <f>IFERROR(VLOOKUP($B533,Members!$A:$C,2,FALSE),"")</f>
        <v/>
      </c>
      <c r="D533" s="11">
        <f>IFERROR(VLOOKUP($B533,Members!$A:$C,3,FALSE),"")</f>
        <v/>
      </c>
      <c r="E533" s="11">
        <f>IF($F533="","",IFERROR(VLOOKUP($F533,ActionMap!$A:$B,2,FALSE),"INVALID ACTION"))</f>
        <v/>
      </c>
      <c r="F533" s="4" t="n"/>
      <c r="G533" s="11">
        <f>IFERROR(VLOOKUP($E533,ActionsCatalog!$A:$B,2,FALSE),"")</f>
        <v/>
      </c>
      <c r="H533" s="4" t="n"/>
      <c r="I533" s="4">
        <f>IFERROR(VLOOKUP($E533,ActionsCatalog!$A:$D,3,FALSE),0)</f>
        <v/>
      </c>
      <c r="J533" s="4">
        <f>IFERROR(VLOOKUP($E533,ActionsCatalog!$A:$D,4,FALSE),0)</f>
        <v/>
      </c>
      <c r="K533" s="4">
        <f>IF($M533&lt;&gt;"Yes",0,IF($H533="",0,$H533*$I533))</f>
        <v/>
      </c>
      <c r="L533" s="4">
        <f>IF($M533&lt;&gt;"Yes",0,IF($H533="",0,$H533*$J533))</f>
        <v/>
      </c>
      <c r="M533" s="4" t="n"/>
      <c r="N533" s="4" t="n"/>
      <c r="O533" s="4">
        <f>IF($A533="","",TEXT($A533,"yyyy")&amp;"-W"&amp;TEXT(ISOWEEKNUM($A533),"00"))</f>
        <v/>
      </c>
      <c r="P533" s="4" t="n"/>
      <c r="Q533" s="14">
        <f>IF($A533="","",TEXT($A533,"yyyy-mm"))</f>
        <v/>
      </c>
    </row>
    <row r="534">
      <c r="A534" s="66" t="n"/>
      <c r="B534" s="4" t="n"/>
      <c r="C534" s="11">
        <f>IFERROR(VLOOKUP($B534,Members!$A:$C,2,FALSE),"")</f>
        <v/>
      </c>
      <c r="D534" s="11">
        <f>IFERROR(VLOOKUP($B534,Members!$A:$C,3,FALSE),"")</f>
        <v/>
      </c>
      <c r="E534" s="11">
        <f>IF($F534="","",IFERROR(VLOOKUP($F534,ActionMap!$A:$B,2,FALSE),"INVALID ACTION"))</f>
        <v/>
      </c>
      <c r="F534" s="4" t="n"/>
      <c r="G534" s="11">
        <f>IFERROR(VLOOKUP($E534,ActionsCatalog!$A:$B,2,FALSE),"")</f>
        <v/>
      </c>
      <c r="H534" s="4" t="n"/>
      <c r="I534" s="4">
        <f>IFERROR(VLOOKUP($E534,ActionsCatalog!$A:$D,3,FALSE),0)</f>
        <v/>
      </c>
      <c r="J534" s="4">
        <f>IFERROR(VLOOKUP($E534,ActionsCatalog!$A:$D,4,FALSE),0)</f>
        <v/>
      </c>
      <c r="K534" s="4">
        <f>IF($M534&lt;&gt;"Yes",0,IF($H534="",0,$H534*$I534))</f>
        <v/>
      </c>
      <c r="L534" s="4">
        <f>IF($M534&lt;&gt;"Yes",0,IF($H534="",0,$H534*$J534))</f>
        <v/>
      </c>
      <c r="M534" s="4" t="n"/>
      <c r="N534" s="4" t="n"/>
      <c r="O534" s="4">
        <f>IF($A534="","",TEXT($A534,"yyyy")&amp;"-W"&amp;TEXT(ISOWEEKNUM($A534),"00"))</f>
        <v/>
      </c>
      <c r="P534" s="4" t="n"/>
      <c r="Q534" s="14">
        <f>IF($A534="","",TEXT($A534,"yyyy-mm"))</f>
        <v/>
      </c>
    </row>
    <row r="535">
      <c r="A535" s="66" t="n"/>
      <c r="B535" s="4" t="n"/>
      <c r="C535" s="11">
        <f>IFERROR(VLOOKUP($B535,Members!$A:$C,2,FALSE),"")</f>
        <v/>
      </c>
      <c r="D535" s="11">
        <f>IFERROR(VLOOKUP($B535,Members!$A:$C,3,FALSE),"")</f>
        <v/>
      </c>
      <c r="E535" s="11">
        <f>IF($F535="","",IFERROR(VLOOKUP($F535,ActionMap!$A:$B,2,FALSE),"INVALID ACTION"))</f>
        <v/>
      </c>
      <c r="F535" s="4" t="n"/>
      <c r="G535" s="11">
        <f>IFERROR(VLOOKUP($E535,ActionsCatalog!$A:$B,2,FALSE),"")</f>
        <v/>
      </c>
      <c r="H535" s="4" t="n"/>
      <c r="I535" s="4">
        <f>IFERROR(VLOOKUP($E535,ActionsCatalog!$A:$D,3,FALSE),0)</f>
        <v/>
      </c>
      <c r="J535" s="4">
        <f>IFERROR(VLOOKUP($E535,ActionsCatalog!$A:$D,4,FALSE),0)</f>
        <v/>
      </c>
      <c r="K535" s="4">
        <f>IF($M535&lt;&gt;"Yes",0,IF($H535="",0,$H535*$I535))</f>
        <v/>
      </c>
      <c r="L535" s="4">
        <f>IF($M535&lt;&gt;"Yes",0,IF($H535="",0,$H535*$J535))</f>
        <v/>
      </c>
      <c r="M535" s="4" t="n"/>
      <c r="N535" s="4" t="n"/>
      <c r="O535" s="4">
        <f>IF($A535="","",TEXT($A535,"yyyy")&amp;"-W"&amp;TEXT(ISOWEEKNUM($A535),"00"))</f>
        <v/>
      </c>
      <c r="P535" s="4" t="n"/>
      <c r="Q535" s="14">
        <f>IF($A535="","",TEXT($A535,"yyyy-mm"))</f>
        <v/>
      </c>
    </row>
    <row r="536">
      <c r="A536" s="66" t="n"/>
      <c r="B536" s="4" t="n"/>
      <c r="C536" s="11">
        <f>IFERROR(VLOOKUP($B536,Members!$A:$C,2,FALSE),"")</f>
        <v/>
      </c>
      <c r="D536" s="11">
        <f>IFERROR(VLOOKUP($B536,Members!$A:$C,3,FALSE),"")</f>
        <v/>
      </c>
      <c r="E536" s="11">
        <f>IF($F536="","",IFERROR(VLOOKUP($F536,ActionMap!$A:$B,2,FALSE),"INVALID ACTION"))</f>
        <v/>
      </c>
      <c r="F536" s="4" t="n"/>
      <c r="G536" s="11">
        <f>IFERROR(VLOOKUP($E536,ActionsCatalog!$A:$B,2,FALSE),"")</f>
        <v/>
      </c>
      <c r="H536" s="4" t="n"/>
      <c r="I536" s="4">
        <f>IFERROR(VLOOKUP($E536,ActionsCatalog!$A:$D,3,FALSE),0)</f>
        <v/>
      </c>
      <c r="J536" s="4">
        <f>IFERROR(VLOOKUP($E536,ActionsCatalog!$A:$D,4,FALSE),0)</f>
        <v/>
      </c>
      <c r="K536" s="4">
        <f>IF($M536&lt;&gt;"Yes",0,IF($H536="",0,$H536*$I536))</f>
        <v/>
      </c>
      <c r="L536" s="4">
        <f>IF($M536&lt;&gt;"Yes",0,IF($H536="",0,$H536*$J536))</f>
        <v/>
      </c>
      <c r="M536" s="4" t="n"/>
      <c r="N536" s="4" t="n"/>
      <c r="O536" s="4">
        <f>IF($A536="","",TEXT($A536,"yyyy")&amp;"-W"&amp;TEXT(ISOWEEKNUM($A536),"00"))</f>
        <v/>
      </c>
      <c r="P536" s="4" t="n"/>
      <c r="Q536" s="14">
        <f>IF($A536="","",TEXT($A536,"yyyy-mm"))</f>
        <v/>
      </c>
    </row>
    <row r="537">
      <c r="A537" s="66" t="n"/>
      <c r="B537" s="4" t="n"/>
      <c r="C537" s="11">
        <f>IFERROR(VLOOKUP($B537,Members!$A:$C,2,FALSE),"")</f>
        <v/>
      </c>
      <c r="D537" s="11">
        <f>IFERROR(VLOOKUP($B537,Members!$A:$C,3,FALSE),"")</f>
        <v/>
      </c>
      <c r="E537" s="11">
        <f>IF($F537="","",IFERROR(VLOOKUP($F537,ActionMap!$A:$B,2,FALSE),"INVALID ACTION"))</f>
        <v/>
      </c>
      <c r="F537" s="4" t="n"/>
      <c r="G537" s="11">
        <f>IFERROR(VLOOKUP($E537,ActionsCatalog!$A:$B,2,FALSE),"")</f>
        <v/>
      </c>
      <c r="H537" s="4" t="n"/>
      <c r="I537" s="4">
        <f>IFERROR(VLOOKUP($E537,ActionsCatalog!$A:$D,3,FALSE),0)</f>
        <v/>
      </c>
      <c r="J537" s="4">
        <f>IFERROR(VLOOKUP($E537,ActionsCatalog!$A:$D,4,FALSE),0)</f>
        <v/>
      </c>
      <c r="K537" s="4">
        <f>IF($M537&lt;&gt;"Yes",0,IF($H537="",0,$H537*$I537))</f>
        <v/>
      </c>
      <c r="L537" s="4">
        <f>IF($M537&lt;&gt;"Yes",0,IF($H537="",0,$H537*$J537))</f>
        <v/>
      </c>
      <c r="M537" s="4" t="n"/>
      <c r="N537" s="4" t="n"/>
      <c r="O537" s="4">
        <f>IF($A537="","",TEXT($A537,"yyyy")&amp;"-W"&amp;TEXT(ISOWEEKNUM($A537),"00"))</f>
        <v/>
      </c>
      <c r="P537" s="4" t="n"/>
      <c r="Q537" s="14">
        <f>IF($A537="","",TEXT($A537,"yyyy-mm"))</f>
        <v/>
      </c>
    </row>
    <row r="538">
      <c r="A538" s="66" t="n"/>
      <c r="B538" s="4" t="n"/>
      <c r="C538" s="11">
        <f>IFERROR(VLOOKUP($B538,Members!$A:$C,2,FALSE),"")</f>
        <v/>
      </c>
      <c r="D538" s="11">
        <f>IFERROR(VLOOKUP($B538,Members!$A:$C,3,FALSE),"")</f>
        <v/>
      </c>
      <c r="E538" s="11">
        <f>IF($F538="","",IFERROR(VLOOKUP($F538,ActionMap!$A:$B,2,FALSE),"INVALID ACTION"))</f>
        <v/>
      </c>
      <c r="F538" s="4" t="n"/>
      <c r="G538" s="11">
        <f>IFERROR(VLOOKUP($E538,ActionsCatalog!$A:$B,2,FALSE),"")</f>
        <v/>
      </c>
      <c r="H538" s="4" t="n"/>
      <c r="I538" s="4">
        <f>IFERROR(VLOOKUP($E538,ActionsCatalog!$A:$D,3,FALSE),0)</f>
        <v/>
      </c>
      <c r="J538" s="4">
        <f>IFERROR(VLOOKUP($E538,ActionsCatalog!$A:$D,4,FALSE),0)</f>
        <v/>
      </c>
      <c r="K538" s="4">
        <f>IF($M538&lt;&gt;"Yes",0,IF($H538="",0,$H538*$I538))</f>
        <v/>
      </c>
      <c r="L538" s="4">
        <f>IF($M538&lt;&gt;"Yes",0,IF($H538="",0,$H538*$J538))</f>
        <v/>
      </c>
      <c r="M538" s="4" t="n"/>
      <c r="N538" s="4" t="n"/>
      <c r="O538" s="4">
        <f>IF($A538="","",TEXT($A538,"yyyy")&amp;"-W"&amp;TEXT(ISOWEEKNUM($A538),"00"))</f>
        <v/>
      </c>
      <c r="P538" s="4" t="n"/>
      <c r="Q538" s="14">
        <f>IF($A538="","",TEXT($A538,"yyyy-mm"))</f>
        <v/>
      </c>
    </row>
    <row r="539">
      <c r="A539" s="66" t="n"/>
      <c r="B539" s="4" t="n"/>
      <c r="C539" s="11">
        <f>IFERROR(VLOOKUP($B539,Members!$A:$C,2,FALSE),"")</f>
        <v/>
      </c>
      <c r="D539" s="11">
        <f>IFERROR(VLOOKUP($B539,Members!$A:$C,3,FALSE),"")</f>
        <v/>
      </c>
      <c r="E539" s="11">
        <f>IF($F539="","",IFERROR(VLOOKUP($F539,ActionMap!$A:$B,2,FALSE),"INVALID ACTION"))</f>
        <v/>
      </c>
      <c r="F539" s="4" t="n"/>
      <c r="G539" s="11">
        <f>IFERROR(VLOOKUP($E539,ActionsCatalog!$A:$B,2,FALSE),"")</f>
        <v/>
      </c>
      <c r="H539" s="4" t="n"/>
      <c r="I539" s="4">
        <f>IFERROR(VLOOKUP($E539,ActionsCatalog!$A:$D,3,FALSE),0)</f>
        <v/>
      </c>
      <c r="J539" s="4">
        <f>IFERROR(VLOOKUP($E539,ActionsCatalog!$A:$D,4,FALSE),0)</f>
        <v/>
      </c>
      <c r="K539" s="4">
        <f>IF($M539&lt;&gt;"Yes",0,IF($H539="",0,$H539*$I539))</f>
        <v/>
      </c>
      <c r="L539" s="4">
        <f>IF($M539&lt;&gt;"Yes",0,IF($H539="",0,$H539*$J539))</f>
        <v/>
      </c>
      <c r="M539" s="4" t="n"/>
      <c r="N539" s="4" t="n"/>
      <c r="O539" s="4">
        <f>IF($A539="","",TEXT($A539,"yyyy")&amp;"-W"&amp;TEXT(ISOWEEKNUM($A539),"00"))</f>
        <v/>
      </c>
      <c r="P539" s="4" t="n"/>
      <c r="Q539" s="14">
        <f>IF($A539="","",TEXT($A539,"yyyy-mm"))</f>
        <v/>
      </c>
    </row>
    <row r="540">
      <c r="A540" s="66" t="n"/>
      <c r="B540" s="4" t="n"/>
      <c r="C540" s="11">
        <f>IFERROR(VLOOKUP($B540,Members!$A:$C,2,FALSE),"")</f>
        <v/>
      </c>
      <c r="D540" s="11">
        <f>IFERROR(VLOOKUP($B540,Members!$A:$C,3,FALSE),"")</f>
        <v/>
      </c>
      <c r="E540" s="11">
        <f>IF($F540="","",IFERROR(VLOOKUP($F540,ActionMap!$A:$B,2,FALSE),"INVALID ACTION"))</f>
        <v/>
      </c>
      <c r="F540" s="4" t="n"/>
      <c r="G540" s="11">
        <f>IFERROR(VLOOKUP($E540,ActionsCatalog!$A:$B,2,FALSE),"")</f>
        <v/>
      </c>
      <c r="H540" s="4" t="n"/>
      <c r="I540" s="4">
        <f>IFERROR(VLOOKUP($E540,ActionsCatalog!$A:$D,3,FALSE),0)</f>
        <v/>
      </c>
      <c r="J540" s="4">
        <f>IFERROR(VLOOKUP($E540,ActionsCatalog!$A:$D,4,FALSE),0)</f>
        <v/>
      </c>
      <c r="K540" s="4">
        <f>IF($M540&lt;&gt;"Yes",0,IF($H540="",0,$H540*$I540))</f>
        <v/>
      </c>
      <c r="L540" s="4">
        <f>IF($M540&lt;&gt;"Yes",0,IF($H540="",0,$H540*$J540))</f>
        <v/>
      </c>
      <c r="M540" s="4" t="n"/>
      <c r="N540" s="4" t="n"/>
      <c r="O540" s="4">
        <f>IF($A540="","",TEXT($A540,"yyyy")&amp;"-W"&amp;TEXT(ISOWEEKNUM($A540),"00"))</f>
        <v/>
      </c>
      <c r="P540" s="4" t="n"/>
      <c r="Q540" s="14">
        <f>IF($A540="","",TEXT($A540,"yyyy-mm"))</f>
        <v/>
      </c>
    </row>
    <row r="541">
      <c r="A541" s="66" t="n"/>
      <c r="B541" s="4" t="n"/>
      <c r="C541" s="11">
        <f>IFERROR(VLOOKUP($B541,Members!$A:$C,2,FALSE),"")</f>
        <v/>
      </c>
      <c r="D541" s="11">
        <f>IFERROR(VLOOKUP($B541,Members!$A:$C,3,FALSE),"")</f>
        <v/>
      </c>
      <c r="E541" s="11">
        <f>IF($F541="","",IFERROR(VLOOKUP($F541,ActionMap!$A:$B,2,FALSE),"INVALID ACTION"))</f>
        <v/>
      </c>
      <c r="F541" s="4" t="n"/>
      <c r="G541" s="11">
        <f>IFERROR(VLOOKUP($E541,ActionsCatalog!$A:$B,2,FALSE),"")</f>
        <v/>
      </c>
      <c r="H541" s="4" t="n"/>
      <c r="I541" s="4">
        <f>IFERROR(VLOOKUP($E541,ActionsCatalog!$A:$D,3,FALSE),0)</f>
        <v/>
      </c>
      <c r="J541" s="4">
        <f>IFERROR(VLOOKUP($E541,ActionsCatalog!$A:$D,4,FALSE),0)</f>
        <v/>
      </c>
      <c r="K541" s="4">
        <f>IF($M541&lt;&gt;"Yes",0,IF($H541="",0,$H541*$I541))</f>
        <v/>
      </c>
      <c r="L541" s="4">
        <f>IF($M541&lt;&gt;"Yes",0,IF($H541="",0,$H541*$J541))</f>
        <v/>
      </c>
      <c r="M541" s="4" t="n"/>
      <c r="N541" s="4" t="n"/>
      <c r="O541" s="4">
        <f>IF($A541="","",TEXT($A541,"yyyy")&amp;"-W"&amp;TEXT(ISOWEEKNUM($A541),"00"))</f>
        <v/>
      </c>
      <c r="P541" s="4" t="n"/>
      <c r="Q541" s="14">
        <f>IF($A541="","",TEXT($A541,"yyyy-mm"))</f>
        <v/>
      </c>
    </row>
    <row r="542">
      <c r="A542" s="66" t="n"/>
      <c r="B542" s="4" t="n"/>
      <c r="C542" s="11">
        <f>IFERROR(VLOOKUP($B542,Members!$A:$C,2,FALSE),"")</f>
        <v/>
      </c>
      <c r="D542" s="11">
        <f>IFERROR(VLOOKUP($B542,Members!$A:$C,3,FALSE),"")</f>
        <v/>
      </c>
      <c r="E542" s="11">
        <f>IF($F542="","",IFERROR(VLOOKUP($F542,ActionMap!$A:$B,2,FALSE),"INVALID ACTION"))</f>
        <v/>
      </c>
      <c r="F542" s="4" t="n"/>
      <c r="G542" s="11">
        <f>IFERROR(VLOOKUP($E542,ActionsCatalog!$A:$B,2,FALSE),"")</f>
        <v/>
      </c>
      <c r="H542" s="4" t="n"/>
      <c r="I542" s="4">
        <f>IFERROR(VLOOKUP($E542,ActionsCatalog!$A:$D,3,FALSE),0)</f>
        <v/>
      </c>
      <c r="J542" s="4">
        <f>IFERROR(VLOOKUP($E542,ActionsCatalog!$A:$D,4,FALSE),0)</f>
        <v/>
      </c>
      <c r="K542" s="4">
        <f>IF($M542&lt;&gt;"Yes",0,IF($H542="",0,$H542*$I542))</f>
        <v/>
      </c>
      <c r="L542" s="4">
        <f>IF($M542&lt;&gt;"Yes",0,IF($H542="",0,$H542*$J542))</f>
        <v/>
      </c>
      <c r="M542" s="4" t="n"/>
      <c r="N542" s="4" t="n"/>
      <c r="O542" s="4">
        <f>IF($A542="","",TEXT($A542,"yyyy")&amp;"-W"&amp;TEXT(ISOWEEKNUM($A542),"00"))</f>
        <v/>
      </c>
      <c r="P542" s="4" t="n"/>
      <c r="Q542" s="14">
        <f>IF($A542="","",TEXT($A542,"yyyy-mm"))</f>
        <v/>
      </c>
    </row>
    <row r="543">
      <c r="A543" s="66" t="n"/>
      <c r="B543" s="4" t="n"/>
      <c r="C543" s="11">
        <f>IFERROR(VLOOKUP($B543,Members!$A:$C,2,FALSE),"")</f>
        <v/>
      </c>
      <c r="D543" s="11">
        <f>IFERROR(VLOOKUP($B543,Members!$A:$C,3,FALSE),"")</f>
        <v/>
      </c>
      <c r="E543" s="11">
        <f>IF($F543="","",IFERROR(VLOOKUP($F543,ActionMap!$A:$B,2,FALSE),"INVALID ACTION"))</f>
        <v/>
      </c>
      <c r="F543" s="4" t="n"/>
      <c r="G543" s="11">
        <f>IFERROR(VLOOKUP($E543,ActionsCatalog!$A:$B,2,FALSE),"")</f>
        <v/>
      </c>
      <c r="H543" s="4" t="n"/>
      <c r="I543" s="4">
        <f>IFERROR(VLOOKUP($E543,ActionsCatalog!$A:$D,3,FALSE),0)</f>
        <v/>
      </c>
      <c r="J543" s="4">
        <f>IFERROR(VLOOKUP($E543,ActionsCatalog!$A:$D,4,FALSE),0)</f>
        <v/>
      </c>
      <c r="K543" s="4">
        <f>IF($M543&lt;&gt;"Yes",0,IF($H543="",0,$H543*$I543))</f>
        <v/>
      </c>
      <c r="L543" s="4">
        <f>IF($M543&lt;&gt;"Yes",0,IF($H543="",0,$H543*$J543))</f>
        <v/>
      </c>
      <c r="M543" s="4" t="n"/>
      <c r="N543" s="4" t="n"/>
      <c r="O543" s="4">
        <f>IF($A543="","",TEXT($A543,"yyyy")&amp;"-W"&amp;TEXT(ISOWEEKNUM($A543),"00"))</f>
        <v/>
      </c>
      <c r="P543" s="4" t="n"/>
      <c r="Q543" s="14">
        <f>IF($A543="","",TEXT($A543,"yyyy-mm"))</f>
        <v/>
      </c>
    </row>
    <row r="544">
      <c r="A544" s="66" t="n"/>
      <c r="B544" s="4" t="n"/>
      <c r="C544" s="11">
        <f>IFERROR(VLOOKUP($B544,Members!$A:$C,2,FALSE),"")</f>
        <v/>
      </c>
      <c r="D544" s="11">
        <f>IFERROR(VLOOKUP($B544,Members!$A:$C,3,FALSE),"")</f>
        <v/>
      </c>
      <c r="E544" s="11">
        <f>IF($F544="","",IFERROR(VLOOKUP($F544,ActionMap!$A:$B,2,FALSE),"INVALID ACTION"))</f>
        <v/>
      </c>
      <c r="F544" s="4" t="n"/>
      <c r="G544" s="11">
        <f>IFERROR(VLOOKUP($E544,ActionsCatalog!$A:$B,2,FALSE),"")</f>
        <v/>
      </c>
      <c r="H544" s="4" t="n"/>
      <c r="I544" s="4">
        <f>IFERROR(VLOOKUP($E544,ActionsCatalog!$A:$D,3,FALSE),0)</f>
        <v/>
      </c>
      <c r="J544" s="4">
        <f>IFERROR(VLOOKUP($E544,ActionsCatalog!$A:$D,4,FALSE),0)</f>
        <v/>
      </c>
      <c r="K544" s="4">
        <f>IF($M544&lt;&gt;"Yes",0,IF($H544="",0,$H544*$I544))</f>
        <v/>
      </c>
      <c r="L544" s="4">
        <f>IF($M544&lt;&gt;"Yes",0,IF($H544="",0,$H544*$J544))</f>
        <v/>
      </c>
      <c r="M544" s="4" t="n"/>
      <c r="N544" s="4" t="n"/>
      <c r="O544" s="4">
        <f>IF($A544="","",TEXT($A544,"yyyy")&amp;"-W"&amp;TEXT(ISOWEEKNUM($A544),"00"))</f>
        <v/>
      </c>
      <c r="P544" s="4" t="n"/>
      <c r="Q544" s="14">
        <f>IF($A544="","",TEXT($A544,"yyyy-mm"))</f>
        <v/>
      </c>
    </row>
    <row r="545">
      <c r="A545" s="66" t="n"/>
      <c r="B545" s="4" t="n"/>
      <c r="C545" s="11">
        <f>IFERROR(VLOOKUP($B545,Members!$A:$C,2,FALSE),"")</f>
        <v/>
      </c>
      <c r="D545" s="11">
        <f>IFERROR(VLOOKUP($B545,Members!$A:$C,3,FALSE),"")</f>
        <v/>
      </c>
      <c r="E545" s="11">
        <f>IF($F545="","",IFERROR(VLOOKUP($F545,ActionMap!$A:$B,2,FALSE),"INVALID ACTION"))</f>
        <v/>
      </c>
      <c r="F545" s="4" t="n"/>
      <c r="G545" s="11">
        <f>IFERROR(VLOOKUP($E545,ActionsCatalog!$A:$B,2,FALSE),"")</f>
        <v/>
      </c>
      <c r="H545" s="4" t="n"/>
      <c r="I545" s="4">
        <f>IFERROR(VLOOKUP($E545,ActionsCatalog!$A:$D,3,FALSE),0)</f>
        <v/>
      </c>
      <c r="J545" s="4">
        <f>IFERROR(VLOOKUP($E545,ActionsCatalog!$A:$D,4,FALSE),0)</f>
        <v/>
      </c>
      <c r="K545" s="4">
        <f>IF($M545&lt;&gt;"Yes",0,IF($H545="",0,$H545*$I545))</f>
        <v/>
      </c>
      <c r="L545" s="4">
        <f>IF($M545&lt;&gt;"Yes",0,IF($H545="",0,$H545*$J545))</f>
        <v/>
      </c>
      <c r="M545" s="4" t="n"/>
      <c r="N545" s="4" t="n"/>
      <c r="O545" s="4">
        <f>IF($A545="","",TEXT($A545,"yyyy")&amp;"-W"&amp;TEXT(ISOWEEKNUM($A545),"00"))</f>
        <v/>
      </c>
      <c r="P545" s="4" t="n"/>
      <c r="Q545" s="14">
        <f>IF($A545="","",TEXT($A545,"yyyy-mm"))</f>
        <v/>
      </c>
    </row>
    <row r="546">
      <c r="A546" s="66" t="n"/>
      <c r="B546" s="4" t="n"/>
      <c r="C546" s="11">
        <f>IFERROR(VLOOKUP($B546,Members!$A:$C,2,FALSE),"")</f>
        <v/>
      </c>
      <c r="D546" s="11">
        <f>IFERROR(VLOOKUP($B546,Members!$A:$C,3,FALSE),"")</f>
        <v/>
      </c>
      <c r="E546" s="11">
        <f>IF($F546="","",IFERROR(VLOOKUP($F546,ActionMap!$A:$B,2,FALSE),"INVALID ACTION"))</f>
        <v/>
      </c>
      <c r="F546" s="4" t="n"/>
      <c r="G546" s="11">
        <f>IFERROR(VLOOKUP($E546,ActionsCatalog!$A:$B,2,FALSE),"")</f>
        <v/>
      </c>
      <c r="H546" s="4" t="n"/>
      <c r="I546" s="4">
        <f>IFERROR(VLOOKUP($E546,ActionsCatalog!$A:$D,3,FALSE),0)</f>
        <v/>
      </c>
      <c r="J546" s="4">
        <f>IFERROR(VLOOKUP($E546,ActionsCatalog!$A:$D,4,FALSE),0)</f>
        <v/>
      </c>
      <c r="K546" s="4">
        <f>IF($M546&lt;&gt;"Yes",0,IF($H546="",0,$H546*$I546))</f>
        <v/>
      </c>
      <c r="L546" s="4">
        <f>IF($M546&lt;&gt;"Yes",0,IF($H546="",0,$H546*$J546))</f>
        <v/>
      </c>
      <c r="M546" s="4" t="n"/>
      <c r="N546" s="4" t="n"/>
      <c r="O546" s="4">
        <f>IF($A546="","",TEXT($A546,"yyyy")&amp;"-W"&amp;TEXT(ISOWEEKNUM($A546),"00"))</f>
        <v/>
      </c>
      <c r="P546" s="4" t="n"/>
      <c r="Q546" s="14">
        <f>IF($A546="","",TEXT($A546,"yyyy-mm"))</f>
        <v/>
      </c>
    </row>
    <row r="547">
      <c r="A547" s="66" t="n"/>
      <c r="B547" s="4" t="n"/>
      <c r="C547" s="11">
        <f>IFERROR(VLOOKUP($B547,Members!$A:$C,2,FALSE),"")</f>
        <v/>
      </c>
      <c r="D547" s="11">
        <f>IFERROR(VLOOKUP($B547,Members!$A:$C,3,FALSE),"")</f>
        <v/>
      </c>
      <c r="E547" s="11">
        <f>IF($F547="","",IFERROR(VLOOKUP($F547,ActionMap!$A:$B,2,FALSE),"INVALID ACTION"))</f>
        <v/>
      </c>
      <c r="F547" s="4" t="n"/>
      <c r="G547" s="11">
        <f>IFERROR(VLOOKUP($E547,ActionsCatalog!$A:$B,2,FALSE),"")</f>
        <v/>
      </c>
      <c r="H547" s="4" t="n"/>
      <c r="I547" s="4">
        <f>IFERROR(VLOOKUP($E547,ActionsCatalog!$A:$D,3,FALSE),0)</f>
        <v/>
      </c>
      <c r="J547" s="4">
        <f>IFERROR(VLOOKUP($E547,ActionsCatalog!$A:$D,4,FALSE),0)</f>
        <v/>
      </c>
      <c r="K547" s="4">
        <f>IF($M547&lt;&gt;"Yes",0,IF($H547="",0,$H547*$I547))</f>
        <v/>
      </c>
      <c r="L547" s="4">
        <f>IF($M547&lt;&gt;"Yes",0,IF($H547="",0,$H547*$J547))</f>
        <v/>
      </c>
      <c r="M547" s="4" t="n"/>
      <c r="N547" s="4" t="n"/>
      <c r="O547" s="4">
        <f>IF($A547="","",TEXT($A547,"yyyy")&amp;"-W"&amp;TEXT(ISOWEEKNUM($A547),"00"))</f>
        <v/>
      </c>
      <c r="P547" s="4" t="n"/>
      <c r="Q547" s="14">
        <f>IF($A547="","",TEXT($A547,"yyyy-mm"))</f>
        <v/>
      </c>
    </row>
    <row r="548">
      <c r="A548" s="66" t="n"/>
      <c r="B548" s="4" t="n"/>
      <c r="C548" s="11">
        <f>IFERROR(VLOOKUP($B548,Members!$A:$C,2,FALSE),"")</f>
        <v/>
      </c>
      <c r="D548" s="11">
        <f>IFERROR(VLOOKUP($B548,Members!$A:$C,3,FALSE),"")</f>
        <v/>
      </c>
      <c r="E548" s="11">
        <f>IF($F548="","",IFERROR(VLOOKUP($F548,ActionMap!$A:$B,2,FALSE),"INVALID ACTION"))</f>
        <v/>
      </c>
      <c r="F548" s="4" t="n"/>
      <c r="G548" s="11">
        <f>IFERROR(VLOOKUP($E548,ActionsCatalog!$A:$B,2,FALSE),"")</f>
        <v/>
      </c>
      <c r="H548" s="4" t="n"/>
      <c r="I548" s="4">
        <f>IFERROR(VLOOKUP($E548,ActionsCatalog!$A:$D,3,FALSE),0)</f>
        <v/>
      </c>
      <c r="J548" s="4">
        <f>IFERROR(VLOOKUP($E548,ActionsCatalog!$A:$D,4,FALSE),0)</f>
        <v/>
      </c>
      <c r="K548" s="4">
        <f>IF($M548&lt;&gt;"Yes",0,IF($H548="",0,$H548*$I548))</f>
        <v/>
      </c>
      <c r="L548" s="4">
        <f>IF($M548&lt;&gt;"Yes",0,IF($H548="",0,$H548*$J548))</f>
        <v/>
      </c>
      <c r="M548" s="4" t="n"/>
      <c r="N548" s="4" t="n"/>
      <c r="O548" s="4">
        <f>IF($A548="","",TEXT($A548,"yyyy")&amp;"-W"&amp;TEXT(ISOWEEKNUM($A548),"00"))</f>
        <v/>
      </c>
      <c r="P548" s="4" t="n"/>
      <c r="Q548" s="14">
        <f>IF($A548="","",TEXT($A548,"yyyy-mm"))</f>
        <v/>
      </c>
    </row>
    <row r="549">
      <c r="A549" s="66" t="n"/>
      <c r="B549" s="4" t="n"/>
      <c r="C549" s="11">
        <f>IFERROR(VLOOKUP($B549,Members!$A:$C,2,FALSE),"")</f>
        <v/>
      </c>
      <c r="D549" s="11">
        <f>IFERROR(VLOOKUP($B549,Members!$A:$C,3,FALSE),"")</f>
        <v/>
      </c>
      <c r="E549" s="11">
        <f>IF($F549="","",IFERROR(VLOOKUP($F549,ActionMap!$A:$B,2,FALSE),"INVALID ACTION"))</f>
        <v/>
      </c>
      <c r="F549" s="4" t="n"/>
      <c r="G549" s="11">
        <f>IFERROR(VLOOKUP($E549,ActionsCatalog!$A:$B,2,FALSE),"")</f>
        <v/>
      </c>
      <c r="H549" s="4" t="n"/>
      <c r="I549" s="4">
        <f>IFERROR(VLOOKUP($E549,ActionsCatalog!$A:$D,3,FALSE),0)</f>
        <v/>
      </c>
      <c r="J549" s="4">
        <f>IFERROR(VLOOKUP($E549,ActionsCatalog!$A:$D,4,FALSE),0)</f>
        <v/>
      </c>
      <c r="K549" s="4">
        <f>IF($M549&lt;&gt;"Yes",0,IF($H549="",0,$H549*$I549))</f>
        <v/>
      </c>
      <c r="L549" s="4">
        <f>IF($M549&lt;&gt;"Yes",0,IF($H549="",0,$H549*$J549))</f>
        <v/>
      </c>
      <c r="M549" s="4" t="n"/>
      <c r="N549" s="4" t="n"/>
      <c r="O549" s="4">
        <f>IF($A549="","",TEXT($A549,"yyyy")&amp;"-W"&amp;TEXT(ISOWEEKNUM($A549),"00"))</f>
        <v/>
      </c>
      <c r="P549" s="4" t="n"/>
      <c r="Q549" s="14">
        <f>IF($A549="","",TEXT($A549,"yyyy-mm"))</f>
        <v/>
      </c>
    </row>
    <row r="550">
      <c r="A550" s="66" t="n"/>
      <c r="B550" s="4" t="n"/>
      <c r="C550" s="11">
        <f>IFERROR(VLOOKUP($B550,Members!$A:$C,2,FALSE),"")</f>
        <v/>
      </c>
      <c r="D550" s="11">
        <f>IFERROR(VLOOKUP($B550,Members!$A:$C,3,FALSE),"")</f>
        <v/>
      </c>
      <c r="E550" s="11">
        <f>IF($F550="","",IFERROR(VLOOKUP($F550,ActionMap!$A:$B,2,FALSE),"INVALID ACTION"))</f>
        <v/>
      </c>
      <c r="F550" s="4" t="n"/>
      <c r="G550" s="11">
        <f>IFERROR(VLOOKUP($E550,ActionsCatalog!$A:$B,2,FALSE),"")</f>
        <v/>
      </c>
      <c r="H550" s="4" t="n"/>
      <c r="I550" s="4">
        <f>IFERROR(VLOOKUP($E550,ActionsCatalog!$A:$D,3,FALSE),0)</f>
        <v/>
      </c>
      <c r="J550" s="4">
        <f>IFERROR(VLOOKUP($E550,ActionsCatalog!$A:$D,4,FALSE),0)</f>
        <v/>
      </c>
      <c r="K550" s="4">
        <f>IF($M550&lt;&gt;"Yes",0,IF($H550="",0,$H550*$I550))</f>
        <v/>
      </c>
      <c r="L550" s="4">
        <f>IF($M550&lt;&gt;"Yes",0,IF($H550="",0,$H550*$J550))</f>
        <v/>
      </c>
      <c r="M550" s="4" t="n"/>
      <c r="N550" s="4" t="n"/>
      <c r="O550" s="4">
        <f>IF($A550="","",TEXT($A550,"yyyy")&amp;"-W"&amp;TEXT(ISOWEEKNUM($A550),"00"))</f>
        <v/>
      </c>
      <c r="P550" s="4" t="n"/>
      <c r="Q550" s="14">
        <f>IF($A550="","",TEXT($A550,"yyyy-mm"))</f>
        <v/>
      </c>
    </row>
    <row r="551">
      <c r="A551" s="66" t="n"/>
      <c r="B551" s="4" t="n"/>
      <c r="C551" s="11">
        <f>IFERROR(VLOOKUP($B551,Members!$A:$C,2,FALSE),"")</f>
        <v/>
      </c>
      <c r="D551" s="11">
        <f>IFERROR(VLOOKUP($B551,Members!$A:$C,3,FALSE),"")</f>
        <v/>
      </c>
      <c r="E551" s="11">
        <f>IF($F551="","",IFERROR(VLOOKUP($F551,ActionMap!$A:$B,2,FALSE),"INVALID ACTION"))</f>
        <v/>
      </c>
      <c r="F551" s="4" t="n"/>
      <c r="G551" s="11">
        <f>IFERROR(VLOOKUP($E551,ActionsCatalog!$A:$B,2,FALSE),"")</f>
        <v/>
      </c>
      <c r="H551" s="4" t="n"/>
      <c r="I551" s="4">
        <f>IFERROR(VLOOKUP($E551,ActionsCatalog!$A:$D,3,FALSE),0)</f>
        <v/>
      </c>
      <c r="J551" s="4">
        <f>IFERROR(VLOOKUP($E551,ActionsCatalog!$A:$D,4,FALSE),0)</f>
        <v/>
      </c>
      <c r="K551" s="4">
        <f>IF($M551&lt;&gt;"Yes",0,IF($H551="",0,$H551*$I551))</f>
        <v/>
      </c>
      <c r="L551" s="4">
        <f>IF($M551&lt;&gt;"Yes",0,IF($H551="",0,$H551*$J551))</f>
        <v/>
      </c>
      <c r="M551" s="4" t="n"/>
      <c r="N551" s="4" t="n"/>
      <c r="O551" s="4">
        <f>IF($A551="","",TEXT($A551,"yyyy")&amp;"-W"&amp;TEXT(ISOWEEKNUM($A551),"00"))</f>
        <v/>
      </c>
      <c r="P551" s="4" t="n"/>
      <c r="Q551" s="14">
        <f>IF($A551="","",TEXT($A551,"yyyy-mm"))</f>
        <v/>
      </c>
    </row>
    <row r="552">
      <c r="A552" s="66" t="n"/>
      <c r="B552" s="4" t="n"/>
      <c r="C552" s="11">
        <f>IFERROR(VLOOKUP($B552,Members!$A:$C,2,FALSE),"")</f>
        <v/>
      </c>
      <c r="D552" s="11">
        <f>IFERROR(VLOOKUP($B552,Members!$A:$C,3,FALSE),"")</f>
        <v/>
      </c>
      <c r="E552" s="11">
        <f>IF($F552="","",IFERROR(VLOOKUP($F552,ActionMap!$A:$B,2,FALSE),"INVALID ACTION"))</f>
        <v/>
      </c>
      <c r="F552" s="4" t="n"/>
      <c r="G552" s="11">
        <f>IFERROR(VLOOKUP($E552,ActionsCatalog!$A:$B,2,FALSE),"")</f>
        <v/>
      </c>
      <c r="H552" s="4" t="n"/>
      <c r="I552" s="4">
        <f>IFERROR(VLOOKUP($E552,ActionsCatalog!$A:$D,3,FALSE),0)</f>
        <v/>
      </c>
      <c r="J552" s="4">
        <f>IFERROR(VLOOKUP($E552,ActionsCatalog!$A:$D,4,FALSE),0)</f>
        <v/>
      </c>
      <c r="K552" s="4">
        <f>IF($M552&lt;&gt;"Yes",0,IF($H552="",0,$H552*$I552))</f>
        <v/>
      </c>
      <c r="L552" s="4">
        <f>IF($M552&lt;&gt;"Yes",0,IF($H552="",0,$H552*$J552))</f>
        <v/>
      </c>
      <c r="M552" s="4" t="n"/>
      <c r="N552" s="4" t="n"/>
      <c r="O552" s="4">
        <f>IF($A552="","",TEXT($A552,"yyyy")&amp;"-W"&amp;TEXT(ISOWEEKNUM($A552),"00"))</f>
        <v/>
      </c>
      <c r="P552" s="4" t="n"/>
      <c r="Q552" s="14">
        <f>IF($A552="","",TEXT($A552,"yyyy-mm"))</f>
        <v/>
      </c>
    </row>
    <row r="553">
      <c r="A553" s="66" t="n"/>
      <c r="B553" s="4" t="n"/>
      <c r="C553" s="11">
        <f>IFERROR(VLOOKUP($B553,Members!$A:$C,2,FALSE),"")</f>
        <v/>
      </c>
      <c r="D553" s="11">
        <f>IFERROR(VLOOKUP($B553,Members!$A:$C,3,FALSE),"")</f>
        <v/>
      </c>
      <c r="E553" s="11">
        <f>IF($F553="","",IFERROR(VLOOKUP($F553,ActionMap!$A:$B,2,FALSE),"INVALID ACTION"))</f>
        <v/>
      </c>
      <c r="F553" s="4" t="n"/>
      <c r="G553" s="11">
        <f>IFERROR(VLOOKUP($E553,ActionsCatalog!$A:$B,2,FALSE),"")</f>
        <v/>
      </c>
      <c r="H553" s="4" t="n"/>
      <c r="I553" s="4">
        <f>IFERROR(VLOOKUP($E553,ActionsCatalog!$A:$D,3,FALSE),0)</f>
        <v/>
      </c>
      <c r="J553" s="4">
        <f>IFERROR(VLOOKUP($E553,ActionsCatalog!$A:$D,4,FALSE),0)</f>
        <v/>
      </c>
      <c r="K553" s="4">
        <f>IF($M553&lt;&gt;"Yes",0,IF($H553="",0,$H553*$I553))</f>
        <v/>
      </c>
      <c r="L553" s="4">
        <f>IF($M553&lt;&gt;"Yes",0,IF($H553="",0,$H553*$J553))</f>
        <v/>
      </c>
      <c r="M553" s="4" t="n"/>
      <c r="N553" s="4" t="n"/>
      <c r="O553" s="4">
        <f>IF($A553="","",TEXT($A553,"yyyy")&amp;"-W"&amp;TEXT(ISOWEEKNUM($A553),"00"))</f>
        <v/>
      </c>
      <c r="P553" s="4" t="n"/>
      <c r="Q553" s="14">
        <f>IF($A553="","",TEXT($A553,"yyyy-mm"))</f>
        <v/>
      </c>
    </row>
    <row r="554">
      <c r="A554" s="66" t="n"/>
      <c r="B554" s="4" t="n"/>
      <c r="C554" s="11">
        <f>IFERROR(VLOOKUP($B554,Members!$A:$C,2,FALSE),"")</f>
        <v/>
      </c>
      <c r="D554" s="11">
        <f>IFERROR(VLOOKUP($B554,Members!$A:$C,3,FALSE),"")</f>
        <v/>
      </c>
      <c r="E554" s="11">
        <f>IF($F554="","",IFERROR(VLOOKUP($F554,ActionMap!$A:$B,2,FALSE),"INVALID ACTION"))</f>
        <v/>
      </c>
      <c r="F554" s="4" t="n"/>
      <c r="G554" s="11">
        <f>IFERROR(VLOOKUP($E554,ActionsCatalog!$A:$B,2,FALSE),"")</f>
        <v/>
      </c>
      <c r="H554" s="4" t="n"/>
      <c r="I554" s="4">
        <f>IFERROR(VLOOKUP($E554,ActionsCatalog!$A:$D,3,FALSE),0)</f>
        <v/>
      </c>
      <c r="J554" s="4">
        <f>IFERROR(VLOOKUP($E554,ActionsCatalog!$A:$D,4,FALSE),0)</f>
        <v/>
      </c>
      <c r="K554" s="4">
        <f>IF($M554&lt;&gt;"Yes",0,IF($H554="",0,$H554*$I554))</f>
        <v/>
      </c>
      <c r="L554" s="4">
        <f>IF($M554&lt;&gt;"Yes",0,IF($H554="",0,$H554*$J554))</f>
        <v/>
      </c>
      <c r="M554" s="4" t="n"/>
      <c r="N554" s="4" t="n"/>
      <c r="O554" s="4">
        <f>IF($A554="","",TEXT($A554,"yyyy")&amp;"-W"&amp;TEXT(ISOWEEKNUM($A554),"00"))</f>
        <v/>
      </c>
      <c r="P554" s="4" t="n"/>
      <c r="Q554" s="14">
        <f>IF($A554="","",TEXT($A554,"yyyy-mm"))</f>
        <v/>
      </c>
    </row>
    <row r="555">
      <c r="A555" s="66" t="n"/>
      <c r="B555" s="4" t="n"/>
      <c r="C555" s="11">
        <f>IFERROR(VLOOKUP($B555,Members!$A:$C,2,FALSE),"")</f>
        <v/>
      </c>
      <c r="D555" s="11">
        <f>IFERROR(VLOOKUP($B555,Members!$A:$C,3,FALSE),"")</f>
        <v/>
      </c>
      <c r="E555" s="11">
        <f>IF($F555="","",IFERROR(VLOOKUP($F555,ActionMap!$A:$B,2,FALSE),"INVALID ACTION"))</f>
        <v/>
      </c>
      <c r="F555" s="4" t="n"/>
      <c r="G555" s="11">
        <f>IFERROR(VLOOKUP($E555,ActionsCatalog!$A:$B,2,FALSE),"")</f>
        <v/>
      </c>
      <c r="H555" s="4" t="n"/>
      <c r="I555" s="4">
        <f>IFERROR(VLOOKUP($E555,ActionsCatalog!$A:$D,3,FALSE),0)</f>
        <v/>
      </c>
      <c r="J555" s="4">
        <f>IFERROR(VLOOKUP($E555,ActionsCatalog!$A:$D,4,FALSE),0)</f>
        <v/>
      </c>
      <c r="K555" s="4">
        <f>IF($M555&lt;&gt;"Yes",0,IF($H555="",0,$H555*$I555))</f>
        <v/>
      </c>
      <c r="L555" s="4">
        <f>IF($M555&lt;&gt;"Yes",0,IF($H555="",0,$H555*$J555))</f>
        <v/>
      </c>
      <c r="M555" s="4" t="n"/>
      <c r="N555" s="4" t="n"/>
      <c r="O555" s="4">
        <f>IF($A555="","",TEXT($A555,"yyyy")&amp;"-W"&amp;TEXT(ISOWEEKNUM($A555),"00"))</f>
        <v/>
      </c>
      <c r="P555" s="4" t="n"/>
      <c r="Q555" s="14">
        <f>IF($A555="","",TEXT($A555,"yyyy-mm"))</f>
        <v/>
      </c>
    </row>
    <row r="556">
      <c r="A556" s="66" t="n"/>
      <c r="B556" s="4" t="n"/>
      <c r="C556" s="11">
        <f>IFERROR(VLOOKUP($B556,Members!$A:$C,2,FALSE),"")</f>
        <v/>
      </c>
      <c r="D556" s="11">
        <f>IFERROR(VLOOKUP($B556,Members!$A:$C,3,FALSE),"")</f>
        <v/>
      </c>
      <c r="E556" s="11">
        <f>IF($F556="","",IFERROR(VLOOKUP($F556,ActionMap!$A:$B,2,FALSE),"INVALID ACTION"))</f>
        <v/>
      </c>
      <c r="F556" s="4" t="n"/>
      <c r="G556" s="11">
        <f>IFERROR(VLOOKUP($E556,ActionsCatalog!$A:$B,2,FALSE),"")</f>
        <v/>
      </c>
      <c r="H556" s="4" t="n"/>
      <c r="I556" s="4">
        <f>IFERROR(VLOOKUP($E556,ActionsCatalog!$A:$D,3,FALSE),0)</f>
        <v/>
      </c>
      <c r="J556" s="4">
        <f>IFERROR(VLOOKUP($E556,ActionsCatalog!$A:$D,4,FALSE),0)</f>
        <v/>
      </c>
      <c r="K556" s="4">
        <f>IF($M556&lt;&gt;"Yes",0,IF($H556="",0,$H556*$I556))</f>
        <v/>
      </c>
      <c r="L556" s="4">
        <f>IF($M556&lt;&gt;"Yes",0,IF($H556="",0,$H556*$J556))</f>
        <v/>
      </c>
      <c r="M556" s="4" t="n"/>
      <c r="N556" s="4" t="n"/>
      <c r="O556" s="4">
        <f>IF($A556="","",TEXT($A556,"yyyy")&amp;"-W"&amp;TEXT(ISOWEEKNUM($A556),"00"))</f>
        <v/>
      </c>
      <c r="P556" s="4" t="n"/>
      <c r="Q556" s="14">
        <f>IF($A556="","",TEXT($A556,"yyyy-mm"))</f>
        <v/>
      </c>
    </row>
    <row r="557">
      <c r="A557" s="66" t="n"/>
      <c r="B557" s="4" t="n"/>
      <c r="C557" s="11">
        <f>IFERROR(VLOOKUP($B557,Members!$A:$C,2,FALSE),"")</f>
        <v/>
      </c>
      <c r="D557" s="11">
        <f>IFERROR(VLOOKUP($B557,Members!$A:$C,3,FALSE),"")</f>
        <v/>
      </c>
      <c r="E557" s="11">
        <f>IF($F557="","",IFERROR(VLOOKUP($F557,ActionMap!$A:$B,2,FALSE),"INVALID ACTION"))</f>
        <v/>
      </c>
      <c r="F557" s="4" t="n"/>
      <c r="G557" s="11">
        <f>IFERROR(VLOOKUP($E557,ActionsCatalog!$A:$B,2,FALSE),"")</f>
        <v/>
      </c>
      <c r="H557" s="4" t="n"/>
      <c r="I557" s="4">
        <f>IFERROR(VLOOKUP($E557,ActionsCatalog!$A:$D,3,FALSE),0)</f>
        <v/>
      </c>
      <c r="J557" s="4">
        <f>IFERROR(VLOOKUP($E557,ActionsCatalog!$A:$D,4,FALSE),0)</f>
        <v/>
      </c>
      <c r="K557" s="4">
        <f>IF($M557&lt;&gt;"Yes",0,IF($H557="",0,$H557*$I557))</f>
        <v/>
      </c>
      <c r="L557" s="4">
        <f>IF($M557&lt;&gt;"Yes",0,IF($H557="",0,$H557*$J557))</f>
        <v/>
      </c>
      <c r="M557" s="4" t="n"/>
      <c r="N557" s="4" t="n"/>
      <c r="O557" s="4">
        <f>IF($A557="","",TEXT($A557,"yyyy")&amp;"-W"&amp;TEXT(ISOWEEKNUM($A557),"00"))</f>
        <v/>
      </c>
      <c r="P557" s="4" t="n"/>
      <c r="Q557" s="14">
        <f>IF($A557="","",TEXT($A557,"yyyy-mm"))</f>
        <v/>
      </c>
    </row>
    <row r="558">
      <c r="A558" s="66" t="n"/>
      <c r="B558" s="4" t="n"/>
      <c r="C558" s="11">
        <f>IFERROR(VLOOKUP($B558,Members!$A:$C,2,FALSE),"")</f>
        <v/>
      </c>
      <c r="D558" s="11">
        <f>IFERROR(VLOOKUP($B558,Members!$A:$C,3,FALSE),"")</f>
        <v/>
      </c>
      <c r="E558" s="11">
        <f>IF($F558="","",IFERROR(VLOOKUP($F558,ActionMap!$A:$B,2,FALSE),"INVALID ACTION"))</f>
        <v/>
      </c>
      <c r="F558" s="4" t="n"/>
      <c r="G558" s="11">
        <f>IFERROR(VLOOKUP($E558,ActionsCatalog!$A:$B,2,FALSE),"")</f>
        <v/>
      </c>
      <c r="H558" s="4" t="n"/>
      <c r="I558" s="4">
        <f>IFERROR(VLOOKUP($E558,ActionsCatalog!$A:$D,3,FALSE),0)</f>
        <v/>
      </c>
      <c r="J558" s="4">
        <f>IFERROR(VLOOKUP($E558,ActionsCatalog!$A:$D,4,FALSE),0)</f>
        <v/>
      </c>
      <c r="K558" s="4">
        <f>IF($M558&lt;&gt;"Yes",0,IF($H558="",0,$H558*$I558))</f>
        <v/>
      </c>
      <c r="L558" s="4">
        <f>IF($M558&lt;&gt;"Yes",0,IF($H558="",0,$H558*$J558))</f>
        <v/>
      </c>
      <c r="M558" s="4" t="n"/>
      <c r="N558" s="4" t="n"/>
      <c r="O558" s="4">
        <f>IF($A558="","",TEXT($A558,"yyyy")&amp;"-W"&amp;TEXT(ISOWEEKNUM($A558),"00"))</f>
        <v/>
      </c>
      <c r="P558" s="4" t="n"/>
      <c r="Q558" s="14">
        <f>IF($A558="","",TEXT($A558,"yyyy-mm"))</f>
        <v/>
      </c>
    </row>
    <row r="559">
      <c r="A559" s="66" t="n"/>
      <c r="B559" s="4" t="n"/>
      <c r="C559" s="11">
        <f>IFERROR(VLOOKUP($B559,Members!$A:$C,2,FALSE),"")</f>
        <v/>
      </c>
      <c r="D559" s="11">
        <f>IFERROR(VLOOKUP($B559,Members!$A:$C,3,FALSE),"")</f>
        <v/>
      </c>
      <c r="E559" s="11">
        <f>IF($F559="","",IFERROR(VLOOKUP($F559,ActionMap!$A:$B,2,FALSE),"INVALID ACTION"))</f>
        <v/>
      </c>
      <c r="F559" s="4" t="n"/>
      <c r="G559" s="11">
        <f>IFERROR(VLOOKUP($E559,ActionsCatalog!$A:$B,2,FALSE),"")</f>
        <v/>
      </c>
      <c r="H559" s="4" t="n"/>
      <c r="I559" s="4">
        <f>IFERROR(VLOOKUP($E559,ActionsCatalog!$A:$D,3,FALSE),0)</f>
        <v/>
      </c>
      <c r="J559" s="4">
        <f>IFERROR(VLOOKUP($E559,ActionsCatalog!$A:$D,4,FALSE),0)</f>
        <v/>
      </c>
      <c r="K559" s="4">
        <f>IF($M559&lt;&gt;"Yes",0,IF($H559="",0,$H559*$I559))</f>
        <v/>
      </c>
      <c r="L559" s="4">
        <f>IF($M559&lt;&gt;"Yes",0,IF($H559="",0,$H559*$J559))</f>
        <v/>
      </c>
      <c r="M559" s="4" t="n"/>
      <c r="N559" s="4" t="n"/>
      <c r="O559" s="4">
        <f>IF($A559="","",TEXT($A559,"yyyy")&amp;"-W"&amp;TEXT(ISOWEEKNUM($A559),"00"))</f>
        <v/>
      </c>
      <c r="P559" s="4" t="n"/>
      <c r="Q559" s="14">
        <f>IF($A559="","",TEXT($A559,"yyyy-mm"))</f>
        <v/>
      </c>
    </row>
    <row r="560">
      <c r="A560" s="66" t="n"/>
      <c r="B560" s="4" t="n"/>
      <c r="C560" s="11">
        <f>IFERROR(VLOOKUP($B560,Members!$A:$C,2,FALSE),"")</f>
        <v/>
      </c>
      <c r="D560" s="11">
        <f>IFERROR(VLOOKUP($B560,Members!$A:$C,3,FALSE),"")</f>
        <v/>
      </c>
      <c r="E560" s="11">
        <f>IF($F560="","",IFERROR(VLOOKUP($F560,ActionMap!$A:$B,2,FALSE),"INVALID ACTION"))</f>
        <v/>
      </c>
      <c r="F560" s="4" t="n"/>
      <c r="G560" s="11">
        <f>IFERROR(VLOOKUP($E560,ActionsCatalog!$A:$B,2,FALSE),"")</f>
        <v/>
      </c>
      <c r="H560" s="4" t="n"/>
      <c r="I560" s="4">
        <f>IFERROR(VLOOKUP($E560,ActionsCatalog!$A:$D,3,FALSE),0)</f>
        <v/>
      </c>
      <c r="J560" s="4">
        <f>IFERROR(VLOOKUP($E560,ActionsCatalog!$A:$D,4,FALSE),0)</f>
        <v/>
      </c>
      <c r="K560" s="4">
        <f>IF($M560&lt;&gt;"Yes",0,IF($H560="",0,$H560*$I560))</f>
        <v/>
      </c>
      <c r="L560" s="4">
        <f>IF($M560&lt;&gt;"Yes",0,IF($H560="",0,$H560*$J560))</f>
        <v/>
      </c>
      <c r="M560" s="4" t="n"/>
      <c r="N560" s="4" t="n"/>
      <c r="O560" s="4">
        <f>IF($A560="","",TEXT($A560,"yyyy")&amp;"-W"&amp;TEXT(ISOWEEKNUM($A560),"00"))</f>
        <v/>
      </c>
      <c r="P560" s="4" t="n"/>
      <c r="Q560" s="14">
        <f>IF($A560="","",TEXT($A560,"yyyy-mm"))</f>
        <v/>
      </c>
    </row>
    <row r="561">
      <c r="A561" s="66" t="n"/>
      <c r="B561" s="4" t="n"/>
      <c r="C561" s="11">
        <f>IFERROR(VLOOKUP($B561,Members!$A:$C,2,FALSE),"")</f>
        <v/>
      </c>
      <c r="D561" s="11">
        <f>IFERROR(VLOOKUP($B561,Members!$A:$C,3,FALSE),"")</f>
        <v/>
      </c>
      <c r="E561" s="11">
        <f>IF($F561="","",IFERROR(VLOOKUP($F561,ActionMap!$A:$B,2,FALSE),"INVALID ACTION"))</f>
        <v/>
      </c>
      <c r="F561" s="4" t="n"/>
      <c r="G561" s="11">
        <f>IFERROR(VLOOKUP($E561,ActionsCatalog!$A:$B,2,FALSE),"")</f>
        <v/>
      </c>
      <c r="H561" s="4" t="n"/>
      <c r="I561" s="4">
        <f>IFERROR(VLOOKUP($E561,ActionsCatalog!$A:$D,3,FALSE),0)</f>
        <v/>
      </c>
      <c r="J561" s="4">
        <f>IFERROR(VLOOKUP($E561,ActionsCatalog!$A:$D,4,FALSE),0)</f>
        <v/>
      </c>
      <c r="K561" s="4">
        <f>IF($M561&lt;&gt;"Yes",0,IF($H561="",0,$H561*$I561))</f>
        <v/>
      </c>
      <c r="L561" s="4">
        <f>IF($M561&lt;&gt;"Yes",0,IF($H561="",0,$H561*$J561))</f>
        <v/>
      </c>
      <c r="M561" s="4" t="n"/>
      <c r="N561" s="4" t="n"/>
      <c r="O561" s="4">
        <f>IF($A561="","",TEXT($A561,"yyyy")&amp;"-W"&amp;TEXT(ISOWEEKNUM($A561),"00"))</f>
        <v/>
      </c>
      <c r="P561" s="4" t="n"/>
      <c r="Q561" s="14">
        <f>IF($A561="","",TEXT($A561,"yyyy-mm"))</f>
        <v/>
      </c>
    </row>
    <row r="562">
      <c r="A562" s="66" t="n"/>
      <c r="B562" s="4" t="n"/>
      <c r="C562" s="11">
        <f>IFERROR(VLOOKUP($B562,Members!$A:$C,2,FALSE),"")</f>
        <v/>
      </c>
      <c r="D562" s="11">
        <f>IFERROR(VLOOKUP($B562,Members!$A:$C,3,FALSE),"")</f>
        <v/>
      </c>
      <c r="E562" s="11">
        <f>IF($F562="","",IFERROR(VLOOKUP($F562,ActionMap!$A:$B,2,FALSE),"INVALID ACTION"))</f>
        <v/>
      </c>
      <c r="F562" s="4" t="n"/>
      <c r="G562" s="11">
        <f>IFERROR(VLOOKUP($E562,ActionsCatalog!$A:$B,2,FALSE),"")</f>
        <v/>
      </c>
      <c r="H562" s="4" t="n"/>
      <c r="I562" s="4">
        <f>IFERROR(VLOOKUP($E562,ActionsCatalog!$A:$D,3,FALSE),0)</f>
        <v/>
      </c>
      <c r="J562" s="4">
        <f>IFERROR(VLOOKUP($E562,ActionsCatalog!$A:$D,4,FALSE),0)</f>
        <v/>
      </c>
      <c r="K562" s="4">
        <f>IF($M562&lt;&gt;"Yes",0,IF($H562="",0,$H562*$I562))</f>
        <v/>
      </c>
      <c r="L562" s="4">
        <f>IF($M562&lt;&gt;"Yes",0,IF($H562="",0,$H562*$J562))</f>
        <v/>
      </c>
      <c r="M562" s="4" t="n"/>
      <c r="N562" s="4" t="n"/>
      <c r="O562" s="4">
        <f>IF($A562="","",TEXT($A562,"yyyy")&amp;"-W"&amp;TEXT(ISOWEEKNUM($A562),"00"))</f>
        <v/>
      </c>
      <c r="P562" s="4" t="n"/>
      <c r="Q562" s="14">
        <f>IF($A562="","",TEXT($A562,"yyyy-mm"))</f>
        <v/>
      </c>
    </row>
    <row r="563">
      <c r="A563" s="66" t="n"/>
      <c r="B563" s="4" t="n"/>
      <c r="C563" s="11">
        <f>IFERROR(VLOOKUP($B563,Members!$A:$C,2,FALSE),"")</f>
        <v/>
      </c>
      <c r="D563" s="11">
        <f>IFERROR(VLOOKUP($B563,Members!$A:$C,3,FALSE),"")</f>
        <v/>
      </c>
      <c r="E563" s="11">
        <f>IF($F563="","",IFERROR(VLOOKUP($F563,ActionMap!$A:$B,2,FALSE),"INVALID ACTION"))</f>
        <v/>
      </c>
      <c r="F563" s="4" t="n"/>
      <c r="G563" s="11">
        <f>IFERROR(VLOOKUP($E563,ActionsCatalog!$A:$B,2,FALSE),"")</f>
        <v/>
      </c>
      <c r="H563" s="4" t="n"/>
      <c r="I563" s="4">
        <f>IFERROR(VLOOKUP($E563,ActionsCatalog!$A:$D,3,FALSE),0)</f>
        <v/>
      </c>
      <c r="J563" s="4">
        <f>IFERROR(VLOOKUP($E563,ActionsCatalog!$A:$D,4,FALSE),0)</f>
        <v/>
      </c>
      <c r="K563" s="4">
        <f>IF($M563&lt;&gt;"Yes",0,IF($H563="",0,$H563*$I563))</f>
        <v/>
      </c>
      <c r="L563" s="4">
        <f>IF($M563&lt;&gt;"Yes",0,IF($H563="",0,$H563*$J563))</f>
        <v/>
      </c>
      <c r="M563" s="4" t="n"/>
      <c r="N563" s="4" t="n"/>
      <c r="O563" s="4">
        <f>IF($A563="","",TEXT($A563,"yyyy")&amp;"-W"&amp;TEXT(ISOWEEKNUM($A563),"00"))</f>
        <v/>
      </c>
      <c r="P563" s="4" t="n"/>
      <c r="Q563" s="14">
        <f>IF($A563="","",TEXT($A563,"yyyy-mm"))</f>
        <v/>
      </c>
    </row>
    <row r="564">
      <c r="A564" s="66" t="n"/>
      <c r="B564" s="4" t="n"/>
      <c r="C564" s="11">
        <f>IFERROR(VLOOKUP($B564,Members!$A:$C,2,FALSE),"")</f>
        <v/>
      </c>
      <c r="D564" s="11">
        <f>IFERROR(VLOOKUP($B564,Members!$A:$C,3,FALSE),"")</f>
        <v/>
      </c>
      <c r="E564" s="11">
        <f>IF($F564="","",IFERROR(VLOOKUP($F564,ActionMap!$A:$B,2,FALSE),"INVALID ACTION"))</f>
        <v/>
      </c>
      <c r="F564" s="4" t="n"/>
      <c r="G564" s="11">
        <f>IFERROR(VLOOKUP($E564,ActionsCatalog!$A:$B,2,FALSE),"")</f>
        <v/>
      </c>
      <c r="H564" s="4" t="n"/>
      <c r="I564" s="4">
        <f>IFERROR(VLOOKUP($E564,ActionsCatalog!$A:$D,3,FALSE),0)</f>
        <v/>
      </c>
      <c r="J564" s="4">
        <f>IFERROR(VLOOKUP($E564,ActionsCatalog!$A:$D,4,FALSE),0)</f>
        <v/>
      </c>
      <c r="K564" s="4">
        <f>IF($M564&lt;&gt;"Yes",0,IF($H564="",0,$H564*$I564))</f>
        <v/>
      </c>
      <c r="L564" s="4">
        <f>IF($M564&lt;&gt;"Yes",0,IF($H564="",0,$H564*$J564))</f>
        <v/>
      </c>
      <c r="M564" s="4" t="n"/>
      <c r="N564" s="4" t="n"/>
      <c r="O564" s="4">
        <f>IF($A564="","",TEXT($A564,"yyyy")&amp;"-W"&amp;TEXT(ISOWEEKNUM($A564),"00"))</f>
        <v/>
      </c>
      <c r="P564" s="4" t="n"/>
      <c r="Q564" s="14">
        <f>IF($A564="","",TEXT($A564,"yyyy-mm"))</f>
        <v/>
      </c>
    </row>
    <row r="565">
      <c r="A565" s="66" t="n"/>
      <c r="B565" s="4" t="n"/>
      <c r="C565" s="11">
        <f>IFERROR(VLOOKUP($B565,Members!$A:$C,2,FALSE),"")</f>
        <v/>
      </c>
      <c r="D565" s="11">
        <f>IFERROR(VLOOKUP($B565,Members!$A:$C,3,FALSE),"")</f>
        <v/>
      </c>
      <c r="E565" s="11">
        <f>IF($F565="","",IFERROR(VLOOKUP($F565,ActionMap!$A:$B,2,FALSE),"INVALID ACTION"))</f>
        <v/>
      </c>
      <c r="F565" s="4" t="n"/>
      <c r="G565" s="11">
        <f>IFERROR(VLOOKUP($E565,ActionsCatalog!$A:$B,2,FALSE),"")</f>
        <v/>
      </c>
      <c r="H565" s="4" t="n"/>
      <c r="I565" s="4">
        <f>IFERROR(VLOOKUP($E565,ActionsCatalog!$A:$D,3,FALSE),0)</f>
        <v/>
      </c>
      <c r="J565" s="4">
        <f>IFERROR(VLOOKUP($E565,ActionsCatalog!$A:$D,4,FALSE),0)</f>
        <v/>
      </c>
      <c r="K565" s="4">
        <f>IF($M565&lt;&gt;"Yes",0,IF($H565="",0,$H565*$I565))</f>
        <v/>
      </c>
      <c r="L565" s="4">
        <f>IF($M565&lt;&gt;"Yes",0,IF($H565="",0,$H565*$J565))</f>
        <v/>
      </c>
      <c r="M565" s="4" t="n"/>
      <c r="N565" s="4" t="n"/>
      <c r="O565" s="4">
        <f>IF($A565="","",TEXT($A565,"yyyy")&amp;"-W"&amp;TEXT(ISOWEEKNUM($A565),"00"))</f>
        <v/>
      </c>
      <c r="P565" s="4" t="n"/>
      <c r="Q565" s="14">
        <f>IF($A565="","",TEXT($A565,"yyyy-mm"))</f>
        <v/>
      </c>
    </row>
    <row r="566">
      <c r="A566" s="66" t="n"/>
      <c r="B566" s="4" t="n"/>
      <c r="C566" s="11">
        <f>IFERROR(VLOOKUP($B566,Members!$A:$C,2,FALSE),"")</f>
        <v/>
      </c>
      <c r="D566" s="11">
        <f>IFERROR(VLOOKUP($B566,Members!$A:$C,3,FALSE),"")</f>
        <v/>
      </c>
      <c r="E566" s="11">
        <f>IF($F566="","",IFERROR(VLOOKUP($F566,ActionMap!$A:$B,2,FALSE),"INVALID ACTION"))</f>
        <v/>
      </c>
      <c r="F566" s="4" t="n"/>
      <c r="G566" s="11">
        <f>IFERROR(VLOOKUP($E566,ActionsCatalog!$A:$B,2,FALSE),"")</f>
        <v/>
      </c>
      <c r="H566" s="4" t="n"/>
      <c r="I566" s="4">
        <f>IFERROR(VLOOKUP($E566,ActionsCatalog!$A:$D,3,FALSE),0)</f>
        <v/>
      </c>
      <c r="J566" s="4">
        <f>IFERROR(VLOOKUP($E566,ActionsCatalog!$A:$D,4,FALSE),0)</f>
        <v/>
      </c>
      <c r="K566" s="4">
        <f>IF($M566&lt;&gt;"Yes",0,IF($H566="",0,$H566*$I566))</f>
        <v/>
      </c>
      <c r="L566" s="4">
        <f>IF($M566&lt;&gt;"Yes",0,IF($H566="",0,$H566*$J566))</f>
        <v/>
      </c>
      <c r="M566" s="4" t="n"/>
      <c r="N566" s="4" t="n"/>
      <c r="O566" s="4">
        <f>IF($A566="","",TEXT($A566,"yyyy")&amp;"-W"&amp;TEXT(ISOWEEKNUM($A566),"00"))</f>
        <v/>
      </c>
      <c r="P566" s="4" t="n"/>
      <c r="Q566" s="14">
        <f>IF($A566="","",TEXT($A566,"yyyy-mm"))</f>
        <v/>
      </c>
    </row>
    <row r="567">
      <c r="A567" s="66" t="n"/>
      <c r="B567" s="4" t="n"/>
      <c r="C567" s="11">
        <f>IFERROR(VLOOKUP($B567,Members!$A:$C,2,FALSE),"")</f>
        <v/>
      </c>
      <c r="D567" s="11">
        <f>IFERROR(VLOOKUP($B567,Members!$A:$C,3,FALSE),"")</f>
        <v/>
      </c>
      <c r="E567" s="11">
        <f>IF($F567="","",IFERROR(VLOOKUP($F567,ActionMap!$A:$B,2,FALSE),"INVALID ACTION"))</f>
        <v/>
      </c>
      <c r="F567" s="4" t="n"/>
      <c r="G567" s="11">
        <f>IFERROR(VLOOKUP($E567,ActionsCatalog!$A:$B,2,FALSE),"")</f>
        <v/>
      </c>
      <c r="H567" s="4" t="n"/>
      <c r="I567" s="4">
        <f>IFERROR(VLOOKUP($E567,ActionsCatalog!$A:$D,3,FALSE),0)</f>
        <v/>
      </c>
      <c r="J567" s="4">
        <f>IFERROR(VLOOKUP($E567,ActionsCatalog!$A:$D,4,FALSE),0)</f>
        <v/>
      </c>
      <c r="K567" s="4">
        <f>IF($M567&lt;&gt;"Yes",0,IF($H567="",0,$H567*$I567))</f>
        <v/>
      </c>
      <c r="L567" s="4">
        <f>IF($M567&lt;&gt;"Yes",0,IF($H567="",0,$H567*$J567))</f>
        <v/>
      </c>
      <c r="M567" s="4" t="n"/>
      <c r="N567" s="4" t="n"/>
      <c r="O567" s="4">
        <f>IF($A567="","",TEXT($A567,"yyyy")&amp;"-W"&amp;TEXT(ISOWEEKNUM($A567),"00"))</f>
        <v/>
      </c>
      <c r="P567" s="4" t="n"/>
      <c r="Q567" s="14">
        <f>IF($A567="","",TEXT($A567,"yyyy-mm"))</f>
        <v/>
      </c>
    </row>
    <row r="568">
      <c r="A568" s="66" t="n"/>
      <c r="B568" s="4" t="n"/>
      <c r="C568" s="11">
        <f>IFERROR(VLOOKUP($B568,Members!$A:$C,2,FALSE),"")</f>
        <v/>
      </c>
      <c r="D568" s="11">
        <f>IFERROR(VLOOKUP($B568,Members!$A:$C,3,FALSE),"")</f>
        <v/>
      </c>
      <c r="E568" s="11">
        <f>IF($F568="","",IFERROR(VLOOKUP($F568,ActionMap!$A:$B,2,FALSE),"INVALID ACTION"))</f>
        <v/>
      </c>
      <c r="F568" s="4" t="n"/>
      <c r="G568" s="11">
        <f>IFERROR(VLOOKUP($E568,ActionsCatalog!$A:$B,2,FALSE),"")</f>
        <v/>
      </c>
      <c r="H568" s="4" t="n"/>
      <c r="I568" s="4">
        <f>IFERROR(VLOOKUP($E568,ActionsCatalog!$A:$D,3,FALSE),0)</f>
        <v/>
      </c>
      <c r="J568" s="4">
        <f>IFERROR(VLOOKUP($E568,ActionsCatalog!$A:$D,4,FALSE),0)</f>
        <v/>
      </c>
      <c r="K568" s="4">
        <f>IF($M568&lt;&gt;"Yes",0,IF($H568="",0,$H568*$I568))</f>
        <v/>
      </c>
      <c r="L568" s="4">
        <f>IF($M568&lt;&gt;"Yes",0,IF($H568="",0,$H568*$J568))</f>
        <v/>
      </c>
      <c r="M568" s="4" t="n"/>
      <c r="N568" s="4" t="n"/>
      <c r="O568" s="4">
        <f>IF($A568="","",TEXT($A568,"yyyy")&amp;"-W"&amp;TEXT(ISOWEEKNUM($A568),"00"))</f>
        <v/>
      </c>
      <c r="P568" s="4" t="n"/>
      <c r="Q568" s="14">
        <f>IF($A568="","",TEXT($A568,"yyyy-mm"))</f>
        <v/>
      </c>
    </row>
    <row r="569">
      <c r="A569" s="66" t="n"/>
      <c r="B569" s="4" t="n"/>
      <c r="C569" s="11">
        <f>IFERROR(VLOOKUP($B569,Members!$A:$C,2,FALSE),"")</f>
        <v/>
      </c>
      <c r="D569" s="11">
        <f>IFERROR(VLOOKUP($B569,Members!$A:$C,3,FALSE),"")</f>
        <v/>
      </c>
      <c r="E569" s="11">
        <f>IF($F569="","",IFERROR(VLOOKUP($F569,ActionMap!$A:$B,2,FALSE),"INVALID ACTION"))</f>
        <v/>
      </c>
      <c r="F569" s="4" t="n"/>
      <c r="G569" s="11">
        <f>IFERROR(VLOOKUP($E569,ActionsCatalog!$A:$B,2,FALSE),"")</f>
        <v/>
      </c>
      <c r="H569" s="4" t="n"/>
      <c r="I569" s="4">
        <f>IFERROR(VLOOKUP($E569,ActionsCatalog!$A:$D,3,FALSE),0)</f>
        <v/>
      </c>
      <c r="J569" s="4">
        <f>IFERROR(VLOOKUP($E569,ActionsCatalog!$A:$D,4,FALSE),0)</f>
        <v/>
      </c>
      <c r="K569" s="4">
        <f>IF($M569&lt;&gt;"Yes",0,IF($H569="",0,$H569*$I569))</f>
        <v/>
      </c>
      <c r="L569" s="4">
        <f>IF($M569&lt;&gt;"Yes",0,IF($H569="",0,$H569*$J569))</f>
        <v/>
      </c>
      <c r="M569" s="4" t="n"/>
      <c r="N569" s="4" t="n"/>
      <c r="O569" s="4">
        <f>IF($A569="","",TEXT($A569,"yyyy")&amp;"-W"&amp;TEXT(ISOWEEKNUM($A569),"00"))</f>
        <v/>
      </c>
      <c r="P569" s="4" t="n"/>
      <c r="Q569" s="14">
        <f>IF($A569="","",TEXT($A569,"yyyy-mm"))</f>
        <v/>
      </c>
    </row>
    <row r="570">
      <c r="A570" s="66" t="n"/>
      <c r="B570" s="4" t="n"/>
      <c r="C570" s="11">
        <f>IFERROR(VLOOKUP($B570,Members!$A:$C,2,FALSE),"")</f>
        <v/>
      </c>
      <c r="D570" s="11">
        <f>IFERROR(VLOOKUP($B570,Members!$A:$C,3,FALSE),"")</f>
        <v/>
      </c>
      <c r="E570" s="11">
        <f>IF($F570="","",IFERROR(VLOOKUP($F570,ActionMap!$A:$B,2,FALSE),"INVALID ACTION"))</f>
        <v/>
      </c>
      <c r="F570" s="4" t="n"/>
      <c r="G570" s="11">
        <f>IFERROR(VLOOKUP($E570,ActionsCatalog!$A:$B,2,FALSE),"")</f>
        <v/>
      </c>
      <c r="H570" s="4" t="n"/>
      <c r="I570" s="4">
        <f>IFERROR(VLOOKUP($E570,ActionsCatalog!$A:$D,3,FALSE),0)</f>
        <v/>
      </c>
      <c r="J570" s="4">
        <f>IFERROR(VLOOKUP($E570,ActionsCatalog!$A:$D,4,FALSE),0)</f>
        <v/>
      </c>
      <c r="K570" s="4">
        <f>IF($M570&lt;&gt;"Yes",0,IF($H570="",0,$H570*$I570))</f>
        <v/>
      </c>
      <c r="L570" s="4">
        <f>IF($M570&lt;&gt;"Yes",0,IF($H570="",0,$H570*$J570))</f>
        <v/>
      </c>
      <c r="M570" s="4" t="n"/>
      <c r="N570" s="4" t="n"/>
      <c r="O570" s="4">
        <f>IF($A570="","",TEXT($A570,"yyyy")&amp;"-W"&amp;TEXT(ISOWEEKNUM($A570),"00"))</f>
        <v/>
      </c>
      <c r="P570" s="4" t="n"/>
      <c r="Q570" s="14">
        <f>IF($A570="","",TEXT($A570,"yyyy-mm"))</f>
        <v/>
      </c>
    </row>
    <row r="571">
      <c r="A571" s="66" t="n"/>
      <c r="B571" s="4" t="n"/>
      <c r="C571" s="11">
        <f>IFERROR(VLOOKUP($B571,Members!$A:$C,2,FALSE),"")</f>
        <v/>
      </c>
      <c r="D571" s="11">
        <f>IFERROR(VLOOKUP($B571,Members!$A:$C,3,FALSE),"")</f>
        <v/>
      </c>
      <c r="E571" s="11">
        <f>IF($F571="","",IFERROR(VLOOKUP($F571,ActionMap!$A:$B,2,FALSE),"INVALID ACTION"))</f>
        <v/>
      </c>
      <c r="F571" s="4" t="n"/>
      <c r="G571" s="11">
        <f>IFERROR(VLOOKUP($E571,ActionsCatalog!$A:$B,2,FALSE),"")</f>
        <v/>
      </c>
      <c r="H571" s="4" t="n"/>
      <c r="I571" s="4">
        <f>IFERROR(VLOOKUP($E571,ActionsCatalog!$A:$D,3,FALSE),0)</f>
        <v/>
      </c>
      <c r="J571" s="4">
        <f>IFERROR(VLOOKUP($E571,ActionsCatalog!$A:$D,4,FALSE),0)</f>
        <v/>
      </c>
      <c r="K571" s="4">
        <f>IF($M571&lt;&gt;"Yes",0,IF($H571="",0,$H571*$I571))</f>
        <v/>
      </c>
      <c r="L571" s="4">
        <f>IF($M571&lt;&gt;"Yes",0,IF($H571="",0,$H571*$J571))</f>
        <v/>
      </c>
      <c r="M571" s="4" t="n"/>
      <c r="N571" s="4" t="n"/>
      <c r="O571" s="4">
        <f>IF($A571="","",TEXT($A571,"yyyy")&amp;"-W"&amp;TEXT(ISOWEEKNUM($A571),"00"))</f>
        <v/>
      </c>
      <c r="P571" s="4" t="n"/>
      <c r="Q571" s="14">
        <f>IF($A571="","",TEXT($A571,"yyyy-mm"))</f>
        <v/>
      </c>
    </row>
    <row r="572">
      <c r="A572" s="66" t="n"/>
      <c r="B572" s="4" t="n"/>
      <c r="C572" s="11">
        <f>IFERROR(VLOOKUP($B572,Members!$A:$C,2,FALSE),"")</f>
        <v/>
      </c>
      <c r="D572" s="11">
        <f>IFERROR(VLOOKUP($B572,Members!$A:$C,3,FALSE),"")</f>
        <v/>
      </c>
      <c r="E572" s="11">
        <f>IF($F572="","",IFERROR(VLOOKUP($F572,ActionMap!$A:$B,2,FALSE),"INVALID ACTION"))</f>
        <v/>
      </c>
      <c r="F572" s="4" t="n"/>
      <c r="G572" s="11">
        <f>IFERROR(VLOOKUP($E572,ActionsCatalog!$A:$B,2,FALSE),"")</f>
        <v/>
      </c>
      <c r="H572" s="4" t="n"/>
      <c r="I572" s="4">
        <f>IFERROR(VLOOKUP($E572,ActionsCatalog!$A:$D,3,FALSE),0)</f>
        <v/>
      </c>
      <c r="J572" s="4">
        <f>IFERROR(VLOOKUP($E572,ActionsCatalog!$A:$D,4,FALSE),0)</f>
        <v/>
      </c>
      <c r="K572" s="4">
        <f>IF($M572&lt;&gt;"Yes",0,IF($H572="",0,$H572*$I572))</f>
        <v/>
      </c>
      <c r="L572" s="4">
        <f>IF($M572&lt;&gt;"Yes",0,IF($H572="",0,$H572*$J572))</f>
        <v/>
      </c>
      <c r="M572" s="4" t="n"/>
      <c r="N572" s="4" t="n"/>
      <c r="O572" s="4">
        <f>IF($A572="","",TEXT($A572,"yyyy")&amp;"-W"&amp;TEXT(ISOWEEKNUM($A572),"00"))</f>
        <v/>
      </c>
      <c r="P572" s="4" t="n"/>
      <c r="Q572" s="14">
        <f>IF($A572="","",TEXT($A572,"yyyy-mm"))</f>
        <v/>
      </c>
    </row>
    <row r="573">
      <c r="A573" s="66" t="n"/>
      <c r="B573" s="4" t="n"/>
      <c r="C573" s="11">
        <f>IFERROR(VLOOKUP($B573,Members!$A:$C,2,FALSE),"")</f>
        <v/>
      </c>
      <c r="D573" s="11">
        <f>IFERROR(VLOOKUP($B573,Members!$A:$C,3,FALSE),"")</f>
        <v/>
      </c>
      <c r="E573" s="11">
        <f>IF($F573="","",IFERROR(VLOOKUP($F573,ActionMap!$A:$B,2,FALSE),"INVALID ACTION"))</f>
        <v/>
      </c>
      <c r="F573" s="4" t="n"/>
      <c r="G573" s="11">
        <f>IFERROR(VLOOKUP($E573,ActionsCatalog!$A:$B,2,FALSE),"")</f>
        <v/>
      </c>
      <c r="H573" s="4" t="n"/>
      <c r="I573" s="4">
        <f>IFERROR(VLOOKUP($E573,ActionsCatalog!$A:$D,3,FALSE),0)</f>
        <v/>
      </c>
      <c r="J573" s="4">
        <f>IFERROR(VLOOKUP($E573,ActionsCatalog!$A:$D,4,FALSE),0)</f>
        <v/>
      </c>
      <c r="K573" s="4">
        <f>IF($M573&lt;&gt;"Yes",0,IF($H573="",0,$H573*$I573))</f>
        <v/>
      </c>
      <c r="L573" s="4">
        <f>IF($M573&lt;&gt;"Yes",0,IF($H573="",0,$H573*$J573))</f>
        <v/>
      </c>
      <c r="M573" s="4" t="n"/>
      <c r="N573" s="4" t="n"/>
      <c r="O573" s="4">
        <f>IF($A573="","",TEXT($A573,"yyyy")&amp;"-W"&amp;TEXT(ISOWEEKNUM($A573),"00"))</f>
        <v/>
      </c>
      <c r="P573" s="4" t="n"/>
      <c r="Q573" s="14">
        <f>IF($A573="","",TEXT($A573,"yyyy-mm"))</f>
        <v/>
      </c>
    </row>
    <row r="574">
      <c r="A574" s="66" t="n"/>
      <c r="B574" s="4" t="n"/>
      <c r="C574" s="11">
        <f>IFERROR(VLOOKUP($B574,Members!$A:$C,2,FALSE),"")</f>
        <v/>
      </c>
      <c r="D574" s="11">
        <f>IFERROR(VLOOKUP($B574,Members!$A:$C,3,FALSE),"")</f>
        <v/>
      </c>
      <c r="E574" s="11">
        <f>IF($F574="","",IFERROR(VLOOKUP($F574,ActionMap!$A:$B,2,FALSE),"INVALID ACTION"))</f>
        <v/>
      </c>
      <c r="F574" s="4" t="n"/>
      <c r="G574" s="11">
        <f>IFERROR(VLOOKUP($E574,ActionsCatalog!$A:$B,2,FALSE),"")</f>
        <v/>
      </c>
      <c r="H574" s="4" t="n"/>
      <c r="I574" s="4">
        <f>IFERROR(VLOOKUP($E574,ActionsCatalog!$A:$D,3,FALSE),0)</f>
        <v/>
      </c>
      <c r="J574" s="4">
        <f>IFERROR(VLOOKUP($E574,ActionsCatalog!$A:$D,4,FALSE),0)</f>
        <v/>
      </c>
      <c r="K574" s="4">
        <f>IF($M574&lt;&gt;"Yes",0,IF($H574="",0,$H574*$I574))</f>
        <v/>
      </c>
      <c r="L574" s="4">
        <f>IF($M574&lt;&gt;"Yes",0,IF($H574="",0,$H574*$J574))</f>
        <v/>
      </c>
      <c r="M574" s="4" t="n"/>
      <c r="N574" s="4" t="n"/>
      <c r="O574" s="4">
        <f>IF($A574="","",TEXT($A574,"yyyy")&amp;"-W"&amp;TEXT(ISOWEEKNUM($A574),"00"))</f>
        <v/>
      </c>
      <c r="P574" s="4" t="n"/>
      <c r="Q574" s="14">
        <f>IF($A574="","",TEXT($A574,"yyyy-mm"))</f>
        <v/>
      </c>
    </row>
    <row r="575">
      <c r="A575" s="66" t="n"/>
      <c r="B575" s="4" t="n"/>
      <c r="C575" s="11">
        <f>IFERROR(VLOOKUP($B575,Members!$A:$C,2,FALSE),"")</f>
        <v/>
      </c>
      <c r="D575" s="11">
        <f>IFERROR(VLOOKUP($B575,Members!$A:$C,3,FALSE),"")</f>
        <v/>
      </c>
      <c r="E575" s="11">
        <f>IF($F575="","",IFERROR(VLOOKUP($F575,ActionMap!$A:$B,2,FALSE),"INVALID ACTION"))</f>
        <v/>
      </c>
      <c r="F575" s="4" t="n"/>
      <c r="G575" s="11">
        <f>IFERROR(VLOOKUP($E575,ActionsCatalog!$A:$B,2,FALSE),"")</f>
        <v/>
      </c>
      <c r="H575" s="4" t="n"/>
      <c r="I575" s="4">
        <f>IFERROR(VLOOKUP($E575,ActionsCatalog!$A:$D,3,FALSE),0)</f>
        <v/>
      </c>
      <c r="J575" s="4">
        <f>IFERROR(VLOOKUP($E575,ActionsCatalog!$A:$D,4,FALSE),0)</f>
        <v/>
      </c>
      <c r="K575" s="4">
        <f>IF($M575&lt;&gt;"Yes",0,IF($H575="",0,$H575*$I575))</f>
        <v/>
      </c>
      <c r="L575" s="4">
        <f>IF($M575&lt;&gt;"Yes",0,IF($H575="",0,$H575*$J575))</f>
        <v/>
      </c>
      <c r="M575" s="4" t="n"/>
      <c r="N575" s="4" t="n"/>
      <c r="O575" s="4">
        <f>IF($A575="","",TEXT($A575,"yyyy")&amp;"-W"&amp;TEXT(ISOWEEKNUM($A575),"00"))</f>
        <v/>
      </c>
      <c r="P575" s="4" t="n"/>
      <c r="Q575" s="14">
        <f>IF($A575="","",TEXT($A575,"yyyy-mm"))</f>
        <v/>
      </c>
    </row>
    <row r="576">
      <c r="A576" s="66" t="n"/>
      <c r="B576" s="4" t="n"/>
      <c r="C576" s="11">
        <f>IFERROR(VLOOKUP($B576,Members!$A:$C,2,FALSE),"")</f>
        <v/>
      </c>
      <c r="D576" s="11">
        <f>IFERROR(VLOOKUP($B576,Members!$A:$C,3,FALSE),"")</f>
        <v/>
      </c>
      <c r="E576" s="11">
        <f>IF($F576="","",IFERROR(VLOOKUP($F576,ActionMap!$A:$B,2,FALSE),"INVALID ACTION"))</f>
        <v/>
      </c>
      <c r="F576" s="4" t="n"/>
      <c r="G576" s="11">
        <f>IFERROR(VLOOKUP($E576,ActionsCatalog!$A:$B,2,FALSE),"")</f>
        <v/>
      </c>
      <c r="H576" s="4" t="n"/>
      <c r="I576" s="4">
        <f>IFERROR(VLOOKUP($E576,ActionsCatalog!$A:$D,3,FALSE),0)</f>
        <v/>
      </c>
      <c r="J576" s="4">
        <f>IFERROR(VLOOKUP($E576,ActionsCatalog!$A:$D,4,FALSE),0)</f>
        <v/>
      </c>
      <c r="K576" s="4">
        <f>IF($M576&lt;&gt;"Yes",0,IF($H576="",0,$H576*$I576))</f>
        <v/>
      </c>
      <c r="L576" s="4">
        <f>IF($M576&lt;&gt;"Yes",0,IF($H576="",0,$H576*$J576))</f>
        <v/>
      </c>
      <c r="M576" s="4" t="n"/>
      <c r="N576" s="4" t="n"/>
      <c r="O576" s="4">
        <f>IF($A576="","",TEXT($A576,"yyyy")&amp;"-W"&amp;TEXT(ISOWEEKNUM($A576),"00"))</f>
        <v/>
      </c>
      <c r="P576" s="4" t="n"/>
      <c r="Q576" s="14">
        <f>IF($A576="","",TEXT($A576,"yyyy-mm"))</f>
        <v/>
      </c>
    </row>
    <row r="577">
      <c r="A577" s="66" t="n"/>
      <c r="B577" s="4" t="n"/>
      <c r="C577" s="11">
        <f>IFERROR(VLOOKUP($B577,Members!$A:$C,2,FALSE),"")</f>
        <v/>
      </c>
      <c r="D577" s="11">
        <f>IFERROR(VLOOKUP($B577,Members!$A:$C,3,FALSE),"")</f>
        <v/>
      </c>
      <c r="E577" s="11">
        <f>IF($F577="","",IFERROR(VLOOKUP($F577,ActionMap!$A:$B,2,FALSE),"INVALID ACTION"))</f>
        <v/>
      </c>
      <c r="F577" s="4" t="n"/>
      <c r="G577" s="11">
        <f>IFERROR(VLOOKUP($E577,ActionsCatalog!$A:$B,2,FALSE),"")</f>
        <v/>
      </c>
      <c r="H577" s="4" t="n"/>
      <c r="I577" s="4">
        <f>IFERROR(VLOOKUP($E577,ActionsCatalog!$A:$D,3,FALSE),0)</f>
        <v/>
      </c>
      <c r="J577" s="4">
        <f>IFERROR(VLOOKUP($E577,ActionsCatalog!$A:$D,4,FALSE),0)</f>
        <v/>
      </c>
      <c r="K577" s="4">
        <f>IF($M577&lt;&gt;"Yes",0,IF($H577="",0,$H577*$I577))</f>
        <v/>
      </c>
      <c r="L577" s="4">
        <f>IF($M577&lt;&gt;"Yes",0,IF($H577="",0,$H577*$J577))</f>
        <v/>
      </c>
      <c r="M577" s="4" t="n"/>
      <c r="N577" s="4" t="n"/>
      <c r="O577" s="4">
        <f>IF($A577="","",TEXT($A577,"yyyy")&amp;"-W"&amp;TEXT(ISOWEEKNUM($A577),"00"))</f>
        <v/>
      </c>
      <c r="P577" s="4" t="n"/>
      <c r="Q577" s="14">
        <f>IF($A577="","",TEXT($A577,"yyyy-mm"))</f>
        <v/>
      </c>
    </row>
    <row r="578">
      <c r="A578" s="66" t="n"/>
      <c r="B578" s="4" t="n"/>
      <c r="C578" s="11">
        <f>IFERROR(VLOOKUP($B578,Members!$A:$C,2,FALSE),"")</f>
        <v/>
      </c>
      <c r="D578" s="11">
        <f>IFERROR(VLOOKUP($B578,Members!$A:$C,3,FALSE),"")</f>
        <v/>
      </c>
      <c r="E578" s="11">
        <f>IF($F578="","",IFERROR(VLOOKUP($F578,ActionMap!$A:$B,2,FALSE),"INVALID ACTION"))</f>
        <v/>
      </c>
      <c r="F578" s="4" t="n"/>
      <c r="G578" s="11">
        <f>IFERROR(VLOOKUP($E578,ActionsCatalog!$A:$B,2,FALSE),"")</f>
        <v/>
      </c>
      <c r="H578" s="4" t="n"/>
      <c r="I578" s="4">
        <f>IFERROR(VLOOKUP($E578,ActionsCatalog!$A:$D,3,FALSE),0)</f>
        <v/>
      </c>
      <c r="J578" s="4">
        <f>IFERROR(VLOOKUP($E578,ActionsCatalog!$A:$D,4,FALSE),0)</f>
        <v/>
      </c>
      <c r="K578" s="4">
        <f>IF($M578&lt;&gt;"Yes",0,IF($H578="",0,$H578*$I578))</f>
        <v/>
      </c>
      <c r="L578" s="4">
        <f>IF($M578&lt;&gt;"Yes",0,IF($H578="",0,$H578*$J578))</f>
        <v/>
      </c>
      <c r="M578" s="4" t="n"/>
      <c r="N578" s="4" t="n"/>
      <c r="O578" s="4">
        <f>IF($A578="","",TEXT($A578,"yyyy")&amp;"-W"&amp;TEXT(ISOWEEKNUM($A578),"00"))</f>
        <v/>
      </c>
      <c r="P578" s="4" t="n"/>
      <c r="Q578" s="14">
        <f>IF($A578="","",TEXT($A578,"yyyy-mm"))</f>
        <v/>
      </c>
    </row>
    <row r="579">
      <c r="A579" s="66" t="n"/>
      <c r="B579" s="4" t="n"/>
      <c r="C579" s="11">
        <f>IFERROR(VLOOKUP($B579,Members!$A:$C,2,FALSE),"")</f>
        <v/>
      </c>
      <c r="D579" s="11">
        <f>IFERROR(VLOOKUP($B579,Members!$A:$C,3,FALSE),"")</f>
        <v/>
      </c>
      <c r="E579" s="11">
        <f>IF($F579="","",IFERROR(VLOOKUP($F579,ActionMap!$A:$B,2,FALSE),"INVALID ACTION"))</f>
        <v/>
      </c>
      <c r="F579" s="4" t="n"/>
      <c r="G579" s="11">
        <f>IFERROR(VLOOKUP($E579,ActionsCatalog!$A:$B,2,FALSE),"")</f>
        <v/>
      </c>
      <c r="H579" s="4" t="n"/>
      <c r="I579" s="4">
        <f>IFERROR(VLOOKUP($E579,ActionsCatalog!$A:$D,3,FALSE),0)</f>
        <v/>
      </c>
      <c r="J579" s="4">
        <f>IFERROR(VLOOKUP($E579,ActionsCatalog!$A:$D,4,FALSE),0)</f>
        <v/>
      </c>
      <c r="K579" s="4">
        <f>IF($M579&lt;&gt;"Yes",0,IF($H579="",0,$H579*$I579))</f>
        <v/>
      </c>
      <c r="L579" s="4">
        <f>IF($M579&lt;&gt;"Yes",0,IF($H579="",0,$H579*$J579))</f>
        <v/>
      </c>
      <c r="M579" s="4" t="n"/>
      <c r="N579" s="4" t="n"/>
      <c r="O579" s="4">
        <f>IF($A579="","",TEXT($A579,"yyyy")&amp;"-W"&amp;TEXT(ISOWEEKNUM($A579),"00"))</f>
        <v/>
      </c>
      <c r="P579" s="4" t="n"/>
      <c r="Q579" s="14">
        <f>IF($A579="","",TEXT($A579,"yyyy-mm"))</f>
        <v/>
      </c>
    </row>
    <row r="580">
      <c r="A580" s="66" t="n"/>
      <c r="B580" s="4" t="n"/>
      <c r="C580" s="11">
        <f>IFERROR(VLOOKUP($B580,Members!$A:$C,2,FALSE),"")</f>
        <v/>
      </c>
      <c r="D580" s="11">
        <f>IFERROR(VLOOKUP($B580,Members!$A:$C,3,FALSE),"")</f>
        <v/>
      </c>
      <c r="E580" s="11">
        <f>IF($F580="","",IFERROR(VLOOKUP($F580,ActionMap!$A:$B,2,FALSE),"INVALID ACTION"))</f>
        <v/>
      </c>
      <c r="F580" s="4" t="n"/>
      <c r="G580" s="11">
        <f>IFERROR(VLOOKUP($E580,ActionsCatalog!$A:$B,2,FALSE),"")</f>
        <v/>
      </c>
      <c r="H580" s="4" t="n"/>
      <c r="I580" s="4">
        <f>IFERROR(VLOOKUP($E580,ActionsCatalog!$A:$D,3,FALSE),0)</f>
        <v/>
      </c>
      <c r="J580" s="4">
        <f>IFERROR(VLOOKUP($E580,ActionsCatalog!$A:$D,4,FALSE),0)</f>
        <v/>
      </c>
      <c r="K580" s="4">
        <f>IF($M580&lt;&gt;"Yes",0,IF($H580="",0,$H580*$I580))</f>
        <v/>
      </c>
      <c r="L580" s="4">
        <f>IF($M580&lt;&gt;"Yes",0,IF($H580="",0,$H580*$J580))</f>
        <v/>
      </c>
      <c r="M580" s="4" t="n"/>
      <c r="N580" s="4" t="n"/>
      <c r="O580" s="4">
        <f>IF($A580="","",TEXT($A580,"yyyy")&amp;"-W"&amp;TEXT(ISOWEEKNUM($A580),"00"))</f>
        <v/>
      </c>
      <c r="P580" s="4" t="n"/>
      <c r="Q580" s="14">
        <f>IF($A580="","",TEXT($A580,"yyyy-mm"))</f>
        <v/>
      </c>
    </row>
    <row r="581">
      <c r="A581" s="66" t="n"/>
      <c r="B581" s="4" t="n"/>
      <c r="C581" s="11">
        <f>IFERROR(VLOOKUP($B581,Members!$A:$C,2,FALSE),"")</f>
        <v/>
      </c>
      <c r="D581" s="11">
        <f>IFERROR(VLOOKUP($B581,Members!$A:$C,3,FALSE),"")</f>
        <v/>
      </c>
      <c r="E581" s="11">
        <f>IF($F581="","",IFERROR(VLOOKUP($F581,ActionMap!$A:$B,2,FALSE),"INVALID ACTION"))</f>
        <v/>
      </c>
      <c r="F581" s="4" t="n"/>
      <c r="G581" s="11">
        <f>IFERROR(VLOOKUP($E581,ActionsCatalog!$A:$B,2,FALSE),"")</f>
        <v/>
      </c>
      <c r="H581" s="4" t="n"/>
      <c r="I581" s="4">
        <f>IFERROR(VLOOKUP($E581,ActionsCatalog!$A:$D,3,FALSE),0)</f>
        <v/>
      </c>
      <c r="J581" s="4">
        <f>IFERROR(VLOOKUP($E581,ActionsCatalog!$A:$D,4,FALSE),0)</f>
        <v/>
      </c>
      <c r="K581" s="4">
        <f>IF($M581&lt;&gt;"Yes",0,IF($H581="",0,$H581*$I581))</f>
        <v/>
      </c>
      <c r="L581" s="4">
        <f>IF($M581&lt;&gt;"Yes",0,IF($H581="",0,$H581*$J581))</f>
        <v/>
      </c>
      <c r="M581" s="4" t="n"/>
      <c r="N581" s="4" t="n"/>
      <c r="O581" s="4">
        <f>IF($A581="","",TEXT($A581,"yyyy")&amp;"-W"&amp;TEXT(ISOWEEKNUM($A581),"00"))</f>
        <v/>
      </c>
      <c r="P581" s="4" t="n"/>
      <c r="Q581" s="14">
        <f>IF($A581="","",TEXT($A581,"yyyy-mm"))</f>
        <v/>
      </c>
    </row>
    <row r="582">
      <c r="A582" s="66" t="n"/>
      <c r="B582" s="4" t="n"/>
      <c r="C582" s="11">
        <f>IFERROR(VLOOKUP($B582,Members!$A:$C,2,FALSE),"")</f>
        <v/>
      </c>
      <c r="D582" s="11">
        <f>IFERROR(VLOOKUP($B582,Members!$A:$C,3,FALSE),"")</f>
        <v/>
      </c>
      <c r="E582" s="11">
        <f>IF($F582="","",IFERROR(VLOOKUP($F582,ActionMap!$A:$B,2,FALSE),"INVALID ACTION"))</f>
        <v/>
      </c>
      <c r="F582" s="4" t="n"/>
      <c r="G582" s="11">
        <f>IFERROR(VLOOKUP($E582,ActionsCatalog!$A:$B,2,FALSE),"")</f>
        <v/>
      </c>
      <c r="H582" s="4" t="n"/>
      <c r="I582" s="4">
        <f>IFERROR(VLOOKUP($E582,ActionsCatalog!$A:$D,3,FALSE),0)</f>
        <v/>
      </c>
      <c r="J582" s="4">
        <f>IFERROR(VLOOKUP($E582,ActionsCatalog!$A:$D,4,FALSE),0)</f>
        <v/>
      </c>
      <c r="K582" s="4">
        <f>IF($M582&lt;&gt;"Yes",0,IF($H582="",0,$H582*$I582))</f>
        <v/>
      </c>
      <c r="L582" s="4">
        <f>IF($M582&lt;&gt;"Yes",0,IF($H582="",0,$H582*$J582))</f>
        <v/>
      </c>
      <c r="M582" s="4" t="n"/>
      <c r="N582" s="4" t="n"/>
      <c r="O582" s="4">
        <f>IF($A582="","",TEXT($A582,"yyyy")&amp;"-W"&amp;TEXT(ISOWEEKNUM($A582),"00"))</f>
        <v/>
      </c>
      <c r="P582" s="4" t="n"/>
      <c r="Q582" s="14">
        <f>IF($A582="","",TEXT($A582,"yyyy-mm"))</f>
        <v/>
      </c>
    </row>
    <row r="583">
      <c r="A583" s="66" t="n"/>
      <c r="B583" s="4" t="n"/>
      <c r="C583" s="11">
        <f>IFERROR(VLOOKUP($B583,Members!$A:$C,2,FALSE),"")</f>
        <v/>
      </c>
      <c r="D583" s="11">
        <f>IFERROR(VLOOKUP($B583,Members!$A:$C,3,FALSE),"")</f>
        <v/>
      </c>
      <c r="E583" s="11">
        <f>IF($F583="","",IFERROR(VLOOKUP($F583,ActionMap!$A:$B,2,FALSE),"INVALID ACTION"))</f>
        <v/>
      </c>
      <c r="F583" s="4" t="n"/>
      <c r="G583" s="11">
        <f>IFERROR(VLOOKUP($E583,ActionsCatalog!$A:$B,2,FALSE),"")</f>
        <v/>
      </c>
      <c r="H583" s="4" t="n"/>
      <c r="I583" s="4">
        <f>IFERROR(VLOOKUP($E583,ActionsCatalog!$A:$D,3,FALSE),0)</f>
        <v/>
      </c>
      <c r="J583" s="4">
        <f>IFERROR(VLOOKUP($E583,ActionsCatalog!$A:$D,4,FALSE),0)</f>
        <v/>
      </c>
      <c r="K583" s="4">
        <f>IF($M583&lt;&gt;"Yes",0,IF($H583="",0,$H583*$I583))</f>
        <v/>
      </c>
      <c r="L583" s="4">
        <f>IF($M583&lt;&gt;"Yes",0,IF($H583="",0,$H583*$J583))</f>
        <v/>
      </c>
      <c r="M583" s="4" t="n"/>
      <c r="N583" s="4" t="n"/>
      <c r="O583" s="4">
        <f>IF($A583="","",TEXT($A583,"yyyy")&amp;"-W"&amp;TEXT(ISOWEEKNUM($A583),"00"))</f>
        <v/>
      </c>
      <c r="P583" s="4" t="n"/>
      <c r="Q583" s="14">
        <f>IF($A583="","",TEXT($A583,"yyyy-mm"))</f>
        <v/>
      </c>
    </row>
    <row r="584">
      <c r="A584" s="66" t="n"/>
      <c r="B584" s="4" t="n"/>
      <c r="C584" s="11">
        <f>IFERROR(VLOOKUP($B584,Members!$A:$C,2,FALSE),"")</f>
        <v/>
      </c>
      <c r="D584" s="11">
        <f>IFERROR(VLOOKUP($B584,Members!$A:$C,3,FALSE),"")</f>
        <v/>
      </c>
      <c r="E584" s="11">
        <f>IF($F584="","",IFERROR(VLOOKUP($F584,ActionMap!$A:$B,2,FALSE),"INVALID ACTION"))</f>
        <v/>
      </c>
      <c r="F584" s="4" t="n"/>
      <c r="G584" s="11">
        <f>IFERROR(VLOOKUP($E584,ActionsCatalog!$A:$B,2,FALSE),"")</f>
        <v/>
      </c>
      <c r="H584" s="4" t="n"/>
      <c r="I584" s="4">
        <f>IFERROR(VLOOKUP($E584,ActionsCatalog!$A:$D,3,FALSE),0)</f>
        <v/>
      </c>
      <c r="J584" s="4">
        <f>IFERROR(VLOOKUP($E584,ActionsCatalog!$A:$D,4,FALSE),0)</f>
        <v/>
      </c>
      <c r="K584" s="4">
        <f>IF($M584&lt;&gt;"Yes",0,IF($H584="",0,$H584*$I584))</f>
        <v/>
      </c>
      <c r="L584" s="4">
        <f>IF($M584&lt;&gt;"Yes",0,IF($H584="",0,$H584*$J584))</f>
        <v/>
      </c>
      <c r="M584" s="4" t="n"/>
      <c r="N584" s="4" t="n"/>
      <c r="O584" s="4">
        <f>IF($A584="","",TEXT($A584,"yyyy")&amp;"-W"&amp;TEXT(ISOWEEKNUM($A584),"00"))</f>
        <v/>
      </c>
      <c r="P584" s="4" t="n"/>
      <c r="Q584" s="14">
        <f>IF($A584="","",TEXT($A584,"yyyy-mm"))</f>
        <v/>
      </c>
    </row>
    <row r="585">
      <c r="A585" s="66" t="n"/>
      <c r="B585" s="4" t="n"/>
      <c r="C585" s="11">
        <f>IFERROR(VLOOKUP($B585,Members!$A:$C,2,FALSE),"")</f>
        <v/>
      </c>
      <c r="D585" s="11">
        <f>IFERROR(VLOOKUP($B585,Members!$A:$C,3,FALSE),"")</f>
        <v/>
      </c>
      <c r="E585" s="11">
        <f>IF($F585="","",IFERROR(VLOOKUP($F585,ActionMap!$A:$B,2,FALSE),"INVALID ACTION"))</f>
        <v/>
      </c>
      <c r="F585" s="4" t="n"/>
      <c r="G585" s="11">
        <f>IFERROR(VLOOKUP($E585,ActionsCatalog!$A:$B,2,FALSE),"")</f>
        <v/>
      </c>
      <c r="H585" s="4" t="n"/>
      <c r="I585" s="4">
        <f>IFERROR(VLOOKUP($E585,ActionsCatalog!$A:$D,3,FALSE),0)</f>
        <v/>
      </c>
      <c r="J585" s="4">
        <f>IFERROR(VLOOKUP($E585,ActionsCatalog!$A:$D,4,FALSE),0)</f>
        <v/>
      </c>
      <c r="K585" s="4">
        <f>IF($M585&lt;&gt;"Yes",0,IF($H585="",0,$H585*$I585))</f>
        <v/>
      </c>
      <c r="L585" s="4">
        <f>IF($M585&lt;&gt;"Yes",0,IF($H585="",0,$H585*$J585))</f>
        <v/>
      </c>
      <c r="M585" s="4" t="n"/>
      <c r="N585" s="4" t="n"/>
      <c r="O585" s="4">
        <f>IF($A585="","",TEXT($A585,"yyyy")&amp;"-W"&amp;TEXT(ISOWEEKNUM($A585),"00"))</f>
        <v/>
      </c>
      <c r="P585" s="4" t="n"/>
      <c r="Q585" s="14">
        <f>IF($A585="","",TEXT($A585,"yyyy-mm"))</f>
        <v/>
      </c>
    </row>
    <row r="586">
      <c r="A586" s="66" t="n"/>
      <c r="B586" s="4" t="n"/>
      <c r="C586" s="11">
        <f>IFERROR(VLOOKUP($B586,Members!$A:$C,2,FALSE),"")</f>
        <v/>
      </c>
      <c r="D586" s="11">
        <f>IFERROR(VLOOKUP($B586,Members!$A:$C,3,FALSE),"")</f>
        <v/>
      </c>
      <c r="E586" s="11">
        <f>IF($F586="","",IFERROR(VLOOKUP($F586,ActionMap!$A:$B,2,FALSE),"INVALID ACTION"))</f>
        <v/>
      </c>
      <c r="F586" s="4" t="n"/>
      <c r="G586" s="11">
        <f>IFERROR(VLOOKUP($E586,ActionsCatalog!$A:$B,2,FALSE),"")</f>
        <v/>
      </c>
      <c r="H586" s="4" t="n"/>
      <c r="I586" s="4">
        <f>IFERROR(VLOOKUP($E586,ActionsCatalog!$A:$D,3,FALSE),0)</f>
        <v/>
      </c>
      <c r="J586" s="4">
        <f>IFERROR(VLOOKUP($E586,ActionsCatalog!$A:$D,4,FALSE),0)</f>
        <v/>
      </c>
      <c r="K586" s="4">
        <f>IF($M586&lt;&gt;"Yes",0,IF($H586="",0,$H586*$I586))</f>
        <v/>
      </c>
      <c r="L586" s="4">
        <f>IF($M586&lt;&gt;"Yes",0,IF($H586="",0,$H586*$J586))</f>
        <v/>
      </c>
      <c r="M586" s="4" t="n"/>
      <c r="N586" s="4" t="n"/>
      <c r="O586" s="4">
        <f>IF($A586="","",TEXT($A586,"yyyy")&amp;"-W"&amp;TEXT(ISOWEEKNUM($A586),"00"))</f>
        <v/>
      </c>
      <c r="P586" s="4" t="n"/>
      <c r="Q586" s="14">
        <f>IF($A586="","",TEXT($A586,"yyyy-mm"))</f>
        <v/>
      </c>
    </row>
    <row r="587">
      <c r="A587" s="66" t="n"/>
      <c r="B587" s="4" t="n"/>
      <c r="C587" s="11">
        <f>IFERROR(VLOOKUP($B587,Members!$A:$C,2,FALSE),"")</f>
        <v/>
      </c>
      <c r="D587" s="11">
        <f>IFERROR(VLOOKUP($B587,Members!$A:$C,3,FALSE),"")</f>
        <v/>
      </c>
      <c r="E587" s="11">
        <f>IF($F587="","",IFERROR(VLOOKUP($F587,ActionMap!$A:$B,2,FALSE),"INVALID ACTION"))</f>
        <v/>
      </c>
      <c r="F587" s="4" t="n"/>
      <c r="G587" s="11">
        <f>IFERROR(VLOOKUP($E587,ActionsCatalog!$A:$B,2,FALSE),"")</f>
        <v/>
      </c>
      <c r="H587" s="4" t="n"/>
      <c r="I587" s="4">
        <f>IFERROR(VLOOKUP($E587,ActionsCatalog!$A:$D,3,FALSE),0)</f>
        <v/>
      </c>
      <c r="J587" s="4">
        <f>IFERROR(VLOOKUP($E587,ActionsCatalog!$A:$D,4,FALSE),0)</f>
        <v/>
      </c>
      <c r="K587" s="4">
        <f>IF($M587&lt;&gt;"Yes",0,IF($H587="",0,$H587*$I587))</f>
        <v/>
      </c>
      <c r="L587" s="4">
        <f>IF($M587&lt;&gt;"Yes",0,IF($H587="",0,$H587*$J587))</f>
        <v/>
      </c>
      <c r="M587" s="4" t="n"/>
      <c r="N587" s="4" t="n"/>
      <c r="O587" s="4">
        <f>IF($A587="","",TEXT($A587,"yyyy")&amp;"-W"&amp;TEXT(ISOWEEKNUM($A587),"00"))</f>
        <v/>
      </c>
      <c r="P587" s="4" t="n"/>
      <c r="Q587" s="14">
        <f>IF($A587="","",TEXT($A587,"yyyy-mm"))</f>
        <v/>
      </c>
    </row>
    <row r="588">
      <c r="A588" s="66" t="n"/>
      <c r="B588" s="4" t="n"/>
      <c r="C588" s="11">
        <f>IFERROR(VLOOKUP($B588,Members!$A:$C,2,FALSE),"")</f>
        <v/>
      </c>
      <c r="D588" s="11">
        <f>IFERROR(VLOOKUP($B588,Members!$A:$C,3,FALSE),"")</f>
        <v/>
      </c>
      <c r="E588" s="11">
        <f>IF($F588="","",IFERROR(VLOOKUP($F588,ActionMap!$A:$B,2,FALSE),"INVALID ACTION"))</f>
        <v/>
      </c>
      <c r="F588" s="4" t="n"/>
      <c r="G588" s="11">
        <f>IFERROR(VLOOKUP($E588,ActionsCatalog!$A:$B,2,FALSE),"")</f>
        <v/>
      </c>
      <c r="H588" s="4" t="n"/>
      <c r="I588" s="4">
        <f>IFERROR(VLOOKUP($E588,ActionsCatalog!$A:$D,3,FALSE),0)</f>
        <v/>
      </c>
      <c r="J588" s="4">
        <f>IFERROR(VLOOKUP($E588,ActionsCatalog!$A:$D,4,FALSE),0)</f>
        <v/>
      </c>
      <c r="K588" s="4">
        <f>IF($M588&lt;&gt;"Yes",0,IF($H588="",0,$H588*$I588))</f>
        <v/>
      </c>
      <c r="L588" s="4">
        <f>IF($M588&lt;&gt;"Yes",0,IF($H588="",0,$H588*$J588))</f>
        <v/>
      </c>
      <c r="M588" s="4" t="n"/>
      <c r="N588" s="4" t="n"/>
      <c r="O588" s="4">
        <f>IF($A588="","",TEXT($A588,"yyyy")&amp;"-W"&amp;TEXT(ISOWEEKNUM($A588),"00"))</f>
        <v/>
      </c>
      <c r="P588" s="4" t="n"/>
      <c r="Q588" s="14">
        <f>IF($A588="","",TEXT($A588,"yyyy-mm"))</f>
        <v/>
      </c>
    </row>
    <row r="589">
      <c r="A589" s="66" t="n"/>
      <c r="B589" s="4" t="n"/>
      <c r="C589" s="11">
        <f>IFERROR(VLOOKUP($B589,Members!$A:$C,2,FALSE),"")</f>
        <v/>
      </c>
      <c r="D589" s="11">
        <f>IFERROR(VLOOKUP($B589,Members!$A:$C,3,FALSE),"")</f>
        <v/>
      </c>
      <c r="E589" s="11">
        <f>IF($F589="","",IFERROR(VLOOKUP($F589,ActionMap!$A:$B,2,FALSE),"INVALID ACTION"))</f>
        <v/>
      </c>
      <c r="F589" s="4" t="n"/>
      <c r="G589" s="11">
        <f>IFERROR(VLOOKUP($E589,ActionsCatalog!$A:$B,2,FALSE),"")</f>
        <v/>
      </c>
      <c r="H589" s="4" t="n"/>
      <c r="I589" s="4">
        <f>IFERROR(VLOOKUP($E589,ActionsCatalog!$A:$D,3,FALSE),0)</f>
        <v/>
      </c>
      <c r="J589" s="4">
        <f>IFERROR(VLOOKUP($E589,ActionsCatalog!$A:$D,4,FALSE),0)</f>
        <v/>
      </c>
      <c r="K589" s="4">
        <f>IF($M589&lt;&gt;"Yes",0,IF($H589="",0,$H589*$I589))</f>
        <v/>
      </c>
      <c r="L589" s="4">
        <f>IF($M589&lt;&gt;"Yes",0,IF($H589="",0,$H589*$J589))</f>
        <v/>
      </c>
      <c r="M589" s="4" t="n"/>
      <c r="N589" s="4" t="n"/>
      <c r="O589" s="4">
        <f>IF($A589="","",TEXT($A589,"yyyy")&amp;"-W"&amp;TEXT(ISOWEEKNUM($A589),"00"))</f>
        <v/>
      </c>
      <c r="P589" s="4" t="n"/>
      <c r="Q589" s="14">
        <f>IF($A589="","",TEXT($A589,"yyyy-mm"))</f>
        <v/>
      </c>
    </row>
    <row r="590">
      <c r="A590" s="66" t="n"/>
      <c r="B590" s="4" t="n"/>
      <c r="C590" s="11">
        <f>IFERROR(VLOOKUP($B590,Members!$A:$C,2,FALSE),"")</f>
        <v/>
      </c>
      <c r="D590" s="11">
        <f>IFERROR(VLOOKUP($B590,Members!$A:$C,3,FALSE),"")</f>
        <v/>
      </c>
      <c r="E590" s="11">
        <f>IF($F590="","",IFERROR(VLOOKUP($F590,ActionMap!$A:$B,2,FALSE),"INVALID ACTION"))</f>
        <v/>
      </c>
      <c r="F590" s="4" t="n"/>
      <c r="G590" s="11">
        <f>IFERROR(VLOOKUP($E590,ActionsCatalog!$A:$B,2,FALSE),"")</f>
        <v/>
      </c>
      <c r="H590" s="4" t="n"/>
      <c r="I590" s="4">
        <f>IFERROR(VLOOKUP($E590,ActionsCatalog!$A:$D,3,FALSE),0)</f>
        <v/>
      </c>
      <c r="J590" s="4">
        <f>IFERROR(VLOOKUP($E590,ActionsCatalog!$A:$D,4,FALSE),0)</f>
        <v/>
      </c>
      <c r="K590" s="4">
        <f>IF($M590&lt;&gt;"Yes",0,IF($H590="",0,$H590*$I590))</f>
        <v/>
      </c>
      <c r="L590" s="4">
        <f>IF($M590&lt;&gt;"Yes",0,IF($H590="",0,$H590*$J590))</f>
        <v/>
      </c>
      <c r="M590" s="4" t="n"/>
      <c r="N590" s="4" t="n"/>
      <c r="O590" s="4">
        <f>IF($A590="","",TEXT($A590,"yyyy")&amp;"-W"&amp;TEXT(ISOWEEKNUM($A590),"00"))</f>
        <v/>
      </c>
      <c r="P590" s="4" t="n"/>
      <c r="Q590" s="14">
        <f>IF($A590="","",TEXT($A590,"yyyy-mm"))</f>
        <v/>
      </c>
    </row>
    <row r="591">
      <c r="A591" s="66" t="n"/>
      <c r="B591" s="4" t="n"/>
      <c r="C591" s="11">
        <f>IFERROR(VLOOKUP($B591,Members!$A:$C,2,FALSE),"")</f>
        <v/>
      </c>
      <c r="D591" s="11">
        <f>IFERROR(VLOOKUP($B591,Members!$A:$C,3,FALSE),"")</f>
        <v/>
      </c>
      <c r="E591" s="11">
        <f>IF($F591="","",IFERROR(VLOOKUP($F591,ActionMap!$A:$B,2,FALSE),"INVALID ACTION"))</f>
        <v/>
      </c>
      <c r="F591" s="4" t="n"/>
      <c r="G591" s="11">
        <f>IFERROR(VLOOKUP($E591,ActionsCatalog!$A:$B,2,FALSE),"")</f>
        <v/>
      </c>
      <c r="H591" s="4" t="n"/>
      <c r="I591" s="4">
        <f>IFERROR(VLOOKUP($E591,ActionsCatalog!$A:$D,3,FALSE),0)</f>
        <v/>
      </c>
      <c r="J591" s="4">
        <f>IFERROR(VLOOKUP($E591,ActionsCatalog!$A:$D,4,FALSE),0)</f>
        <v/>
      </c>
      <c r="K591" s="4">
        <f>IF($M591&lt;&gt;"Yes",0,IF($H591="",0,$H591*$I591))</f>
        <v/>
      </c>
      <c r="L591" s="4">
        <f>IF($M591&lt;&gt;"Yes",0,IF($H591="",0,$H591*$J591))</f>
        <v/>
      </c>
      <c r="M591" s="4" t="n"/>
      <c r="N591" s="4" t="n"/>
      <c r="O591" s="4">
        <f>IF($A591="","",TEXT($A591,"yyyy")&amp;"-W"&amp;TEXT(ISOWEEKNUM($A591),"00"))</f>
        <v/>
      </c>
      <c r="P591" s="4" t="n"/>
      <c r="Q591" s="14">
        <f>IF($A591="","",TEXT($A591,"yyyy-mm"))</f>
        <v/>
      </c>
    </row>
    <row r="592">
      <c r="A592" s="66" t="n"/>
      <c r="B592" s="4" t="n"/>
      <c r="C592" s="11">
        <f>IFERROR(VLOOKUP($B592,Members!$A:$C,2,FALSE),"")</f>
        <v/>
      </c>
      <c r="D592" s="11">
        <f>IFERROR(VLOOKUP($B592,Members!$A:$C,3,FALSE),"")</f>
        <v/>
      </c>
      <c r="E592" s="11">
        <f>IF($F592="","",IFERROR(VLOOKUP($F592,ActionMap!$A:$B,2,FALSE),"INVALID ACTION"))</f>
        <v/>
      </c>
      <c r="F592" s="4" t="n"/>
      <c r="G592" s="11">
        <f>IFERROR(VLOOKUP($E592,ActionsCatalog!$A:$B,2,FALSE),"")</f>
        <v/>
      </c>
      <c r="H592" s="4" t="n"/>
      <c r="I592" s="4">
        <f>IFERROR(VLOOKUP($E592,ActionsCatalog!$A:$D,3,FALSE),0)</f>
        <v/>
      </c>
      <c r="J592" s="4">
        <f>IFERROR(VLOOKUP($E592,ActionsCatalog!$A:$D,4,FALSE),0)</f>
        <v/>
      </c>
      <c r="K592" s="4">
        <f>IF($M592&lt;&gt;"Yes",0,IF($H592="",0,$H592*$I592))</f>
        <v/>
      </c>
      <c r="L592" s="4">
        <f>IF($M592&lt;&gt;"Yes",0,IF($H592="",0,$H592*$J592))</f>
        <v/>
      </c>
      <c r="M592" s="4" t="n"/>
      <c r="N592" s="4" t="n"/>
      <c r="O592" s="4">
        <f>IF($A592="","",TEXT($A592,"yyyy")&amp;"-W"&amp;TEXT(ISOWEEKNUM($A592),"00"))</f>
        <v/>
      </c>
      <c r="P592" s="4" t="n"/>
      <c r="Q592" s="14">
        <f>IF($A592="","",TEXT($A592,"yyyy-mm"))</f>
        <v/>
      </c>
    </row>
    <row r="593">
      <c r="A593" s="66" t="n"/>
      <c r="B593" s="4" t="n"/>
      <c r="C593" s="11">
        <f>IFERROR(VLOOKUP($B593,Members!$A:$C,2,FALSE),"")</f>
        <v/>
      </c>
      <c r="D593" s="11">
        <f>IFERROR(VLOOKUP($B593,Members!$A:$C,3,FALSE),"")</f>
        <v/>
      </c>
      <c r="E593" s="11">
        <f>IF($F593="","",IFERROR(VLOOKUP($F593,ActionMap!$A:$B,2,FALSE),"INVALID ACTION"))</f>
        <v/>
      </c>
      <c r="F593" s="4" t="n"/>
      <c r="G593" s="11">
        <f>IFERROR(VLOOKUP($E593,ActionsCatalog!$A:$B,2,FALSE),"")</f>
        <v/>
      </c>
      <c r="H593" s="4" t="n"/>
      <c r="I593" s="4">
        <f>IFERROR(VLOOKUP($E593,ActionsCatalog!$A:$D,3,FALSE),0)</f>
        <v/>
      </c>
      <c r="J593" s="4">
        <f>IFERROR(VLOOKUP($E593,ActionsCatalog!$A:$D,4,FALSE),0)</f>
        <v/>
      </c>
      <c r="K593" s="4">
        <f>IF($M593&lt;&gt;"Yes",0,IF($H593="",0,$H593*$I593))</f>
        <v/>
      </c>
      <c r="L593" s="4">
        <f>IF($M593&lt;&gt;"Yes",0,IF($H593="",0,$H593*$J593))</f>
        <v/>
      </c>
      <c r="M593" s="4" t="n"/>
      <c r="N593" s="4" t="n"/>
      <c r="O593" s="4">
        <f>IF($A593="","",TEXT($A593,"yyyy")&amp;"-W"&amp;TEXT(ISOWEEKNUM($A593),"00"))</f>
        <v/>
      </c>
      <c r="P593" s="4" t="n"/>
      <c r="Q593" s="14">
        <f>IF($A593="","",TEXT($A593,"yyyy-mm"))</f>
        <v/>
      </c>
    </row>
    <row r="594">
      <c r="A594" s="66" t="n"/>
      <c r="B594" s="4" t="n"/>
      <c r="C594" s="11">
        <f>IFERROR(VLOOKUP($B594,Members!$A:$C,2,FALSE),"")</f>
        <v/>
      </c>
      <c r="D594" s="11">
        <f>IFERROR(VLOOKUP($B594,Members!$A:$C,3,FALSE),"")</f>
        <v/>
      </c>
      <c r="E594" s="11">
        <f>IF($F594="","",IFERROR(VLOOKUP($F594,ActionMap!$A:$B,2,FALSE),"INVALID ACTION"))</f>
        <v/>
      </c>
      <c r="F594" s="4" t="n"/>
      <c r="G594" s="11">
        <f>IFERROR(VLOOKUP($E594,ActionsCatalog!$A:$B,2,FALSE),"")</f>
        <v/>
      </c>
      <c r="H594" s="4" t="n"/>
      <c r="I594" s="4">
        <f>IFERROR(VLOOKUP($E594,ActionsCatalog!$A:$D,3,FALSE),0)</f>
        <v/>
      </c>
      <c r="J594" s="4">
        <f>IFERROR(VLOOKUP($E594,ActionsCatalog!$A:$D,4,FALSE),0)</f>
        <v/>
      </c>
      <c r="K594" s="4">
        <f>IF($M594&lt;&gt;"Yes",0,IF($H594="",0,$H594*$I594))</f>
        <v/>
      </c>
      <c r="L594" s="4">
        <f>IF($M594&lt;&gt;"Yes",0,IF($H594="",0,$H594*$J594))</f>
        <v/>
      </c>
      <c r="M594" s="4" t="n"/>
      <c r="N594" s="4" t="n"/>
      <c r="O594" s="4">
        <f>IF($A594="","",TEXT($A594,"yyyy")&amp;"-W"&amp;TEXT(ISOWEEKNUM($A594),"00"))</f>
        <v/>
      </c>
      <c r="P594" s="4" t="n"/>
      <c r="Q594" s="14">
        <f>IF($A594="","",TEXT($A594,"yyyy-mm"))</f>
        <v/>
      </c>
    </row>
    <row r="595">
      <c r="A595" s="66" t="n"/>
      <c r="B595" s="4" t="n"/>
      <c r="C595" s="11">
        <f>IFERROR(VLOOKUP($B595,Members!$A:$C,2,FALSE),"")</f>
        <v/>
      </c>
      <c r="D595" s="11">
        <f>IFERROR(VLOOKUP($B595,Members!$A:$C,3,FALSE),"")</f>
        <v/>
      </c>
      <c r="E595" s="11">
        <f>IF($F595="","",IFERROR(VLOOKUP($F595,ActionMap!$A:$B,2,FALSE),"INVALID ACTION"))</f>
        <v/>
      </c>
      <c r="F595" s="4" t="n"/>
      <c r="G595" s="11">
        <f>IFERROR(VLOOKUP($E595,ActionsCatalog!$A:$B,2,FALSE),"")</f>
        <v/>
      </c>
      <c r="H595" s="4" t="n"/>
      <c r="I595" s="4">
        <f>IFERROR(VLOOKUP($E595,ActionsCatalog!$A:$D,3,FALSE),0)</f>
        <v/>
      </c>
      <c r="J595" s="4">
        <f>IFERROR(VLOOKUP($E595,ActionsCatalog!$A:$D,4,FALSE),0)</f>
        <v/>
      </c>
      <c r="K595" s="4">
        <f>IF($M595&lt;&gt;"Yes",0,IF($H595="",0,$H595*$I595))</f>
        <v/>
      </c>
      <c r="L595" s="4">
        <f>IF($M595&lt;&gt;"Yes",0,IF($H595="",0,$H595*$J595))</f>
        <v/>
      </c>
      <c r="M595" s="4" t="n"/>
      <c r="N595" s="4" t="n"/>
      <c r="O595" s="4">
        <f>IF($A595="","",TEXT($A595,"yyyy")&amp;"-W"&amp;TEXT(ISOWEEKNUM($A595),"00"))</f>
        <v/>
      </c>
      <c r="P595" s="4" t="n"/>
      <c r="Q595" s="14">
        <f>IF($A595="","",TEXT($A595,"yyyy-mm"))</f>
        <v/>
      </c>
    </row>
    <row r="596">
      <c r="A596" s="66" t="n"/>
      <c r="B596" s="4" t="n"/>
      <c r="C596" s="11">
        <f>IFERROR(VLOOKUP($B596,Members!$A:$C,2,FALSE),"")</f>
        <v/>
      </c>
      <c r="D596" s="11">
        <f>IFERROR(VLOOKUP($B596,Members!$A:$C,3,FALSE),"")</f>
        <v/>
      </c>
      <c r="E596" s="11">
        <f>IF($F596="","",IFERROR(VLOOKUP($F596,ActionMap!$A:$B,2,FALSE),"INVALID ACTION"))</f>
        <v/>
      </c>
      <c r="F596" s="4" t="n"/>
      <c r="G596" s="11">
        <f>IFERROR(VLOOKUP($E596,ActionsCatalog!$A:$B,2,FALSE),"")</f>
        <v/>
      </c>
      <c r="H596" s="4" t="n"/>
      <c r="I596" s="4">
        <f>IFERROR(VLOOKUP($E596,ActionsCatalog!$A:$D,3,FALSE),0)</f>
        <v/>
      </c>
      <c r="J596" s="4">
        <f>IFERROR(VLOOKUP($E596,ActionsCatalog!$A:$D,4,FALSE),0)</f>
        <v/>
      </c>
      <c r="K596" s="4">
        <f>IF($M596&lt;&gt;"Yes",0,IF($H596="",0,$H596*$I596))</f>
        <v/>
      </c>
      <c r="L596" s="4">
        <f>IF($M596&lt;&gt;"Yes",0,IF($H596="",0,$H596*$J596))</f>
        <v/>
      </c>
      <c r="M596" s="4" t="n"/>
      <c r="N596" s="4" t="n"/>
      <c r="O596" s="4">
        <f>IF($A596="","",TEXT($A596,"yyyy")&amp;"-W"&amp;TEXT(ISOWEEKNUM($A596),"00"))</f>
        <v/>
      </c>
      <c r="P596" s="4" t="n"/>
      <c r="Q596" s="14">
        <f>IF($A596="","",TEXT($A596,"yyyy-mm"))</f>
        <v/>
      </c>
    </row>
    <row r="597">
      <c r="A597" s="66" t="n"/>
      <c r="B597" s="4" t="n"/>
      <c r="C597" s="11">
        <f>IFERROR(VLOOKUP($B597,Members!$A:$C,2,FALSE),"")</f>
        <v/>
      </c>
      <c r="D597" s="11">
        <f>IFERROR(VLOOKUP($B597,Members!$A:$C,3,FALSE),"")</f>
        <v/>
      </c>
      <c r="E597" s="11">
        <f>IF($F597="","",IFERROR(VLOOKUP($F597,ActionMap!$A:$B,2,FALSE),"INVALID ACTION"))</f>
        <v/>
      </c>
      <c r="F597" s="4" t="n"/>
      <c r="G597" s="11">
        <f>IFERROR(VLOOKUP($E597,ActionsCatalog!$A:$B,2,FALSE),"")</f>
        <v/>
      </c>
      <c r="H597" s="4" t="n"/>
      <c r="I597" s="4">
        <f>IFERROR(VLOOKUP($E597,ActionsCatalog!$A:$D,3,FALSE),0)</f>
        <v/>
      </c>
      <c r="J597" s="4">
        <f>IFERROR(VLOOKUP($E597,ActionsCatalog!$A:$D,4,FALSE),0)</f>
        <v/>
      </c>
      <c r="K597" s="4">
        <f>IF($M597&lt;&gt;"Yes",0,IF($H597="",0,$H597*$I597))</f>
        <v/>
      </c>
      <c r="L597" s="4">
        <f>IF($M597&lt;&gt;"Yes",0,IF($H597="",0,$H597*$J597))</f>
        <v/>
      </c>
      <c r="M597" s="4" t="n"/>
      <c r="N597" s="4" t="n"/>
      <c r="O597" s="4">
        <f>IF($A597="","",TEXT($A597,"yyyy")&amp;"-W"&amp;TEXT(ISOWEEKNUM($A597),"00"))</f>
        <v/>
      </c>
      <c r="P597" s="4" t="n"/>
      <c r="Q597" s="14">
        <f>IF($A597="","",TEXT($A597,"yyyy-mm"))</f>
        <v/>
      </c>
    </row>
    <row r="598">
      <c r="A598" s="66" t="n"/>
      <c r="B598" s="4" t="n"/>
      <c r="C598" s="11">
        <f>IFERROR(VLOOKUP($B598,Members!$A:$C,2,FALSE),"")</f>
        <v/>
      </c>
      <c r="D598" s="11">
        <f>IFERROR(VLOOKUP($B598,Members!$A:$C,3,FALSE),"")</f>
        <v/>
      </c>
      <c r="E598" s="11">
        <f>IF($F598="","",IFERROR(VLOOKUP($F598,ActionMap!$A:$B,2,FALSE),"INVALID ACTION"))</f>
        <v/>
      </c>
      <c r="F598" s="4" t="n"/>
      <c r="G598" s="11">
        <f>IFERROR(VLOOKUP($E598,ActionsCatalog!$A:$B,2,FALSE),"")</f>
        <v/>
      </c>
      <c r="H598" s="4" t="n"/>
      <c r="I598" s="4">
        <f>IFERROR(VLOOKUP($E598,ActionsCatalog!$A:$D,3,FALSE),0)</f>
        <v/>
      </c>
      <c r="J598" s="4">
        <f>IFERROR(VLOOKUP($E598,ActionsCatalog!$A:$D,4,FALSE),0)</f>
        <v/>
      </c>
      <c r="K598" s="4">
        <f>IF($M598&lt;&gt;"Yes",0,IF($H598="",0,$H598*$I598))</f>
        <v/>
      </c>
      <c r="L598" s="4">
        <f>IF($M598&lt;&gt;"Yes",0,IF($H598="",0,$H598*$J598))</f>
        <v/>
      </c>
      <c r="M598" s="4" t="n"/>
      <c r="N598" s="4" t="n"/>
      <c r="O598" s="4">
        <f>IF($A598="","",TEXT($A598,"yyyy")&amp;"-W"&amp;TEXT(ISOWEEKNUM($A598),"00"))</f>
        <v/>
      </c>
      <c r="P598" s="4" t="n"/>
      <c r="Q598" s="14">
        <f>IF($A598="","",TEXT($A598,"yyyy-mm"))</f>
        <v/>
      </c>
    </row>
    <row r="599">
      <c r="A599" s="66" t="n"/>
      <c r="B599" s="4" t="n"/>
      <c r="C599" s="11">
        <f>IFERROR(VLOOKUP($B599,Members!$A:$C,2,FALSE),"")</f>
        <v/>
      </c>
      <c r="D599" s="11">
        <f>IFERROR(VLOOKUP($B599,Members!$A:$C,3,FALSE),"")</f>
        <v/>
      </c>
      <c r="E599" s="11">
        <f>IF($F599="","",IFERROR(VLOOKUP($F599,ActionMap!$A:$B,2,FALSE),"INVALID ACTION"))</f>
        <v/>
      </c>
      <c r="F599" s="4" t="n"/>
      <c r="G599" s="11">
        <f>IFERROR(VLOOKUP($E599,ActionsCatalog!$A:$B,2,FALSE),"")</f>
        <v/>
      </c>
      <c r="H599" s="4" t="n"/>
      <c r="I599" s="4">
        <f>IFERROR(VLOOKUP($E599,ActionsCatalog!$A:$D,3,FALSE),0)</f>
        <v/>
      </c>
      <c r="J599" s="4">
        <f>IFERROR(VLOOKUP($E599,ActionsCatalog!$A:$D,4,FALSE),0)</f>
        <v/>
      </c>
      <c r="K599" s="4">
        <f>IF($M599&lt;&gt;"Yes",0,IF($H599="",0,$H599*$I599))</f>
        <v/>
      </c>
      <c r="L599" s="4">
        <f>IF($M599&lt;&gt;"Yes",0,IF($H599="",0,$H599*$J599))</f>
        <v/>
      </c>
      <c r="M599" s="4" t="n"/>
      <c r="N599" s="4" t="n"/>
      <c r="O599" s="4">
        <f>IF($A599="","",TEXT($A599,"yyyy")&amp;"-W"&amp;TEXT(ISOWEEKNUM($A599),"00"))</f>
        <v/>
      </c>
      <c r="P599" s="4" t="n"/>
      <c r="Q599" s="14">
        <f>IF($A599="","",TEXT($A599,"yyyy-mm"))</f>
        <v/>
      </c>
    </row>
    <row r="600">
      <c r="A600" s="66" t="n"/>
      <c r="B600" s="4" t="n"/>
      <c r="C600" s="11">
        <f>IFERROR(VLOOKUP($B600,Members!$A:$C,2,FALSE),"")</f>
        <v/>
      </c>
      <c r="D600" s="11">
        <f>IFERROR(VLOOKUP($B600,Members!$A:$C,3,FALSE),"")</f>
        <v/>
      </c>
      <c r="E600" s="11">
        <f>IF($F600="","",IFERROR(VLOOKUP($F600,ActionMap!$A:$B,2,FALSE),"INVALID ACTION"))</f>
        <v/>
      </c>
      <c r="F600" s="4" t="n"/>
      <c r="G600" s="11">
        <f>IFERROR(VLOOKUP($E600,ActionsCatalog!$A:$B,2,FALSE),"")</f>
        <v/>
      </c>
      <c r="H600" s="4" t="n"/>
      <c r="I600" s="4">
        <f>IFERROR(VLOOKUP($E600,ActionsCatalog!$A:$D,3,FALSE),0)</f>
        <v/>
      </c>
      <c r="J600" s="4">
        <f>IFERROR(VLOOKUP($E600,ActionsCatalog!$A:$D,4,FALSE),0)</f>
        <v/>
      </c>
      <c r="K600" s="4">
        <f>IF($M600&lt;&gt;"Yes",0,IF($H600="",0,$H600*$I600))</f>
        <v/>
      </c>
      <c r="L600" s="4">
        <f>IF($M600&lt;&gt;"Yes",0,IF($H600="",0,$H600*$J600))</f>
        <v/>
      </c>
      <c r="M600" s="4" t="n"/>
      <c r="N600" s="4" t="n"/>
      <c r="O600" s="4">
        <f>IF($A600="","",TEXT($A600,"yyyy")&amp;"-W"&amp;TEXT(ISOWEEKNUM($A600),"00"))</f>
        <v/>
      </c>
      <c r="P600" s="4" t="n"/>
      <c r="Q600" s="14">
        <f>IF($A600="","",TEXT($A600,"yyyy-mm"))</f>
        <v/>
      </c>
    </row>
    <row r="601">
      <c r="A601" s="66" t="n"/>
      <c r="B601" s="4" t="n"/>
      <c r="C601" s="11">
        <f>IFERROR(VLOOKUP($B601,Members!$A:$C,2,FALSE),"")</f>
        <v/>
      </c>
      <c r="D601" s="11">
        <f>IFERROR(VLOOKUP($B601,Members!$A:$C,3,FALSE),"")</f>
        <v/>
      </c>
      <c r="E601" s="11">
        <f>IF($F601="","",IFERROR(VLOOKUP($F601,ActionMap!$A:$B,2,FALSE),"INVALID ACTION"))</f>
        <v/>
      </c>
      <c r="F601" s="4" t="n"/>
      <c r="G601" s="11">
        <f>IFERROR(VLOOKUP($E601,ActionsCatalog!$A:$B,2,FALSE),"")</f>
        <v/>
      </c>
      <c r="H601" s="4" t="n"/>
      <c r="I601" s="4">
        <f>IFERROR(VLOOKUP($E601,ActionsCatalog!$A:$D,3,FALSE),0)</f>
        <v/>
      </c>
      <c r="J601" s="4">
        <f>IFERROR(VLOOKUP($E601,ActionsCatalog!$A:$D,4,FALSE),0)</f>
        <v/>
      </c>
      <c r="K601" s="4">
        <f>IF($M601&lt;&gt;"Yes",0,IF($H601="",0,$H601*$I601))</f>
        <v/>
      </c>
      <c r="L601" s="4">
        <f>IF($M601&lt;&gt;"Yes",0,IF($H601="",0,$H601*$J601))</f>
        <v/>
      </c>
      <c r="M601" s="4" t="n"/>
      <c r="N601" s="4" t="n"/>
      <c r="O601" s="4">
        <f>IF($A601="","",TEXT($A601,"yyyy")&amp;"-W"&amp;TEXT(ISOWEEKNUM($A601),"00"))</f>
        <v/>
      </c>
      <c r="P601" s="4" t="n"/>
      <c r="Q601" s="14">
        <f>IF($A601="","",TEXT($A601,"yyyy-mm"))</f>
        <v/>
      </c>
    </row>
    <row r="602">
      <c r="A602" s="66" t="n"/>
      <c r="B602" s="4" t="n"/>
      <c r="C602" s="11">
        <f>IFERROR(VLOOKUP($B602,Members!$A:$C,2,FALSE),"")</f>
        <v/>
      </c>
      <c r="D602" s="11">
        <f>IFERROR(VLOOKUP($B602,Members!$A:$C,3,FALSE),"")</f>
        <v/>
      </c>
      <c r="E602" s="11">
        <f>IF($F602="","",IFERROR(VLOOKUP($F602,ActionMap!$A:$B,2,FALSE),"INVALID ACTION"))</f>
        <v/>
      </c>
      <c r="F602" s="4" t="n"/>
      <c r="G602" s="11">
        <f>IFERROR(VLOOKUP($E602,ActionsCatalog!$A:$B,2,FALSE),"")</f>
        <v/>
      </c>
      <c r="H602" s="4" t="n"/>
      <c r="I602" s="4">
        <f>IFERROR(VLOOKUP($E602,ActionsCatalog!$A:$D,3,FALSE),0)</f>
        <v/>
      </c>
      <c r="J602" s="4">
        <f>IFERROR(VLOOKUP($E602,ActionsCatalog!$A:$D,4,FALSE),0)</f>
        <v/>
      </c>
      <c r="K602" s="4">
        <f>IF($M602&lt;&gt;"Yes",0,IF($H602="",0,$H602*$I602))</f>
        <v/>
      </c>
      <c r="L602" s="4">
        <f>IF($M602&lt;&gt;"Yes",0,IF($H602="",0,$H602*$J602))</f>
        <v/>
      </c>
      <c r="M602" s="4" t="n"/>
      <c r="N602" s="4" t="n"/>
      <c r="O602" s="4">
        <f>IF($A602="","",TEXT($A602,"yyyy")&amp;"-W"&amp;TEXT(ISOWEEKNUM($A602),"00"))</f>
        <v/>
      </c>
      <c r="P602" s="4" t="n"/>
      <c r="Q602" s="14">
        <f>IF($A602="","",TEXT($A602,"yyyy-mm"))</f>
        <v/>
      </c>
    </row>
    <row r="603">
      <c r="A603" s="66" t="n"/>
      <c r="B603" s="4" t="n"/>
      <c r="C603" s="11">
        <f>IFERROR(VLOOKUP($B603,Members!$A:$C,2,FALSE),"")</f>
        <v/>
      </c>
      <c r="D603" s="11">
        <f>IFERROR(VLOOKUP($B603,Members!$A:$C,3,FALSE),"")</f>
        <v/>
      </c>
      <c r="E603" s="11">
        <f>IF($F603="","",IFERROR(VLOOKUP($F603,ActionMap!$A:$B,2,FALSE),"INVALID ACTION"))</f>
        <v/>
      </c>
      <c r="F603" s="4" t="n"/>
      <c r="G603" s="11">
        <f>IFERROR(VLOOKUP($E603,ActionsCatalog!$A:$B,2,FALSE),"")</f>
        <v/>
      </c>
      <c r="H603" s="4" t="n"/>
      <c r="I603" s="4">
        <f>IFERROR(VLOOKUP($E603,ActionsCatalog!$A:$D,3,FALSE),0)</f>
        <v/>
      </c>
      <c r="J603" s="4">
        <f>IFERROR(VLOOKUP($E603,ActionsCatalog!$A:$D,4,FALSE),0)</f>
        <v/>
      </c>
      <c r="K603" s="4">
        <f>IF($M603&lt;&gt;"Yes",0,IF($H603="",0,$H603*$I603))</f>
        <v/>
      </c>
      <c r="L603" s="4">
        <f>IF($M603&lt;&gt;"Yes",0,IF($H603="",0,$H603*$J603))</f>
        <v/>
      </c>
      <c r="M603" s="4" t="n"/>
      <c r="N603" s="4" t="n"/>
      <c r="O603" s="4">
        <f>IF($A603="","",TEXT($A603,"yyyy")&amp;"-W"&amp;TEXT(ISOWEEKNUM($A603),"00"))</f>
        <v/>
      </c>
      <c r="P603" s="4" t="n"/>
      <c r="Q603" s="14">
        <f>IF($A603="","",TEXT($A603,"yyyy-mm"))</f>
        <v/>
      </c>
    </row>
    <row r="604">
      <c r="A604" s="66" t="n"/>
      <c r="B604" s="4" t="n"/>
      <c r="C604" s="11">
        <f>IFERROR(VLOOKUP($B604,Members!$A:$C,2,FALSE),"")</f>
        <v/>
      </c>
      <c r="D604" s="11">
        <f>IFERROR(VLOOKUP($B604,Members!$A:$C,3,FALSE),"")</f>
        <v/>
      </c>
      <c r="E604" s="11">
        <f>IF($F604="","",IFERROR(VLOOKUP($F604,ActionMap!$A:$B,2,FALSE),"INVALID ACTION"))</f>
        <v/>
      </c>
      <c r="F604" s="4" t="n"/>
      <c r="G604" s="11">
        <f>IFERROR(VLOOKUP($E604,ActionsCatalog!$A:$B,2,FALSE),"")</f>
        <v/>
      </c>
      <c r="H604" s="4" t="n"/>
      <c r="I604" s="4">
        <f>IFERROR(VLOOKUP($E604,ActionsCatalog!$A:$D,3,FALSE),0)</f>
        <v/>
      </c>
      <c r="J604" s="4">
        <f>IFERROR(VLOOKUP($E604,ActionsCatalog!$A:$D,4,FALSE),0)</f>
        <v/>
      </c>
      <c r="K604" s="4">
        <f>IF($M604&lt;&gt;"Yes",0,IF($H604="",0,$H604*$I604))</f>
        <v/>
      </c>
      <c r="L604" s="4">
        <f>IF($M604&lt;&gt;"Yes",0,IF($H604="",0,$H604*$J604))</f>
        <v/>
      </c>
      <c r="M604" s="4" t="n"/>
      <c r="N604" s="4" t="n"/>
      <c r="O604" s="4">
        <f>IF($A604="","",TEXT($A604,"yyyy")&amp;"-W"&amp;TEXT(ISOWEEKNUM($A604),"00"))</f>
        <v/>
      </c>
      <c r="P604" s="4" t="n"/>
      <c r="Q604" s="14">
        <f>IF($A604="","",TEXT($A604,"yyyy-mm"))</f>
        <v/>
      </c>
    </row>
    <row r="605">
      <c r="A605" s="66" t="n"/>
      <c r="B605" s="4" t="n"/>
      <c r="C605" s="11">
        <f>IFERROR(VLOOKUP($B605,Members!$A:$C,2,FALSE),"")</f>
        <v/>
      </c>
      <c r="D605" s="11">
        <f>IFERROR(VLOOKUP($B605,Members!$A:$C,3,FALSE),"")</f>
        <v/>
      </c>
      <c r="E605" s="11">
        <f>IF($F605="","",IFERROR(VLOOKUP($F605,ActionMap!$A:$B,2,FALSE),"INVALID ACTION"))</f>
        <v/>
      </c>
      <c r="F605" s="4" t="n"/>
      <c r="G605" s="11">
        <f>IFERROR(VLOOKUP($E605,ActionsCatalog!$A:$B,2,FALSE),"")</f>
        <v/>
      </c>
      <c r="H605" s="4" t="n"/>
      <c r="I605" s="4">
        <f>IFERROR(VLOOKUP($E605,ActionsCatalog!$A:$D,3,FALSE),0)</f>
        <v/>
      </c>
      <c r="J605" s="4">
        <f>IFERROR(VLOOKUP($E605,ActionsCatalog!$A:$D,4,FALSE),0)</f>
        <v/>
      </c>
      <c r="K605" s="4">
        <f>IF($M605&lt;&gt;"Yes",0,IF($H605="",0,$H605*$I605))</f>
        <v/>
      </c>
      <c r="L605" s="4">
        <f>IF($M605&lt;&gt;"Yes",0,IF($H605="",0,$H605*$J605))</f>
        <v/>
      </c>
      <c r="M605" s="4" t="n"/>
      <c r="N605" s="4" t="n"/>
      <c r="O605" s="4">
        <f>IF($A605="","",TEXT($A605,"yyyy")&amp;"-W"&amp;TEXT(ISOWEEKNUM($A605),"00"))</f>
        <v/>
      </c>
      <c r="P605" s="4" t="n"/>
      <c r="Q605" s="14">
        <f>IF($A605="","",TEXT($A605,"yyyy-mm"))</f>
        <v/>
      </c>
    </row>
    <row r="606">
      <c r="A606" s="66" t="n"/>
      <c r="B606" s="4" t="n"/>
      <c r="C606" s="11">
        <f>IFERROR(VLOOKUP($B606,Members!$A:$C,2,FALSE),"")</f>
        <v/>
      </c>
      <c r="D606" s="11">
        <f>IFERROR(VLOOKUP($B606,Members!$A:$C,3,FALSE),"")</f>
        <v/>
      </c>
      <c r="E606" s="11">
        <f>IF($F606="","",IFERROR(VLOOKUP($F606,ActionMap!$A:$B,2,FALSE),"INVALID ACTION"))</f>
        <v/>
      </c>
      <c r="F606" s="4" t="n"/>
      <c r="G606" s="11">
        <f>IFERROR(VLOOKUP($E606,ActionsCatalog!$A:$B,2,FALSE),"")</f>
        <v/>
      </c>
      <c r="H606" s="4" t="n"/>
      <c r="I606" s="4">
        <f>IFERROR(VLOOKUP($E606,ActionsCatalog!$A:$D,3,FALSE),0)</f>
        <v/>
      </c>
      <c r="J606" s="4">
        <f>IFERROR(VLOOKUP($E606,ActionsCatalog!$A:$D,4,FALSE),0)</f>
        <v/>
      </c>
      <c r="K606" s="4">
        <f>IF($M606&lt;&gt;"Yes",0,IF($H606="",0,$H606*$I606))</f>
        <v/>
      </c>
      <c r="L606" s="4">
        <f>IF($M606&lt;&gt;"Yes",0,IF($H606="",0,$H606*$J606))</f>
        <v/>
      </c>
      <c r="M606" s="4" t="n"/>
      <c r="N606" s="4" t="n"/>
      <c r="O606" s="4">
        <f>IF($A606="","",TEXT($A606,"yyyy")&amp;"-W"&amp;TEXT(ISOWEEKNUM($A606),"00"))</f>
        <v/>
      </c>
      <c r="P606" s="4" t="n"/>
      <c r="Q606" s="14">
        <f>IF($A606="","",TEXT($A606,"yyyy-mm"))</f>
        <v/>
      </c>
    </row>
    <row r="607">
      <c r="A607" s="66" t="n"/>
      <c r="B607" s="4" t="n"/>
      <c r="C607" s="11">
        <f>IFERROR(VLOOKUP($B607,Members!$A:$C,2,FALSE),"")</f>
        <v/>
      </c>
      <c r="D607" s="11">
        <f>IFERROR(VLOOKUP($B607,Members!$A:$C,3,FALSE),"")</f>
        <v/>
      </c>
      <c r="E607" s="11">
        <f>IF($F607="","",IFERROR(VLOOKUP($F607,ActionMap!$A:$B,2,FALSE),"INVALID ACTION"))</f>
        <v/>
      </c>
      <c r="F607" s="4" t="n"/>
      <c r="G607" s="11">
        <f>IFERROR(VLOOKUP($E607,ActionsCatalog!$A:$B,2,FALSE),"")</f>
        <v/>
      </c>
      <c r="H607" s="4" t="n"/>
      <c r="I607" s="4">
        <f>IFERROR(VLOOKUP($E607,ActionsCatalog!$A:$D,3,FALSE),0)</f>
        <v/>
      </c>
      <c r="J607" s="4">
        <f>IFERROR(VLOOKUP($E607,ActionsCatalog!$A:$D,4,FALSE),0)</f>
        <v/>
      </c>
      <c r="K607" s="4">
        <f>IF($M607&lt;&gt;"Yes",0,IF($H607="",0,$H607*$I607))</f>
        <v/>
      </c>
      <c r="L607" s="4">
        <f>IF($M607&lt;&gt;"Yes",0,IF($H607="",0,$H607*$J607))</f>
        <v/>
      </c>
      <c r="M607" s="4" t="n"/>
      <c r="N607" s="4" t="n"/>
      <c r="O607" s="4">
        <f>IF($A607="","",TEXT($A607,"yyyy")&amp;"-W"&amp;TEXT(ISOWEEKNUM($A607),"00"))</f>
        <v/>
      </c>
      <c r="P607" s="4" t="n"/>
      <c r="Q607" s="14">
        <f>IF($A607="","",TEXT($A607,"yyyy-mm"))</f>
        <v/>
      </c>
    </row>
    <row r="608">
      <c r="A608" s="66" t="n"/>
      <c r="B608" s="4" t="n"/>
      <c r="C608" s="11">
        <f>IFERROR(VLOOKUP($B608,Members!$A:$C,2,FALSE),"")</f>
        <v/>
      </c>
      <c r="D608" s="11">
        <f>IFERROR(VLOOKUP($B608,Members!$A:$C,3,FALSE),"")</f>
        <v/>
      </c>
      <c r="E608" s="11">
        <f>IF($F608="","",IFERROR(VLOOKUP($F608,ActionMap!$A:$B,2,FALSE),"INVALID ACTION"))</f>
        <v/>
      </c>
      <c r="F608" s="4" t="n"/>
      <c r="G608" s="11">
        <f>IFERROR(VLOOKUP($E608,ActionsCatalog!$A:$B,2,FALSE),"")</f>
        <v/>
      </c>
      <c r="H608" s="4" t="n"/>
      <c r="I608" s="4">
        <f>IFERROR(VLOOKUP($E608,ActionsCatalog!$A:$D,3,FALSE),0)</f>
        <v/>
      </c>
      <c r="J608" s="4">
        <f>IFERROR(VLOOKUP($E608,ActionsCatalog!$A:$D,4,FALSE),0)</f>
        <v/>
      </c>
      <c r="K608" s="4">
        <f>IF($M608&lt;&gt;"Yes",0,IF($H608="",0,$H608*$I608))</f>
        <v/>
      </c>
      <c r="L608" s="4">
        <f>IF($M608&lt;&gt;"Yes",0,IF($H608="",0,$H608*$J608))</f>
        <v/>
      </c>
      <c r="M608" s="4" t="n"/>
      <c r="N608" s="4" t="n"/>
      <c r="O608" s="4">
        <f>IF($A608="","",TEXT($A608,"yyyy")&amp;"-W"&amp;TEXT(ISOWEEKNUM($A608),"00"))</f>
        <v/>
      </c>
      <c r="P608" s="4" t="n"/>
      <c r="Q608" s="14">
        <f>IF($A608="","",TEXT($A608,"yyyy-mm"))</f>
        <v/>
      </c>
    </row>
    <row r="609">
      <c r="A609" s="66" t="n"/>
      <c r="B609" s="4" t="n"/>
      <c r="C609" s="11">
        <f>IFERROR(VLOOKUP($B609,Members!$A:$C,2,FALSE),"")</f>
        <v/>
      </c>
      <c r="D609" s="11">
        <f>IFERROR(VLOOKUP($B609,Members!$A:$C,3,FALSE),"")</f>
        <v/>
      </c>
      <c r="E609" s="11">
        <f>IF($F609="","",IFERROR(VLOOKUP($F609,ActionMap!$A:$B,2,FALSE),"INVALID ACTION"))</f>
        <v/>
      </c>
      <c r="F609" s="4" t="n"/>
      <c r="G609" s="11">
        <f>IFERROR(VLOOKUP($E609,ActionsCatalog!$A:$B,2,FALSE),"")</f>
        <v/>
      </c>
      <c r="H609" s="4" t="n"/>
      <c r="I609" s="4">
        <f>IFERROR(VLOOKUP($E609,ActionsCatalog!$A:$D,3,FALSE),0)</f>
        <v/>
      </c>
      <c r="J609" s="4">
        <f>IFERROR(VLOOKUP($E609,ActionsCatalog!$A:$D,4,FALSE),0)</f>
        <v/>
      </c>
      <c r="K609" s="4">
        <f>IF($M609&lt;&gt;"Yes",0,IF($H609="",0,$H609*$I609))</f>
        <v/>
      </c>
      <c r="L609" s="4">
        <f>IF($M609&lt;&gt;"Yes",0,IF($H609="",0,$H609*$J609))</f>
        <v/>
      </c>
      <c r="M609" s="4" t="n"/>
      <c r="N609" s="4" t="n"/>
      <c r="O609" s="4">
        <f>IF($A609="","",TEXT($A609,"yyyy")&amp;"-W"&amp;TEXT(ISOWEEKNUM($A609),"00"))</f>
        <v/>
      </c>
      <c r="P609" s="4" t="n"/>
      <c r="Q609" s="14">
        <f>IF($A609="","",TEXT($A609,"yyyy-mm"))</f>
        <v/>
      </c>
    </row>
    <row r="610">
      <c r="A610" s="66" t="n"/>
      <c r="B610" s="4" t="n"/>
      <c r="C610" s="11">
        <f>IFERROR(VLOOKUP($B610,Members!$A:$C,2,FALSE),"")</f>
        <v/>
      </c>
      <c r="D610" s="11">
        <f>IFERROR(VLOOKUP($B610,Members!$A:$C,3,FALSE),"")</f>
        <v/>
      </c>
      <c r="E610" s="11">
        <f>IF($F610="","",IFERROR(VLOOKUP($F610,ActionMap!$A:$B,2,FALSE),"INVALID ACTION"))</f>
        <v/>
      </c>
      <c r="F610" s="4" t="n"/>
      <c r="G610" s="11">
        <f>IFERROR(VLOOKUP($E610,ActionsCatalog!$A:$B,2,FALSE),"")</f>
        <v/>
      </c>
      <c r="H610" s="4" t="n"/>
      <c r="I610" s="4">
        <f>IFERROR(VLOOKUP($E610,ActionsCatalog!$A:$D,3,FALSE),0)</f>
        <v/>
      </c>
      <c r="J610" s="4">
        <f>IFERROR(VLOOKUP($E610,ActionsCatalog!$A:$D,4,FALSE),0)</f>
        <v/>
      </c>
      <c r="K610" s="4">
        <f>IF($M610&lt;&gt;"Yes",0,IF($H610="",0,$H610*$I610))</f>
        <v/>
      </c>
      <c r="L610" s="4">
        <f>IF($M610&lt;&gt;"Yes",0,IF($H610="",0,$H610*$J610))</f>
        <v/>
      </c>
      <c r="M610" s="4" t="n"/>
      <c r="N610" s="4" t="n"/>
      <c r="O610" s="4">
        <f>IF($A610="","",TEXT($A610,"yyyy")&amp;"-W"&amp;TEXT(ISOWEEKNUM($A610),"00"))</f>
        <v/>
      </c>
      <c r="P610" s="4" t="n"/>
      <c r="Q610" s="14">
        <f>IF($A610="","",TEXT($A610,"yyyy-mm"))</f>
        <v/>
      </c>
    </row>
    <row r="611">
      <c r="A611" s="66" t="n"/>
      <c r="B611" s="4" t="n"/>
      <c r="C611" s="11">
        <f>IFERROR(VLOOKUP($B611,Members!$A:$C,2,FALSE),"")</f>
        <v/>
      </c>
      <c r="D611" s="11">
        <f>IFERROR(VLOOKUP($B611,Members!$A:$C,3,FALSE),"")</f>
        <v/>
      </c>
      <c r="E611" s="11">
        <f>IF($F611="","",IFERROR(VLOOKUP($F611,ActionMap!$A:$B,2,FALSE),"INVALID ACTION"))</f>
        <v/>
      </c>
      <c r="F611" s="4" t="n"/>
      <c r="G611" s="11">
        <f>IFERROR(VLOOKUP($E611,ActionsCatalog!$A:$B,2,FALSE),"")</f>
        <v/>
      </c>
      <c r="H611" s="4" t="n"/>
      <c r="I611" s="4">
        <f>IFERROR(VLOOKUP($E611,ActionsCatalog!$A:$D,3,FALSE),0)</f>
        <v/>
      </c>
      <c r="J611" s="4">
        <f>IFERROR(VLOOKUP($E611,ActionsCatalog!$A:$D,4,FALSE),0)</f>
        <v/>
      </c>
      <c r="K611" s="4">
        <f>IF($M611&lt;&gt;"Yes",0,IF($H611="",0,$H611*$I611))</f>
        <v/>
      </c>
      <c r="L611" s="4">
        <f>IF($M611&lt;&gt;"Yes",0,IF($H611="",0,$H611*$J611))</f>
        <v/>
      </c>
      <c r="M611" s="4" t="n"/>
      <c r="N611" s="4" t="n"/>
      <c r="O611" s="4">
        <f>IF($A611="","",TEXT($A611,"yyyy")&amp;"-W"&amp;TEXT(ISOWEEKNUM($A611),"00"))</f>
        <v/>
      </c>
      <c r="P611" s="4" t="n"/>
      <c r="Q611" s="14">
        <f>IF($A611="","",TEXT($A611,"yyyy-mm"))</f>
        <v/>
      </c>
    </row>
    <row r="612">
      <c r="A612" s="66" t="n"/>
      <c r="B612" s="4" t="n"/>
      <c r="C612" s="11">
        <f>IFERROR(VLOOKUP($B612,Members!$A:$C,2,FALSE),"")</f>
        <v/>
      </c>
      <c r="D612" s="11">
        <f>IFERROR(VLOOKUP($B612,Members!$A:$C,3,FALSE),"")</f>
        <v/>
      </c>
      <c r="E612" s="11">
        <f>IF($F612="","",IFERROR(VLOOKUP($F612,ActionMap!$A:$B,2,FALSE),"INVALID ACTION"))</f>
        <v/>
      </c>
      <c r="F612" s="4" t="n"/>
      <c r="G612" s="11">
        <f>IFERROR(VLOOKUP($E612,ActionsCatalog!$A:$B,2,FALSE),"")</f>
        <v/>
      </c>
      <c r="H612" s="4" t="n"/>
      <c r="I612" s="4">
        <f>IFERROR(VLOOKUP($E612,ActionsCatalog!$A:$D,3,FALSE),0)</f>
        <v/>
      </c>
      <c r="J612" s="4">
        <f>IFERROR(VLOOKUP($E612,ActionsCatalog!$A:$D,4,FALSE),0)</f>
        <v/>
      </c>
      <c r="K612" s="4">
        <f>IF($M612&lt;&gt;"Yes",0,IF($H612="",0,$H612*$I612))</f>
        <v/>
      </c>
      <c r="L612" s="4">
        <f>IF($M612&lt;&gt;"Yes",0,IF($H612="",0,$H612*$J612))</f>
        <v/>
      </c>
      <c r="M612" s="4" t="n"/>
      <c r="N612" s="4" t="n"/>
      <c r="O612" s="4">
        <f>IF($A612="","",TEXT($A612,"yyyy")&amp;"-W"&amp;TEXT(ISOWEEKNUM($A612),"00"))</f>
        <v/>
      </c>
      <c r="P612" s="4" t="n"/>
      <c r="Q612" s="14">
        <f>IF($A612="","",TEXT($A612,"yyyy-mm"))</f>
        <v/>
      </c>
    </row>
    <row r="613">
      <c r="A613" s="66" t="n"/>
      <c r="B613" s="4" t="n"/>
      <c r="C613" s="11">
        <f>IFERROR(VLOOKUP($B613,Members!$A:$C,2,FALSE),"")</f>
        <v/>
      </c>
      <c r="D613" s="11">
        <f>IFERROR(VLOOKUP($B613,Members!$A:$C,3,FALSE),"")</f>
        <v/>
      </c>
      <c r="E613" s="11">
        <f>IF($F613="","",IFERROR(VLOOKUP($F613,ActionMap!$A:$B,2,FALSE),"INVALID ACTION"))</f>
        <v/>
      </c>
      <c r="F613" s="4" t="n"/>
      <c r="G613" s="11">
        <f>IFERROR(VLOOKUP($E613,ActionsCatalog!$A:$B,2,FALSE),"")</f>
        <v/>
      </c>
      <c r="H613" s="4" t="n"/>
      <c r="I613" s="4">
        <f>IFERROR(VLOOKUP($E613,ActionsCatalog!$A:$D,3,FALSE),0)</f>
        <v/>
      </c>
      <c r="J613" s="4">
        <f>IFERROR(VLOOKUP($E613,ActionsCatalog!$A:$D,4,FALSE),0)</f>
        <v/>
      </c>
      <c r="K613" s="4">
        <f>IF($M613&lt;&gt;"Yes",0,IF($H613="",0,$H613*$I613))</f>
        <v/>
      </c>
      <c r="L613" s="4">
        <f>IF($M613&lt;&gt;"Yes",0,IF($H613="",0,$H613*$J613))</f>
        <v/>
      </c>
      <c r="M613" s="4" t="n"/>
      <c r="N613" s="4" t="n"/>
      <c r="O613" s="4">
        <f>IF($A613="","",TEXT($A613,"yyyy")&amp;"-W"&amp;TEXT(ISOWEEKNUM($A613),"00"))</f>
        <v/>
      </c>
      <c r="P613" s="4" t="n"/>
      <c r="Q613" s="14">
        <f>IF($A613="","",TEXT($A613,"yyyy-mm"))</f>
        <v/>
      </c>
    </row>
    <row r="614">
      <c r="A614" s="66" t="n"/>
      <c r="B614" s="4" t="n"/>
      <c r="C614" s="11">
        <f>IFERROR(VLOOKUP($B614,Members!$A:$C,2,FALSE),"")</f>
        <v/>
      </c>
      <c r="D614" s="11">
        <f>IFERROR(VLOOKUP($B614,Members!$A:$C,3,FALSE),"")</f>
        <v/>
      </c>
      <c r="E614" s="11">
        <f>IF($F614="","",IFERROR(VLOOKUP($F614,ActionMap!$A:$B,2,FALSE),"INVALID ACTION"))</f>
        <v/>
      </c>
      <c r="F614" s="4" t="n"/>
      <c r="G614" s="11">
        <f>IFERROR(VLOOKUP($E614,ActionsCatalog!$A:$B,2,FALSE),"")</f>
        <v/>
      </c>
      <c r="H614" s="4" t="n"/>
      <c r="I614" s="4">
        <f>IFERROR(VLOOKUP($E614,ActionsCatalog!$A:$D,3,FALSE),0)</f>
        <v/>
      </c>
      <c r="J614" s="4">
        <f>IFERROR(VLOOKUP($E614,ActionsCatalog!$A:$D,4,FALSE),0)</f>
        <v/>
      </c>
      <c r="K614" s="4">
        <f>IF($M614&lt;&gt;"Yes",0,IF($H614="",0,$H614*$I614))</f>
        <v/>
      </c>
      <c r="L614" s="4">
        <f>IF($M614&lt;&gt;"Yes",0,IF($H614="",0,$H614*$J614))</f>
        <v/>
      </c>
      <c r="M614" s="4" t="n"/>
      <c r="N614" s="4" t="n"/>
      <c r="O614" s="4">
        <f>IF($A614="","",TEXT($A614,"yyyy")&amp;"-W"&amp;TEXT(ISOWEEKNUM($A614),"00"))</f>
        <v/>
      </c>
      <c r="P614" s="4" t="n"/>
      <c r="Q614" s="14">
        <f>IF($A614="","",TEXT($A614,"yyyy-mm"))</f>
        <v/>
      </c>
    </row>
    <row r="615">
      <c r="A615" s="66" t="n"/>
      <c r="B615" s="4" t="n"/>
      <c r="C615" s="11">
        <f>IFERROR(VLOOKUP($B615,Members!$A:$C,2,FALSE),"")</f>
        <v/>
      </c>
      <c r="D615" s="11">
        <f>IFERROR(VLOOKUP($B615,Members!$A:$C,3,FALSE),"")</f>
        <v/>
      </c>
      <c r="E615" s="11">
        <f>IF($F615="","",IFERROR(VLOOKUP($F615,ActionMap!$A:$B,2,FALSE),"INVALID ACTION"))</f>
        <v/>
      </c>
      <c r="F615" s="4" t="n"/>
      <c r="G615" s="11">
        <f>IFERROR(VLOOKUP($E615,ActionsCatalog!$A:$B,2,FALSE),"")</f>
        <v/>
      </c>
      <c r="H615" s="4" t="n"/>
      <c r="I615" s="4">
        <f>IFERROR(VLOOKUP($E615,ActionsCatalog!$A:$D,3,FALSE),0)</f>
        <v/>
      </c>
      <c r="J615" s="4">
        <f>IFERROR(VLOOKUP($E615,ActionsCatalog!$A:$D,4,FALSE),0)</f>
        <v/>
      </c>
      <c r="K615" s="4">
        <f>IF($M615&lt;&gt;"Yes",0,IF($H615="",0,$H615*$I615))</f>
        <v/>
      </c>
      <c r="L615" s="4">
        <f>IF($M615&lt;&gt;"Yes",0,IF($H615="",0,$H615*$J615))</f>
        <v/>
      </c>
      <c r="M615" s="4" t="n"/>
      <c r="N615" s="4" t="n"/>
      <c r="O615" s="4">
        <f>IF($A615="","",TEXT($A615,"yyyy")&amp;"-W"&amp;TEXT(ISOWEEKNUM($A615),"00"))</f>
        <v/>
      </c>
      <c r="P615" s="4" t="n"/>
      <c r="Q615" s="14">
        <f>IF($A615="","",TEXT($A615,"yyyy-mm"))</f>
        <v/>
      </c>
    </row>
    <row r="616">
      <c r="A616" s="66" t="n"/>
      <c r="B616" s="4" t="n"/>
      <c r="C616" s="11">
        <f>IFERROR(VLOOKUP($B616,Members!$A:$C,2,FALSE),"")</f>
        <v/>
      </c>
      <c r="D616" s="11">
        <f>IFERROR(VLOOKUP($B616,Members!$A:$C,3,FALSE),"")</f>
        <v/>
      </c>
      <c r="E616" s="11">
        <f>IF($F616="","",IFERROR(VLOOKUP($F616,ActionMap!$A:$B,2,FALSE),"INVALID ACTION"))</f>
        <v/>
      </c>
      <c r="F616" s="4" t="n"/>
      <c r="G616" s="11">
        <f>IFERROR(VLOOKUP($E616,ActionsCatalog!$A:$B,2,FALSE),"")</f>
        <v/>
      </c>
      <c r="H616" s="4" t="n"/>
      <c r="I616" s="4">
        <f>IFERROR(VLOOKUP($E616,ActionsCatalog!$A:$D,3,FALSE),0)</f>
        <v/>
      </c>
      <c r="J616" s="4">
        <f>IFERROR(VLOOKUP($E616,ActionsCatalog!$A:$D,4,FALSE),0)</f>
        <v/>
      </c>
      <c r="K616" s="4">
        <f>IF($M616&lt;&gt;"Yes",0,IF($H616="",0,$H616*$I616))</f>
        <v/>
      </c>
      <c r="L616" s="4">
        <f>IF($M616&lt;&gt;"Yes",0,IF($H616="",0,$H616*$J616))</f>
        <v/>
      </c>
      <c r="M616" s="4" t="n"/>
      <c r="N616" s="4" t="n"/>
      <c r="O616" s="4">
        <f>IF($A616="","",TEXT($A616,"yyyy")&amp;"-W"&amp;TEXT(ISOWEEKNUM($A616),"00"))</f>
        <v/>
      </c>
      <c r="P616" s="4" t="n"/>
      <c r="Q616" s="14">
        <f>IF($A616="","",TEXT($A616,"yyyy-mm"))</f>
        <v/>
      </c>
    </row>
    <row r="617">
      <c r="A617" s="66" t="n"/>
      <c r="B617" s="4" t="n"/>
      <c r="C617" s="11">
        <f>IFERROR(VLOOKUP($B617,Members!$A:$C,2,FALSE),"")</f>
        <v/>
      </c>
      <c r="D617" s="11">
        <f>IFERROR(VLOOKUP($B617,Members!$A:$C,3,FALSE),"")</f>
        <v/>
      </c>
      <c r="E617" s="11">
        <f>IF($F617="","",IFERROR(VLOOKUP($F617,ActionMap!$A:$B,2,FALSE),"INVALID ACTION"))</f>
        <v/>
      </c>
      <c r="F617" s="4" t="n"/>
      <c r="G617" s="11">
        <f>IFERROR(VLOOKUP($E617,ActionsCatalog!$A:$B,2,FALSE),"")</f>
        <v/>
      </c>
      <c r="H617" s="4" t="n"/>
      <c r="I617" s="4">
        <f>IFERROR(VLOOKUP($E617,ActionsCatalog!$A:$D,3,FALSE),0)</f>
        <v/>
      </c>
      <c r="J617" s="4">
        <f>IFERROR(VLOOKUP($E617,ActionsCatalog!$A:$D,4,FALSE),0)</f>
        <v/>
      </c>
      <c r="K617" s="4">
        <f>IF($M617&lt;&gt;"Yes",0,IF($H617="",0,$H617*$I617))</f>
        <v/>
      </c>
      <c r="L617" s="4">
        <f>IF($M617&lt;&gt;"Yes",0,IF($H617="",0,$H617*$J617))</f>
        <v/>
      </c>
      <c r="M617" s="4" t="n"/>
      <c r="N617" s="4" t="n"/>
      <c r="O617" s="4">
        <f>IF($A617="","",TEXT($A617,"yyyy")&amp;"-W"&amp;TEXT(ISOWEEKNUM($A617),"00"))</f>
        <v/>
      </c>
      <c r="P617" s="4" t="n"/>
      <c r="Q617" s="14">
        <f>IF($A617="","",TEXT($A617,"yyyy-mm"))</f>
        <v/>
      </c>
    </row>
    <row r="618">
      <c r="A618" s="66" t="n"/>
      <c r="B618" s="4" t="n"/>
      <c r="C618" s="11">
        <f>IFERROR(VLOOKUP($B618,Members!$A:$C,2,FALSE),"")</f>
        <v/>
      </c>
      <c r="D618" s="11">
        <f>IFERROR(VLOOKUP($B618,Members!$A:$C,3,FALSE),"")</f>
        <v/>
      </c>
      <c r="E618" s="11">
        <f>IF($F618="","",IFERROR(VLOOKUP($F618,ActionMap!$A:$B,2,FALSE),"INVALID ACTION"))</f>
        <v/>
      </c>
      <c r="F618" s="4" t="n"/>
      <c r="G618" s="11">
        <f>IFERROR(VLOOKUP($E618,ActionsCatalog!$A:$B,2,FALSE),"")</f>
        <v/>
      </c>
      <c r="H618" s="4" t="n"/>
      <c r="I618" s="4">
        <f>IFERROR(VLOOKUP($E618,ActionsCatalog!$A:$D,3,FALSE),0)</f>
        <v/>
      </c>
      <c r="J618" s="4">
        <f>IFERROR(VLOOKUP($E618,ActionsCatalog!$A:$D,4,FALSE),0)</f>
        <v/>
      </c>
      <c r="K618" s="4">
        <f>IF($M618&lt;&gt;"Yes",0,IF($H618="",0,$H618*$I618))</f>
        <v/>
      </c>
      <c r="L618" s="4">
        <f>IF($M618&lt;&gt;"Yes",0,IF($H618="",0,$H618*$J618))</f>
        <v/>
      </c>
      <c r="M618" s="4" t="n"/>
      <c r="N618" s="4" t="n"/>
      <c r="O618" s="4">
        <f>IF($A618="","",TEXT($A618,"yyyy")&amp;"-W"&amp;TEXT(ISOWEEKNUM($A618),"00"))</f>
        <v/>
      </c>
      <c r="P618" s="4" t="n"/>
      <c r="Q618" s="14">
        <f>IF($A618="","",TEXT($A618,"yyyy-mm"))</f>
        <v/>
      </c>
    </row>
    <row r="619">
      <c r="A619" s="66" t="n"/>
      <c r="B619" s="4" t="n"/>
      <c r="C619" s="11">
        <f>IFERROR(VLOOKUP($B619,Members!$A:$C,2,FALSE),"")</f>
        <v/>
      </c>
      <c r="D619" s="11">
        <f>IFERROR(VLOOKUP($B619,Members!$A:$C,3,FALSE),"")</f>
        <v/>
      </c>
      <c r="E619" s="11">
        <f>IF($F619="","",IFERROR(VLOOKUP($F619,ActionMap!$A:$B,2,FALSE),"INVALID ACTION"))</f>
        <v/>
      </c>
      <c r="F619" s="4" t="n"/>
      <c r="G619" s="11">
        <f>IFERROR(VLOOKUP($E619,ActionsCatalog!$A:$B,2,FALSE),"")</f>
        <v/>
      </c>
      <c r="H619" s="4" t="n"/>
      <c r="I619" s="4">
        <f>IFERROR(VLOOKUP($E619,ActionsCatalog!$A:$D,3,FALSE),0)</f>
        <v/>
      </c>
      <c r="J619" s="4">
        <f>IFERROR(VLOOKUP($E619,ActionsCatalog!$A:$D,4,FALSE),0)</f>
        <v/>
      </c>
      <c r="K619" s="4">
        <f>IF($M619&lt;&gt;"Yes",0,IF($H619="",0,$H619*$I619))</f>
        <v/>
      </c>
      <c r="L619" s="4">
        <f>IF($M619&lt;&gt;"Yes",0,IF($H619="",0,$H619*$J619))</f>
        <v/>
      </c>
      <c r="M619" s="4" t="n"/>
      <c r="N619" s="4" t="n"/>
      <c r="O619" s="4">
        <f>IF($A619="","",TEXT($A619,"yyyy")&amp;"-W"&amp;TEXT(ISOWEEKNUM($A619),"00"))</f>
        <v/>
      </c>
      <c r="P619" s="4" t="n"/>
      <c r="Q619" s="14">
        <f>IF($A619="","",TEXT($A619,"yyyy-mm"))</f>
        <v/>
      </c>
    </row>
    <row r="620">
      <c r="A620" s="66" t="n"/>
      <c r="B620" s="4" t="n"/>
      <c r="C620" s="11">
        <f>IFERROR(VLOOKUP($B620,Members!$A:$C,2,FALSE),"")</f>
        <v/>
      </c>
      <c r="D620" s="11">
        <f>IFERROR(VLOOKUP($B620,Members!$A:$C,3,FALSE),"")</f>
        <v/>
      </c>
      <c r="E620" s="11">
        <f>IF($F620="","",IFERROR(VLOOKUP($F620,ActionMap!$A:$B,2,FALSE),"INVALID ACTION"))</f>
        <v/>
      </c>
      <c r="F620" s="4" t="n"/>
      <c r="G620" s="11">
        <f>IFERROR(VLOOKUP($E620,ActionsCatalog!$A:$B,2,FALSE),"")</f>
        <v/>
      </c>
      <c r="H620" s="4" t="n"/>
      <c r="I620" s="4">
        <f>IFERROR(VLOOKUP($E620,ActionsCatalog!$A:$D,3,FALSE),0)</f>
        <v/>
      </c>
      <c r="J620" s="4">
        <f>IFERROR(VLOOKUP($E620,ActionsCatalog!$A:$D,4,FALSE),0)</f>
        <v/>
      </c>
      <c r="K620" s="4">
        <f>IF($M620&lt;&gt;"Yes",0,IF($H620="",0,$H620*$I620))</f>
        <v/>
      </c>
      <c r="L620" s="4">
        <f>IF($M620&lt;&gt;"Yes",0,IF($H620="",0,$H620*$J620))</f>
        <v/>
      </c>
      <c r="M620" s="4" t="n"/>
      <c r="N620" s="4" t="n"/>
      <c r="O620" s="4">
        <f>IF($A620="","",TEXT($A620,"yyyy")&amp;"-W"&amp;TEXT(ISOWEEKNUM($A620),"00"))</f>
        <v/>
      </c>
      <c r="P620" s="4" t="n"/>
      <c r="Q620" s="14">
        <f>IF($A620="","",TEXT($A620,"yyyy-mm"))</f>
        <v/>
      </c>
    </row>
    <row r="621">
      <c r="A621" s="66" t="n"/>
      <c r="B621" s="4" t="n"/>
      <c r="C621" s="11">
        <f>IFERROR(VLOOKUP($B621,Members!$A:$C,2,FALSE),"")</f>
        <v/>
      </c>
      <c r="D621" s="11">
        <f>IFERROR(VLOOKUP($B621,Members!$A:$C,3,FALSE),"")</f>
        <v/>
      </c>
      <c r="E621" s="11">
        <f>IF($F621="","",IFERROR(VLOOKUP($F621,ActionMap!$A:$B,2,FALSE),"INVALID ACTION"))</f>
        <v/>
      </c>
      <c r="F621" s="4" t="n"/>
      <c r="G621" s="11">
        <f>IFERROR(VLOOKUP($E621,ActionsCatalog!$A:$B,2,FALSE),"")</f>
        <v/>
      </c>
      <c r="H621" s="4" t="n"/>
      <c r="I621" s="4">
        <f>IFERROR(VLOOKUP($E621,ActionsCatalog!$A:$D,3,FALSE),0)</f>
        <v/>
      </c>
      <c r="J621" s="4">
        <f>IFERROR(VLOOKUP($E621,ActionsCatalog!$A:$D,4,FALSE),0)</f>
        <v/>
      </c>
      <c r="K621" s="4">
        <f>IF($M621&lt;&gt;"Yes",0,IF($H621="",0,$H621*$I621))</f>
        <v/>
      </c>
      <c r="L621" s="4">
        <f>IF($M621&lt;&gt;"Yes",0,IF($H621="",0,$H621*$J621))</f>
        <v/>
      </c>
      <c r="M621" s="4" t="n"/>
      <c r="N621" s="4" t="n"/>
      <c r="O621" s="4">
        <f>IF($A621="","",TEXT($A621,"yyyy")&amp;"-W"&amp;TEXT(ISOWEEKNUM($A621),"00"))</f>
        <v/>
      </c>
      <c r="P621" s="4" t="n"/>
      <c r="Q621" s="14">
        <f>IF($A621="","",TEXT($A621,"yyyy-mm"))</f>
        <v/>
      </c>
    </row>
    <row r="622">
      <c r="A622" s="66" t="n"/>
      <c r="B622" s="4" t="n"/>
      <c r="C622" s="11">
        <f>IFERROR(VLOOKUP($B622,Members!$A:$C,2,FALSE),"")</f>
        <v/>
      </c>
      <c r="D622" s="11">
        <f>IFERROR(VLOOKUP($B622,Members!$A:$C,3,FALSE),"")</f>
        <v/>
      </c>
      <c r="E622" s="11">
        <f>IF($F622="","",IFERROR(VLOOKUP($F622,ActionMap!$A:$B,2,FALSE),"INVALID ACTION"))</f>
        <v/>
      </c>
      <c r="F622" s="4" t="n"/>
      <c r="G622" s="11">
        <f>IFERROR(VLOOKUP($E622,ActionsCatalog!$A:$B,2,FALSE),"")</f>
        <v/>
      </c>
      <c r="H622" s="4" t="n"/>
      <c r="I622" s="4">
        <f>IFERROR(VLOOKUP($E622,ActionsCatalog!$A:$D,3,FALSE),0)</f>
        <v/>
      </c>
      <c r="J622" s="4">
        <f>IFERROR(VLOOKUP($E622,ActionsCatalog!$A:$D,4,FALSE),0)</f>
        <v/>
      </c>
      <c r="K622" s="4">
        <f>IF($M622&lt;&gt;"Yes",0,IF($H622="",0,$H622*$I622))</f>
        <v/>
      </c>
      <c r="L622" s="4">
        <f>IF($M622&lt;&gt;"Yes",0,IF($H622="",0,$H622*$J622))</f>
        <v/>
      </c>
      <c r="M622" s="4" t="n"/>
      <c r="N622" s="4" t="n"/>
      <c r="O622" s="4">
        <f>IF($A622="","",TEXT($A622,"yyyy")&amp;"-W"&amp;TEXT(ISOWEEKNUM($A622),"00"))</f>
        <v/>
      </c>
      <c r="P622" s="4" t="n"/>
      <c r="Q622" s="14">
        <f>IF($A622="","",TEXT($A622,"yyyy-mm"))</f>
        <v/>
      </c>
    </row>
    <row r="623">
      <c r="A623" s="66" t="n"/>
      <c r="B623" s="4" t="n"/>
      <c r="C623" s="11">
        <f>IFERROR(VLOOKUP($B623,Members!$A:$C,2,FALSE),"")</f>
        <v/>
      </c>
      <c r="D623" s="11">
        <f>IFERROR(VLOOKUP($B623,Members!$A:$C,3,FALSE),"")</f>
        <v/>
      </c>
      <c r="E623" s="11">
        <f>IF($F623="","",IFERROR(VLOOKUP($F623,ActionMap!$A:$B,2,FALSE),"INVALID ACTION"))</f>
        <v/>
      </c>
      <c r="F623" s="4" t="n"/>
      <c r="G623" s="11">
        <f>IFERROR(VLOOKUP($E623,ActionsCatalog!$A:$B,2,FALSE),"")</f>
        <v/>
      </c>
      <c r="H623" s="4" t="n"/>
      <c r="I623" s="4">
        <f>IFERROR(VLOOKUP($E623,ActionsCatalog!$A:$D,3,FALSE),0)</f>
        <v/>
      </c>
      <c r="J623" s="4">
        <f>IFERROR(VLOOKUP($E623,ActionsCatalog!$A:$D,4,FALSE),0)</f>
        <v/>
      </c>
      <c r="K623" s="4">
        <f>IF($M623&lt;&gt;"Yes",0,IF($H623="",0,$H623*$I623))</f>
        <v/>
      </c>
      <c r="L623" s="4">
        <f>IF($M623&lt;&gt;"Yes",0,IF($H623="",0,$H623*$J623))</f>
        <v/>
      </c>
      <c r="M623" s="4" t="n"/>
      <c r="N623" s="4" t="n"/>
      <c r="O623" s="4">
        <f>IF($A623="","",TEXT($A623,"yyyy")&amp;"-W"&amp;TEXT(ISOWEEKNUM($A623),"00"))</f>
        <v/>
      </c>
      <c r="P623" s="4" t="n"/>
      <c r="Q623" s="14">
        <f>IF($A623="","",TEXT($A623,"yyyy-mm"))</f>
        <v/>
      </c>
    </row>
    <row r="624">
      <c r="A624" s="66" t="n"/>
      <c r="B624" s="4" t="n"/>
      <c r="C624" s="11">
        <f>IFERROR(VLOOKUP($B624,Members!$A:$C,2,FALSE),"")</f>
        <v/>
      </c>
      <c r="D624" s="11">
        <f>IFERROR(VLOOKUP($B624,Members!$A:$C,3,FALSE),"")</f>
        <v/>
      </c>
      <c r="E624" s="11">
        <f>IF($F624="","",IFERROR(VLOOKUP($F624,ActionMap!$A:$B,2,FALSE),"INVALID ACTION"))</f>
        <v/>
      </c>
      <c r="F624" s="4" t="n"/>
      <c r="G624" s="11">
        <f>IFERROR(VLOOKUP($E624,ActionsCatalog!$A:$B,2,FALSE),"")</f>
        <v/>
      </c>
      <c r="H624" s="4" t="n"/>
      <c r="I624" s="4">
        <f>IFERROR(VLOOKUP($E624,ActionsCatalog!$A:$D,3,FALSE),0)</f>
        <v/>
      </c>
      <c r="J624" s="4">
        <f>IFERROR(VLOOKUP($E624,ActionsCatalog!$A:$D,4,FALSE),0)</f>
        <v/>
      </c>
      <c r="K624" s="4">
        <f>IF($M624&lt;&gt;"Yes",0,IF($H624="",0,$H624*$I624))</f>
        <v/>
      </c>
      <c r="L624" s="4">
        <f>IF($M624&lt;&gt;"Yes",0,IF($H624="",0,$H624*$J624))</f>
        <v/>
      </c>
      <c r="M624" s="4" t="n"/>
      <c r="N624" s="4" t="n"/>
      <c r="O624" s="4">
        <f>IF($A624="","",TEXT($A624,"yyyy")&amp;"-W"&amp;TEXT(ISOWEEKNUM($A624),"00"))</f>
        <v/>
      </c>
      <c r="P624" s="4" t="n"/>
      <c r="Q624" s="14">
        <f>IF($A624="","",TEXT($A624,"yyyy-mm"))</f>
        <v/>
      </c>
    </row>
    <row r="625">
      <c r="A625" s="66" t="n"/>
      <c r="B625" s="4" t="n"/>
      <c r="C625" s="11">
        <f>IFERROR(VLOOKUP($B625,Members!$A:$C,2,FALSE),"")</f>
        <v/>
      </c>
      <c r="D625" s="11">
        <f>IFERROR(VLOOKUP($B625,Members!$A:$C,3,FALSE),"")</f>
        <v/>
      </c>
      <c r="E625" s="11">
        <f>IF($F625="","",IFERROR(VLOOKUP($F625,ActionMap!$A:$B,2,FALSE),"INVALID ACTION"))</f>
        <v/>
      </c>
      <c r="F625" s="4" t="n"/>
      <c r="G625" s="11">
        <f>IFERROR(VLOOKUP($E625,ActionsCatalog!$A:$B,2,FALSE),"")</f>
        <v/>
      </c>
      <c r="H625" s="4" t="n"/>
      <c r="I625" s="4">
        <f>IFERROR(VLOOKUP($E625,ActionsCatalog!$A:$D,3,FALSE),0)</f>
        <v/>
      </c>
      <c r="J625" s="4">
        <f>IFERROR(VLOOKUP($E625,ActionsCatalog!$A:$D,4,FALSE),0)</f>
        <v/>
      </c>
      <c r="K625" s="4">
        <f>IF($M625&lt;&gt;"Yes",0,IF($H625="",0,$H625*$I625))</f>
        <v/>
      </c>
      <c r="L625" s="4">
        <f>IF($M625&lt;&gt;"Yes",0,IF($H625="",0,$H625*$J625))</f>
        <v/>
      </c>
      <c r="M625" s="4" t="n"/>
      <c r="N625" s="4" t="n"/>
      <c r="O625" s="4">
        <f>IF($A625="","",TEXT($A625,"yyyy")&amp;"-W"&amp;TEXT(ISOWEEKNUM($A625),"00"))</f>
        <v/>
      </c>
      <c r="P625" s="4" t="n"/>
      <c r="Q625" s="14">
        <f>IF($A625="","",TEXT($A625,"yyyy-mm"))</f>
        <v/>
      </c>
    </row>
    <row r="626">
      <c r="A626" s="66" t="n"/>
      <c r="B626" s="4" t="n"/>
      <c r="C626" s="11">
        <f>IFERROR(VLOOKUP($B626,Members!$A:$C,2,FALSE),"")</f>
        <v/>
      </c>
      <c r="D626" s="11">
        <f>IFERROR(VLOOKUP($B626,Members!$A:$C,3,FALSE),"")</f>
        <v/>
      </c>
      <c r="E626" s="11">
        <f>IF($F626="","",IFERROR(VLOOKUP($F626,ActionMap!$A:$B,2,FALSE),"INVALID ACTION"))</f>
        <v/>
      </c>
      <c r="F626" s="4" t="n"/>
      <c r="G626" s="11">
        <f>IFERROR(VLOOKUP($E626,ActionsCatalog!$A:$B,2,FALSE),"")</f>
        <v/>
      </c>
      <c r="H626" s="4" t="n"/>
      <c r="I626" s="4">
        <f>IFERROR(VLOOKUP($E626,ActionsCatalog!$A:$D,3,FALSE),0)</f>
        <v/>
      </c>
      <c r="J626" s="4">
        <f>IFERROR(VLOOKUP($E626,ActionsCatalog!$A:$D,4,FALSE),0)</f>
        <v/>
      </c>
      <c r="K626" s="4">
        <f>IF($M626&lt;&gt;"Yes",0,IF($H626="",0,$H626*$I626))</f>
        <v/>
      </c>
      <c r="L626" s="4">
        <f>IF($M626&lt;&gt;"Yes",0,IF($H626="",0,$H626*$J626))</f>
        <v/>
      </c>
      <c r="M626" s="4" t="n"/>
      <c r="N626" s="4" t="n"/>
      <c r="O626" s="4">
        <f>IF($A626="","",TEXT($A626,"yyyy")&amp;"-W"&amp;TEXT(ISOWEEKNUM($A626),"00"))</f>
        <v/>
      </c>
      <c r="P626" s="4" t="n"/>
      <c r="Q626" s="14">
        <f>IF($A626="","",TEXT($A626,"yyyy-mm"))</f>
        <v/>
      </c>
    </row>
    <row r="627">
      <c r="A627" s="66" t="n"/>
      <c r="B627" s="4" t="n"/>
      <c r="C627" s="11">
        <f>IFERROR(VLOOKUP($B627,Members!$A:$C,2,FALSE),"")</f>
        <v/>
      </c>
      <c r="D627" s="11">
        <f>IFERROR(VLOOKUP($B627,Members!$A:$C,3,FALSE),"")</f>
        <v/>
      </c>
      <c r="E627" s="11">
        <f>IF($F627="","",IFERROR(VLOOKUP($F627,ActionMap!$A:$B,2,FALSE),"INVALID ACTION"))</f>
        <v/>
      </c>
      <c r="F627" s="4" t="n"/>
      <c r="G627" s="11">
        <f>IFERROR(VLOOKUP($E627,ActionsCatalog!$A:$B,2,FALSE),"")</f>
        <v/>
      </c>
      <c r="H627" s="4" t="n"/>
      <c r="I627" s="4">
        <f>IFERROR(VLOOKUP($E627,ActionsCatalog!$A:$D,3,FALSE),0)</f>
        <v/>
      </c>
      <c r="J627" s="4">
        <f>IFERROR(VLOOKUP($E627,ActionsCatalog!$A:$D,4,FALSE),0)</f>
        <v/>
      </c>
      <c r="K627" s="4">
        <f>IF($M627&lt;&gt;"Yes",0,IF($H627="",0,$H627*$I627))</f>
        <v/>
      </c>
      <c r="L627" s="4">
        <f>IF($M627&lt;&gt;"Yes",0,IF($H627="",0,$H627*$J627))</f>
        <v/>
      </c>
      <c r="M627" s="4" t="n"/>
      <c r="N627" s="4" t="n"/>
      <c r="O627" s="4">
        <f>IF($A627="","",TEXT($A627,"yyyy")&amp;"-W"&amp;TEXT(ISOWEEKNUM($A627),"00"))</f>
        <v/>
      </c>
      <c r="P627" s="4" t="n"/>
      <c r="Q627" s="14">
        <f>IF($A627="","",TEXT($A627,"yyyy-mm"))</f>
        <v/>
      </c>
    </row>
    <row r="628">
      <c r="A628" s="66" t="n"/>
      <c r="B628" s="4" t="n"/>
      <c r="C628" s="11">
        <f>IFERROR(VLOOKUP($B628,Members!$A:$C,2,FALSE),"")</f>
        <v/>
      </c>
      <c r="D628" s="11">
        <f>IFERROR(VLOOKUP($B628,Members!$A:$C,3,FALSE),"")</f>
        <v/>
      </c>
      <c r="E628" s="11">
        <f>IF($F628="","",IFERROR(VLOOKUP($F628,ActionMap!$A:$B,2,FALSE),"INVALID ACTION"))</f>
        <v/>
      </c>
      <c r="F628" s="4" t="n"/>
      <c r="G628" s="11">
        <f>IFERROR(VLOOKUP($E628,ActionsCatalog!$A:$B,2,FALSE),"")</f>
        <v/>
      </c>
      <c r="H628" s="4" t="n"/>
      <c r="I628" s="4">
        <f>IFERROR(VLOOKUP($E628,ActionsCatalog!$A:$D,3,FALSE),0)</f>
        <v/>
      </c>
      <c r="J628" s="4">
        <f>IFERROR(VLOOKUP($E628,ActionsCatalog!$A:$D,4,FALSE),0)</f>
        <v/>
      </c>
      <c r="K628" s="4">
        <f>IF($M628&lt;&gt;"Yes",0,IF($H628="",0,$H628*$I628))</f>
        <v/>
      </c>
      <c r="L628" s="4">
        <f>IF($M628&lt;&gt;"Yes",0,IF($H628="",0,$H628*$J628))</f>
        <v/>
      </c>
      <c r="M628" s="4" t="n"/>
      <c r="N628" s="4" t="n"/>
      <c r="O628" s="4">
        <f>IF($A628="","",TEXT($A628,"yyyy")&amp;"-W"&amp;TEXT(ISOWEEKNUM($A628),"00"))</f>
        <v/>
      </c>
      <c r="P628" s="4" t="n"/>
      <c r="Q628" s="14">
        <f>IF($A628="","",TEXT($A628,"yyyy-mm"))</f>
        <v/>
      </c>
    </row>
    <row r="629">
      <c r="A629" s="66" t="n"/>
      <c r="B629" s="4" t="n"/>
      <c r="C629" s="11">
        <f>IFERROR(VLOOKUP($B629,Members!$A:$C,2,FALSE),"")</f>
        <v/>
      </c>
      <c r="D629" s="11">
        <f>IFERROR(VLOOKUP($B629,Members!$A:$C,3,FALSE),"")</f>
        <v/>
      </c>
      <c r="E629" s="11">
        <f>IF($F629="","",IFERROR(VLOOKUP($F629,ActionMap!$A:$B,2,FALSE),"INVALID ACTION"))</f>
        <v/>
      </c>
      <c r="F629" s="4" t="n"/>
      <c r="G629" s="11">
        <f>IFERROR(VLOOKUP($E629,ActionsCatalog!$A:$B,2,FALSE),"")</f>
        <v/>
      </c>
      <c r="H629" s="4" t="n"/>
      <c r="I629" s="4">
        <f>IFERROR(VLOOKUP($E629,ActionsCatalog!$A:$D,3,FALSE),0)</f>
        <v/>
      </c>
      <c r="J629" s="4">
        <f>IFERROR(VLOOKUP($E629,ActionsCatalog!$A:$D,4,FALSE),0)</f>
        <v/>
      </c>
      <c r="K629" s="4">
        <f>IF($M629&lt;&gt;"Yes",0,IF($H629="",0,$H629*$I629))</f>
        <v/>
      </c>
      <c r="L629" s="4">
        <f>IF($M629&lt;&gt;"Yes",0,IF($H629="",0,$H629*$J629))</f>
        <v/>
      </c>
      <c r="M629" s="4" t="n"/>
      <c r="N629" s="4" t="n"/>
      <c r="O629" s="4">
        <f>IF($A629="","",TEXT($A629,"yyyy")&amp;"-W"&amp;TEXT(ISOWEEKNUM($A629),"00"))</f>
        <v/>
      </c>
      <c r="P629" s="4" t="n"/>
      <c r="Q629" s="14">
        <f>IF($A629="","",TEXT($A629,"yyyy-mm"))</f>
        <v/>
      </c>
    </row>
    <row r="630">
      <c r="A630" s="66" t="n"/>
      <c r="B630" s="4" t="n"/>
      <c r="C630" s="11">
        <f>IFERROR(VLOOKUP($B630,Members!$A:$C,2,FALSE),"")</f>
        <v/>
      </c>
      <c r="D630" s="11">
        <f>IFERROR(VLOOKUP($B630,Members!$A:$C,3,FALSE),"")</f>
        <v/>
      </c>
      <c r="E630" s="11">
        <f>IF($F630="","",IFERROR(VLOOKUP($F630,ActionMap!$A:$B,2,FALSE),"INVALID ACTION"))</f>
        <v/>
      </c>
      <c r="F630" s="4" t="n"/>
      <c r="G630" s="11">
        <f>IFERROR(VLOOKUP($E630,ActionsCatalog!$A:$B,2,FALSE),"")</f>
        <v/>
      </c>
      <c r="H630" s="4" t="n"/>
      <c r="I630" s="4">
        <f>IFERROR(VLOOKUP($E630,ActionsCatalog!$A:$D,3,FALSE),0)</f>
        <v/>
      </c>
      <c r="J630" s="4">
        <f>IFERROR(VLOOKUP($E630,ActionsCatalog!$A:$D,4,FALSE),0)</f>
        <v/>
      </c>
      <c r="K630" s="4">
        <f>IF($M630&lt;&gt;"Yes",0,IF($H630="",0,$H630*$I630))</f>
        <v/>
      </c>
      <c r="L630" s="4">
        <f>IF($M630&lt;&gt;"Yes",0,IF($H630="",0,$H630*$J630))</f>
        <v/>
      </c>
      <c r="M630" s="4" t="n"/>
      <c r="N630" s="4" t="n"/>
      <c r="O630" s="4">
        <f>IF($A630="","",TEXT($A630,"yyyy")&amp;"-W"&amp;TEXT(ISOWEEKNUM($A630),"00"))</f>
        <v/>
      </c>
      <c r="P630" s="4" t="n"/>
      <c r="Q630" s="14">
        <f>IF($A630="","",TEXT($A630,"yyyy-mm"))</f>
        <v/>
      </c>
    </row>
    <row r="631">
      <c r="A631" s="66" t="n"/>
      <c r="B631" s="4" t="n"/>
      <c r="C631" s="11">
        <f>IFERROR(VLOOKUP($B631,Members!$A:$C,2,FALSE),"")</f>
        <v/>
      </c>
      <c r="D631" s="11">
        <f>IFERROR(VLOOKUP($B631,Members!$A:$C,3,FALSE),"")</f>
        <v/>
      </c>
      <c r="E631" s="11">
        <f>IF($F631="","",IFERROR(VLOOKUP($F631,ActionMap!$A:$B,2,FALSE),"INVALID ACTION"))</f>
        <v/>
      </c>
      <c r="F631" s="4" t="n"/>
      <c r="G631" s="11">
        <f>IFERROR(VLOOKUP($E631,ActionsCatalog!$A:$B,2,FALSE),"")</f>
        <v/>
      </c>
      <c r="H631" s="4" t="n"/>
      <c r="I631" s="4">
        <f>IFERROR(VLOOKUP($E631,ActionsCatalog!$A:$D,3,FALSE),0)</f>
        <v/>
      </c>
      <c r="J631" s="4">
        <f>IFERROR(VLOOKUP($E631,ActionsCatalog!$A:$D,4,FALSE),0)</f>
        <v/>
      </c>
      <c r="K631" s="4">
        <f>IF($M631&lt;&gt;"Yes",0,IF($H631="",0,$H631*$I631))</f>
        <v/>
      </c>
      <c r="L631" s="4">
        <f>IF($M631&lt;&gt;"Yes",0,IF($H631="",0,$H631*$J631))</f>
        <v/>
      </c>
      <c r="M631" s="4" t="n"/>
      <c r="N631" s="4" t="n"/>
      <c r="O631" s="4">
        <f>IF($A631="","",TEXT($A631,"yyyy")&amp;"-W"&amp;TEXT(ISOWEEKNUM($A631),"00"))</f>
        <v/>
      </c>
      <c r="P631" s="4" t="n"/>
      <c r="Q631" s="14">
        <f>IF($A631="","",TEXT($A631,"yyyy-mm"))</f>
        <v/>
      </c>
    </row>
    <row r="632">
      <c r="A632" s="66" t="n"/>
      <c r="B632" s="4" t="n"/>
      <c r="C632" s="11">
        <f>IFERROR(VLOOKUP($B632,Members!$A:$C,2,FALSE),"")</f>
        <v/>
      </c>
      <c r="D632" s="11">
        <f>IFERROR(VLOOKUP($B632,Members!$A:$C,3,FALSE),"")</f>
        <v/>
      </c>
      <c r="E632" s="11">
        <f>IF($F632="","",IFERROR(VLOOKUP($F632,ActionMap!$A:$B,2,FALSE),"INVALID ACTION"))</f>
        <v/>
      </c>
      <c r="F632" s="4" t="n"/>
      <c r="G632" s="11">
        <f>IFERROR(VLOOKUP($E632,ActionsCatalog!$A:$B,2,FALSE),"")</f>
        <v/>
      </c>
      <c r="H632" s="4" t="n"/>
      <c r="I632" s="4">
        <f>IFERROR(VLOOKUP($E632,ActionsCatalog!$A:$D,3,FALSE),0)</f>
        <v/>
      </c>
      <c r="J632" s="4">
        <f>IFERROR(VLOOKUP($E632,ActionsCatalog!$A:$D,4,FALSE),0)</f>
        <v/>
      </c>
      <c r="K632" s="4">
        <f>IF($M632&lt;&gt;"Yes",0,IF($H632="",0,$H632*$I632))</f>
        <v/>
      </c>
      <c r="L632" s="4">
        <f>IF($M632&lt;&gt;"Yes",0,IF($H632="",0,$H632*$J632))</f>
        <v/>
      </c>
      <c r="M632" s="4" t="n"/>
      <c r="N632" s="4" t="n"/>
      <c r="O632" s="4">
        <f>IF($A632="","",TEXT($A632,"yyyy")&amp;"-W"&amp;TEXT(ISOWEEKNUM($A632),"00"))</f>
        <v/>
      </c>
      <c r="P632" s="4" t="n"/>
      <c r="Q632" s="14">
        <f>IF($A632="","",TEXT($A632,"yyyy-mm"))</f>
        <v/>
      </c>
    </row>
    <row r="633">
      <c r="A633" s="66" t="n"/>
      <c r="B633" s="4" t="n"/>
      <c r="C633" s="11">
        <f>IFERROR(VLOOKUP($B633,Members!$A:$C,2,FALSE),"")</f>
        <v/>
      </c>
      <c r="D633" s="11">
        <f>IFERROR(VLOOKUP($B633,Members!$A:$C,3,FALSE),"")</f>
        <v/>
      </c>
      <c r="E633" s="11">
        <f>IF($F633="","",IFERROR(VLOOKUP($F633,ActionMap!$A:$B,2,FALSE),"INVALID ACTION"))</f>
        <v/>
      </c>
      <c r="F633" s="4" t="n"/>
      <c r="G633" s="11">
        <f>IFERROR(VLOOKUP($E633,ActionsCatalog!$A:$B,2,FALSE),"")</f>
        <v/>
      </c>
      <c r="H633" s="4" t="n"/>
      <c r="I633" s="4">
        <f>IFERROR(VLOOKUP($E633,ActionsCatalog!$A:$D,3,FALSE),0)</f>
        <v/>
      </c>
      <c r="J633" s="4">
        <f>IFERROR(VLOOKUP($E633,ActionsCatalog!$A:$D,4,FALSE),0)</f>
        <v/>
      </c>
      <c r="K633" s="4">
        <f>IF($M633&lt;&gt;"Yes",0,IF($H633="",0,$H633*$I633))</f>
        <v/>
      </c>
      <c r="L633" s="4">
        <f>IF($M633&lt;&gt;"Yes",0,IF($H633="",0,$H633*$J633))</f>
        <v/>
      </c>
      <c r="M633" s="4" t="n"/>
      <c r="N633" s="4" t="n"/>
      <c r="O633" s="4">
        <f>IF($A633="","",TEXT($A633,"yyyy")&amp;"-W"&amp;TEXT(ISOWEEKNUM($A633),"00"))</f>
        <v/>
      </c>
      <c r="P633" s="4" t="n"/>
      <c r="Q633" s="14">
        <f>IF($A633="","",TEXT($A633,"yyyy-mm"))</f>
        <v/>
      </c>
    </row>
    <row r="634">
      <c r="A634" s="66" t="n"/>
      <c r="B634" s="4" t="n"/>
      <c r="C634" s="11">
        <f>IFERROR(VLOOKUP($B634,Members!$A:$C,2,FALSE),"")</f>
        <v/>
      </c>
      <c r="D634" s="11">
        <f>IFERROR(VLOOKUP($B634,Members!$A:$C,3,FALSE),"")</f>
        <v/>
      </c>
      <c r="E634" s="11">
        <f>IF($F634="","",IFERROR(VLOOKUP($F634,ActionMap!$A:$B,2,FALSE),"INVALID ACTION"))</f>
        <v/>
      </c>
      <c r="F634" s="4" t="n"/>
      <c r="G634" s="11">
        <f>IFERROR(VLOOKUP($E634,ActionsCatalog!$A:$B,2,FALSE),"")</f>
        <v/>
      </c>
      <c r="H634" s="4" t="n"/>
      <c r="I634" s="4">
        <f>IFERROR(VLOOKUP($E634,ActionsCatalog!$A:$D,3,FALSE),0)</f>
        <v/>
      </c>
      <c r="J634" s="4">
        <f>IFERROR(VLOOKUP($E634,ActionsCatalog!$A:$D,4,FALSE),0)</f>
        <v/>
      </c>
      <c r="K634" s="4">
        <f>IF($M634&lt;&gt;"Yes",0,IF($H634="",0,$H634*$I634))</f>
        <v/>
      </c>
      <c r="L634" s="4">
        <f>IF($M634&lt;&gt;"Yes",0,IF($H634="",0,$H634*$J634))</f>
        <v/>
      </c>
      <c r="M634" s="4" t="n"/>
      <c r="N634" s="4" t="n"/>
      <c r="O634" s="4">
        <f>IF($A634="","",TEXT($A634,"yyyy")&amp;"-W"&amp;TEXT(ISOWEEKNUM($A634),"00"))</f>
        <v/>
      </c>
      <c r="P634" s="4" t="n"/>
      <c r="Q634" s="14">
        <f>IF($A634="","",TEXT($A634,"yyyy-mm"))</f>
        <v/>
      </c>
    </row>
    <row r="635">
      <c r="A635" s="66" t="n"/>
      <c r="B635" s="4" t="n"/>
      <c r="C635" s="11">
        <f>IFERROR(VLOOKUP($B635,Members!$A:$C,2,FALSE),"")</f>
        <v/>
      </c>
      <c r="D635" s="11">
        <f>IFERROR(VLOOKUP($B635,Members!$A:$C,3,FALSE),"")</f>
        <v/>
      </c>
      <c r="E635" s="11">
        <f>IF($F635="","",IFERROR(VLOOKUP($F635,ActionMap!$A:$B,2,FALSE),"INVALID ACTION"))</f>
        <v/>
      </c>
      <c r="F635" s="4" t="n"/>
      <c r="G635" s="11">
        <f>IFERROR(VLOOKUP($E635,ActionsCatalog!$A:$B,2,FALSE),"")</f>
        <v/>
      </c>
      <c r="H635" s="4" t="n"/>
      <c r="I635" s="4">
        <f>IFERROR(VLOOKUP($E635,ActionsCatalog!$A:$D,3,FALSE),0)</f>
        <v/>
      </c>
      <c r="J635" s="4">
        <f>IFERROR(VLOOKUP($E635,ActionsCatalog!$A:$D,4,FALSE),0)</f>
        <v/>
      </c>
      <c r="K635" s="4">
        <f>IF($M635&lt;&gt;"Yes",0,IF($H635="",0,$H635*$I635))</f>
        <v/>
      </c>
      <c r="L635" s="4">
        <f>IF($M635&lt;&gt;"Yes",0,IF($H635="",0,$H635*$J635))</f>
        <v/>
      </c>
      <c r="M635" s="4" t="n"/>
      <c r="N635" s="4" t="n"/>
      <c r="O635" s="4">
        <f>IF($A635="","",TEXT($A635,"yyyy")&amp;"-W"&amp;TEXT(ISOWEEKNUM($A635),"00"))</f>
        <v/>
      </c>
      <c r="P635" s="4" t="n"/>
      <c r="Q635" s="14">
        <f>IF($A635="","",TEXT($A635,"yyyy-mm"))</f>
        <v/>
      </c>
    </row>
    <row r="636">
      <c r="A636" s="66" t="n"/>
      <c r="B636" s="4" t="n"/>
      <c r="C636" s="11">
        <f>IFERROR(VLOOKUP($B636,Members!$A:$C,2,FALSE),"")</f>
        <v/>
      </c>
      <c r="D636" s="11">
        <f>IFERROR(VLOOKUP($B636,Members!$A:$C,3,FALSE),"")</f>
        <v/>
      </c>
      <c r="E636" s="11">
        <f>IF($F636="","",IFERROR(VLOOKUP($F636,ActionMap!$A:$B,2,FALSE),"INVALID ACTION"))</f>
        <v/>
      </c>
      <c r="F636" s="4" t="n"/>
      <c r="G636" s="11">
        <f>IFERROR(VLOOKUP($E636,ActionsCatalog!$A:$B,2,FALSE),"")</f>
        <v/>
      </c>
      <c r="H636" s="4" t="n"/>
      <c r="I636" s="4">
        <f>IFERROR(VLOOKUP($E636,ActionsCatalog!$A:$D,3,FALSE),0)</f>
        <v/>
      </c>
      <c r="J636" s="4">
        <f>IFERROR(VLOOKUP($E636,ActionsCatalog!$A:$D,4,FALSE),0)</f>
        <v/>
      </c>
      <c r="K636" s="4">
        <f>IF($M636&lt;&gt;"Yes",0,IF($H636="",0,$H636*$I636))</f>
        <v/>
      </c>
      <c r="L636" s="4">
        <f>IF($M636&lt;&gt;"Yes",0,IF($H636="",0,$H636*$J636))</f>
        <v/>
      </c>
      <c r="M636" s="4" t="n"/>
      <c r="N636" s="4" t="n"/>
      <c r="O636" s="4">
        <f>IF($A636="","",TEXT($A636,"yyyy")&amp;"-W"&amp;TEXT(ISOWEEKNUM($A636),"00"))</f>
        <v/>
      </c>
      <c r="P636" s="4" t="n"/>
      <c r="Q636" s="14">
        <f>IF($A636="","",TEXT($A636,"yyyy-mm"))</f>
        <v/>
      </c>
    </row>
    <row r="637">
      <c r="A637" s="66" t="n"/>
      <c r="B637" s="4" t="n"/>
      <c r="C637" s="11">
        <f>IFERROR(VLOOKUP($B637,Members!$A:$C,2,FALSE),"")</f>
        <v/>
      </c>
      <c r="D637" s="11">
        <f>IFERROR(VLOOKUP($B637,Members!$A:$C,3,FALSE),"")</f>
        <v/>
      </c>
      <c r="E637" s="11">
        <f>IF($F637="","",IFERROR(VLOOKUP($F637,ActionMap!$A:$B,2,FALSE),"INVALID ACTION"))</f>
        <v/>
      </c>
      <c r="F637" s="4" t="n"/>
      <c r="G637" s="11">
        <f>IFERROR(VLOOKUP($E637,ActionsCatalog!$A:$B,2,FALSE),"")</f>
        <v/>
      </c>
      <c r="H637" s="4" t="n"/>
      <c r="I637" s="4">
        <f>IFERROR(VLOOKUP($E637,ActionsCatalog!$A:$D,3,FALSE),0)</f>
        <v/>
      </c>
      <c r="J637" s="4">
        <f>IFERROR(VLOOKUP($E637,ActionsCatalog!$A:$D,4,FALSE),0)</f>
        <v/>
      </c>
      <c r="K637" s="4">
        <f>IF($M637&lt;&gt;"Yes",0,IF($H637="",0,$H637*$I637))</f>
        <v/>
      </c>
      <c r="L637" s="4">
        <f>IF($M637&lt;&gt;"Yes",0,IF($H637="",0,$H637*$J637))</f>
        <v/>
      </c>
      <c r="M637" s="4" t="n"/>
      <c r="N637" s="4" t="n"/>
      <c r="O637" s="4">
        <f>IF($A637="","",TEXT($A637,"yyyy")&amp;"-W"&amp;TEXT(ISOWEEKNUM($A637),"00"))</f>
        <v/>
      </c>
      <c r="P637" s="4" t="n"/>
      <c r="Q637" s="14">
        <f>IF($A637="","",TEXT($A637,"yyyy-mm"))</f>
        <v/>
      </c>
    </row>
    <row r="638">
      <c r="A638" s="66" t="n"/>
      <c r="B638" s="4" t="n"/>
      <c r="C638" s="11">
        <f>IFERROR(VLOOKUP($B638,Members!$A:$C,2,FALSE),"")</f>
        <v/>
      </c>
      <c r="D638" s="11">
        <f>IFERROR(VLOOKUP($B638,Members!$A:$C,3,FALSE),"")</f>
        <v/>
      </c>
      <c r="E638" s="11">
        <f>IF($F638="","",IFERROR(VLOOKUP($F638,ActionMap!$A:$B,2,FALSE),"INVALID ACTION"))</f>
        <v/>
      </c>
      <c r="F638" s="4" t="n"/>
      <c r="G638" s="11">
        <f>IFERROR(VLOOKUP($E638,ActionsCatalog!$A:$B,2,FALSE),"")</f>
        <v/>
      </c>
      <c r="H638" s="4" t="n"/>
      <c r="I638" s="4">
        <f>IFERROR(VLOOKUP($E638,ActionsCatalog!$A:$D,3,FALSE),0)</f>
        <v/>
      </c>
      <c r="J638" s="4">
        <f>IFERROR(VLOOKUP($E638,ActionsCatalog!$A:$D,4,FALSE),0)</f>
        <v/>
      </c>
      <c r="K638" s="4">
        <f>IF($M638&lt;&gt;"Yes",0,IF($H638="",0,$H638*$I638))</f>
        <v/>
      </c>
      <c r="L638" s="4">
        <f>IF($M638&lt;&gt;"Yes",0,IF($H638="",0,$H638*$J638))</f>
        <v/>
      </c>
      <c r="M638" s="4" t="n"/>
      <c r="N638" s="4" t="n"/>
      <c r="O638" s="4">
        <f>IF($A638="","",TEXT($A638,"yyyy")&amp;"-W"&amp;TEXT(ISOWEEKNUM($A638),"00"))</f>
        <v/>
      </c>
      <c r="P638" s="4" t="n"/>
      <c r="Q638" s="14">
        <f>IF($A638="","",TEXT($A638,"yyyy-mm"))</f>
        <v/>
      </c>
    </row>
    <row r="639">
      <c r="A639" s="66" t="n"/>
      <c r="B639" s="4" t="n"/>
      <c r="C639" s="11">
        <f>IFERROR(VLOOKUP($B639,Members!$A:$C,2,FALSE),"")</f>
        <v/>
      </c>
      <c r="D639" s="11">
        <f>IFERROR(VLOOKUP($B639,Members!$A:$C,3,FALSE),"")</f>
        <v/>
      </c>
      <c r="E639" s="11">
        <f>IF($F639="","",IFERROR(VLOOKUP($F639,ActionMap!$A:$B,2,FALSE),"INVALID ACTION"))</f>
        <v/>
      </c>
      <c r="F639" s="4" t="n"/>
      <c r="G639" s="11">
        <f>IFERROR(VLOOKUP($E639,ActionsCatalog!$A:$B,2,FALSE),"")</f>
        <v/>
      </c>
      <c r="H639" s="4" t="n"/>
      <c r="I639" s="4">
        <f>IFERROR(VLOOKUP($E639,ActionsCatalog!$A:$D,3,FALSE),0)</f>
        <v/>
      </c>
      <c r="J639" s="4">
        <f>IFERROR(VLOOKUP($E639,ActionsCatalog!$A:$D,4,FALSE),0)</f>
        <v/>
      </c>
      <c r="K639" s="4">
        <f>IF($M639&lt;&gt;"Yes",0,IF($H639="",0,$H639*$I639))</f>
        <v/>
      </c>
      <c r="L639" s="4">
        <f>IF($M639&lt;&gt;"Yes",0,IF($H639="",0,$H639*$J639))</f>
        <v/>
      </c>
      <c r="M639" s="4" t="n"/>
      <c r="N639" s="4" t="n"/>
      <c r="O639" s="4">
        <f>IF($A639="","",TEXT($A639,"yyyy")&amp;"-W"&amp;TEXT(ISOWEEKNUM($A639),"00"))</f>
        <v/>
      </c>
      <c r="P639" s="4" t="n"/>
      <c r="Q639" s="14">
        <f>IF($A639="","",TEXT($A639,"yyyy-mm"))</f>
        <v/>
      </c>
    </row>
    <row r="640">
      <c r="A640" s="66" t="n"/>
      <c r="B640" s="4" t="n"/>
      <c r="C640" s="11">
        <f>IFERROR(VLOOKUP($B640,Members!$A:$C,2,FALSE),"")</f>
        <v/>
      </c>
      <c r="D640" s="11">
        <f>IFERROR(VLOOKUP($B640,Members!$A:$C,3,FALSE),"")</f>
        <v/>
      </c>
      <c r="E640" s="11">
        <f>IF($F640="","",IFERROR(VLOOKUP($F640,ActionMap!$A:$B,2,FALSE),"INVALID ACTION"))</f>
        <v/>
      </c>
      <c r="F640" s="4" t="n"/>
      <c r="G640" s="11">
        <f>IFERROR(VLOOKUP($E640,ActionsCatalog!$A:$B,2,FALSE),"")</f>
        <v/>
      </c>
      <c r="H640" s="4" t="n"/>
      <c r="I640" s="4">
        <f>IFERROR(VLOOKUP($E640,ActionsCatalog!$A:$D,3,FALSE),0)</f>
        <v/>
      </c>
      <c r="J640" s="4">
        <f>IFERROR(VLOOKUP($E640,ActionsCatalog!$A:$D,4,FALSE),0)</f>
        <v/>
      </c>
      <c r="K640" s="4">
        <f>IF($M640&lt;&gt;"Yes",0,IF($H640="",0,$H640*$I640))</f>
        <v/>
      </c>
      <c r="L640" s="4">
        <f>IF($M640&lt;&gt;"Yes",0,IF($H640="",0,$H640*$J640))</f>
        <v/>
      </c>
      <c r="M640" s="4" t="n"/>
      <c r="N640" s="4" t="n"/>
      <c r="O640" s="4">
        <f>IF($A640="","",TEXT($A640,"yyyy")&amp;"-W"&amp;TEXT(ISOWEEKNUM($A640),"00"))</f>
        <v/>
      </c>
      <c r="P640" s="4" t="n"/>
      <c r="Q640" s="14">
        <f>IF($A640="","",TEXT($A640,"yyyy-mm"))</f>
        <v/>
      </c>
    </row>
    <row r="641">
      <c r="A641" s="66" t="n"/>
      <c r="B641" s="4" t="n"/>
      <c r="C641" s="11">
        <f>IFERROR(VLOOKUP($B641,Members!$A:$C,2,FALSE),"")</f>
        <v/>
      </c>
      <c r="D641" s="11">
        <f>IFERROR(VLOOKUP($B641,Members!$A:$C,3,FALSE),"")</f>
        <v/>
      </c>
      <c r="E641" s="11">
        <f>IF($F641="","",IFERROR(VLOOKUP($F641,ActionMap!$A:$B,2,FALSE),"INVALID ACTION"))</f>
        <v/>
      </c>
      <c r="F641" s="4" t="n"/>
      <c r="G641" s="11">
        <f>IFERROR(VLOOKUP($E641,ActionsCatalog!$A:$B,2,FALSE),"")</f>
        <v/>
      </c>
      <c r="H641" s="4" t="n"/>
      <c r="I641" s="4">
        <f>IFERROR(VLOOKUP($E641,ActionsCatalog!$A:$D,3,FALSE),0)</f>
        <v/>
      </c>
      <c r="J641" s="4">
        <f>IFERROR(VLOOKUP($E641,ActionsCatalog!$A:$D,4,FALSE),0)</f>
        <v/>
      </c>
      <c r="K641" s="4">
        <f>IF($M641&lt;&gt;"Yes",0,IF($H641="",0,$H641*$I641))</f>
        <v/>
      </c>
      <c r="L641" s="4">
        <f>IF($M641&lt;&gt;"Yes",0,IF($H641="",0,$H641*$J641))</f>
        <v/>
      </c>
      <c r="M641" s="4" t="n"/>
      <c r="N641" s="4" t="n"/>
      <c r="O641" s="4">
        <f>IF($A641="","",TEXT($A641,"yyyy")&amp;"-W"&amp;TEXT(ISOWEEKNUM($A641),"00"))</f>
        <v/>
      </c>
      <c r="P641" s="4" t="n"/>
      <c r="Q641" s="14">
        <f>IF($A641="","",TEXT($A641,"yyyy-mm"))</f>
        <v/>
      </c>
    </row>
    <row r="642">
      <c r="A642" s="66" t="n"/>
      <c r="B642" s="4" t="n"/>
      <c r="C642" s="11">
        <f>IFERROR(VLOOKUP($B642,Members!$A:$C,2,FALSE),"")</f>
        <v/>
      </c>
      <c r="D642" s="11">
        <f>IFERROR(VLOOKUP($B642,Members!$A:$C,3,FALSE),"")</f>
        <v/>
      </c>
      <c r="E642" s="11">
        <f>IF($F642="","",IFERROR(VLOOKUP($F642,ActionMap!$A:$B,2,FALSE),"INVALID ACTION"))</f>
        <v/>
      </c>
      <c r="F642" s="4" t="n"/>
      <c r="G642" s="11">
        <f>IFERROR(VLOOKUP($E642,ActionsCatalog!$A:$B,2,FALSE),"")</f>
        <v/>
      </c>
      <c r="H642" s="4" t="n"/>
      <c r="I642" s="4">
        <f>IFERROR(VLOOKUP($E642,ActionsCatalog!$A:$D,3,FALSE),0)</f>
        <v/>
      </c>
      <c r="J642" s="4">
        <f>IFERROR(VLOOKUP($E642,ActionsCatalog!$A:$D,4,FALSE),0)</f>
        <v/>
      </c>
      <c r="K642" s="4">
        <f>IF($M642&lt;&gt;"Yes",0,IF($H642="",0,$H642*$I642))</f>
        <v/>
      </c>
      <c r="L642" s="4">
        <f>IF($M642&lt;&gt;"Yes",0,IF($H642="",0,$H642*$J642))</f>
        <v/>
      </c>
      <c r="M642" s="4" t="n"/>
      <c r="N642" s="4" t="n"/>
      <c r="O642" s="4">
        <f>IF($A642="","",TEXT($A642,"yyyy")&amp;"-W"&amp;TEXT(ISOWEEKNUM($A642),"00"))</f>
        <v/>
      </c>
      <c r="P642" s="4" t="n"/>
      <c r="Q642" s="14">
        <f>IF($A642="","",TEXT($A642,"yyyy-mm"))</f>
        <v/>
      </c>
    </row>
    <row r="643">
      <c r="A643" s="66" t="n"/>
      <c r="B643" s="4" t="n"/>
      <c r="C643" s="11">
        <f>IFERROR(VLOOKUP($B643,Members!$A:$C,2,FALSE),"")</f>
        <v/>
      </c>
      <c r="D643" s="11">
        <f>IFERROR(VLOOKUP($B643,Members!$A:$C,3,FALSE),"")</f>
        <v/>
      </c>
      <c r="E643" s="11">
        <f>IF($F643="","",IFERROR(VLOOKUP($F643,ActionMap!$A:$B,2,FALSE),"INVALID ACTION"))</f>
        <v/>
      </c>
      <c r="F643" s="4" t="n"/>
      <c r="G643" s="11">
        <f>IFERROR(VLOOKUP($E643,ActionsCatalog!$A:$B,2,FALSE),"")</f>
        <v/>
      </c>
      <c r="H643" s="4" t="n"/>
      <c r="I643" s="4">
        <f>IFERROR(VLOOKUP($E643,ActionsCatalog!$A:$D,3,FALSE),0)</f>
        <v/>
      </c>
      <c r="J643" s="4">
        <f>IFERROR(VLOOKUP($E643,ActionsCatalog!$A:$D,4,FALSE),0)</f>
        <v/>
      </c>
      <c r="K643" s="4">
        <f>IF($M643&lt;&gt;"Yes",0,IF($H643="",0,$H643*$I643))</f>
        <v/>
      </c>
      <c r="L643" s="4">
        <f>IF($M643&lt;&gt;"Yes",0,IF($H643="",0,$H643*$J643))</f>
        <v/>
      </c>
      <c r="M643" s="4" t="n"/>
      <c r="N643" s="4" t="n"/>
      <c r="O643" s="4">
        <f>IF($A643="","",TEXT($A643,"yyyy")&amp;"-W"&amp;TEXT(ISOWEEKNUM($A643),"00"))</f>
        <v/>
      </c>
      <c r="P643" s="4" t="n"/>
      <c r="Q643" s="14">
        <f>IF($A643="","",TEXT($A643,"yyyy-mm"))</f>
        <v/>
      </c>
    </row>
    <row r="644">
      <c r="A644" s="66" t="n"/>
      <c r="B644" s="4" t="n"/>
      <c r="C644" s="11">
        <f>IFERROR(VLOOKUP($B644,Members!$A:$C,2,FALSE),"")</f>
        <v/>
      </c>
      <c r="D644" s="11">
        <f>IFERROR(VLOOKUP($B644,Members!$A:$C,3,FALSE),"")</f>
        <v/>
      </c>
      <c r="E644" s="11">
        <f>IF($F644="","",IFERROR(VLOOKUP($F644,ActionMap!$A:$B,2,FALSE),"INVALID ACTION"))</f>
        <v/>
      </c>
      <c r="F644" s="4" t="n"/>
      <c r="G644" s="11">
        <f>IFERROR(VLOOKUP($E644,ActionsCatalog!$A:$B,2,FALSE),"")</f>
        <v/>
      </c>
      <c r="H644" s="4" t="n"/>
      <c r="I644" s="4">
        <f>IFERROR(VLOOKUP($E644,ActionsCatalog!$A:$D,3,FALSE),0)</f>
        <v/>
      </c>
      <c r="J644" s="4">
        <f>IFERROR(VLOOKUP($E644,ActionsCatalog!$A:$D,4,FALSE),0)</f>
        <v/>
      </c>
      <c r="K644" s="4">
        <f>IF($M644&lt;&gt;"Yes",0,IF($H644="",0,$H644*$I644))</f>
        <v/>
      </c>
      <c r="L644" s="4">
        <f>IF($M644&lt;&gt;"Yes",0,IF($H644="",0,$H644*$J644))</f>
        <v/>
      </c>
      <c r="M644" s="4" t="n"/>
      <c r="N644" s="4" t="n"/>
      <c r="O644" s="4">
        <f>IF($A644="","",TEXT($A644,"yyyy")&amp;"-W"&amp;TEXT(ISOWEEKNUM($A644),"00"))</f>
        <v/>
      </c>
      <c r="P644" s="4" t="n"/>
      <c r="Q644" s="14">
        <f>IF($A644="","",TEXT($A644,"yyyy-mm"))</f>
        <v/>
      </c>
    </row>
    <row r="645">
      <c r="A645" s="66" t="n"/>
      <c r="B645" s="4" t="n"/>
      <c r="C645" s="11">
        <f>IFERROR(VLOOKUP($B645,Members!$A:$C,2,FALSE),"")</f>
        <v/>
      </c>
      <c r="D645" s="11">
        <f>IFERROR(VLOOKUP($B645,Members!$A:$C,3,FALSE),"")</f>
        <v/>
      </c>
      <c r="E645" s="11">
        <f>IF($F645="","",IFERROR(VLOOKUP($F645,ActionMap!$A:$B,2,FALSE),"INVALID ACTION"))</f>
        <v/>
      </c>
      <c r="F645" s="4" t="n"/>
      <c r="G645" s="11">
        <f>IFERROR(VLOOKUP($E645,ActionsCatalog!$A:$B,2,FALSE),"")</f>
        <v/>
      </c>
      <c r="H645" s="4" t="n"/>
      <c r="I645" s="4">
        <f>IFERROR(VLOOKUP($E645,ActionsCatalog!$A:$D,3,FALSE),0)</f>
        <v/>
      </c>
      <c r="J645" s="4">
        <f>IFERROR(VLOOKUP($E645,ActionsCatalog!$A:$D,4,FALSE),0)</f>
        <v/>
      </c>
      <c r="K645" s="4">
        <f>IF($M645&lt;&gt;"Yes",0,IF($H645="",0,$H645*$I645))</f>
        <v/>
      </c>
      <c r="L645" s="4">
        <f>IF($M645&lt;&gt;"Yes",0,IF($H645="",0,$H645*$J645))</f>
        <v/>
      </c>
      <c r="M645" s="4" t="n"/>
      <c r="N645" s="4" t="n"/>
      <c r="O645" s="4">
        <f>IF($A645="","",TEXT($A645,"yyyy")&amp;"-W"&amp;TEXT(ISOWEEKNUM($A645),"00"))</f>
        <v/>
      </c>
      <c r="P645" s="4" t="n"/>
      <c r="Q645" s="14">
        <f>IF($A645="","",TEXT($A645,"yyyy-mm"))</f>
        <v/>
      </c>
    </row>
    <row r="646">
      <c r="A646" s="66" t="n"/>
      <c r="B646" s="4" t="n"/>
      <c r="C646" s="11">
        <f>IFERROR(VLOOKUP($B646,Members!$A:$C,2,FALSE),"")</f>
        <v/>
      </c>
      <c r="D646" s="11">
        <f>IFERROR(VLOOKUP($B646,Members!$A:$C,3,FALSE),"")</f>
        <v/>
      </c>
      <c r="E646" s="11">
        <f>IF($F646="","",IFERROR(VLOOKUP($F646,ActionMap!$A:$B,2,FALSE),"INVALID ACTION"))</f>
        <v/>
      </c>
      <c r="F646" s="4" t="n"/>
      <c r="G646" s="11">
        <f>IFERROR(VLOOKUP($E646,ActionsCatalog!$A:$B,2,FALSE),"")</f>
        <v/>
      </c>
      <c r="H646" s="4" t="n"/>
      <c r="I646" s="4">
        <f>IFERROR(VLOOKUP($E646,ActionsCatalog!$A:$D,3,FALSE),0)</f>
        <v/>
      </c>
      <c r="J646" s="4">
        <f>IFERROR(VLOOKUP($E646,ActionsCatalog!$A:$D,4,FALSE),0)</f>
        <v/>
      </c>
      <c r="K646" s="4">
        <f>IF($M646&lt;&gt;"Yes",0,IF($H646="",0,$H646*$I646))</f>
        <v/>
      </c>
      <c r="L646" s="4">
        <f>IF($M646&lt;&gt;"Yes",0,IF($H646="",0,$H646*$J646))</f>
        <v/>
      </c>
      <c r="M646" s="4" t="n"/>
      <c r="N646" s="4" t="n"/>
      <c r="O646" s="4">
        <f>IF($A646="","",TEXT($A646,"yyyy")&amp;"-W"&amp;TEXT(ISOWEEKNUM($A646),"00"))</f>
        <v/>
      </c>
      <c r="P646" s="4" t="n"/>
      <c r="Q646" s="14">
        <f>IF($A646="","",TEXT($A646,"yyyy-mm"))</f>
        <v/>
      </c>
    </row>
    <row r="647">
      <c r="A647" s="66" t="n"/>
      <c r="B647" s="4" t="n"/>
      <c r="C647" s="11">
        <f>IFERROR(VLOOKUP($B647,Members!$A:$C,2,FALSE),"")</f>
        <v/>
      </c>
      <c r="D647" s="11">
        <f>IFERROR(VLOOKUP($B647,Members!$A:$C,3,FALSE),"")</f>
        <v/>
      </c>
      <c r="E647" s="11">
        <f>IF($F647="","",IFERROR(VLOOKUP($F647,ActionMap!$A:$B,2,FALSE),"INVALID ACTION"))</f>
        <v/>
      </c>
      <c r="F647" s="4" t="n"/>
      <c r="G647" s="11">
        <f>IFERROR(VLOOKUP($E647,ActionsCatalog!$A:$B,2,FALSE),"")</f>
        <v/>
      </c>
      <c r="H647" s="4" t="n"/>
      <c r="I647" s="4">
        <f>IFERROR(VLOOKUP($E647,ActionsCatalog!$A:$D,3,FALSE),0)</f>
        <v/>
      </c>
      <c r="J647" s="4">
        <f>IFERROR(VLOOKUP($E647,ActionsCatalog!$A:$D,4,FALSE),0)</f>
        <v/>
      </c>
      <c r="K647" s="4">
        <f>IF($M647&lt;&gt;"Yes",0,IF($H647="",0,$H647*$I647))</f>
        <v/>
      </c>
      <c r="L647" s="4">
        <f>IF($M647&lt;&gt;"Yes",0,IF($H647="",0,$H647*$J647))</f>
        <v/>
      </c>
      <c r="M647" s="4" t="n"/>
      <c r="N647" s="4" t="n"/>
      <c r="O647" s="4">
        <f>IF($A647="","",TEXT($A647,"yyyy")&amp;"-W"&amp;TEXT(ISOWEEKNUM($A647),"00"))</f>
        <v/>
      </c>
      <c r="P647" s="4" t="n"/>
      <c r="Q647" s="14">
        <f>IF($A647="","",TEXT($A647,"yyyy-mm"))</f>
        <v/>
      </c>
    </row>
    <row r="648">
      <c r="A648" s="66" t="n"/>
      <c r="B648" s="4" t="n"/>
      <c r="C648" s="11">
        <f>IFERROR(VLOOKUP($B648,Members!$A:$C,2,FALSE),"")</f>
        <v/>
      </c>
      <c r="D648" s="11">
        <f>IFERROR(VLOOKUP($B648,Members!$A:$C,3,FALSE),"")</f>
        <v/>
      </c>
      <c r="E648" s="11">
        <f>IF($F648="","",IFERROR(VLOOKUP($F648,ActionMap!$A:$B,2,FALSE),"INVALID ACTION"))</f>
        <v/>
      </c>
      <c r="F648" s="4" t="n"/>
      <c r="G648" s="11">
        <f>IFERROR(VLOOKUP($E648,ActionsCatalog!$A:$B,2,FALSE),"")</f>
        <v/>
      </c>
      <c r="H648" s="4" t="n"/>
      <c r="I648" s="4">
        <f>IFERROR(VLOOKUP($E648,ActionsCatalog!$A:$D,3,FALSE),0)</f>
        <v/>
      </c>
      <c r="J648" s="4">
        <f>IFERROR(VLOOKUP($E648,ActionsCatalog!$A:$D,4,FALSE),0)</f>
        <v/>
      </c>
      <c r="K648" s="4">
        <f>IF($M648&lt;&gt;"Yes",0,IF($H648="",0,$H648*$I648))</f>
        <v/>
      </c>
      <c r="L648" s="4">
        <f>IF($M648&lt;&gt;"Yes",0,IF($H648="",0,$H648*$J648))</f>
        <v/>
      </c>
      <c r="M648" s="4" t="n"/>
      <c r="N648" s="4" t="n"/>
      <c r="O648" s="4">
        <f>IF($A648="","",TEXT($A648,"yyyy")&amp;"-W"&amp;TEXT(ISOWEEKNUM($A648),"00"))</f>
        <v/>
      </c>
      <c r="P648" s="4" t="n"/>
      <c r="Q648" s="14">
        <f>IF($A648="","",TEXT($A648,"yyyy-mm"))</f>
        <v/>
      </c>
    </row>
    <row r="649">
      <c r="A649" s="66" t="n"/>
      <c r="B649" s="4" t="n"/>
      <c r="C649" s="11">
        <f>IFERROR(VLOOKUP($B649,Members!$A:$C,2,FALSE),"")</f>
        <v/>
      </c>
      <c r="D649" s="11">
        <f>IFERROR(VLOOKUP($B649,Members!$A:$C,3,FALSE),"")</f>
        <v/>
      </c>
      <c r="E649" s="11">
        <f>IF($F649="","",IFERROR(VLOOKUP($F649,ActionMap!$A:$B,2,FALSE),"INVALID ACTION"))</f>
        <v/>
      </c>
      <c r="F649" s="4" t="n"/>
      <c r="G649" s="11">
        <f>IFERROR(VLOOKUP($E649,ActionsCatalog!$A:$B,2,FALSE),"")</f>
        <v/>
      </c>
      <c r="H649" s="4" t="n"/>
      <c r="I649" s="4">
        <f>IFERROR(VLOOKUP($E649,ActionsCatalog!$A:$D,3,FALSE),0)</f>
        <v/>
      </c>
      <c r="J649" s="4">
        <f>IFERROR(VLOOKUP($E649,ActionsCatalog!$A:$D,4,FALSE),0)</f>
        <v/>
      </c>
      <c r="K649" s="4">
        <f>IF($M649&lt;&gt;"Yes",0,IF($H649="",0,$H649*$I649))</f>
        <v/>
      </c>
      <c r="L649" s="4">
        <f>IF($M649&lt;&gt;"Yes",0,IF($H649="",0,$H649*$J649))</f>
        <v/>
      </c>
      <c r="M649" s="4" t="n"/>
      <c r="N649" s="4" t="n"/>
      <c r="O649" s="4">
        <f>IF($A649="","",TEXT($A649,"yyyy")&amp;"-W"&amp;TEXT(ISOWEEKNUM($A649),"00"))</f>
        <v/>
      </c>
      <c r="P649" s="4" t="n"/>
      <c r="Q649" s="14">
        <f>IF($A649="","",TEXT($A649,"yyyy-mm"))</f>
        <v/>
      </c>
    </row>
    <row r="650">
      <c r="A650" s="66" t="n"/>
      <c r="B650" s="4" t="n"/>
      <c r="C650" s="11">
        <f>IFERROR(VLOOKUP($B650,Members!$A:$C,2,FALSE),"")</f>
        <v/>
      </c>
      <c r="D650" s="11">
        <f>IFERROR(VLOOKUP($B650,Members!$A:$C,3,FALSE),"")</f>
        <v/>
      </c>
      <c r="E650" s="11">
        <f>IF($F650="","",IFERROR(VLOOKUP($F650,ActionMap!$A:$B,2,FALSE),"INVALID ACTION"))</f>
        <v/>
      </c>
      <c r="F650" s="4" t="n"/>
      <c r="G650" s="11">
        <f>IFERROR(VLOOKUP($E650,ActionsCatalog!$A:$B,2,FALSE),"")</f>
        <v/>
      </c>
      <c r="H650" s="4" t="n"/>
      <c r="I650" s="4">
        <f>IFERROR(VLOOKUP($E650,ActionsCatalog!$A:$D,3,FALSE),0)</f>
        <v/>
      </c>
      <c r="J650" s="4">
        <f>IFERROR(VLOOKUP($E650,ActionsCatalog!$A:$D,4,FALSE),0)</f>
        <v/>
      </c>
      <c r="K650" s="4">
        <f>IF($M650&lt;&gt;"Yes",0,IF($H650="",0,$H650*$I650))</f>
        <v/>
      </c>
      <c r="L650" s="4">
        <f>IF($M650&lt;&gt;"Yes",0,IF($H650="",0,$H650*$J650))</f>
        <v/>
      </c>
      <c r="M650" s="4" t="n"/>
      <c r="N650" s="4" t="n"/>
      <c r="O650" s="4">
        <f>IF($A650="","",TEXT($A650,"yyyy")&amp;"-W"&amp;TEXT(ISOWEEKNUM($A650),"00"))</f>
        <v/>
      </c>
      <c r="P650" s="4" t="n"/>
      <c r="Q650" s="14">
        <f>IF($A650="","",TEXT($A650,"yyyy-mm"))</f>
        <v/>
      </c>
    </row>
    <row r="651">
      <c r="A651" s="66" t="n"/>
      <c r="B651" s="4" t="n"/>
      <c r="C651" s="11">
        <f>IFERROR(VLOOKUP($B651,Members!$A:$C,2,FALSE),"")</f>
        <v/>
      </c>
      <c r="D651" s="11">
        <f>IFERROR(VLOOKUP($B651,Members!$A:$C,3,FALSE),"")</f>
        <v/>
      </c>
      <c r="E651" s="11">
        <f>IF($F651="","",IFERROR(VLOOKUP($F651,ActionMap!$A:$B,2,FALSE),"INVALID ACTION"))</f>
        <v/>
      </c>
      <c r="F651" s="4" t="n"/>
      <c r="G651" s="11">
        <f>IFERROR(VLOOKUP($E651,ActionsCatalog!$A:$B,2,FALSE),"")</f>
        <v/>
      </c>
      <c r="H651" s="4" t="n"/>
      <c r="I651" s="4">
        <f>IFERROR(VLOOKUP($E651,ActionsCatalog!$A:$D,3,FALSE),0)</f>
        <v/>
      </c>
      <c r="J651" s="4">
        <f>IFERROR(VLOOKUP($E651,ActionsCatalog!$A:$D,4,FALSE),0)</f>
        <v/>
      </c>
      <c r="K651" s="4">
        <f>IF($M651&lt;&gt;"Yes",0,IF($H651="",0,$H651*$I651))</f>
        <v/>
      </c>
      <c r="L651" s="4">
        <f>IF($M651&lt;&gt;"Yes",0,IF($H651="",0,$H651*$J651))</f>
        <v/>
      </c>
      <c r="M651" s="4" t="n"/>
      <c r="N651" s="4" t="n"/>
      <c r="O651" s="4">
        <f>IF($A651="","",TEXT($A651,"yyyy")&amp;"-W"&amp;TEXT(ISOWEEKNUM($A651),"00"))</f>
        <v/>
      </c>
      <c r="P651" s="4" t="n"/>
      <c r="Q651" s="14">
        <f>IF($A651="","",TEXT($A651,"yyyy-mm"))</f>
        <v/>
      </c>
    </row>
    <row r="652">
      <c r="A652" s="66" t="n"/>
      <c r="B652" s="4" t="n"/>
      <c r="C652" s="11">
        <f>IFERROR(VLOOKUP($B652,Members!$A:$C,2,FALSE),"")</f>
        <v/>
      </c>
      <c r="D652" s="11">
        <f>IFERROR(VLOOKUP($B652,Members!$A:$C,3,FALSE),"")</f>
        <v/>
      </c>
      <c r="E652" s="11">
        <f>IF($F652="","",IFERROR(VLOOKUP($F652,ActionMap!$A:$B,2,FALSE),"INVALID ACTION"))</f>
        <v/>
      </c>
      <c r="F652" s="4" t="n"/>
      <c r="G652" s="11">
        <f>IFERROR(VLOOKUP($E652,ActionsCatalog!$A:$B,2,FALSE),"")</f>
        <v/>
      </c>
      <c r="H652" s="4" t="n"/>
      <c r="I652" s="4">
        <f>IFERROR(VLOOKUP($E652,ActionsCatalog!$A:$D,3,FALSE),0)</f>
        <v/>
      </c>
      <c r="J652" s="4">
        <f>IFERROR(VLOOKUP($E652,ActionsCatalog!$A:$D,4,FALSE),0)</f>
        <v/>
      </c>
      <c r="K652" s="4">
        <f>IF($M652&lt;&gt;"Yes",0,IF($H652="",0,$H652*$I652))</f>
        <v/>
      </c>
      <c r="L652" s="4">
        <f>IF($M652&lt;&gt;"Yes",0,IF($H652="",0,$H652*$J652))</f>
        <v/>
      </c>
      <c r="M652" s="4" t="n"/>
      <c r="N652" s="4" t="n"/>
      <c r="O652" s="4">
        <f>IF($A652="","",TEXT($A652,"yyyy")&amp;"-W"&amp;TEXT(ISOWEEKNUM($A652),"00"))</f>
        <v/>
      </c>
      <c r="P652" s="4" t="n"/>
      <c r="Q652" s="14">
        <f>IF($A652="","",TEXT($A652,"yyyy-mm"))</f>
        <v/>
      </c>
    </row>
    <row r="653">
      <c r="A653" s="66" t="n"/>
      <c r="B653" s="4" t="n"/>
      <c r="C653" s="11">
        <f>IFERROR(VLOOKUP($B653,Members!$A:$C,2,FALSE),"")</f>
        <v/>
      </c>
      <c r="D653" s="11">
        <f>IFERROR(VLOOKUP($B653,Members!$A:$C,3,FALSE),"")</f>
        <v/>
      </c>
      <c r="E653" s="11">
        <f>IF($F653="","",IFERROR(VLOOKUP($F653,ActionMap!$A:$B,2,FALSE),"INVALID ACTION"))</f>
        <v/>
      </c>
      <c r="F653" s="4" t="n"/>
      <c r="G653" s="11">
        <f>IFERROR(VLOOKUP($E653,ActionsCatalog!$A:$B,2,FALSE),"")</f>
        <v/>
      </c>
      <c r="H653" s="4" t="n"/>
      <c r="I653" s="4">
        <f>IFERROR(VLOOKUP($E653,ActionsCatalog!$A:$D,3,FALSE),0)</f>
        <v/>
      </c>
      <c r="J653" s="4">
        <f>IFERROR(VLOOKUP($E653,ActionsCatalog!$A:$D,4,FALSE),0)</f>
        <v/>
      </c>
      <c r="K653" s="4">
        <f>IF($M653&lt;&gt;"Yes",0,IF($H653="",0,$H653*$I653))</f>
        <v/>
      </c>
      <c r="L653" s="4">
        <f>IF($M653&lt;&gt;"Yes",0,IF($H653="",0,$H653*$J653))</f>
        <v/>
      </c>
      <c r="M653" s="4" t="n"/>
      <c r="N653" s="4" t="n"/>
      <c r="O653" s="4">
        <f>IF($A653="","",TEXT($A653,"yyyy")&amp;"-W"&amp;TEXT(ISOWEEKNUM($A653),"00"))</f>
        <v/>
      </c>
      <c r="P653" s="4" t="n"/>
      <c r="Q653" s="14">
        <f>IF($A653="","",TEXT($A653,"yyyy-mm"))</f>
        <v/>
      </c>
    </row>
    <row r="654">
      <c r="A654" s="66" t="n"/>
      <c r="B654" s="4" t="n"/>
      <c r="C654" s="11">
        <f>IFERROR(VLOOKUP($B654,Members!$A:$C,2,FALSE),"")</f>
        <v/>
      </c>
      <c r="D654" s="11">
        <f>IFERROR(VLOOKUP($B654,Members!$A:$C,3,FALSE),"")</f>
        <v/>
      </c>
      <c r="E654" s="11">
        <f>IF($F654="","",IFERROR(VLOOKUP($F654,ActionMap!$A:$B,2,FALSE),"INVALID ACTION"))</f>
        <v/>
      </c>
      <c r="F654" s="4" t="n"/>
      <c r="G654" s="11">
        <f>IFERROR(VLOOKUP($E654,ActionsCatalog!$A:$B,2,FALSE),"")</f>
        <v/>
      </c>
      <c r="H654" s="4" t="n"/>
      <c r="I654" s="4">
        <f>IFERROR(VLOOKUP($E654,ActionsCatalog!$A:$D,3,FALSE),0)</f>
        <v/>
      </c>
      <c r="J654" s="4">
        <f>IFERROR(VLOOKUP($E654,ActionsCatalog!$A:$D,4,FALSE),0)</f>
        <v/>
      </c>
      <c r="K654" s="4">
        <f>IF($M654&lt;&gt;"Yes",0,IF($H654="",0,$H654*$I654))</f>
        <v/>
      </c>
      <c r="L654" s="4">
        <f>IF($M654&lt;&gt;"Yes",0,IF($H654="",0,$H654*$J654))</f>
        <v/>
      </c>
      <c r="M654" s="4" t="n"/>
      <c r="N654" s="4" t="n"/>
      <c r="O654" s="4">
        <f>IF($A654="","",TEXT($A654,"yyyy")&amp;"-W"&amp;TEXT(ISOWEEKNUM($A654),"00"))</f>
        <v/>
      </c>
      <c r="P654" s="4" t="n"/>
      <c r="Q654" s="14">
        <f>IF($A654="","",TEXT($A654,"yyyy-mm"))</f>
        <v/>
      </c>
    </row>
    <row r="655">
      <c r="A655" s="66" t="n"/>
      <c r="B655" s="4" t="n"/>
      <c r="C655" s="11">
        <f>IFERROR(VLOOKUP($B655,Members!$A:$C,2,FALSE),"")</f>
        <v/>
      </c>
      <c r="D655" s="11">
        <f>IFERROR(VLOOKUP($B655,Members!$A:$C,3,FALSE),"")</f>
        <v/>
      </c>
      <c r="E655" s="11">
        <f>IF($F655="","",IFERROR(VLOOKUP($F655,ActionMap!$A:$B,2,FALSE),"INVALID ACTION"))</f>
        <v/>
      </c>
      <c r="F655" s="4" t="n"/>
      <c r="G655" s="11">
        <f>IFERROR(VLOOKUP($E655,ActionsCatalog!$A:$B,2,FALSE),"")</f>
        <v/>
      </c>
      <c r="H655" s="4" t="n"/>
      <c r="I655" s="4">
        <f>IFERROR(VLOOKUP($E655,ActionsCatalog!$A:$D,3,FALSE),0)</f>
        <v/>
      </c>
      <c r="J655" s="4">
        <f>IFERROR(VLOOKUP($E655,ActionsCatalog!$A:$D,4,FALSE),0)</f>
        <v/>
      </c>
      <c r="K655" s="4">
        <f>IF($M655&lt;&gt;"Yes",0,IF($H655="",0,$H655*$I655))</f>
        <v/>
      </c>
      <c r="L655" s="4">
        <f>IF($M655&lt;&gt;"Yes",0,IF($H655="",0,$H655*$J655))</f>
        <v/>
      </c>
      <c r="M655" s="4" t="n"/>
      <c r="N655" s="4" t="n"/>
      <c r="O655" s="4">
        <f>IF($A655="","",TEXT($A655,"yyyy")&amp;"-W"&amp;TEXT(ISOWEEKNUM($A655),"00"))</f>
        <v/>
      </c>
      <c r="P655" s="4" t="n"/>
      <c r="Q655" s="14">
        <f>IF($A655="","",TEXT($A655,"yyyy-mm"))</f>
        <v/>
      </c>
    </row>
    <row r="656">
      <c r="A656" s="66" t="n"/>
      <c r="B656" s="4" t="n"/>
      <c r="C656" s="11">
        <f>IFERROR(VLOOKUP($B656,Members!$A:$C,2,FALSE),"")</f>
        <v/>
      </c>
      <c r="D656" s="11">
        <f>IFERROR(VLOOKUP($B656,Members!$A:$C,3,FALSE),"")</f>
        <v/>
      </c>
      <c r="E656" s="11">
        <f>IF($F656="","",IFERROR(VLOOKUP($F656,ActionMap!$A:$B,2,FALSE),"INVALID ACTION"))</f>
        <v/>
      </c>
      <c r="F656" s="4" t="n"/>
      <c r="G656" s="11">
        <f>IFERROR(VLOOKUP($E656,ActionsCatalog!$A:$B,2,FALSE),"")</f>
        <v/>
      </c>
      <c r="H656" s="4" t="n"/>
      <c r="I656" s="4">
        <f>IFERROR(VLOOKUP($E656,ActionsCatalog!$A:$D,3,FALSE),0)</f>
        <v/>
      </c>
      <c r="J656" s="4">
        <f>IFERROR(VLOOKUP($E656,ActionsCatalog!$A:$D,4,FALSE),0)</f>
        <v/>
      </c>
      <c r="K656" s="4">
        <f>IF($M656&lt;&gt;"Yes",0,IF($H656="",0,$H656*$I656))</f>
        <v/>
      </c>
      <c r="L656" s="4">
        <f>IF($M656&lt;&gt;"Yes",0,IF($H656="",0,$H656*$J656))</f>
        <v/>
      </c>
      <c r="M656" s="4" t="n"/>
      <c r="N656" s="4" t="n"/>
      <c r="O656" s="4">
        <f>IF($A656="","",TEXT($A656,"yyyy")&amp;"-W"&amp;TEXT(ISOWEEKNUM($A656),"00"))</f>
        <v/>
      </c>
      <c r="P656" s="4" t="n"/>
      <c r="Q656" s="14">
        <f>IF($A656="","",TEXT($A656,"yyyy-mm"))</f>
        <v/>
      </c>
    </row>
    <row r="657">
      <c r="A657" s="66" t="n"/>
      <c r="B657" s="4" t="n"/>
      <c r="C657" s="11">
        <f>IFERROR(VLOOKUP($B657,Members!$A:$C,2,FALSE),"")</f>
        <v/>
      </c>
      <c r="D657" s="11">
        <f>IFERROR(VLOOKUP($B657,Members!$A:$C,3,FALSE),"")</f>
        <v/>
      </c>
      <c r="E657" s="11">
        <f>IF($F657="","",IFERROR(VLOOKUP($F657,ActionMap!$A:$B,2,FALSE),"INVALID ACTION"))</f>
        <v/>
      </c>
      <c r="F657" s="4" t="n"/>
      <c r="G657" s="11">
        <f>IFERROR(VLOOKUP($E657,ActionsCatalog!$A:$B,2,FALSE),"")</f>
        <v/>
      </c>
      <c r="H657" s="4" t="n"/>
      <c r="I657" s="4">
        <f>IFERROR(VLOOKUP($E657,ActionsCatalog!$A:$D,3,FALSE),0)</f>
        <v/>
      </c>
      <c r="J657" s="4">
        <f>IFERROR(VLOOKUP($E657,ActionsCatalog!$A:$D,4,FALSE),0)</f>
        <v/>
      </c>
      <c r="K657" s="4">
        <f>IF($M657&lt;&gt;"Yes",0,IF($H657="",0,$H657*$I657))</f>
        <v/>
      </c>
      <c r="L657" s="4">
        <f>IF($M657&lt;&gt;"Yes",0,IF($H657="",0,$H657*$J657))</f>
        <v/>
      </c>
      <c r="M657" s="4" t="n"/>
      <c r="N657" s="4" t="n"/>
      <c r="O657" s="4">
        <f>IF($A657="","",TEXT($A657,"yyyy")&amp;"-W"&amp;TEXT(ISOWEEKNUM($A657),"00"))</f>
        <v/>
      </c>
      <c r="P657" s="4" t="n"/>
      <c r="Q657" s="14">
        <f>IF($A657="","",TEXT($A657,"yyyy-mm"))</f>
        <v/>
      </c>
    </row>
    <row r="658">
      <c r="A658" s="66" t="n"/>
      <c r="B658" s="4" t="n"/>
      <c r="C658" s="11">
        <f>IFERROR(VLOOKUP($B658,Members!$A:$C,2,FALSE),"")</f>
        <v/>
      </c>
      <c r="D658" s="11">
        <f>IFERROR(VLOOKUP($B658,Members!$A:$C,3,FALSE),"")</f>
        <v/>
      </c>
      <c r="E658" s="11">
        <f>IF($F658="","",IFERROR(VLOOKUP($F658,ActionMap!$A:$B,2,FALSE),"INVALID ACTION"))</f>
        <v/>
      </c>
      <c r="F658" s="4" t="n"/>
      <c r="G658" s="11">
        <f>IFERROR(VLOOKUP($E658,ActionsCatalog!$A:$B,2,FALSE),"")</f>
        <v/>
      </c>
      <c r="H658" s="4" t="n"/>
      <c r="I658" s="4">
        <f>IFERROR(VLOOKUP($E658,ActionsCatalog!$A:$D,3,FALSE),0)</f>
        <v/>
      </c>
      <c r="J658" s="4">
        <f>IFERROR(VLOOKUP($E658,ActionsCatalog!$A:$D,4,FALSE),0)</f>
        <v/>
      </c>
      <c r="K658" s="4">
        <f>IF($M658&lt;&gt;"Yes",0,IF($H658="",0,$H658*$I658))</f>
        <v/>
      </c>
      <c r="L658" s="4">
        <f>IF($M658&lt;&gt;"Yes",0,IF($H658="",0,$H658*$J658))</f>
        <v/>
      </c>
      <c r="M658" s="4" t="n"/>
      <c r="N658" s="4" t="n"/>
      <c r="O658" s="4">
        <f>IF($A658="","",TEXT($A658,"yyyy")&amp;"-W"&amp;TEXT(ISOWEEKNUM($A658),"00"))</f>
        <v/>
      </c>
      <c r="P658" s="4" t="n"/>
      <c r="Q658" s="14">
        <f>IF($A658="","",TEXT($A658,"yyyy-mm"))</f>
        <v/>
      </c>
    </row>
    <row r="659">
      <c r="A659" s="66" t="n"/>
      <c r="B659" s="4" t="n"/>
      <c r="C659" s="11">
        <f>IFERROR(VLOOKUP($B659,Members!$A:$C,2,FALSE),"")</f>
        <v/>
      </c>
      <c r="D659" s="11">
        <f>IFERROR(VLOOKUP($B659,Members!$A:$C,3,FALSE),"")</f>
        <v/>
      </c>
      <c r="E659" s="11">
        <f>IF($F659="","",IFERROR(VLOOKUP($F659,ActionMap!$A:$B,2,FALSE),"INVALID ACTION"))</f>
        <v/>
      </c>
      <c r="F659" s="4" t="n"/>
      <c r="G659" s="11">
        <f>IFERROR(VLOOKUP($E659,ActionsCatalog!$A:$B,2,FALSE),"")</f>
        <v/>
      </c>
      <c r="H659" s="4" t="n"/>
      <c r="I659" s="4">
        <f>IFERROR(VLOOKUP($E659,ActionsCatalog!$A:$D,3,FALSE),0)</f>
        <v/>
      </c>
      <c r="J659" s="4">
        <f>IFERROR(VLOOKUP($E659,ActionsCatalog!$A:$D,4,FALSE),0)</f>
        <v/>
      </c>
      <c r="K659" s="4">
        <f>IF($M659&lt;&gt;"Yes",0,IF($H659="",0,$H659*$I659))</f>
        <v/>
      </c>
      <c r="L659" s="4">
        <f>IF($M659&lt;&gt;"Yes",0,IF($H659="",0,$H659*$J659))</f>
        <v/>
      </c>
      <c r="M659" s="4" t="n"/>
      <c r="N659" s="4" t="n"/>
      <c r="O659" s="4">
        <f>IF($A659="","",TEXT($A659,"yyyy")&amp;"-W"&amp;TEXT(ISOWEEKNUM($A659),"00"))</f>
        <v/>
      </c>
      <c r="P659" s="4" t="n"/>
      <c r="Q659" s="14">
        <f>IF($A659="","",TEXT($A659,"yyyy-mm"))</f>
        <v/>
      </c>
    </row>
    <row r="660">
      <c r="A660" s="66" t="n"/>
      <c r="B660" s="4" t="n"/>
      <c r="C660" s="11">
        <f>IFERROR(VLOOKUP($B660,Members!$A:$C,2,FALSE),"")</f>
        <v/>
      </c>
      <c r="D660" s="11">
        <f>IFERROR(VLOOKUP($B660,Members!$A:$C,3,FALSE),"")</f>
        <v/>
      </c>
      <c r="E660" s="11">
        <f>IF($F660="","",IFERROR(VLOOKUP($F660,ActionMap!$A:$B,2,FALSE),"INVALID ACTION"))</f>
        <v/>
      </c>
      <c r="F660" s="4" t="n"/>
      <c r="G660" s="11">
        <f>IFERROR(VLOOKUP($E660,ActionsCatalog!$A:$B,2,FALSE),"")</f>
        <v/>
      </c>
      <c r="H660" s="4" t="n"/>
      <c r="I660" s="4">
        <f>IFERROR(VLOOKUP($E660,ActionsCatalog!$A:$D,3,FALSE),0)</f>
        <v/>
      </c>
      <c r="J660" s="4">
        <f>IFERROR(VLOOKUP($E660,ActionsCatalog!$A:$D,4,FALSE),0)</f>
        <v/>
      </c>
      <c r="K660" s="4">
        <f>IF($M660&lt;&gt;"Yes",0,IF($H660="",0,$H660*$I660))</f>
        <v/>
      </c>
      <c r="L660" s="4">
        <f>IF($M660&lt;&gt;"Yes",0,IF($H660="",0,$H660*$J660))</f>
        <v/>
      </c>
      <c r="M660" s="4" t="n"/>
      <c r="N660" s="4" t="n"/>
      <c r="O660" s="4">
        <f>IF($A660="","",TEXT($A660,"yyyy")&amp;"-W"&amp;TEXT(ISOWEEKNUM($A660),"00"))</f>
        <v/>
      </c>
      <c r="P660" s="4" t="n"/>
      <c r="Q660" s="14">
        <f>IF($A660="","",TEXT($A660,"yyyy-mm"))</f>
        <v/>
      </c>
    </row>
    <row r="661">
      <c r="A661" s="66" t="n"/>
      <c r="B661" s="4" t="n"/>
      <c r="C661" s="11">
        <f>IFERROR(VLOOKUP($B661,Members!$A:$C,2,FALSE),"")</f>
        <v/>
      </c>
      <c r="D661" s="11">
        <f>IFERROR(VLOOKUP($B661,Members!$A:$C,3,FALSE),"")</f>
        <v/>
      </c>
      <c r="E661" s="11">
        <f>IF($F661="","",IFERROR(VLOOKUP($F661,ActionMap!$A:$B,2,FALSE),"INVALID ACTION"))</f>
        <v/>
      </c>
      <c r="F661" s="4" t="n"/>
      <c r="G661" s="11">
        <f>IFERROR(VLOOKUP($E661,ActionsCatalog!$A:$B,2,FALSE),"")</f>
        <v/>
      </c>
      <c r="H661" s="4" t="n"/>
      <c r="I661" s="4">
        <f>IFERROR(VLOOKUP($E661,ActionsCatalog!$A:$D,3,FALSE),0)</f>
        <v/>
      </c>
      <c r="J661" s="4">
        <f>IFERROR(VLOOKUP($E661,ActionsCatalog!$A:$D,4,FALSE),0)</f>
        <v/>
      </c>
      <c r="K661" s="4">
        <f>IF($M661&lt;&gt;"Yes",0,IF($H661="",0,$H661*$I661))</f>
        <v/>
      </c>
      <c r="L661" s="4">
        <f>IF($M661&lt;&gt;"Yes",0,IF($H661="",0,$H661*$J661))</f>
        <v/>
      </c>
      <c r="M661" s="4" t="n"/>
      <c r="N661" s="4" t="n"/>
      <c r="O661" s="4">
        <f>IF($A661="","",TEXT($A661,"yyyy")&amp;"-W"&amp;TEXT(ISOWEEKNUM($A661),"00"))</f>
        <v/>
      </c>
      <c r="P661" s="4" t="n"/>
      <c r="Q661" s="14">
        <f>IF($A661="","",TEXT($A661,"yyyy-mm"))</f>
        <v/>
      </c>
    </row>
    <row r="662">
      <c r="A662" s="66" t="n"/>
      <c r="B662" s="4" t="n"/>
      <c r="C662" s="11">
        <f>IFERROR(VLOOKUP($B662,Members!$A:$C,2,FALSE),"")</f>
        <v/>
      </c>
      <c r="D662" s="11">
        <f>IFERROR(VLOOKUP($B662,Members!$A:$C,3,FALSE),"")</f>
        <v/>
      </c>
      <c r="E662" s="11">
        <f>IF($F662="","",IFERROR(VLOOKUP($F662,ActionMap!$A:$B,2,FALSE),"INVALID ACTION"))</f>
        <v/>
      </c>
      <c r="F662" s="4" t="n"/>
      <c r="G662" s="11">
        <f>IFERROR(VLOOKUP($E662,ActionsCatalog!$A:$B,2,FALSE),"")</f>
        <v/>
      </c>
      <c r="H662" s="4" t="n"/>
      <c r="I662" s="4">
        <f>IFERROR(VLOOKUP($E662,ActionsCatalog!$A:$D,3,FALSE),0)</f>
        <v/>
      </c>
      <c r="J662" s="4">
        <f>IFERROR(VLOOKUP($E662,ActionsCatalog!$A:$D,4,FALSE),0)</f>
        <v/>
      </c>
      <c r="K662" s="4">
        <f>IF($M662&lt;&gt;"Yes",0,IF($H662="",0,$H662*$I662))</f>
        <v/>
      </c>
      <c r="L662" s="4">
        <f>IF($M662&lt;&gt;"Yes",0,IF($H662="",0,$H662*$J662))</f>
        <v/>
      </c>
      <c r="M662" s="4" t="n"/>
      <c r="N662" s="4" t="n"/>
      <c r="O662" s="4">
        <f>IF($A662="","",TEXT($A662,"yyyy")&amp;"-W"&amp;TEXT(ISOWEEKNUM($A662),"00"))</f>
        <v/>
      </c>
      <c r="P662" s="4" t="n"/>
      <c r="Q662" s="14">
        <f>IF($A662="","",TEXT($A662,"yyyy-mm"))</f>
        <v/>
      </c>
    </row>
    <row r="663">
      <c r="A663" s="66" t="n"/>
      <c r="B663" s="4" t="n"/>
      <c r="C663" s="11">
        <f>IFERROR(VLOOKUP($B663,Members!$A:$C,2,FALSE),"")</f>
        <v/>
      </c>
      <c r="D663" s="11">
        <f>IFERROR(VLOOKUP($B663,Members!$A:$C,3,FALSE),"")</f>
        <v/>
      </c>
      <c r="E663" s="11">
        <f>IF($F663="","",IFERROR(VLOOKUP($F663,ActionMap!$A:$B,2,FALSE),"INVALID ACTION"))</f>
        <v/>
      </c>
      <c r="F663" s="4" t="n"/>
      <c r="G663" s="11">
        <f>IFERROR(VLOOKUP($E663,ActionsCatalog!$A:$B,2,FALSE),"")</f>
        <v/>
      </c>
      <c r="H663" s="4" t="n"/>
      <c r="I663" s="4">
        <f>IFERROR(VLOOKUP($E663,ActionsCatalog!$A:$D,3,FALSE),0)</f>
        <v/>
      </c>
      <c r="J663" s="4">
        <f>IFERROR(VLOOKUP($E663,ActionsCatalog!$A:$D,4,FALSE),0)</f>
        <v/>
      </c>
      <c r="K663" s="4">
        <f>IF($M663&lt;&gt;"Yes",0,IF($H663="",0,$H663*$I663))</f>
        <v/>
      </c>
      <c r="L663" s="4">
        <f>IF($M663&lt;&gt;"Yes",0,IF($H663="",0,$H663*$J663))</f>
        <v/>
      </c>
      <c r="M663" s="4" t="n"/>
      <c r="N663" s="4" t="n"/>
      <c r="O663" s="4">
        <f>IF($A663="","",TEXT($A663,"yyyy")&amp;"-W"&amp;TEXT(ISOWEEKNUM($A663),"00"))</f>
        <v/>
      </c>
      <c r="P663" s="4" t="n"/>
      <c r="Q663" s="14">
        <f>IF($A663="","",TEXT($A663,"yyyy-mm"))</f>
        <v/>
      </c>
    </row>
    <row r="664">
      <c r="A664" s="66" t="n"/>
      <c r="B664" s="4" t="n"/>
      <c r="C664" s="11">
        <f>IFERROR(VLOOKUP($B664,Members!$A:$C,2,FALSE),"")</f>
        <v/>
      </c>
      <c r="D664" s="11">
        <f>IFERROR(VLOOKUP($B664,Members!$A:$C,3,FALSE),"")</f>
        <v/>
      </c>
      <c r="E664" s="11">
        <f>IF($F664="","",IFERROR(VLOOKUP($F664,ActionMap!$A:$B,2,FALSE),"INVALID ACTION"))</f>
        <v/>
      </c>
      <c r="F664" s="4" t="n"/>
      <c r="G664" s="11">
        <f>IFERROR(VLOOKUP($E664,ActionsCatalog!$A:$B,2,FALSE),"")</f>
        <v/>
      </c>
      <c r="H664" s="4" t="n"/>
      <c r="I664" s="4">
        <f>IFERROR(VLOOKUP($E664,ActionsCatalog!$A:$D,3,FALSE),0)</f>
        <v/>
      </c>
      <c r="J664" s="4">
        <f>IFERROR(VLOOKUP($E664,ActionsCatalog!$A:$D,4,FALSE),0)</f>
        <v/>
      </c>
      <c r="K664" s="4">
        <f>IF($M664&lt;&gt;"Yes",0,IF($H664="",0,$H664*$I664))</f>
        <v/>
      </c>
      <c r="L664" s="4">
        <f>IF($M664&lt;&gt;"Yes",0,IF($H664="",0,$H664*$J664))</f>
        <v/>
      </c>
      <c r="M664" s="4" t="n"/>
      <c r="N664" s="4" t="n"/>
      <c r="O664" s="4">
        <f>IF($A664="","",TEXT($A664,"yyyy")&amp;"-W"&amp;TEXT(ISOWEEKNUM($A664),"00"))</f>
        <v/>
      </c>
      <c r="P664" s="4" t="n"/>
      <c r="Q664" s="14">
        <f>IF($A664="","",TEXT($A664,"yyyy-mm"))</f>
        <v/>
      </c>
    </row>
    <row r="665">
      <c r="A665" s="66" t="n"/>
      <c r="B665" s="4" t="n"/>
      <c r="C665" s="11">
        <f>IFERROR(VLOOKUP($B665,Members!$A:$C,2,FALSE),"")</f>
        <v/>
      </c>
      <c r="D665" s="11">
        <f>IFERROR(VLOOKUP($B665,Members!$A:$C,3,FALSE),"")</f>
        <v/>
      </c>
      <c r="E665" s="11">
        <f>IF($F665="","",IFERROR(VLOOKUP($F665,ActionMap!$A:$B,2,FALSE),"INVALID ACTION"))</f>
        <v/>
      </c>
      <c r="F665" s="4" t="n"/>
      <c r="G665" s="11">
        <f>IFERROR(VLOOKUP($E665,ActionsCatalog!$A:$B,2,FALSE),"")</f>
        <v/>
      </c>
      <c r="H665" s="4" t="n"/>
      <c r="I665" s="4">
        <f>IFERROR(VLOOKUP($E665,ActionsCatalog!$A:$D,3,FALSE),0)</f>
        <v/>
      </c>
      <c r="J665" s="4">
        <f>IFERROR(VLOOKUP($E665,ActionsCatalog!$A:$D,4,FALSE),0)</f>
        <v/>
      </c>
      <c r="K665" s="4">
        <f>IF($M665&lt;&gt;"Yes",0,IF($H665="",0,$H665*$I665))</f>
        <v/>
      </c>
      <c r="L665" s="4">
        <f>IF($M665&lt;&gt;"Yes",0,IF($H665="",0,$H665*$J665))</f>
        <v/>
      </c>
      <c r="M665" s="4" t="n"/>
      <c r="N665" s="4" t="n"/>
      <c r="O665" s="4">
        <f>IF($A665="","",TEXT($A665,"yyyy")&amp;"-W"&amp;TEXT(ISOWEEKNUM($A665),"00"))</f>
        <v/>
      </c>
      <c r="P665" s="4" t="n"/>
      <c r="Q665" s="14">
        <f>IF($A665="","",TEXT($A665,"yyyy-mm"))</f>
        <v/>
      </c>
    </row>
    <row r="666">
      <c r="A666" s="66" t="n"/>
      <c r="B666" s="4" t="n"/>
      <c r="C666" s="11">
        <f>IFERROR(VLOOKUP($B666,Members!$A:$C,2,FALSE),"")</f>
        <v/>
      </c>
      <c r="D666" s="11">
        <f>IFERROR(VLOOKUP($B666,Members!$A:$C,3,FALSE),"")</f>
        <v/>
      </c>
      <c r="E666" s="11">
        <f>IF($F666="","",IFERROR(VLOOKUP($F666,ActionMap!$A:$B,2,FALSE),"INVALID ACTION"))</f>
        <v/>
      </c>
      <c r="F666" s="4" t="n"/>
      <c r="G666" s="11">
        <f>IFERROR(VLOOKUP($E666,ActionsCatalog!$A:$B,2,FALSE),"")</f>
        <v/>
      </c>
      <c r="H666" s="4" t="n"/>
      <c r="I666" s="4">
        <f>IFERROR(VLOOKUP($E666,ActionsCatalog!$A:$D,3,FALSE),0)</f>
        <v/>
      </c>
      <c r="J666" s="4">
        <f>IFERROR(VLOOKUP($E666,ActionsCatalog!$A:$D,4,FALSE),0)</f>
        <v/>
      </c>
      <c r="K666" s="4">
        <f>IF($M666&lt;&gt;"Yes",0,IF($H666="",0,$H666*$I666))</f>
        <v/>
      </c>
      <c r="L666" s="4">
        <f>IF($M666&lt;&gt;"Yes",0,IF($H666="",0,$H666*$J666))</f>
        <v/>
      </c>
      <c r="M666" s="4" t="n"/>
      <c r="N666" s="4" t="n"/>
      <c r="O666" s="4">
        <f>IF($A666="","",TEXT($A666,"yyyy")&amp;"-W"&amp;TEXT(ISOWEEKNUM($A666),"00"))</f>
        <v/>
      </c>
      <c r="P666" s="4" t="n"/>
      <c r="Q666" s="14">
        <f>IF($A666="","",TEXT($A666,"yyyy-mm"))</f>
        <v/>
      </c>
    </row>
    <row r="667">
      <c r="A667" s="66" t="n"/>
      <c r="B667" s="4" t="n"/>
      <c r="C667" s="11">
        <f>IFERROR(VLOOKUP($B667,Members!$A:$C,2,FALSE),"")</f>
        <v/>
      </c>
      <c r="D667" s="11">
        <f>IFERROR(VLOOKUP($B667,Members!$A:$C,3,FALSE),"")</f>
        <v/>
      </c>
      <c r="E667" s="11">
        <f>IF($F667="","",IFERROR(VLOOKUP($F667,ActionMap!$A:$B,2,FALSE),"INVALID ACTION"))</f>
        <v/>
      </c>
      <c r="F667" s="4" t="n"/>
      <c r="G667" s="11">
        <f>IFERROR(VLOOKUP($E667,ActionsCatalog!$A:$B,2,FALSE),"")</f>
        <v/>
      </c>
      <c r="H667" s="4" t="n"/>
      <c r="I667" s="4">
        <f>IFERROR(VLOOKUP($E667,ActionsCatalog!$A:$D,3,FALSE),0)</f>
        <v/>
      </c>
      <c r="J667" s="4">
        <f>IFERROR(VLOOKUP($E667,ActionsCatalog!$A:$D,4,FALSE),0)</f>
        <v/>
      </c>
      <c r="K667" s="4">
        <f>IF($M667&lt;&gt;"Yes",0,IF($H667="",0,$H667*$I667))</f>
        <v/>
      </c>
      <c r="L667" s="4">
        <f>IF($M667&lt;&gt;"Yes",0,IF($H667="",0,$H667*$J667))</f>
        <v/>
      </c>
      <c r="M667" s="4" t="n"/>
      <c r="N667" s="4" t="n"/>
      <c r="O667" s="4">
        <f>IF($A667="","",TEXT($A667,"yyyy")&amp;"-W"&amp;TEXT(ISOWEEKNUM($A667),"00"))</f>
        <v/>
      </c>
      <c r="P667" s="4" t="n"/>
      <c r="Q667" s="14">
        <f>IF($A667="","",TEXT($A667,"yyyy-mm"))</f>
        <v/>
      </c>
    </row>
    <row r="668">
      <c r="A668" s="66" t="n"/>
      <c r="B668" s="4" t="n"/>
      <c r="C668" s="11">
        <f>IFERROR(VLOOKUP($B668,Members!$A:$C,2,FALSE),"")</f>
        <v/>
      </c>
      <c r="D668" s="11">
        <f>IFERROR(VLOOKUP($B668,Members!$A:$C,3,FALSE),"")</f>
        <v/>
      </c>
      <c r="E668" s="11">
        <f>IF($F668="","",IFERROR(VLOOKUP($F668,ActionMap!$A:$B,2,FALSE),"INVALID ACTION"))</f>
        <v/>
      </c>
      <c r="F668" s="4" t="n"/>
      <c r="G668" s="11">
        <f>IFERROR(VLOOKUP($E668,ActionsCatalog!$A:$B,2,FALSE),"")</f>
        <v/>
      </c>
      <c r="H668" s="4" t="n"/>
      <c r="I668" s="4">
        <f>IFERROR(VLOOKUP($E668,ActionsCatalog!$A:$D,3,FALSE),0)</f>
        <v/>
      </c>
      <c r="J668" s="4">
        <f>IFERROR(VLOOKUP($E668,ActionsCatalog!$A:$D,4,FALSE),0)</f>
        <v/>
      </c>
      <c r="K668" s="4">
        <f>IF($M668&lt;&gt;"Yes",0,IF($H668="",0,$H668*$I668))</f>
        <v/>
      </c>
      <c r="L668" s="4">
        <f>IF($M668&lt;&gt;"Yes",0,IF($H668="",0,$H668*$J668))</f>
        <v/>
      </c>
      <c r="M668" s="4" t="n"/>
      <c r="N668" s="4" t="n"/>
      <c r="O668" s="4">
        <f>IF($A668="","",TEXT($A668,"yyyy")&amp;"-W"&amp;TEXT(ISOWEEKNUM($A668),"00"))</f>
        <v/>
      </c>
      <c r="P668" s="4" t="n"/>
      <c r="Q668" s="14">
        <f>IF($A668="","",TEXT($A668,"yyyy-mm"))</f>
        <v/>
      </c>
    </row>
    <row r="669">
      <c r="A669" s="66" t="n"/>
      <c r="B669" s="4" t="n"/>
      <c r="C669" s="11">
        <f>IFERROR(VLOOKUP($B669,Members!$A:$C,2,FALSE),"")</f>
        <v/>
      </c>
      <c r="D669" s="11">
        <f>IFERROR(VLOOKUP($B669,Members!$A:$C,3,FALSE),"")</f>
        <v/>
      </c>
      <c r="E669" s="11">
        <f>IF($F669="","",IFERROR(VLOOKUP($F669,ActionMap!$A:$B,2,FALSE),"INVALID ACTION"))</f>
        <v/>
      </c>
      <c r="F669" s="4" t="n"/>
      <c r="G669" s="11">
        <f>IFERROR(VLOOKUP($E669,ActionsCatalog!$A:$B,2,FALSE),"")</f>
        <v/>
      </c>
      <c r="H669" s="4" t="n"/>
      <c r="I669" s="4">
        <f>IFERROR(VLOOKUP($E669,ActionsCatalog!$A:$D,3,FALSE),0)</f>
        <v/>
      </c>
      <c r="J669" s="4">
        <f>IFERROR(VLOOKUP($E669,ActionsCatalog!$A:$D,4,FALSE),0)</f>
        <v/>
      </c>
      <c r="K669" s="4">
        <f>IF($M669&lt;&gt;"Yes",0,IF($H669="",0,$H669*$I669))</f>
        <v/>
      </c>
      <c r="L669" s="4">
        <f>IF($M669&lt;&gt;"Yes",0,IF($H669="",0,$H669*$J669))</f>
        <v/>
      </c>
      <c r="M669" s="4" t="n"/>
      <c r="N669" s="4" t="n"/>
      <c r="O669" s="4">
        <f>IF($A669="","",TEXT($A669,"yyyy")&amp;"-W"&amp;TEXT(ISOWEEKNUM($A669),"00"))</f>
        <v/>
      </c>
      <c r="P669" s="4" t="n"/>
      <c r="Q669" s="14">
        <f>IF($A669="","",TEXT($A669,"yyyy-mm"))</f>
        <v/>
      </c>
    </row>
    <row r="670">
      <c r="A670" s="66" t="n"/>
      <c r="B670" s="4" t="n"/>
      <c r="C670" s="11">
        <f>IFERROR(VLOOKUP($B670,Members!$A:$C,2,FALSE),"")</f>
        <v/>
      </c>
      <c r="D670" s="11">
        <f>IFERROR(VLOOKUP($B670,Members!$A:$C,3,FALSE),"")</f>
        <v/>
      </c>
      <c r="E670" s="11">
        <f>IF($F670="","",IFERROR(VLOOKUP($F670,ActionMap!$A:$B,2,FALSE),"INVALID ACTION"))</f>
        <v/>
      </c>
      <c r="F670" s="4" t="n"/>
      <c r="G670" s="11">
        <f>IFERROR(VLOOKUP($E670,ActionsCatalog!$A:$B,2,FALSE),"")</f>
        <v/>
      </c>
      <c r="H670" s="4" t="n"/>
      <c r="I670" s="4">
        <f>IFERROR(VLOOKUP($E670,ActionsCatalog!$A:$D,3,FALSE),0)</f>
        <v/>
      </c>
      <c r="J670" s="4">
        <f>IFERROR(VLOOKUP($E670,ActionsCatalog!$A:$D,4,FALSE),0)</f>
        <v/>
      </c>
      <c r="K670" s="4">
        <f>IF($M670&lt;&gt;"Yes",0,IF($H670="",0,$H670*$I670))</f>
        <v/>
      </c>
      <c r="L670" s="4">
        <f>IF($M670&lt;&gt;"Yes",0,IF($H670="",0,$H670*$J670))</f>
        <v/>
      </c>
      <c r="M670" s="4" t="n"/>
      <c r="N670" s="4" t="n"/>
      <c r="O670" s="4">
        <f>IF($A670="","",TEXT($A670,"yyyy")&amp;"-W"&amp;TEXT(ISOWEEKNUM($A670),"00"))</f>
        <v/>
      </c>
      <c r="P670" s="4" t="n"/>
      <c r="Q670" s="14">
        <f>IF($A670="","",TEXT($A670,"yyyy-mm"))</f>
        <v/>
      </c>
    </row>
    <row r="671">
      <c r="A671" s="66" t="n"/>
      <c r="B671" s="4" t="n"/>
      <c r="C671" s="11">
        <f>IFERROR(VLOOKUP($B671,Members!$A:$C,2,FALSE),"")</f>
        <v/>
      </c>
      <c r="D671" s="11">
        <f>IFERROR(VLOOKUP($B671,Members!$A:$C,3,FALSE),"")</f>
        <v/>
      </c>
      <c r="E671" s="11">
        <f>IF($F671="","",IFERROR(VLOOKUP($F671,ActionMap!$A:$B,2,FALSE),"INVALID ACTION"))</f>
        <v/>
      </c>
      <c r="F671" s="4" t="n"/>
      <c r="G671" s="11">
        <f>IFERROR(VLOOKUP($E671,ActionsCatalog!$A:$B,2,FALSE),"")</f>
        <v/>
      </c>
      <c r="H671" s="4" t="n"/>
      <c r="I671" s="4">
        <f>IFERROR(VLOOKUP($E671,ActionsCatalog!$A:$D,3,FALSE),0)</f>
        <v/>
      </c>
      <c r="J671" s="4">
        <f>IFERROR(VLOOKUP($E671,ActionsCatalog!$A:$D,4,FALSE),0)</f>
        <v/>
      </c>
      <c r="K671" s="4">
        <f>IF($M671&lt;&gt;"Yes",0,IF($H671="",0,$H671*$I671))</f>
        <v/>
      </c>
      <c r="L671" s="4">
        <f>IF($M671&lt;&gt;"Yes",0,IF($H671="",0,$H671*$J671))</f>
        <v/>
      </c>
      <c r="M671" s="4" t="n"/>
      <c r="N671" s="4" t="n"/>
      <c r="O671" s="4">
        <f>IF($A671="","",TEXT($A671,"yyyy")&amp;"-W"&amp;TEXT(ISOWEEKNUM($A671),"00"))</f>
        <v/>
      </c>
      <c r="P671" s="4" t="n"/>
      <c r="Q671" s="14">
        <f>IF($A671="","",TEXT($A671,"yyyy-mm"))</f>
        <v/>
      </c>
    </row>
    <row r="672">
      <c r="A672" s="66" t="n"/>
      <c r="B672" s="4" t="n"/>
      <c r="C672" s="11">
        <f>IFERROR(VLOOKUP($B672,Members!$A:$C,2,FALSE),"")</f>
        <v/>
      </c>
      <c r="D672" s="11">
        <f>IFERROR(VLOOKUP($B672,Members!$A:$C,3,FALSE),"")</f>
        <v/>
      </c>
      <c r="E672" s="11">
        <f>IF($F672="","",IFERROR(VLOOKUP($F672,ActionMap!$A:$B,2,FALSE),"INVALID ACTION"))</f>
        <v/>
      </c>
      <c r="F672" s="4" t="n"/>
      <c r="G672" s="11">
        <f>IFERROR(VLOOKUP($E672,ActionsCatalog!$A:$B,2,FALSE),"")</f>
        <v/>
      </c>
      <c r="H672" s="4" t="n"/>
      <c r="I672" s="4">
        <f>IFERROR(VLOOKUP($E672,ActionsCatalog!$A:$D,3,FALSE),0)</f>
        <v/>
      </c>
      <c r="J672" s="4">
        <f>IFERROR(VLOOKUP($E672,ActionsCatalog!$A:$D,4,FALSE),0)</f>
        <v/>
      </c>
      <c r="K672" s="4">
        <f>IF($M672&lt;&gt;"Yes",0,IF($H672="",0,$H672*$I672))</f>
        <v/>
      </c>
      <c r="L672" s="4">
        <f>IF($M672&lt;&gt;"Yes",0,IF($H672="",0,$H672*$J672))</f>
        <v/>
      </c>
      <c r="M672" s="4" t="n"/>
      <c r="N672" s="4" t="n"/>
      <c r="O672" s="4">
        <f>IF($A672="","",TEXT($A672,"yyyy")&amp;"-W"&amp;TEXT(ISOWEEKNUM($A672),"00"))</f>
        <v/>
      </c>
      <c r="P672" s="4" t="n"/>
      <c r="Q672" s="14">
        <f>IF($A672="","",TEXT($A672,"yyyy-mm"))</f>
        <v/>
      </c>
    </row>
    <row r="673">
      <c r="A673" s="66" t="n"/>
      <c r="B673" s="4" t="n"/>
      <c r="C673" s="11">
        <f>IFERROR(VLOOKUP($B673,Members!$A:$C,2,FALSE),"")</f>
        <v/>
      </c>
      <c r="D673" s="11">
        <f>IFERROR(VLOOKUP($B673,Members!$A:$C,3,FALSE),"")</f>
        <v/>
      </c>
      <c r="E673" s="11">
        <f>IF($F673="","",IFERROR(VLOOKUP($F673,ActionMap!$A:$B,2,FALSE),"INVALID ACTION"))</f>
        <v/>
      </c>
      <c r="F673" s="4" t="n"/>
      <c r="G673" s="11">
        <f>IFERROR(VLOOKUP($E673,ActionsCatalog!$A:$B,2,FALSE),"")</f>
        <v/>
      </c>
      <c r="H673" s="4" t="n"/>
      <c r="I673" s="4">
        <f>IFERROR(VLOOKUP($E673,ActionsCatalog!$A:$D,3,FALSE),0)</f>
        <v/>
      </c>
      <c r="J673" s="4">
        <f>IFERROR(VLOOKUP($E673,ActionsCatalog!$A:$D,4,FALSE),0)</f>
        <v/>
      </c>
      <c r="K673" s="4">
        <f>IF($M673&lt;&gt;"Yes",0,IF($H673="",0,$H673*$I673))</f>
        <v/>
      </c>
      <c r="L673" s="4">
        <f>IF($M673&lt;&gt;"Yes",0,IF($H673="",0,$H673*$J673))</f>
        <v/>
      </c>
      <c r="M673" s="4" t="n"/>
      <c r="N673" s="4" t="n"/>
      <c r="O673" s="4">
        <f>IF($A673="","",TEXT($A673,"yyyy")&amp;"-W"&amp;TEXT(ISOWEEKNUM($A673),"00"))</f>
        <v/>
      </c>
      <c r="P673" s="4" t="n"/>
      <c r="Q673" s="14">
        <f>IF($A673="","",TEXT($A673,"yyyy-mm"))</f>
        <v/>
      </c>
    </row>
    <row r="674">
      <c r="A674" s="66" t="n"/>
      <c r="B674" s="4" t="n"/>
      <c r="C674" s="11">
        <f>IFERROR(VLOOKUP($B674,Members!$A:$C,2,FALSE),"")</f>
        <v/>
      </c>
      <c r="D674" s="11">
        <f>IFERROR(VLOOKUP($B674,Members!$A:$C,3,FALSE),"")</f>
        <v/>
      </c>
      <c r="E674" s="11">
        <f>IF($F674="","",IFERROR(VLOOKUP($F674,ActionMap!$A:$B,2,FALSE),"INVALID ACTION"))</f>
        <v/>
      </c>
      <c r="F674" s="4" t="n"/>
      <c r="G674" s="11">
        <f>IFERROR(VLOOKUP($E674,ActionsCatalog!$A:$B,2,FALSE),"")</f>
        <v/>
      </c>
      <c r="H674" s="4" t="n"/>
      <c r="I674" s="4">
        <f>IFERROR(VLOOKUP($E674,ActionsCatalog!$A:$D,3,FALSE),0)</f>
        <v/>
      </c>
      <c r="J674" s="4">
        <f>IFERROR(VLOOKUP($E674,ActionsCatalog!$A:$D,4,FALSE),0)</f>
        <v/>
      </c>
      <c r="K674" s="4">
        <f>IF($M674&lt;&gt;"Yes",0,IF($H674="",0,$H674*$I674))</f>
        <v/>
      </c>
      <c r="L674" s="4">
        <f>IF($M674&lt;&gt;"Yes",0,IF($H674="",0,$H674*$J674))</f>
        <v/>
      </c>
      <c r="M674" s="4" t="n"/>
      <c r="N674" s="4" t="n"/>
      <c r="O674" s="4">
        <f>IF($A674="","",TEXT($A674,"yyyy")&amp;"-W"&amp;TEXT(ISOWEEKNUM($A674),"00"))</f>
        <v/>
      </c>
      <c r="P674" s="4" t="n"/>
      <c r="Q674" s="14">
        <f>IF($A674="","",TEXT($A674,"yyyy-mm"))</f>
        <v/>
      </c>
    </row>
    <row r="675">
      <c r="A675" s="66" t="n"/>
      <c r="B675" s="4" t="n"/>
      <c r="C675" s="11">
        <f>IFERROR(VLOOKUP($B675,Members!$A:$C,2,FALSE),"")</f>
        <v/>
      </c>
      <c r="D675" s="11">
        <f>IFERROR(VLOOKUP($B675,Members!$A:$C,3,FALSE),"")</f>
        <v/>
      </c>
      <c r="E675" s="11">
        <f>IF($F675="","",IFERROR(VLOOKUP($F675,ActionMap!$A:$B,2,FALSE),"INVALID ACTION"))</f>
        <v/>
      </c>
      <c r="F675" s="4" t="n"/>
      <c r="G675" s="11">
        <f>IFERROR(VLOOKUP($E675,ActionsCatalog!$A:$B,2,FALSE),"")</f>
        <v/>
      </c>
      <c r="H675" s="4" t="n"/>
      <c r="I675" s="4">
        <f>IFERROR(VLOOKUP($E675,ActionsCatalog!$A:$D,3,FALSE),0)</f>
        <v/>
      </c>
      <c r="J675" s="4">
        <f>IFERROR(VLOOKUP($E675,ActionsCatalog!$A:$D,4,FALSE),0)</f>
        <v/>
      </c>
      <c r="K675" s="4">
        <f>IF($M675&lt;&gt;"Yes",0,IF($H675="",0,$H675*$I675))</f>
        <v/>
      </c>
      <c r="L675" s="4">
        <f>IF($M675&lt;&gt;"Yes",0,IF($H675="",0,$H675*$J675))</f>
        <v/>
      </c>
      <c r="M675" s="4" t="n"/>
      <c r="N675" s="4" t="n"/>
      <c r="O675" s="4">
        <f>IF($A675="","",TEXT($A675,"yyyy")&amp;"-W"&amp;TEXT(ISOWEEKNUM($A675),"00"))</f>
        <v/>
      </c>
      <c r="P675" s="4" t="n"/>
      <c r="Q675" s="14">
        <f>IF($A675="","",TEXT($A675,"yyyy-mm"))</f>
        <v/>
      </c>
    </row>
    <row r="676">
      <c r="A676" s="66" t="n"/>
      <c r="B676" s="4" t="n"/>
      <c r="C676" s="11">
        <f>IFERROR(VLOOKUP($B676,Members!$A:$C,2,FALSE),"")</f>
        <v/>
      </c>
      <c r="D676" s="11">
        <f>IFERROR(VLOOKUP($B676,Members!$A:$C,3,FALSE),"")</f>
        <v/>
      </c>
      <c r="E676" s="11">
        <f>IF($F676="","",IFERROR(VLOOKUP($F676,ActionMap!$A:$B,2,FALSE),"INVALID ACTION"))</f>
        <v/>
      </c>
      <c r="F676" s="4" t="n"/>
      <c r="G676" s="11">
        <f>IFERROR(VLOOKUP($E676,ActionsCatalog!$A:$B,2,FALSE),"")</f>
        <v/>
      </c>
      <c r="H676" s="4" t="n"/>
      <c r="I676" s="4">
        <f>IFERROR(VLOOKUP($E676,ActionsCatalog!$A:$D,3,FALSE),0)</f>
        <v/>
      </c>
      <c r="J676" s="4">
        <f>IFERROR(VLOOKUP($E676,ActionsCatalog!$A:$D,4,FALSE),0)</f>
        <v/>
      </c>
      <c r="K676" s="4">
        <f>IF($M676&lt;&gt;"Yes",0,IF($H676="",0,$H676*$I676))</f>
        <v/>
      </c>
      <c r="L676" s="4">
        <f>IF($M676&lt;&gt;"Yes",0,IF($H676="",0,$H676*$J676))</f>
        <v/>
      </c>
      <c r="M676" s="4" t="n"/>
      <c r="N676" s="4" t="n"/>
      <c r="O676" s="4">
        <f>IF($A676="","",TEXT($A676,"yyyy")&amp;"-W"&amp;TEXT(ISOWEEKNUM($A676),"00"))</f>
        <v/>
      </c>
      <c r="P676" s="4" t="n"/>
      <c r="Q676" s="14">
        <f>IF($A676="","",TEXT($A676,"yyyy-mm"))</f>
        <v/>
      </c>
    </row>
    <row r="677">
      <c r="A677" s="66" t="n"/>
      <c r="B677" s="4" t="n"/>
      <c r="C677" s="11">
        <f>IFERROR(VLOOKUP($B677,Members!$A:$C,2,FALSE),"")</f>
        <v/>
      </c>
      <c r="D677" s="11">
        <f>IFERROR(VLOOKUP($B677,Members!$A:$C,3,FALSE),"")</f>
        <v/>
      </c>
      <c r="E677" s="11">
        <f>IF($F677="","",IFERROR(VLOOKUP($F677,ActionMap!$A:$B,2,FALSE),"INVALID ACTION"))</f>
        <v/>
      </c>
      <c r="F677" s="4" t="n"/>
      <c r="G677" s="11">
        <f>IFERROR(VLOOKUP($E677,ActionsCatalog!$A:$B,2,FALSE),"")</f>
        <v/>
      </c>
      <c r="H677" s="4" t="n"/>
      <c r="I677" s="4">
        <f>IFERROR(VLOOKUP($E677,ActionsCatalog!$A:$D,3,FALSE),0)</f>
        <v/>
      </c>
      <c r="J677" s="4">
        <f>IFERROR(VLOOKUP($E677,ActionsCatalog!$A:$D,4,FALSE),0)</f>
        <v/>
      </c>
      <c r="K677" s="4">
        <f>IF($M677&lt;&gt;"Yes",0,IF($H677="",0,$H677*$I677))</f>
        <v/>
      </c>
      <c r="L677" s="4">
        <f>IF($M677&lt;&gt;"Yes",0,IF($H677="",0,$H677*$J677))</f>
        <v/>
      </c>
      <c r="M677" s="4" t="n"/>
      <c r="N677" s="4" t="n"/>
      <c r="O677" s="4">
        <f>IF($A677="","",TEXT($A677,"yyyy")&amp;"-W"&amp;TEXT(ISOWEEKNUM($A677),"00"))</f>
        <v/>
      </c>
      <c r="P677" s="4" t="n"/>
      <c r="Q677" s="14">
        <f>IF($A677="","",TEXT($A677,"yyyy-mm"))</f>
        <v/>
      </c>
    </row>
    <row r="678">
      <c r="A678" s="66" t="n"/>
      <c r="B678" s="4" t="n"/>
      <c r="C678" s="11">
        <f>IFERROR(VLOOKUP($B678,Members!$A:$C,2,FALSE),"")</f>
        <v/>
      </c>
      <c r="D678" s="11">
        <f>IFERROR(VLOOKUP($B678,Members!$A:$C,3,FALSE),"")</f>
        <v/>
      </c>
      <c r="E678" s="11">
        <f>IF($F678="","",IFERROR(VLOOKUP($F678,ActionMap!$A:$B,2,FALSE),"INVALID ACTION"))</f>
        <v/>
      </c>
      <c r="F678" s="4" t="n"/>
      <c r="G678" s="11">
        <f>IFERROR(VLOOKUP($E678,ActionsCatalog!$A:$B,2,FALSE),"")</f>
        <v/>
      </c>
      <c r="H678" s="4" t="n"/>
      <c r="I678" s="4">
        <f>IFERROR(VLOOKUP($E678,ActionsCatalog!$A:$D,3,FALSE),0)</f>
        <v/>
      </c>
      <c r="J678" s="4">
        <f>IFERROR(VLOOKUP($E678,ActionsCatalog!$A:$D,4,FALSE),0)</f>
        <v/>
      </c>
      <c r="K678" s="4">
        <f>IF($M678&lt;&gt;"Yes",0,IF($H678="",0,$H678*$I678))</f>
        <v/>
      </c>
      <c r="L678" s="4">
        <f>IF($M678&lt;&gt;"Yes",0,IF($H678="",0,$H678*$J678))</f>
        <v/>
      </c>
      <c r="M678" s="4" t="n"/>
      <c r="N678" s="4" t="n"/>
      <c r="O678" s="4">
        <f>IF($A678="","",TEXT($A678,"yyyy")&amp;"-W"&amp;TEXT(ISOWEEKNUM($A678),"00"))</f>
        <v/>
      </c>
      <c r="P678" s="4" t="n"/>
      <c r="Q678" s="14">
        <f>IF($A678="","",TEXT($A678,"yyyy-mm"))</f>
        <v/>
      </c>
    </row>
    <row r="679">
      <c r="A679" s="66" t="n"/>
      <c r="B679" s="4" t="n"/>
      <c r="C679" s="11">
        <f>IFERROR(VLOOKUP($B679,Members!$A:$C,2,FALSE),"")</f>
        <v/>
      </c>
      <c r="D679" s="11">
        <f>IFERROR(VLOOKUP($B679,Members!$A:$C,3,FALSE),"")</f>
        <v/>
      </c>
      <c r="E679" s="11">
        <f>IF($F679="","",IFERROR(VLOOKUP($F679,ActionMap!$A:$B,2,FALSE),"INVALID ACTION"))</f>
        <v/>
      </c>
      <c r="F679" s="4" t="n"/>
      <c r="G679" s="11">
        <f>IFERROR(VLOOKUP($E679,ActionsCatalog!$A:$B,2,FALSE),"")</f>
        <v/>
      </c>
      <c r="H679" s="4" t="n"/>
      <c r="I679" s="4">
        <f>IFERROR(VLOOKUP($E679,ActionsCatalog!$A:$D,3,FALSE),0)</f>
        <v/>
      </c>
      <c r="J679" s="4">
        <f>IFERROR(VLOOKUP($E679,ActionsCatalog!$A:$D,4,FALSE),0)</f>
        <v/>
      </c>
      <c r="K679" s="4">
        <f>IF($M679&lt;&gt;"Yes",0,IF($H679="",0,$H679*$I679))</f>
        <v/>
      </c>
      <c r="L679" s="4">
        <f>IF($M679&lt;&gt;"Yes",0,IF($H679="",0,$H679*$J679))</f>
        <v/>
      </c>
      <c r="M679" s="4" t="n"/>
      <c r="N679" s="4" t="n"/>
      <c r="O679" s="4">
        <f>IF($A679="","",TEXT($A679,"yyyy")&amp;"-W"&amp;TEXT(ISOWEEKNUM($A679),"00"))</f>
        <v/>
      </c>
      <c r="P679" s="4" t="n"/>
      <c r="Q679" s="14">
        <f>IF($A679="","",TEXT($A679,"yyyy-mm"))</f>
        <v/>
      </c>
    </row>
    <row r="680">
      <c r="A680" s="66" t="n"/>
      <c r="B680" s="4" t="n"/>
      <c r="C680" s="11">
        <f>IFERROR(VLOOKUP($B680,Members!$A:$C,2,FALSE),"")</f>
        <v/>
      </c>
      <c r="D680" s="11">
        <f>IFERROR(VLOOKUP($B680,Members!$A:$C,3,FALSE),"")</f>
        <v/>
      </c>
      <c r="E680" s="11">
        <f>IF($F680="","",IFERROR(VLOOKUP($F680,ActionMap!$A:$B,2,FALSE),"INVALID ACTION"))</f>
        <v/>
      </c>
      <c r="F680" s="4" t="n"/>
      <c r="G680" s="11">
        <f>IFERROR(VLOOKUP($E680,ActionsCatalog!$A:$B,2,FALSE),"")</f>
        <v/>
      </c>
      <c r="H680" s="4" t="n"/>
      <c r="I680" s="4">
        <f>IFERROR(VLOOKUP($E680,ActionsCatalog!$A:$D,3,FALSE),0)</f>
        <v/>
      </c>
      <c r="J680" s="4">
        <f>IFERROR(VLOOKUP($E680,ActionsCatalog!$A:$D,4,FALSE),0)</f>
        <v/>
      </c>
      <c r="K680" s="4">
        <f>IF($M680&lt;&gt;"Yes",0,IF($H680="",0,$H680*$I680))</f>
        <v/>
      </c>
      <c r="L680" s="4">
        <f>IF($M680&lt;&gt;"Yes",0,IF($H680="",0,$H680*$J680))</f>
        <v/>
      </c>
      <c r="M680" s="4" t="n"/>
      <c r="N680" s="4" t="n"/>
      <c r="O680" s="4">
        <f>IF($A680="","",TEXT($A680,"yyyy")&amp;"-W"&amp;TEXT(ISOWEEKNUM($A680),"00"))</f>
        <v/>
      </c>
      <c r="P680" s="4" t="n"/>
      <c r="Q680" s="14">
        <f>IF($A680="","",TEXT($A680,"yyyy-mm"))</f>
        <v/>
      </c>
    </row>
    <row r="681">
      <c r="A681" s="66" t="n"/>
      <c r="B681" s="4" t="n"/>
      <c r="C681" s="11">
        <f>IFERROR(VLOOKUP($B681,Members!$A:$C,2,FALSE),"")</f>
        <v/>
      </c>
      <c r="D681" s="11">
        <f>IFERROR(VLOOKUP($B681,Members!$A:$C,3,FALSE),"")</f>
        <v/>
      </c>
      <c r="E681" s="11">
        <f>IF($F681="","",IFERROR(VLOOKUP($F681,ActionMap!$A:$B,2,FALSE),"INVALID ACTION"))</f>
        <v/>
      </c>
      <c r="F681" s="4" t="n"/>
      <c r="G681" s="11">
        <f>IFERROR(VLOOKUP($E681,ActionsCatalog!$A:$B,2,FALSE),"")</f>
        <v/>
      </c>
      <c r="H681" s="4" t="n"/>
      <c r="I681" s="4">
        <f>IFERROR(VLOOKUP($E681,ActionsCatalog!$A:$D,3,FALSE),0)</f>
        <v/>
      </c>
      <c r="J681" s="4">
        <f>IFERROR(VLOOKUP($E681,ActionsCatalog!$A:$D,4,FALSE),0)</f>
        <v/>
      </c>
      <c r="K681" s="4">
        <f>IF($M681&lt;&gt;"Yes",0,IF($H681="",0,$H681*$I681))</f>
        <v/>
      </c>
      <c r="L681" s="4">
        <f>IF($M681&lt;&gt;"Yes",0,IF($H681="",0,$H681*$J681))</f>
        <v/>
      </c>
      <c r="M681" s="4" t="n"/>
      <c r="N681" s="4" t="n"/>
      <c r="O681" s="4">
        <f>IF($A681="","",TEXT($A681,"yyyy")&amp;"-W"&amp;TEXT(ISOWEEKNUM($A681),"00"))</f>
        <v/>
      </c>
      <c r="P681" s="4" t="n"/>
      <c r="Q681" s="14">
        <f>IF($A681="","",TEXT($A681,"yyyy-mm"))</f>
        <v/>
      </c>
    </row>
    <row r="682">
      <c r="A682" s="66" t="n"/>
      <c r="B682" s="4" t="n"/>
      <c r="C682" s="11">
        <f>IFERROR(VLOOKUP($B682,Members!$A:$C,2,FALSE),"")</f>
        <v/>
      </c>
      <c r="D682" s="11">
        <f>IFERROR(VLOOKUP($B682,Members!$A:$C,3,FALSE),"")</f>
        <v/>
      </c>
      <c r="E682" s="11">
        <f>IF($F682="","",IFERROR(VLOOKUP($F682,ActionMap!$A:$B,2,FALSE),"INVALID ACTION"))</f>
        <v/>
      </c>
      <c r="F682" s="4" t="n"/>
      <c r="G682" s="11">
        <f>IFERROR(VLOOKUP($E682,ActionsCatalog!$A:$B,2,FALSE),"")</f>
        <v/>
      </c>
      <c r="H682" s="4" t="n"/>
      <c r="I682" s="4">
        <f>IFERROR(VLOOKUP($E682,ActionsCatalog!$A:$D,3,FALSE),0)</f>
        <v/>
      </c>
      <c r="J682" s="4">
        <f>IFERROR(VLOOKUP($E682,ActionsCatalog!$A:$D,4,FALSE),0)</f>
        <v/>
      </c>
      <c r="K682" s="4">
        <f>IF($M682&lt;&gt;"Yes",0,IF($H682="",0,$H682*$I682))</f>
        <v/>
      </c>
      <c r="L682" s="4">
        <f>IF($M682&lt;&gt;"Yes",0,IF($H682="",0,$H682*$J682))</f>
        <v/>
      </c>
      <c r="M682" s="4" t="n"/>
      <c r="N682" s="4" t="n"/>
      <c r="O682" s="4">
        <f>IF($A682="","",TEXT($A682,"yyyy")&amp;"-W"&amp;TEXT(ISOWEEKNUM($A682),"00"))</f>
        <v/>
      </c>
      <c r="P682" s="4" t="n"/>
      <c r="Q682" s="14">
        <f>IF($A682="","",TEXT($A682,"yyyy-mm"))</f>
        <v/>
      </c>
    </row>
    <row r="683">
      <c r="A683" s="66" t="n"/>
      <c r="B683" s="4" t="n"/>
      <c r="C683" s="11">
        <f>IFERROR(VLOOKUP($B683,Members!$A:$C,2,FALSE),"")</f>
        <v/>
      </c>
      <c r="D683" s="11">
        <f>IFERROR(VLOOKUP($B683,Members!$A:$C,3,FALSE),"")</f>
        <v/>
      </c>
      <c r="E683" s="11">
        <f>IF($F683="","",IFERROR(VLOOKUP($F683,ActionMap!$A:$B,2,FALSE),"INVALID ACTION"))</f>
        <v/>
      </c>
      <c r="F683" s="4" t="n"/>
      <c r="G683" s="11">
        <f>IFERROR(VLOOKUP($E683,ActionsCatalog!$A:$B,2,FALSE),"")</f>
        <v/>
      </c>
      <c r="H683" s="4" t="n"/>
      <c r="I683" s="4">
        <f>IFERROR(VLOOKUP($E683,ActionsCatalog!$A:$D,3,FALSE),0)</f>
        <v/>
      </c>
      <c r="J683" s="4">
        <f>IFERROR(VLOOKUP($E683,ActionsCatalog!$A:$D,4,FALSE),0)</f>
        <v/>
      </c>
      <c r="K683" s="4">
        <f>IF($M683&lt;&gt;"Yes",0,IF($H683="",0,$H683*$I683))</f>
        <v/>
      </c>
      <c r="L683" s="4">
        <f>IF($M683&lt;&gt;"Yes",0,IF($H683="",0,$H683*$J683))</f>
        <v/>
      </c>
      <c r="M683" s="4" t="n"/>
      <c r="N683" s="4" t="n"/>
      <c r="O683" s="4">
        <f>IF($A683="","",TEXT($A683,"yyyy")&amp;"-W"&amp;TEXT(ISOWEEKNUM($A683),"00"))</f>
        <v/>
      </c>
      <c r="P683" s="4" t="n"/>
      <c r="Q683" s="14">
        <f>IF($A683="","",TEXT($A683,"yyyy-mm"))</f>
        <v/>
      </c>
    </row>
    <row r="684">
      <c r="A684" s="66" t="n"/>
      <c r="B684" s="4" t="n"/>
      <c r="C684" s="11">
        <f>IFERROR(VLOOKUP($B684,Members!$A:$C,2,FALSE),"")</f>
        <v/>
      </c>
      <c r="D684" s="11">
        <f>IFERROR(VLOOKUP($B684,Members!$A:$C,3,FALSE),"")</f>
        <v/>
      </c>
      <c r="E684" s="11">
        <f>IF($F684="","",IFERROR(VLOOKUP($F684,ActionMap!$A:$B,2,FALSE),"INVALID ACTION"))</f>
        <v/>
      </c>
      <c r="F684" s="4" t="n"/>
      <c r="G684" s="11">
        <f>IFERROR(VLOOKUP($E684,ActionsCatalog!$A:$B,2,FALSE),"")</f>
        <v/>
      </c>
      <c r="H684" s="4" t="n"/>
      <c r="I684" s="4">
        <f>IFERROR(VLOOKUP($E684,ActionsCatalog!$A:$D,3,FALSE),0)</f>
        <v/>
      </c>
      <c r="J684" s="4">
        <f>IFERROR(VLOOKUP($E684,ActionsCatalog!$A:$D,4,FALSE),0)</f>
        <v/>
      </c>
      <c r="K684" s="4">
        <f>IF($M684&lt;&gt;"Yes",0,IF($H684="",0,$H684*$I684))</f>
        <v/>
      </c>
      <c r="L684" s="4">
        <f>IF($M684&lt;&gt;"Yes",0,IF($H684="",0,$H684*$J684))</f>
        <v/>
      </c>
      <c r="M684" s="4" t="n"/>
      <c r="N684" s="4" t="n"/>
      <c r="O684" s="4">
        <f>IF($A684="","",TEXT($A684,"yyyy")&amp;"-W"&amp;TEXT(ISOWEEKNUM($A684),"00"))</f>
        <v/>
      </c>
      <c r="P684" s="4" t="n"/>
      <c r="Q684" s="14">
        <f>IF($A684="","",TEXT($A684,"yyyy-mm"))</f>
        <v/>
      </c>
    </row>
    <row r="685">
      <c r="A685" s="66" t="n"/>
      <c r="B685" s="4" t="n"/>
      <c r="C685" s="11">
        <f>IFERROR(VLOOKUP($B685,Members!$A:$C,2,FALSE),"")</f>
        <v/>
      </c>
      <c r="D685" s="11">
        <f>IFERROR(VLOOKUP($B685,Members!$A:$C,3,FALSE),"")</f>
        <v/>
      </c>
      <c r="E685" s="11">
        <f>IF($F685="","",IFERROR(VLOOKUP($F685,ActionMap!$A:$B,2,FALSE),"INVALID ACTION"))</f>
        <v/>
      </c>
      <c r="F685" s="4" t="n"/>
      <c r="G685" s="11">
        <f>IFERROR(VLOOKUP($E685,ActionsCatalog!$A:$B,2,FALSE),"")</f>
        <v/>
      </c>
      <c r="H685" s="4" t="n"/>
      <c r="I685" s="4">
        <f>IFERROR(VLOOKUP($E685,ActionsCatalog!$A:$D,3,FALSE),0)</f>
        <v/>
      </c>
      <c r="J685" s="4">
        <f>IFERROR(VLOOKUP($E685,ActionsCatalog!$A:$D,4,FALSE),0)</f>
        <v/>
      </c>
      <c r="K685" s="4">
        <f>IF($M685&lt;&gt;"Yes",0,IF($H685="",0,$H685*$I685))</f>
        <v/>
      </c>
      <c r="L685" s="4">
        <f>IF($M685&lt;&gt;"Yes",0,IF($H685="",0,$H685*$J685))</f>
        <v/>
      </c>
      <c r="M685" s="4" t="n"/>
      <c r="N685" s="4" t="n"/>
      <c r="O685" s="4">
        <f>IF($A685="","",TEXT($A685,"yyyy")&amp;"-W"&amp;TEXT(ISOWEEKNUM($A685),"00"))</f>
        <v/>
      </c>
      <c r="P685" s="4" t="n"/>
      <c r="Q685" s="14">
        <f>IF($A685="","",TEXT($A685,"yyyy-mm"))</f>
        <v/>
      </c>
    </row>
    <row r="686">
      <c r="A686" s="66" t="n"/>
      <c r="B686" s="4" t="n"/>
      <c r="C686" s="11">
        <f>IFERROR(VLOOKUP($B686,Members!$A:$C,2,FALSE),"")</f>
        <v/>
      </c>
      <c r="D686" s="11">
        <f>IFERROR(VLOOKUP($B686,Members!$A:$C,3,FALSE),"")</f>
        <v/>
      </c>
      <c r="E686" s="11">
        <f>IF($F686="","",IFERROR(VLOOKUP($F686,ActionMap!$A:$B,2,FALSE),"INVALID ACTION"))</f>
        <v/>
      </c>
      <c r="F686" s="4" t="n"/>
      <c r="G686" s="11">
        <f>IFERROR(VLOOKUP($E686,ActionsCatalog!$A:$B,2,FALSE),"")</f>
        <v/>
      </c>
      <c r="H686" s="4" t="n"/>
      <c r="I686" s="4">
        <f>IFERROR(VLOOKUP($E686,ActionsCatalog!$A:$D,3,FALSE),0)</f>
        <v/>
      </c>
      <c r="J686" s="4">
        <f>IFERROR(VLOOKUP($E686,ActionsCatalog!$A:$D,4,FALSE),0)</f>
        <v/>
      </c>
      <c r="K686" s="4">
        <f>IF($M686&lt;&gt;"Yes",0,IF($H686="",0,$H686*$I686))</f>
        <v/>
      </c>
      <c r="L686" s="4">
        <f>IF($M686&lt;&gt;"Yes",0,IF($H686="",0,$H686*$J686))</f>
        <v/>
      </c>
      <c r="M686" s="4" t="n"/>
      <c r="N686" s="4" t="n"/>
      <c r="O686" s="4">
        <f>IF($A686="","",TEXT($A686,"yyyy")&amp;"-W"&amp;TEXT(ISOWEEKNUM($A686),"00"))</f>
        <v/>
      </c>
      <c r="P686" s="4" t="n"/>
      <c r="Q686" s="14">
        <f>IF($A686="","",TEXT($A686,"yyyy-mm"))</f>
        <v/>
      </c>
    </row>
    <row r="687">
      <c r="A687" s="66" t="n"/>
      <c r="B687" s="4" t="n"/>
      <c r="C687" s="11">
        <f>IFERROR(VLOOKUP($B687,Members!$A:$C,2,FALSE),"")</f>
        <v/>
      </c>
      <c r="D687" s="11">
        <f>IFERROR(VLOOKUP($B687,Members!$A:$C,3,FALSE),"")</f>
        <v/>
      </c>
      <c r="E687" s="11">
        <f>IF($F687="","",IFERROR(VLOOKUP($F687,ActionMap!$A:$B,2,FALSE),"INVALID ACTION"))</f>
        <v/>
      </c>
      <c r="F687" s="4" t="n"/>
      <c r="G687" s="11">
        <f>IFERROR(VLOOKUP($E687,ActionsCatalog!$A:$B,2,FALSE),"")</f>
        <v/>
      </c>
      <c r="H687" s="4" t="n"/>
      <c r="I687" s="4">
        <f>IFERROR(VLOOKUP($E687,ActionsCatalog!$A:$D,3,FALSE),0)</f>
        <v/>
      </c>
      <c r="J687" s="4">
        <f>IFERROR(VLOOKUP($E687,ActionsCatalog!$A:$D,4,FALSE),0)</f>
        <v/>
      </c>
      <c r="K687" s="4">
        <f>IF($M687&lt;&gt;"Yes",0,IF($H687="",0,$H687*$I687))</f>
        <v/>
      </c>
      <c r="L687" s="4">
        <f>IF($M687&lt;&gt;"Yes",0,IF($H687="",0,$H687*$J687))</f>
        <v/>
      </c>
      <c r="M687" s="4" t="n"/>
      <c r="N687" s="4" t="n"/>
      <c r="O687" s="4">
        <f>IF($A687="","",TEXT($A687,"yyyy")&amp;"-W"&amp;TEXT(ISOWEEKNUM($A687),"00"))</f>
        <v/>
      </c>
      <c r="P687" s="4" t="n"/>
      <c r="Q687" s="14">
        <f>IF($A687="","",TEXT($A687,"yyyy-mm"))</f>
        <v/>
      </c>
    </row>
    <row r="688">
      <c r="A688" s="66" t="n"/>
      <c r="B688" s="4" t="n"/>
      <c r="C688" s="11">
        <f>IFERROR(VLOOKUP($B688,Members!$A:$C,2,FALSE),"")</f>
        <v/>
      </c>
      <c r="D688" s="11">
        <f>IFERROR(VLOOKUP($B688,Members!$A:$C,3,FALSE),"")</f>
        <v/>
      </c>
      <c r="E688" s="11">
        <f>IF($F688="","",IFERROR(VLOOKUP($F688,ActionMap!$A:$B,2,FALSE),"INVALID ACTION"))</f>
        <v/>
      </c>
      <c r="F688" s="4" t="n"/>
      <c r="G688" s="11">
        <f>IFERROR(VLOOKUP($E688,ActionsCatalog!$A:$B,2,FALSE),"")</f>
        <v/>
      </c>
      <c r="H688" s="4" t="n"/>
      <c r="I688" s="4">
        <f>IFERROR(VLOOKUP($E688,ActionsCatalog!$A:$D,3,FALSE),0)</f>
        <v/>
      </c>
      <c r="J688" s="4">
        <f>IFERROR(VLOOKUP($E688,ActionsCatalog!$A:$D,4,FALSE),0)</f>
        <v/>
      </c>
      <c r="K688" s="4">
        <f>IF($M688&lt;&gt;"Yes",0,IF($H688="",0,$H688*$I688))</f>
        <v/>
      </c>
      <c r="L688" s="4">
        <f>IF($M688&lt;&gt;"Yes",0,IF($H688="",0,$H688*$J688))</f>
        <v/>
      </c>
      <c r="M688" s="4" t="n"/>
      <c r="N688" s="4" t="n"/>
      <c r="O688" s="4">
        <f>IF($A688="","",TEXT($A688,"yyyy")&amp;"-W"&amp;TEXT(ISOWEEKNUM($A688),"00"))</f>
        <v/>
      </c>
      <c r="P688" s="4" t="n"/>
      <c r="Q688" s="14">
        <f>IF($A688="","",TEXT($A688,"yyyy-mm"))</f>
        <v/>
      </c>
    </row>
    <row r="689">
      <c r="A689" s="66" t="n"/>
      <c r="B689" s="4" t="n"/>
      <c r="C689" s="11">
        <f>IFERROR(VLOOKUP($B689,Members!$A:$C,2,FALSE),"")</f>
        <v/>
      </c>
      <c r="D689" s="11">
        <f>IFERROR(VLOOKUP($B689,Members!$A:$C,3,FALSE),"")</f>
        <v/>
      </c>
      <c r="E689" s="11">
        <f>IF($F689="","",IFERROR(VLOOKUP($F689,ActionMap!$A:$B,2,FALSE),"INVALID ACTION"))</f>
        <v/>
      </c>
      <c r="F689" s="4" t="n"/>
      <c r="G689" s="11">
        <f>IFERROR(VLOOKUP($E689,ActionsCatalog!$A:$B,2,FALSE),"")</f>
        <v/>
      </c>
      <c r="H689" s="4" t="n"/>
      <c r="I689" s="4">
        <f>IFERROR(VLOOKUP($E689,ActionsCatalog!$A:$D,3,FALSE),0)</f>
        <v/>
      </c>
      <c r="J689" s="4">
        <f>IFERROR(VLOOKUP($E689,ActionsCatalog!$A:$D,4,FALSE),0)</f>
        <v/>
      </c>
      <c r="K689" s="4">
        <f>IF($M689&lt;&gt;"Yes",0,IF($H689="",0,$H689*$I689))</f>
        <v/>
      </c>
      <c r="L689" s="4">
        <f>IF($M689&lt;&gt;"Yes",0,IF($H689="",0,$H689*$J689))</f>
        <v/>
      </c>
      <c r="M689" s="4" t="n"/>
      <c r="N689" s="4" t="n"/>
      <c r="O689" s="4">
        <f>IF($A689="","",TEXT($A689,"yyyy")&amp;"-W"&amp;TEXT(ISOWEEKNUM($A689),"00"))</f>
        <v/>
      </c>
      <c r="P689" s="4" t="n"/>
      <c r="Q689" s="14">
        <f>IF($A689="","",TEXT($A689,"yyyy-mm"))</f>
        <v/>
      </c>
    </row>
    <row r="690">
      <c r="A690" s="66" t="n"/>
      <c r="B690" s="4" t="n"/>
      <c r="C690" s="11">
        <f>IFERROR(VLOOKUP($B690,Members!$A:$C,2,FALSE),"")</f>
        <v/>
      </c>
      <c r="D690" s="11">
        <f>IFERROR(VLOOKUP($B690,Members!$A:$C,3,FALSE),"")</f>
        <v/>
      </c>
      <c r="E690" s="11">
        <f>IF($F690="","",IFERROR(VLOOKUP($F690,ActionMap!$A:$B,2,FALSE),"INVALID ACTION"))</f>
        <v/>
      </c>
      <c r="F690" s="4" t="n"/>
      <c r="G690" s="11">
        <f>IFERROR(VLOOKUP($E690,ActionsCatalog!$A:$B,2,FALSE),"")</f>
        <v/>
      </c>
      <c r="H690" s="4" t="n"/>
      <c r="I690" s="4">
        <f>IFERROR(VLOOKUP($E690,ActionsCatalog!$A:$D,3,FALSE),0)</f>
        <v/>
      </c>
      <c r="J690" s="4">
        <f>IFERROR(VLOOKUP($E690,ActionsCatalog!$A:$D,4,FALSE),0)</f>
        <v/>
      </c>
      <c r="K690" s="4">
        <f>IF($M690&lt;&gt;"Yes",0,IF($H690="",0,$H690*$I690))</f>
        <v/>
      </c>
      <c r="L690" s="4">
        <f>IF($M690&lt;&gt;"Yes",0,IF($H690="",0,$H690*$J690))</f>
        <v/>
      </c>
      <c r="M690" s="4" t="n"/>
      <c r="N690" s="4" t="n"/>
      <c r="O690" s="4">
        <f>IF($A690="","",TEXT($A690,"yyyy")&amp;"-W"&amp;TEXT(ISOWEEKNUM($A690),"00"))</f>
        <v/>
      </c>
      <c r="P690" s="4" t="n"/>
      <c r="Q690" s="14">
        <f>IF($A690="","",TEXT($A690,"yyyy-mm"))</f>
        <v/>
      </c>
    </row>
    <row r="691">
      <c r="A691" s="66" t="n"/>
      <c r="B691" s="4" t="n"/>
      <c r="C691" s="11">
        <f>IFERROR(VLOOKUP($B691,Members!$A:$C,2,FALSE),"")</f>
        <v/>
      </c>
      <c r="D691" s="11">
        <f>IFERROR(VLOOKUP($B691,Members!$A:$C,3,FALSE),"")</f>
        <v/>
      </c>
      <c r="E691" s="11">
        <f>IF($F691="","",IFERROR(VLOOKUP($F691,ActionMap!$A:$B,2,FALSE),"INVALID ACTION"))</f>
        <v/>
      </c>
      <c r="F691" s="4" t="n"/>
      <c r="G691" s="11">
        <f>IFERROR(VLOOKUP($E691,ActionsCatalog!$A:$B,2,FALSE),"")</f>
        <v/>
      </c>
      <c r="H691" s="4" t="n"/>
      <c r="I691" s="4">
        <f>IFERROR(VLOOKUP($E691,ActionsCatalog!$A:$D,3,FALSE),0)</f>
        <v/>
      </c>
      <c r="J691" s="4">
        <f>IFERROR(VLOOKUP($E691,ActionsCatalog!$A:$D,4,FALSE),0)</f>
        <v/>
      </c>
      <c r="K691" s="4">
        <f>IF($M691&lt;&gt;"Yes",0,IF($H691="",0,$H691*$I691))</f>
        <v/>
      </c>
      <c r="L691" s="4">
        <f>IF($M691&lt;&gt;"Yes",0,IF($H691="",0,$H691*$J691))</f>
        <v/>
      </c>
      <c r="M691" s="4" t="n"/>
      <c r="N691" s="4" t="n"/>
      <c r="O691" s="4">
        <f>IF($A691="","",TEXT($A691,"yyyy")&amp;"-W"&amp;TEXT(ISOWEEKNUM($A691),"00"))</f>
        <v/>
      </c>
      <c r="P691" s="4" t="n"/>
      <c r="Q691" s="14">
        <f>IF($A691="","",TEXT($A691,"yyyy-mm"))</f>
        <v/>
      </c>
    </row>
    <row r="692">
      <c r="A692" s="66" t="n"/>
      <c r="B692" s="4" t="n"/>
      <c r="C692" s="11">
        <f>IFERROR(VLOOKUP($B692,Members!$A:$C,2,FALSE),"")</f>
        <v/>
      </c>
      <c r="D692" s="11">
        <f>IFERROR(VLOOKUP($B692,Members!$A:$C,3,FALSE),"")</f>
        <v/>
      </c>
      <c r="E692" s="11">
        <f>IF($F692="","",IFERROR(VLOOKUP($F692,ActionMap!$A:$B,2,FALSE),"INVALID ACTION"))</f>
        <v/>
      </c>
      <c r="F692" s="4" t="n"/>
      <c r="G692" s="11">
        <f>IFERROR(VLOOKUP($E692,ActionsCatalog!$A:$B,2,FALSE),"")</f>
        <v/>
      </c>
      <c r="H692" s="4" t="n"/>
      <c r="I692" s="4">
        <f>IFERROR(VLOOKUP($E692,ActionsCatalog!$A:$D,3,FALSE),0)</f>
        <v/>
      </c>
      <c r="J692" s="4">
        <f>IFERROR(VLOOKUP($E692,ActionsCatalog!$A:$D,4,FALSE),0)</f>
        <v/>
      </c>
      <c r="K692" s="4">
        <f>IF($M692&lt;&gt;"Yes",0,IF($H692="",0,$H692*$I692))</f>
        <v/>
      </c>
      <c r="L692" s="4">
        <f>IF($M692&lt;&gt;"Yes",0,IF($H692="",0,$H692*$J692))</f>
        <v/>
      </c>
      <c r="M692" s="4" t="n"/>
      <c r="N692" s="4" t="n"/>
      <c r="O692" s="4">
        <f>IF($A692="","",TEXT($A692,"yyyy")&amp;"-W"&amp;TEXT(ISOWEEKNUM($A692),"00"))</f>
        <v/>
      </c>
      <c r="P692" s="4" t="n"/>
      <c r="Q692" s="14">
        <f>IF($A692="","",TEXT($A692,"yyyy-mm"))</f>
        <v/>
      </c>
    </row>
    <row r="693">
      <c r="A693" s="66" t="n"/>
      <c r="B693" s="4" t="n"/>
      <c r="C693" s="11">
        <f>IFERROR(VLOOKUP($B693,Members!$A:$C,2,FALSE),"")</f>
        <v/>
      </c>
      <c r="D693" s="11">
        <f>IFERROR(VLOOKUP($B693,Members!$A:$C,3,FALSE),"")</f>
        <v/>
      </c>
      <c r="E693" s="11">
        <f>IF($F693="","",IFERROR(VLOOKUP($F693,ActionMap!$A:$B,2,FALSE),"INVALID ACTION"))</f>
        <v/>
      </c>
      <c r="F693" s="4" t="n"/>
      <c r="G693" s="11">
        <f>IFERROR(VLOOKUP($E693,ActionsCatalog!$A:$B,2,FALSE),"")</f>
        <v/>
      </c>
      <c r="H693" s="4" t="n"/>
      <c r="I693" s="4">
        <f>IFERROR(VLOOKUP($E693,ActionsCatalog!$A:$D,3,FALSE),0)</f>
        <v/>
      </c>
      <c r="J693" s="4">
        <f>IFERROR(VLOOKUP($E693,ActionsCatalog!$A:$D,4,FALSE),0)</f>
        <v/>
      </c>
      <c r="K693" s="4">
        <f>IF($M693&lt;&gt;"Yes",0,IF($H693="",0,$H693*$I693))</f>
        <v/>
      </c>
      <c r="L693" s="4">
        <f>IF($M693&lt;&gt;"Yes",0,IF($H693="",0,$H693*$J693))</f>
        <v/>
      </c>
      <c r="M693" s="4" t="n"/>
      <c r="N693" s="4" t="n"/>
      <c r="O693" s="4">
        <f>IF($A693="","",TEXT($A693,"yyyy")&amp;"-W"&amp;TEXT(ISOWEEKNUM($A693),"00"))</f>
        <v/>
      </c>
      <c r="P693" s="4" t="n"/>
      <c r="Q693" s="14">
        <f>IF($A693="","",TEXT($A693,"yyyy-mm"))</f>
        <v/>
      </c>
    </row>
    <row r="694">
      <c r="A694" s="66" t="n"/>
      <c r="B694" s="4" t="n"/>
      <c r="C694" s="11">
        <f>IFERROR(VLOOKUP($B694,Members!$A:$C,2,FALSE),"")</f>
        <v/>
      </c>
      <c r="D694" s="11">
        <f>IFERROR(VLOOKUP($B694,Members!$A:$C,3,FALSE),"")</f>
        <v/>
      </c>
      <c r="E694" s="11">
        <f>IF($F694="","",IFERROR(VLOOKUP($F694,ActionMap!$A:$B,2,FALSE),"INVALID ACTION"))</f>
        <v/>
      </c>
      <c r="F694" s="4" t="n"/>
      <c r="G694" s="11">
        <f>IFERROR(VLOOKUP($E694,ActionsCatalog!$A:$B,2,FALSE),"")</f>
        <v/>
      </c>
      <c r="H694" s="4" t="n"/>
      <c r="I694" s="4">
        <f>IFERROR(VLOOKUP($E694,ActionsCatalog!$A:$D,3,FALSE),0)</f>
        <v/>
      </c>
      <c r="J694" s="4">
        <f>IFERROR(VLOOKUP($E694,ActionsCatalog!$A:$D,4,FALSE),0)</f>
        <v/>
      </c>
      <c r="K694" s="4">
        <f>IF($M694&lt;&gt;"Yes",0,IF($H694="",0,$H694*$I694))</f>
        <v/>
      </c>
      <c r="L694" s="4">
        <f>IF($M694&lt;&gt;"Yes",0,IF($H694="",0,$H694*$J694))</f>
        <v/>
      </c>
      <c r="M694" s="4" t="n"/>
      <c r="N694" s="4" t="n"/>
      <c r="O694" s="4">
        <f>IF($A694="","",TEXT($A694,"yyyy")&amp;"-W"&amp;TEXT(ISOWEEKNUM($A694),"00"))</f>
        <v/>
      </c>
      <c r="P694" s="4" t="n"/>
      <c r="Q694" s="14">
        <f>IF($A694="","",TEXT($A694,"yyyy-mm"))</f>
        <v/>
      </c>
    </row>
    <row r="695">
      <c r="A695" s="66" t="n"/>
      <c r="B695" s="4" t="n"/>
      <c r="C695" s="11">
        <f>IFERROR(VLOOKUP($B695,Members!$A:$C,2,FALSE),"")</f>
        <v/>
      </c>
      <c r="D695" s="11">
        <f>IFERROR(VLOOKUP($B695,Members!$A:$C,3,FALSE),"")</f>
        <v/>
      </c>
      <c r="E695" s="11">
        <f>IF($F695="","",IFERROR(VLOOKUP($F695,ActionMap!$A:$B,2,FALSE),"INVALID ACTION"))</f>
        <v/>
      </c>
      <c r="F695" s="4" t="n"/>
      <c r="G695" s="11">
        <f>IFERROR(VLOOKUP($E695,ActionsCatalog!$A:$B,2,FALSE),"")</f>
        <v/>
      </c>
      <c r="H695" s="4" t="n"/>
      <c r="I695" s="4">
        <f>IFERROR(VLOOKUP($E695,ActionsCatalog!$A:$D,3,FALSE),0)</f>
        <v/>
      </c>
      <c r="J695" s="4">
        <f>IFERROR(VLOOKUP($E695,ActionsCatalog!$A:$D,4,FALSE),0)</f>
        <v/>
      </c>
      <c r="K695" s="4">
        <f>IF($M695&lt;&gt;"Yes",0,IF($H695="",0,$H695*$I695))</f>
        <v/>
      </c>
      <c r="L695" s="4">
        <f>IF($M695&lt;&gt;"Yes",0,IF($H695="",0,$H695*$J695))</f>
        <v/>
      </c>
      <c r="M695" s="4" t="n"/>
      <c r="N695" s="4" t="n"/>
      <c r="O695" s="4">
        <f>IF($A695="","",TEXT($A695,"yyyy")&amp;"-W"&amp;TEXT(ISOWEEKNUM($A695),"00"))</f>
        <v/>
      </c>
      <c r="P695" s="4" t="n"/>
      <c r="Q695" s="14">
        <f>IF($A695="","",TEXT($A695,"yyyy-mm"))</f>
        <v/>
      </c>
    </row>
    <row r="696">
      <c r="A696" s="66" t="n"/>
      <c r="B696" s="4" t="n"/>
      <c r="C696" s="11">
        <f>IFERROR(VLOOKUP($B696,Members!$A:$C,2,FALSE),"")</f>
        <v/>
      </c>
      <c r="D696" s="11">
        <f>IFERROR(VLOOKUP($B696,Members!$A:$C,3,FALSE),"")</f>
        <v/>
      </c>
      <c r="E696" s="11">
        <f>IF($F696="","",IFERROR(VLOOKUP($F696,ActionMap!$A:$B,2,FALSE),"INVALID ACTION"))</f>
        <v/>
      </c>
      <c r="F696" s="4" t="n"/>
      <c r="G696" s="11">
        <f>IFERROR(VLOOKUP($E696,ActionsCatalog!$A:$B,2,FALSE),"")</f>
        <v/>
      </c>
      <c r="H696" s="4" t="n"/>
      <c r="I696" s="4">
        <f>IFERROR(VLOOKUP($E696,ActionsCatalog!$A:$D,3,FALSE),0)</f>
        <v/>
      </c>
      <c r="J696" s="4">
        <f>IFERROR(VLOOKUP($E696,ActionsCatalog!$A:$D,4,FALSE),0)</f>
        <v/>
      </c>
      <c r="K696" s="4">
        <f>IF($M696&lt;&gt;"Yes",0,IF($H696="",0,$H696*$I696))</f>
        <v/>
      </c>
      <c r="L696" s="4">
        <f>IF($M696&lt;&gt;"Yes",0,IF($H696="",0,$H696*$J696))</f>
        <v/>
      </c>
      <c r="M696" s="4" t="n"/>
      <c r="N696" s="4" t="n"/>
      <c r="O696" s="4">
        <f>IF($A696="","",TEXT($A696,"yyyy")&amp;"-W"&amp;TEXT(ISOWEEKNUM($A696),"00"))</f>
        <v/>
      </c>
      <c r="P696" s="4" t="n"/>
      <c r="Q696" s="14">
        <f>IF($A696="","",TEXT($A696,"yyyy-mm"))</f>
        <v/>
      </c>
    </row>
    <row r="697">
      <c r="A697" s="66" t="n"/>
      <c r="B697" s="4" t="n"/>
      <c r="C697" s="11">
        <f>IFERROR(VLOOKUP($B697,Members!$A:$C,2,FALSE),"")</f>
        <v/>
      </c>
      <c r="D697" s="11">
        <f>IFERROR(VLOOKUP($B697,Members!$A:$C,3,FALSE),"")</f>
        <v/>
      </c>
      <c r="E697" s="11">
        <f>IF($F697="","",IFERROR(VLOOKUP($F697,ActionMap!$A:$B,2,FALSE),"INVALID ACTION"))</f>
        <v/>
      </c>
      <c r="F697" s="4" t="n"/>
      <c r="G697" s="11">
        <f>IFERROR(VLOOKUP($E697,ActionsCatalog!$A:$B,2,FALSE),"")</f>
        <v/>
      </c>
      <c r="H697" s="4" t="n"/>
      <c r="I697" s="4">
        <f>IFERROR(VLOOKUP($E697,ActionsCatalog!$A:$D,3,FALSE),0)</f>
        <v/>
      </c>
      <c r="J697" s="4">
        <f>IFERROR(VLOOKUP($E697,ActionsCatalog!$A:$D,4,FALSE),0)</f>
        <v/>
      </c>
      <c r="K697" s="4">
        <f>IF($M697&lt;&gt;"Yes",0,IF($H697="",0,$H697*$I697))</f>
        <v/>
      </c>
      <c r="L697" s="4">
        <f>IF($M697&lt;&gt;"Yes",0,IF($H697="",0,$H697*$J697))</f>
        <v/>
      </c>
      <c r="M697" s="4" t="n"/>
      <c r="N697" s="4" t="n"/>
      <c r="O697" s="4">
        <f>IF($A697="","",TEXT($A697,"yyyy")&amp;"-W"&amp;TEXT(ISOWEEKNUM($A697),"00"))</f>
        <v/>
      </c>
      <c r="P697" s="4" t="n"/>
      <c r="Q697" s="14">
        <f>IF($A697="","",TEXT($A697,"yyyy-mm"))</f>
        <v/>
      </c>
    </row>
    <row r="698">
      <c r="A698" s="66" t="n"/>
      <c r="B698" s="4" t="n"/>
      <c r="C698" s="11">
        <f>IFERROR(VLOOKUP($B698,Members!$A:$C,2,FALSE),"")</f>
        <v/>
      </c>
      <c r="D698" s="11">
        <f>IFERROR(VLOOKUP($B698,Members!$A:$C,3,FALSE),"")</f>
        <v/>
      </c>
      <c r="E698" s="11">
        <f>IF($F698="","",IFERROR(VLOOKUP($F698,ActionMap!$A:$B,2,FALSE),"INVALID ACTION"))</f>
        <v/>
      </c>
      <c r="F698" s="4" t="n"/>
      <c r="G698" s="11">
        <f>IFERROR(VLOOKUP($E698,ActionsCatalog!$A:$B,2,FALSE),"")</f>
        <v/>
      </c>
      <c r="H698" s="4" t="n"/>
      <c r="I698" s="4">
        <f>IFERROR(VLOOKUP($E698,ActionsCatalog!$A:$D,3,FALSE),0)</f>
        <v/>
      </c>
      <c r="J698" s="4">
        <f>IFERROR(VLOOKUP($E698,ActionsCatalog!$A:$D,4,FALSE),0)</f>
        <v/>
      </c>
      <c r="K698" s="4">
        <f>IF($M698&lt;&gt;"Yes",0,IF($H698="",0,$H698*$I698))</f>
        <v/>
      </c>
      <c r="L698" s="4">
        <f>IF($M698&lt;&gt;"Yes",0,IF($H698="",0,$H698*$J698))</f>
        <v/>
      </c>
      <c r="M698" s="4" t="n"/>
      <c r="N698" s="4" t="n"/>
      <c r="O698" s="4">
        <f>IF($A698="","",TEXT($A698,"yyyy")&amp;"-W"&amp;TEXT(ISOWEEKNUM($A698),"00"))</f>
        <v/>
      </c>
      <c r="P698" s="4" t="n"/>
      <c r="Q698" s="14">
        <f>IF($A698="","",TEXT($A698,"yyyy-mm"))</f>
        <v/>
      </c>
    </row>
    <row r="699">
      <c r="A699" s="66" t="n"/>
      <c r="B699" s="4" t="n"/>
      <c r="C699" s="11">
        <f>IFERROR(VLOOKUP($B699,Members!$A:$C,2,FALSE),"")</f>
        <v/>
      </c>
      <c r="D699" s="11">
        <f>IFERROR(VLOOKUP($B699,Members!$A:$C,3,FALSE),"")</f>
        <v/>
      </c>
      <c r="E699" s="11">
        <f>IF($F699="","",IFERROR(VLOOKUP($F699,ActionMap!$A:$B,2,FALSE),"INVALID ACTION"))</f>
        <v/>
      </c>
      <c r="F699" s="4" t="n"/>
      <c r="G699" s="11">
        <f>IFERROR(VLOOKUP($E699,ActionsCatalog!$A:$B,2,FALSE),"")</f>
        <v/>
      </c>
      <c r="H699" s="4" t="n"/>
      <c r="I699" s="4">
        <f>IFERROR(VLOOKUP($E699,ActionsCatalog!$A:$D,3,FALSE),0)</f>
        <v/>
      </c>
      <c r="J699" s="4">
        <f>IFERROR(VLOOKUP($E699,ActionsCatalog!$A:$D,4,FALSE),0)</f>
        <v/>
      </c>
      <c r="K699" s="4">
        <f>IF($M699&lt;&gt;"Yes",0,IF($H699="",0,$H699*$I699))</f>
        <v/>
      </c>
      <c r="L699" s="4">
        <f>IF($M699&lt;&gt;"Yes",0,IF($H699="",0,$H699*$J699))</f>
        <v/>
      </c>
      <c r="M699" s="4" t="n"/>
      <c r="N699" s="4" t="n"/>
      <c r="O699" s="4">
        <f>IF($A699="","",TEXT($A699,"yyyy")&amp;"-W"&amp;TEXT(ISOWEEKNUM($A699),"00"))</f>
        <v/>
      </c>
      <c r="P699" s="4" t="n"/>
      <c r="Q699" s="14">
        <f>IF($A699="","",TEXT($A699,"yyyy-mm"))</f>
        <v/>
      </c>
    </row>
    <row r="700">
      <c r="A700" s="66" t="n"/>
      <c r="B700" s="4" t="n"/>
      <c r="C700" s="11">
        <f>IFERROR(VLOOKUP($B700,Members!$A:$C,2,FALSE),"")</f>
        <v/>
      </c>
      <c r="D700" s="11">
        <f>IFERROR(VLOOKUP($B700,Members!$A:$C,3,FALSE),"")</f>
        <v/>
      </c>
      <c r="E700" s="11">
        <f>IF($F700="","",IFERROR(VLOOKUP($F700,ActionMap!$A:$B,2,FALSE),"INVALID ACTION"))</f>
        <v/>
      </c>
      <c r="F700" s="4" t="n"/>
      <c r="G700" s="11">
        <f>IFERROR(VLOOKUP($E700,ActionsCatalog!$A:$B,2,FALSE),"")</f>
        <v/>
      </c>
      <c r="H700" s="4" t="n"/>
      <c r="I700" s="4">
        <f>IFERROR(VLOOKUP($E700,ActionsCatalog!$A:$D,3,FALSE),0)</f>
        <v/>
      </c>
      <c r="J700" s="4">
        <f>IFERROR(VLOOKUP($E700,ActionsCatalog!$A:$D,4,FALSE),0)</f>
        <v/>
      </c>
      <c r="K700" s="4">
        <f>IF($M700&lt;&gt;"Yes",0,IF($H700="",0,$H700*$I700))</f>
        <v/>
      </c>
      <c r="L700" s="4">
        <f>IF($M700&lt;&gt;"Yes",0,IF($H700="",0,$H700*$J700))</f>
        <v/>
      </c>
      <c r="M700" s="4" t="n"/>
      <c r="N700" s="4" t="n"/>
      <c r="O700" s="4">
        <f>IF($A700="","",TEXT($A700,"yyyy")&amp;"-W"&amp;TEXT(ISOWEEKNUM($A700),"00"))</f>
        <v/>
      </c>
      <c r="P700" s="4" t="n"/>
      <c r="Q700" s="14">
        <f>IF($A700="","",TEXT($A700,"yyyy-mm"))</f>
        <v/>
      </c>
    </row>
    <row r="701">
      <c r="A701" s="66" t="n"/>
      <c r="B701" s="4" t="n"/>
      <c r="C701" s="11">
        <f>IFERROR(VLOOKUP($B701,Members!$A:$C,2,FALSE),"")</f>
        <v/>
      </c>
      <c r="D701" s="11">
        <f>IFERROR(VLOOKUP($B701,Members!$A:$C,3,FALSE),"")</f>
        <v/>
      </c>
      <c r="E701" s="11">
        <f>IF($F701="","",IFERROR(VLOOKUP($F701,ActionMap!$A:$B,2,FALSE),"INVALID ACTION"))</f>
        <v/>
      </c>
      <c r="F701" s="4" t="n"/>
      <c r="G701" s="11">
        <f>IFERROR(VLOOKUP($E701,ActionsCatalog!$A:$B,2,FALSE),"")</f>
        <v/>
      </c>
      <c r="H701" s="4" t="n"/>
      <c r="I701" s="4">
        <f>IFERROR(VLOOKUP($E701,ActionsCatalog!$A:$D,3,FALSE),0)</f>
        <v/>
      </c>
      <c r="J701" s="4">
        <f>IFERROR(VLOOKUP($E701,ActionsCatalog!$A:$D,4,FALSE),0)</f>
        <v/>
      </c>
      <c r="K701" s="4">
        <f>IF($M701&lt;&gt;"Yes",0,IF($H701="",0,$H701*$I701))</f>
        <v/>
      </c>
      <c r="L701" s="4">
        <f>IF($M701&lt;&gt;"Yes",0,IF($H701="",0,$H701*$J701))</f>
        <v/>
      </c>
      <c r="M701" s="4" t="n"/>
      <c r="N701" s="4" t="n"/>
      <c r="O701" s="4">
        <f>IF($A701="","",TEXT($A701,"yyyy")&amp;"-W"&amp;TEXT(ISOWEEKNUM($A701),"00"))</f>
        <v/>
      </c>
      <c r="P701" s="4" t="n"/>
      <c r="Q701" s="14">
        <f>IF($A701="","",TEXT($A701,"yyyy-mm"))</f>
        <v/>
      </c>
    </row>
    <row r="702">
      <c r="A702" s="66" t="n"/>
      <c r="B702" s="4" t="n"/>
      <c r="C702" s="11">
        <f>IFERROR(VLOOKUP($B702,Members!$A:$C,2,FALSE),"")</f>
        <v/>
      </c>
      <c r="D702" s="11">
        <f>IFERROR(VLOOKUP($B702,Members!$A:$C,3,FALSE),"")</f>
        <v/>
      </c>
      <c r="E702" s="11">
        <f>IF($F702="","",IFERROR(VLOOKUP($F702,ActionMap!$A:$B,2,FALSE),"INVALID ACTION"))</f>
        <v/>
      </c>
      <c r="F702" s="4" t="n"/>
      <c r="G702" s="11">
        <f>IFERROR(VLOOKUP($E702,ActionsCatalog!$A:$B,2,FALSE),"")</f>
        <v/>
      </c>
      <c r="H702" s="4" t="n"/>
      <c r="I702" s="4">
        <f>IFERROR(VLOOKUP($E702,ActionsCatalog!$A:$D,3,FALSE),0)</f>
        <v/>
      </c>
      <c r="J702" s="4">
        <f>IFERROR(VLOOKUP($E702,ActionsCatalog!$A:$D,4,FALSE),0)</f>
        <v/>
      </c>
      <c r="K702" s="4">
        <f>IF($M702&lt;&gt;"Yes",0,IF($H702="",0,$H702*$I702))</f>
        <v/>
      </c>
      <c r="L702" s="4">
        <f>IF($M702&lt;&gt;"Yes",0,IF($H702="",0,$H702*$J702))</f>
        <v/>
      </c>
      <c r="M702" s="4" t="n"/>
      <c r="N702" s="4" t="n"/>
      <c r="O702" s="4">
        <f>IF($A702="","",TEXT($A702,"yyyy")&amp;"-W"&amp;TEXT(ISOWEEKNUM($A702),"00"))</f>
        <v/>
      </c>
      <c r="P702" s="4" t="n"/>
      <c r="Q702" s="14">
        <f>IF($A702="","",TEXT($A702,"yyyy-mm"))</f>
        <v/>
      </c>
    </row>
    <row r="703">
      <c r="A703" s="66" t="n"/>
      <c r="B703" s="4" t="n"/>
      <c r="C703" s="11">
        <f>IFERROR(VLOOKUP($B703,Members!$A:$C,2,FALSE),"")</f>
        <v/>
      </c>
      <c r="D703" s="11">
        <f>IFERROR(VLOOKUP($B703,Members!$A:$C,3,FALSE),"")</f>
        <v/>
      </c>
      <c r="E703" s="11">
        <f>IF($F703="","",IFERROR(VLOOKUP($F703,ActionMap!$A:$B,2,FALSE),"INVALID ACTION"))</f>
        <v/>
      </c>
      <c r="F703" s="4" t="n"/>
      <c r="G703" s="11">
        <f>IFERROR(VLOOKUP($E703,ActionsCatalog!$A:$B,2,FALSE),"")</f>
        <v/>
      </c>
      <c r="H703" s="4" t="n"/>
      <c r="I703" s="4">
        <f>IFERROR(VLOOKUP($E703,ActionsCatalog!$A:$D,3,FALSE),0)</f>
        <v/>
      </c>
      <c r="J703" s="4">
        <f>IFERROR(VLOOKUP($E703,ActionsCatalog!$A:$D,4,FALSE),0)</f>
        <v/>
      </c>
      <c r="K703" s="4">
        <f>IF($M703&lt;&gt;"Yes",0,IF($H703="",0,$H703*$I703))</f>
        <v/>
      </c>
      <c r="L703" s="4">
        <f>IF($M703&lt;&gt;"Yes",0,IF($H703="",0,$H703*$J703))</f>
        <v/>
      </c>
      <c r="M703" s="4" t="n"/>
      <c r="N703" s="4" t="n"/>
      <c r="O703" s="4">
        <f>IF($A703="","",TEXT($A703,"yyyy")&amp;"-W"&amp;TEXT(ISOWEEKNUM($A703),"00"))</f>
        <v/>
      </c>
      <c r="P703" s="4" t="n"/>
      <c r="Q703" s="14">
        <f>IF($A703="","",TEXT($A703,"yyyy-mm"))</f>
        <v/>
      </c>
    </row>
    <row r="704">
      <c r="A704" s="66" t="n"/>
      <c r="B704" s="4" t="n"/>
      <c r="C704" s="11">
        <f>IFERROR(VLOOKUP($B704,Members!$A:$C,2,FALSE),"")</f>
        <v/>
      </c>
      <c r="D704" s="11">
        <f>IFERROR(VLOOKUP($B704,Members!$A:$C,3,FALSE),"")</f>
        <v/>
      </c>
      <c r="E704" s="11">
        <f>IF($F704="","",IFERROR(VLOOKUP($F704,ActionMap!$A:$B,2,FALSE),"INVALID ACTION"))</f>
        <v/>
      </c>
      <c r="F704" s="4" t="n"/>
      <c r="G704" s="11">
        <f>IFERROR(VLOOKUP($E704,ActionsCatalog!$A:$B,2,FALSE),"")</f>
        <v/>
      </c>
      <c r="H704" s="4" t="n"/>
      <c r="I704" s="4">
        <f>IFERROR(VLOOKUP($E704,ActionsCatalog!$A:$D,3,FALSE),0)</f>
        <v/>
      </c>
      <c r="J704" s="4">
        <f>IFERROR(VLOOKUP($E704,ActionsCatalog!$A:$D,4,FALSE),0)</f>
        <v/>
      </c>
      <c r="K704" s="4">
        <f>IF($M704&lt;&gt;"Yes",0,IF($H704="",0,$H704*$I704))</f>
        <v/>
      </c>
      <c r="L704" s="4">
        <f>IF($M704&lt;&gt;"Yes",0,IF($H704="",0,$H704*$J704))</f>
        <v/>
      </c>
      <c r="M704" s="4" t="n"/>
      <c r="N704" s="4" t="n"/>
      <c r="O704" s="4">
        <f>IF($A704="","",TEXT($A704,"yyyy")&amp;"-W"&amp;TEXT(ISOWEEKNUM($A704),"00"))</f>
        <v/>
      </c>
      <c r="P704" s="4" t="n"/>
      <c r="Q704" s="14">
        <f>IF($A704="","",TEXT($A704,"yyyy-mm"))</f>
        <v/>
      </c>
    </row>
    <row r="705">
      <c r="A705" s="66" t="n"/>
      <c r="B705" s="4" t="n"/>
      <c r="C705" s="11">
        <f>IFERROR(VLOOKUP($B705,Members!$A:$C,2,FALSE),"")</f>
        <v/>
      </c>
      <c r="D705" s="11">
        <f>IFERROR(VLOOKUP($B705,Members!$A:$C,3,FALSE),"")</f>
        <v/>
      </c>
      <c r="E705" s="11">
        <f>IF($F705="","",IFERROR(VLOOKUP($F705,ActionMap!$A:$B,2,FALSE),"INVALID ACTION"))</f>
        <v/>
      </c>
      <c r="F705" s="4" t="n"/>
      <c r="G705" s="11">
        <f>IFERROR(VLOOKUP($E705,ActionsCatalog!$A:$B,2,FALSE),"")</f>
        <v/>
      </c>
      <c r="H705" s="4" t="n"/>
      <c r="I705" s="4">
        <f>IFERROR(VLOOKUP($E705,ActionsCatalog!$A:$D,3,FALSE),0)</f>
        <v/>
      </c>
      <c r="J705" s="4">
        <f>IFERROR(VLOOKUP($E705,ActionsCatalog!$A:$D,4,FALSE),0)</f>
        <v/>
      </c>
      <c r="K705" s="4">
        <f>IF($M705&lt;&gt;"Yes",0,IF($H705="",0,$H705*$I705))</f>
        <v/>
      </c>
      <c r="L705" s="4">
        <f>IF($M705&lt;&gt;"Yes",0,IF($H705="",0,$H705*$J705))</f>
        <v/>
      </c>
      <c r="M705" s="4" t="n"/>
      <c r="N705" s="4" t="n"/>
      <c r="O705" s="4">
        <f>IF($A705="","",TEXT($A705,"yyyy")&amp;"-W"&amp;TEXT(ISOWEEKNUM($A705),"00"))</f>
        <v/>
      </c>
      <c r="P705" s="4" t="n"/>
      <c r="Q705" s="14">
        <f>IF($A705="","",TEXT($A705,"yyyy-mm"))</f>
        <v/>
      </c>
    </row>
    <row r="706">
      <c r="A706" s="66" t="n"/>
      <c r="B706" s="4" t="n"/>
      <c r="C706" s="11">
        <f>IFERROR(VLOOKUP($B706,Members!$A:$C,2,FALSE),"")</f>
        <v/>
      </c>
      <c r="D706" s="11">
        <f>IFERROR(VLOOKUP($B706,Members!$A:$C,3,FALSE),"")</f>
        <v/>
      </c>
      <c r="E706" s="11">
        <f>IF($F706="","",IFERROR(VLOOKUP($F706,ActionMap!$A:$B,2,FALSE),"INVALID ACTION"))</f>
        <v/>
      </c>
      <c r="F706" s="4" t="n"/>
      <c r="G706" s="11">
        <f>IFERROR(VLOOKUP($E706,ActionsCatalog!$A:$B,2,FALSE),"")</f>
        <v/>
      </c>
      <c r="H706" s="4" t="n"/>
      <c r="I706" s="4">
        <f>IFERROR(VLOOKUP($E706,ActionsCatalog!$A:$D,3,FALSE),0)</f>
        <v/>
      </c>
      <c r="J706" s="4">
        <f>IFERROR(VLOOKUP($E706,ActionsCatalog!$A:$D,4,FALSE),0)</f>
        <v/>
      </c>
      <c r="K706" s="4">
        <f>IF($M706&lt;&gt;"Yes",0,IF($H706="",0,$H706*$I706))</f>
        <v/>
      </c>
      <c r="L706" s="4">
        <f>IF($M706&lt;&gt;"Yes",0,IF($H706="",0,$H706*$J706))</f>
        <v/>
      </c>
      <c r="M706" s="4" t="n"/>
      <c r="N706" s="4" t="n"/>
      <c r="O706" s="4">
        <f>IF($A706="","",TEXT($A706,"yyyy")&amp;"-W"&amp;TEXT(ISOWEEKNUM($A706),"00"))</f>
        <v/>
      </c>
      <c r="P706" s="4" t="n"/>
      <c r="Q706" s="14">
        <f>IF($A706="","",TEXT($A706,"yyyy-mm"))</f>
        <v/>
      </c>
    </row>
    <row r="707">
      <c r="A707" s="66" t="n"/>
      <c r="B707" s="4" t="n"/>
      <c r="C707" s="11">
        <f>IFERROR(VLOOKUP($B707,Members!$A:$C,2,FALSE),"")</f>
        <v/>
      </c>
      <c r="D707" s="11">
        <f>IFERROR(VLOOKUP($B707,Members!$A:$C,3,FALSE),"")</f>
        <v/>
      </c>
      <c r="E707" s="11">
        <f>IF($F707="","",IFERROR(VLOOKUP($F707,ActionMap!$A:$B,2,FALSE),"INVALID ACTION"))</f>
        <v/>
      </c>
      <c r="F707" s="4" t="n"/>
      <c r="G707" s="11">
        <f>IFERROR(VLOOKUP($E707,ActionsCatalog!$A:$B,2,FALSE),"")</f>
        <v/>
      </c>
      <c r="H707" s="4" t="n"/>
      <c r="I707" s="4">
        <f>IFERROR(VLOOKUP($E707,ActionsCatalog!$A:$D,3,FALSE),0)</f>
        <v/>
      </c>
      <c r="J707" s="4">
        <f>IFERROR(VLOOKUP($E707,ActionsCatalog!$A:$D,4,FALSE),0)</f>
        <v/>
      </c>
      <c r="K707" s="4">
        <f>IF($M707&lt;&gt;"Yes",0,IF($H707="",0,$H707*$I707))</f>
        <v/>
      </c>
      <c r="L707" s="4">
        <f>IF($M707&lt;&gt;"Yes",0,IF($H707="",0,$H707*$J707))</f>
        <v/>
      </c>
      <c r="M707" s="4" t="n"/>
      <c r="N707" s="4" t="n"/>
      <c r="O707" s="4">
        <f>IF($A707="","",TEXT($A707,"yyyy")&amp;"-W"&amp;TEXT(ISOWEEKNUM($A707),"00"))</f>
        <v/>
      </c>
      <c r="P707" s="4" t="n"/>
      <c r="Q707" s="14">
        <f>IF($A707="","",TEXT($A707,"yyyy-mm"))</f>
        <v/>
      </c>
    </row>
    <row r="708">
      <c r="A708" s="66" t="n"/>
      <c r="B708" s="4" t="n"/>
      <c r="C708" s="11">
        <f>IFERROR(VLOOKUP($B708,Members!$A:$C,2,FALSE),"")</f>
        <v/>
      </c>
      <c r="D708" s="11">
        <f>IFERROR(VLOOKUP($B708,Members!$A:$C,3,FALSE),"")</f>
        <v/>
      </c>
      <c r="E708" s="11">
        <f>IF($F708="","",IFERROR(VLOOKUP($F708,ActionMap!$A:$B,2,FALSE),"INVALID ACTION"))</f>
        <v/>
      </c>
      <c r="F708" s="4" t="n"/>
      <c r="G708" s="11">
        <f>IFERROR(VLOOKUP($E708,ActionsCatalog!$A:$B,2,FALSE),"")</f>
        <v/>
      </c>
      <c r="H708" s="4" t="n"/>
      <c r="I708" s="4">
        <f>IFERROR(VLOOKUP($E708,ActionsCatalog!$A:$D,3,FALSE),0)</f>
        <v/>
      </c>
      <c r="J708" s="4">
        <f>IFERROR(VLOOKUP($E708,ActionsCatalog!$A:$D,4,FALSE),0)</f>
        <v/>
      </c>
      <c r="K708" s="4">
        <f>IF($M708&lt;&gt;"Yes",0,IF($H708="",0,$H708*$I708))</f>
        <v/>
      </c>
      <c r="L708" s="4">
        <f>IF($M708&lt;&gt;"Yes",0,IF($H708="",0,$H708*$J708))</f>
        <v/>
      </c>
      <c r="M708" s="4" t="n"/>
      <c r="N708" s="4" t="n"/>
      <c r="O708" s="4">
        <f>IF($A708="","",TEXT($A708,"yyyy")&amp;"-W"&amp;TEXT(ISOWEEKNUM($A708),"00"))</f>
        <v/>
      </c>
      <c r="P708" s="4" t="n"/>
      <c r="Q708" s="14">
        <f>IF($A708="","",TEXT($A708,"yyyy-mm"))</f>
        <v/>
      </c>
    </row>
    <row r="709">
      <c r="A709" s="66" t="n"/>
      <c r="B709" s="4" t="n"/>
      <c r="C709" s="11">
        <f>IFERROR(VLOOKUP($B709,Members!$A:$C,2,FALSE),"")</f>
        <v/>
      </c>
      <c r="D709" s="11">
        <f>IFERROR(VLOOKUP($B709,Members!$A:$C,3,FALSE),"")</f>
        <v/>
      </c>
      <c r="E709" s="11">
        <f>IF($F709="","",IFERROR(VLOOKUP($F709,ActionMap!$A:$B,2,FALSE),"INVALID ACTION"))</f>
        <v/>
      </c>
      <c r="F709" s="4" t="n"/>
      <c r="G709" s="11">
        <f>IFERROR(VLOOKUP($E709,ActionsCatalog!$A:$B,2,FALSE),"")</f>
        <v/>
      </c>
      <c r="H709" s="4" t="n"/>
      <c r="I709" s="4">
        <f>IFERROR(VLOOKUP($E709,ActionsCatalog!$A:$D,3,FALSE),0)</f>
        <v/>
      </c>
      <c r="J709" s="4">
        <f>IFERROR(VLOOKUP($E709,ActionsCatalog!$A:$D,4,FALSE),0)</f>
        <v/>
      </c>
      <c r="K709" s="4">
        <f>IF($M709&lt;&gt;"Yes",0,IF($H709="",0,$H709*$I709))</f>
        <v/>
      </c>
      <c r="L709" s="4">
        <f>IF($M709&lt;&gt;"Yes",0,IF($H709="",0,$H709*$J709))</f>
        <v/>
      </c>
      <c r="M709" s="4" t="n"/>
      <c r="N709" s="4" t="n"/>
      <c r="O709" s="4">
        <f>IF($A709="","",TEXT($A709,"yyyy")&amp;"-W"&amp;TEXT(ISOWEEKNUM($A709),"00"))</f>
        <v/>
      </c>
      <c r="P709" s="4" t="n"/>
      <c r="Q709" s="14">
        <f>IF($A709="","",TEXT($A709,"yyyy-mm"))</f>
        <v/>
      </c>
    </row>
    <row r="710">
      <c r="A710" s="66" t="n"/>
      <c r="B710" s="4" t="n"/>
      <c r="C710" s="11">
        <f>IFERROR(VLOOKUP($B710,Members!$A:$C,2,FALSE),"")</f>
        <v/>
      </c>
      <c r="D710" s="11">
        <f>IFERROR(VLOOKUP($B710,Members!$A:$C,3,FALSE),"")</f>
        <v/>
      </c>
      <c r="E710" s="11">
        <f>IF($F710="","",IFERROR(VLOOKUP($F710,ActionMap!$A:$B,2,FALSE),"INVALID ACTION"))</f>
        <v/>
      </c>
      <c r="F710" s="4" t="n"/>
      <c r="G710" s="11">
        <f>IFERROR(VLOOKUP($E710,ActionsCatalog!$A:$B,2,FALSE),"")</f>
        <v/>
      </c>
      <c r="H710" s="4" t="n"/>
      <c r="I710" s="4">
        <f>IFERROR(VLOOKUP($E710,ActionsCatalog!$A:$D,3,FALSE),0)</f>
        <v/>
      </c>
      <c r="J710" s="4">
        <f>IFERROR(VLOOKUP($E710,ActionsCatalog!$A:$D,4,FALSE),0)</f>
        <v/>
      </c>
      <c r="K710" s="4">
        <f>IF($M710&lt;&gt;"Yes",0,IF($H710="",0,$H710*$I710))</f>
        <v/>
      </c>
      <c r="L710" s="4">
        <f>IF($M710&lt;&gt;"Yes",0,IF($H710="",0,$H710*$J710))</f>
        <v/>
      </c>
      <c r="M710" s="4" t="n"/>
      <c r="N710" s="4" t="n"/>
      <c r="O710" s="4">
        <f>IF($A710="","",TEXT($A710,"yyyy")&amp;"-W"&amp;TEXT(ISOWEEKNUM($A710),"00"))</f>
        <v/>
      </c>
      <c r="P710" s="4" t="n"/>
      <c r="Q710" s="14">
        <f>IF($A710="","",TEXT($A710,"yyyy-mm"))</f>
        <v/>
      </c>
    </row>
    <row r="711">
      <c r="A711" s="66" t="n"/>
      <c r="B711" s="4" t="n"/>
      <c r="C711" s="11">
        <f>IFERROR(VLOOKUP($B711,Members!$A:$C,2,FALSE),"")</f>
        <v/>
      </c>
      <c r="D711" s="11">
        <f>IFERROR(VLOOKUP($B711,Members!$A:$C,3,FALSE),"")</f>
        <v/>
      </c>
      <c r="E711" s="11">
        <f>IF($F711="","",IFERROR(VLOOKUP($F711,ActionMap!$A:$B,2,FALSE),"INVALID ACTION"))</f>
        <v/>
      </c>
      <c r="F711" s="4" t="n"/>
      <c r="G711" s="11">
        <f>IFERROR(VLOOKUP($E711,ActionsCatalog!$A:$B,2,FALSE),"")</f>
        <v/>
      </c>
      <c r="H711" s="4" t="n"/>
      <c r="I711" s="4">
        <f>IFERROR(VLOOKUP($E711,ActionsCatalog!$A:$D,3,FALSE),0)</f>
        <v/>
      </c>
      <c r="J711" s="4">
        <f>IFERROR(VLOOKUP($E711,ActionsCatalog!$A:$D,4,FALSE),0)</f>
        <v/>
      </c>
      <c r="K711" s="4">
        <f>IF($M711&lt;&gt;"Yes",0,IF($H711="",0,$H711*$I711))</f>
        <v/>
      </c>
      <c r="L711" s="4">
        <f>IF($M711&lt;&gt;"Yes",0,IF($H711="",0,$H711*$J711))</f>
        <v/>
      </c>
      <c r="M711" s="4" t="n"/>
      <c r="N711" s="4" t="n"/>
      <c r="O711" s="4">
        <f>IF($A711="","",TEXT($A711,"yyyy")&amp;"-W"&amp;TEXT(ISOWEEKNUM($A711),"00"))</f>
        <v/>
      </c>
      <c r="P711" s="4" t="n"/>
      <c r="Q711" s="14">
        <f>IF($A711="","",TEXT($A711,"yyyy-mm"))</f>
        <v/>
      </c>
    </row>
    <row r="712">
      <c r="A712" s="66" t="n"/>
      <c r="B712" s="4" t="n"/>
      <c r="C712" s="11">
        <f>IFERROR(VLOOKUP($B712,Members!$A:$C,2,FALSE),"")</f>
        <v/>
      </c>
      <c r="D712" s="11">
        <f>IFERROR(VLOOKUP($B712,Members!$A:$C,3,FALSE),"")</f>
        <v/>
      </c>
      <c r="E712" s="11">
        <f>IF($F712="","",IFERROR(VLOOKUP($F712,ActionMap!$A:$B,2,FALSE),"INVALID ACTION"))</f>
        <v/>
      </c>
      <c r="F712" s="4" t="n"/>
      <c r="G712" s="11">
        <f>IFERROR(VLOOKUP($E712,ActionsCatalog!$A:$B,2,FALSE),"")</f>
        <v/>
      </c>
      <c r="H712" s="4" t="n"/>
      <c r="I712" s="4">
        <f>IFERROR(VLOOKUP($E712,ActionsCatalog!$A:$D,3,FALSE),0)</f>
        <v/>
      </c>
      <c r="J712" s="4">
        <f>IFERROR(VLOOKUP($E712,ActionsCatalog!$A:$D,4,FALSE),0)</f>
        <v/>
      </c>
      <c r="K712" s="4">
        <f>IF($M712&lt;&gt;"Yes",0,IF($H712="",0,$H712*$I712))</f>
        <v/>
      </c>
      <c r="L712" s="4">
        <f>IF($M712&lt;&gt;"Yes",0,IF($H712="",0,$H712*$J712))</f>
        <v/>
      </c>
      <c r="M712" s="4" t="n"/>
      <c r="N712" s="4" t="n"/>
      <c r="O712" s="4">
        <f>IF($A712="","",TEXT($A712,"yyyy")&amp;"-W"&amp;TEXT(ISOWEEKNUM($A712),"00"))</f>
        <v/>
      </c>
      <c r="P712" s="4" t="n"/>
      <c r="Q712" s="14">
        <f>IF($A712="","",TEXT($A712,"yyyy-mm"))</f>
        <v/>
      </c>
    </row>
    <row r="713">
      <c r="A713" s="66" t="n"/>
      <c r="B713" s="4" t="n"/>
      <c r="C713" s="11">
        <f>IFERROR(VLOOKUP($B713,Members!$A:$C,2,FALSE),"")</f>
        <v/>
      </c>
      <c r="D713" s="11">
        <f>IFERROR(VLOOKUP($B713,Members!$A:$C,3,FALSE),"")</f>
        <v/>
      </c>
      <c r="E713" s="11">
        <f>IF($F713="","",IFERROR(VLOOKUP($F713,ActionMap!$A:$B,2,FALSE),"INVALID ACTION"))</f>
        <v/>
      </c>
      <c r="F713" s="4" t="n"/>
      <c r="G713" s="11">
        <f>IFERROR(VLOOKUP($E713,ActionsCatalog!$A:$B,2,FALSE),"")</f>
        <v/>
      </c>
      <c r="H713" s="4" t="n"/>
      <c r="I713" s="4">
        <f>IFERROR(VLOOKUP($E713,ActionsCatalog!$A:$D,3,FALSE),0)</f>
        <v/>
      </c>
      <c r="J713" s="4">
        <f>IFERROR(VLOOKUP($E713,ActionsCatalog!$A:$D,4,FALSE),0)</f>
        <v/>
      </c>
      <c r="K713" s="4">
        <f>IF($M713&lt;&gt;"Yes",0,IF($H713="",0,$H713*$I713))</f>
        <v/>
      </c>
      <c r="L713" s="4">
        <f>IF($M713&lt;&gt;"Yes",0,IF($H713="",0,$H713*$J713))</f>
        <v/>
      </c>
      <c r="M713" s="4" t="n"/>
      <c r="N713" s="4" t="n"/>
      <c r="O713" s="4">
        <f>IF($A713="","",TEXT($A713,"yyyy")&amp;"-W"&amp;TEXT(ISOWEEKNUM($A713),"00"))</f>
        <v/>
      </c>
      <c r="P713" s="4" t="n"/>
      <c r="Q713" s="14">
        <f>IF($A713="","",TEXT($A713,"yyyy-mm"))</f>
        <v/>
      </c>
    </row>
    <row r="714">
      <c r="A714" s="66" t="n"/>
      <c r="B714" s="4" t="n"/>
      <c r="C714" s="11">
        <f>IFERROR(VLOOKUP($B714,Members!$A:$C,2,FALSE),"")</f>
        <v/>
      </c>
      <c r="D714" s="11">
        <f>IFERROR(VLOOKUP($B714,Members!$A:$C,3,FALSE),"")</f>
        <v/>
      </c>
      <c r="E714" s="11">
        <f>IF($F714="","",IFERROR(VLOOKUP($F714,ActionMap!$A:$B,2,FALSE),"INVALID ACTION"))</f>
        <v/>
      </c>
      <c r="F714" s="4" t="n"/>
      <c r="G714" s="11">
        <f>IFERROR(VLOOKUP($E714,ActionsCatalog!$A:$B,2,FALSE),"")</f>
        <v/>
      </c>
      <c r="H714" s="4" t="n"/>
      <c r="I714" s="4">
        <f>IFERROR(VLOOKUP($E714,ActionsCatalog!$A:$D,3,FALSE),0)</f>
        <v/>
      </c>
      <c r="J714" s="4">
        <f>IFERROR(VLOOKUP($E714,ActionsCatalog!$A:$D,4,FALSE),0)</f>
        <v/>
      </c>
      <c r="K714" s="4">
        <f>IF($M714&lt;&gt;"Yes",0,IF($H714="",0,$H714*$I714))</f>
        <v/>
      </c>
      <c r="L714" s="4">
        <f>IF($M714&lt;&gt;"Yes",0,IF($H714="",0,$H714*$J714))</f>
        <v/>
      </c>
      <c r="M714" s="4" t="n"/>
      <c r="N714" s="4" t="n"/>
      <c r="O714" s="4">
        <f>IF($A714="","",TEXT($A714,"yyyy")&amp;"-W"&amp;TEXT(ISOWEEKNUM($A714),"00"))</f>
        <v/>
      </c>
      <c r="P714" s="4" t="n"/>
      <c r="Q714" s="14">
        <f>IF($A714="","",TEXT($A714,"yyyy-mm"))</f>
        <v/>
      </c>
    </row>
    <row r="715">
      <c r="A715" s="66" t="n"/>
      <c r="B715" s="4" t="n"/>
      <c r="C715" s="11">
        <f>IFERROR(VLOOKUP($B715,Members!$A:$C,2,FALSE),"")</f>
        <v/>
      </c>
      <c r="D715" s="11">
        <f>IFERROR(VLOOKUP($B715,Members!$A:$C,3,FALSE),"")</f>
        <v/>
      </c>
      <c r="E715" s="11">
        <f>IF($F715="","",IFERROR(VLOOKUP($F715,ActionMap!$A:$B,2,FALSE),"INVALID ACTION"))</f>
        <v/>
      </c>
      <c r="F715" s="4" t="n"/>
      <c r="G715" s="11">
        <f>IFERROR(VLOOKUP($E715,ActionsCatalog!$A:$B,2,FALSE),"")</f>
        <v/>
      </c>
      <c r="H715" s="4" t="n"/>
      <c r="I715" s="4">
        <f>IFERROR(VLOOKUP($E715,ActionsCatalog!$A:$D,3,FALSE),0)</f>
        <v/>
      </c>
      <c r="J715" s="4">
        <f>IFERROR(VLOOKUP($E715,ActionsCatalog!$A:$D,4,FALSE),0)</f>
        <v/>
      </c>
      <c r="K715" s="4">
        <f>IF($M715&lt;&gt;"Yes",0,IF($H715="",0,$H715*$I715))</f>
        <v/>
      </c>
      <c r="L715" s="4">
        <f>IF($M715&lt;&gt;"Yes",0,IF($H715="",0,$H715*$J715))</f>
        <v/>
      </c>
      <c r="M715" s="4" t="n"/>
      <c r="N715" s="4" t="n"/>
      <c r="O715" s="4">
        <f>IF($A715="","",TEXT($A715,"yyyy")&amp;"-W"&amp;TEXT(ISOWEEKNUM($A715),"00"))</f>
        <v/>
      </c>
      <c r="P715" s="4" t="n"/>
      <c r="Q715" s="14">
        <f>IF($A715="","",TEXT($A715,"yyyy-mm"))</f>
        <v/>
      </c>
    </row>
    <row r="716">
      <c r="A716" s="66" t="n"/>
      <c r="B716" s="4" t="n"/>
      <c r="C716" s="11">
        <f>IFERROR(VLOOKUP($B716,Members!$A:$C,2,FALSE),"")</f>
        <v/>
      </c>
      <c r="D716" s="11">
        <f>IFERROR(VLOOKUP($B716,Members!$A:$C,3,FALSE),"")</f>
        <v/>
      </c>
      <c r="E716" s="11">
        <f>IF($F716="","",IFERROR(VLOOKUP($F716,ActionMap!$A:$B,2,FALSE),"INVALID ACTION"))</f>
        <v/>
      </c>
      <c r="F716" s="4" t="n"/>
      <c r="G716" s="11">
        <f>IFERROR(VLOOKUP($E716,ActionsCatalog!$A:$B,2,FALSE),"")</f>
        <v/>
      </c>
      <c r="H716" s="4" t="n"/>
      <c r="I716" s="4">
        <f>IFERROR(VLOOKUP($E716,ActionsCatalog!$A:$D,3,FALSE),0)</f>
        <v/>
      </c>
      <c r="J716" s="4">
        <f>IFERROR(VLOOKUP($E716,ActionsCatalog!$A:$D,4,FALSE),0)</f>
        <v/>
      </c>
      <c r="K716" s="4">
        <f>IF($M716&lt;&gt;"Yes",0,IF($H716="",0,$H716*$I716))</f>
        <v/>
      </c>
      <c r="L716" s="4">
        <f>IF($M716&lt;&gt;"Yes",0,IF($H716="",0,$H716*$J716))</f>
        <v/>
      </c>
      <c r="M716" s="4" t="n"/>
      <c r="N716" s="4" t="n"/>
      <c r="O716" s="4">
        <f>IF($A716="","",TEXT($A716,"yyyy")&amp;"-W"&amp;TEXT(ISOWEEKNUM($A716),"00"))</f>
        <v/>
      </c>
      <c r="P716" s="4" t="n"/>
      <c r="Q716" s="14">
        <f>IF($A716="","",TEXT($A716,"yyyy-mm"))</f>
        <v/>
      </c>
    </row>
    <row r="717">
      <c r="A717" s="66" t="n"/>
      <c r="B717" s="4" t="n"/>
      <c r="C717" s="11">
        <f>IFERROR(VLOOKUP($B717,Members!$A:$C,2,FALSE),"")</f>
        <v/>
      </c>
      <c r="D717" s="11">
        <f>IFERROR(VLOOKUP($B717,Members!$A:$C,3,FALSE),"")</f>
        <v/>
      </c>
      <c r="E717" s="11">
        <f>IF($F717="","",IFERROR(VLOOKUP($F717,ActionMap!$A:$B,2,FALSE),"INVALID ACTION"))</f>
        <v/>
      </c>
      <c r="F717" s="4" t="n"/>
      <c r="G717" s="11">
        <f>IFERROR(VLOOKUP($E717,ActionsCatalog!$A:$B,2,FALSE),"")</f>
        <v/>
      </c>
      <c r="H717" s="4" t="n"/>
      <c r="I717" s="4">
        <f>IFERROR(VLOOKUP($E717,ActionsCatalog!$A:$D,3,FALSE),0)</f>
        <v/>
      </c>
      <c r="J717" s="4">
        <f>IFERROR(VLOOKUP($E717,ActionsCatalog!$A:$D,4,FALSE),0)</f>
        <v/>
      </c>
      <c r="K717" s="4">
        <f>IF($M717&lt;&gt;"Yes",0,IF($H717="",0,$H717*$I717))</f>
        <v/>
      </c>
      <c r="L717" s="4">
        <f>IF($M717&lt;&gt;"Yes",0,IF($H717="",0,$H717*$J717))</f>
        <v/>
      </c>
      <c r="M717" s="4" t="n"/>
      <c r="N717" s="4" t="n"/>
      <c r="O717" s="4">
        <f>IF($A717="","",TEXT($A717,"yyyy")&amp;"-W"&amp;TEXT(ISOWEEKNUM($A717),"00"))</f>
        <v/>
      </c>
      <c r="P717" s="4" t="n"/>
      <c r="Q717" s="14">
        <f>IF($A717="","",TEXT($A717,"yyyy-mm"))</f>
        <v/>
      </c>
    </row>
    <row r="718">
      <c r="A718" s="66" t="n"/>
      <c r="B718" s="4" t="n"/>
      <c r="C718" s="11">
        <f>IFERROR(VLOOKUP($B718,Members!$A:$C,2,FALSE),"")</f>
        <v/>
      </c>
      <c r="D718" s="11">
        <f>IFERROR(VLOOKUP($B718,Members!$A:$C,3,FALSE),"")</f>
        <v/>
      </c>
      <c r="E718" s="11">
        <f>IF($F718="","",IFERROR(VLOOKUP($F718,ActionMap!$A:$B,2,FALSE),"INVALID ACTION"))</f>
        <v/>
      </c>
      <c r="F718" s="4" t="n"/>
      <c r="G718" s="11">
        <f>IFERROR(VLOOKUP($E718,ActionsCatalog!$A:$B,2,FALSE),"")</f>
        <v/>
      </c>
      <c r="H718" s="4" t="n"/>
      <c r="I718" s="4">
        <f>IFERROR(VLOOKUP($E718,ActionsCatalog!$A:$D,3,FALSE),0)</f>
        <v/>
      </c>
      <c r="J718" s="4">
        <f>IFERROR(VLOOKUP($E718,ActionsCatalog!$A:$D,4,FALSE),0)</f>
        <v/>
      </c>
      <c r="K718" s="4">
        <f>IF($M718&lt;&gt;"Yes",0,IF($H718="",0,$H718*$I718))</f>
        <v/>
      </c>
      <c r="L718" s="4">
        <f>IF($M718&lt;&gt;"Yes",0,IF($H718="",0,$H718*$J718))</f>
        <v/>
      </c>
      <c r="M718" s="4" t="n"/>
      <c r="N718" s="4" t="n"/>
      <c r="O718" s="4">
        <f>IF($A718="","",TEXT($A718,"yyyy")&amp;"-W"&amp;TEXT(ISOWEEKNUM($A718),"00"))</f>
        <v/>
      </c>
      <c r="P718" s="4" t="n"/>
      <c r="Q718" s="14">
        <f>IF($A718="","",TEXT($A718,"yyyy-mm"))</f>
        <v/>
      </c>
    </row>
    <row r="719">
      <c r="A719" s="66" t="n"/>
      <c r="B719" s="4" t="n"/>
      <c r="C719" s="11">
        <f>IFERROR(VLOOKUP($B719,Members!$A:$C,2,FALSE),"")</f>
        <v/>
      </c>
      <c r="D719" s="11">
        <f>IFERROR(VLOOKUP($B719,Members!$A:$C,3,FALSE),"")</f>
        <v/>
      </c>
      <c r="E719" s="11">
        <f>IF($F719="","",IFERROR(VLOOKUP($F719,ActionMap!$A:$B,2,FALSE),"INVALID ACTION"))</f>
        <v/>
      </c>
      <c r="F719" s="4" t="n"/>
      <c r="G719" s="11">
        <f>IFERROR(VLOOKUP($E719,ActionsCatalog!$A:$B,2,FALSE),"")</f>
        <v/>
      </c>
      <c r="H719" s="4" t="n"/>
      <c r="I719" s="4">
        <f>IFERROR(VLOOKUP($E719,ActionsCatalog!$A:$D,3,FALSE),0)</f>
        <v/>
      </c>
      <c r="J719" s="4">
        <f>IFERROR(VLOOKUP($E719,ActionsCatalog!$A:$D,4,FALSE),0)</f>
        <v/>
      </c>
      <c r="K719" s="4">
        <f>IF($M719&lt;&gt;"Yes",0,IF($H719="",0,$H719*$I719))</f>
        <v/>
      </c>
      <c r="L719" s="4">
        <f>IF($M719&lt;&gt;"Yes",0,IF($H719="",0,$H719*$J719))</f>
        <v/>
      </c>
      <c r="M719" s="4" t="n"/>
      <c r="N719" s="4" t="n"/>
      <c r="O719" s="4">
        <f>IF($A719="","",TEXT($A719,"yyyy")&amp;"-W"&amp;TEXT(ISOWEEKNUM($A719),"00"))</f>
        <v/>
      </c>
      <c r="P719" s="4" t="n"/>
      <c r="Q719" s="14">
        <f>IF($A719="","",TEXT($A719,"yyyy-mm"))</f>
        <v/>
      </c>
    </row>
    <row r="720">
      <c r="A720" s="66" t="n"/>
      <c r="B720" s="4" t="n"/>
      <c r="C720" s="11">
        <f>IFERROR(VLOOKUP($B720,Members!$A:$C,2,FALSE),"")</f>
        <v/>
      </c>
      <c r="D720" s="11">
        <f>IFERROR(VLOOKUP($B720,Members!$A:$C,3,FALSE),"")</f>
        <v/>
      </c>
      <c r="E720" s="11">
        <f>IF($F720="","",IFERROR(VLOOKUP($F720,ActionMap!$A:$B,2,FALSE),"INVALID ACTION"))</f>
        <v/>
      </c>
      <c r="F720" s="4" t="n"/>
      <c r="G720" s="11">
        <f>IFERROR(VLOOKUP($E720,ActionsCatalog!$A:$B,2,FALSE),"")</f>
        <v/>
      </c>
      <c r="H720" s="4" t="n"/>
      <c r="I720" s="4">
        <f>IFERROR(VLOOKUP($E720,ActionsCatalog!$A:$D,3,FALSE),0)</f>
        <v/>
      </c>
      <c r="J720" s="4">
        <f>IFERROR(VLOOKUP($E720,ActionsCatalog!$A:$D,4,FALSE),0)</f>
        <v/>
      </c>
      <c r="K720" s="4">
        <f>IF($M720&lt;&gt;"Yes",0,IF($H720="",0,$H720*$I720))</f>
        <v/>
      </c>
      <c r="L720" s="4">
        <f>IF($M720&lt;&gt;"Yes",0,IF($H720="",0,$H720*$J720))</f>
        <v/>
      </c>
      <c r="M720" s="4" t="n"/>
      <c r="N720" s="4" t="n"/>
      <c r="O720" s="4">
        <f>IF($A720="","",TEXT($A720,"yyyy")&amp;"-W"&amp;TEXT(ISOWEEKNUM($A720),"00"))</f>
        <v/>
      </c>
      <c r="P720" s="4" t="n"/>
      <c r="Q720" s="14">
        <f>IF($A720="","",TEXT($A720,"yyyy-mm"))</f>
        <v/>
      </c>
    </row>
    <row r="721">
      <c r="A721" s="66" t="n"/>
      <c r="B721" s="4" t="n"/>
      <c r="C721" s="11">
        <f>IFERROR(VLOOKUP($B721,Members!$A:$C,2,FALSE),"")</f>
        <v/>
      </c>
      <c r="D721" s="11">
        <f>IFERROR(VLOOKUP($B721,Members!$A:$C,3,FALSE),"")</f>
        <v/>
      </c>
      <c r="E721" s="11">
        <f>IF($F721="","",IFERROR(VLOOKUP($F721,ActionMap!$A:$B,2,FALSE),"INVALID ACTION"))</f>
        <v/>
      </c>
      <c r="F721" s="4" t="n"/>
      <c r="G721" s="11">
        <f>IFERROR(VLOOKUP($E721,ActionsCatalog!$A:$B,2,FALSE),"")</f>
        <v/>
      </c>
      <c r="H721" s="4" t="n"/>
      <c r="I721" s="4">
        <f>IFERROR(VLOOKUP($E721,ActionsCatalog!$A:$D,3,FALSE),0)</f>
        <v/>
      </c>
      <c r="J721" s="4">
        <f>IFERROR(VLOOKUP($E721,ActionsCatalog!$A:$D,4,FALSE),0)</f>
        <v/>
      </c>
      <c r="K721" s="4">
        <f>IF($M721&lt;&gt;"Yes",0,IF($H721="",0,$H721*$I721))</f>
        <v/>
      </c>
      <c r="L721" s="4">
        <f>IF($M721&lt;&gt;"Yes",0,IF($H721="",0,$H721*$J721))</f>
        <v/>
      </c>
      <c r="M721" s="4" t="n"/>
      <c r="N721" s="4" t="n"/>
      <c r="O721" s="4">
        <f>IF($A721="","",TEXT($A721,"yyyy")&amp;"-W"&amp;TEXT(ISOWEEKNUM($A721),"00"))</f>
        <v/>
      </c>
      <c r="P721" s="4" t="n"/>
      <c r="Q721" s="14">
        <f>IF($A721="","",TEXT($A721,"yyyy-mm"))</f>
        <v/>
      </c>
    </row>
    <row r="722">
      <c r="A722" s="66" t="n"/>
      <c r="B722" s="4" t="n"/>
      <c r="C722" s="11">
        <f>IFERROR(VLOOKUP($B722,Members!$A:$C,2,FALSE),"")</f>
        <v/>
      </c>
      <c r="D722" s="11">
        <f>IFERROR(VLOOKUP($B722,Members!$A:$C,3,FALSE),"")</f>
        <v/>
      </c>
      <c r="E722" s="11">
        <f>IF($F722="","",IFERROR(VLOOKUP($F722,ActionMap!$A:$B,2,FALSE),"INVALID ACTION"))</f>
        <v/>
      </c>
      <c r="F722" s="4" t="n"/>
      <c r="G722" s="11">
        <f>IFERROR(VLOOKUP($E722,ActionsCatalog!$A:$B,2,FALSE),"")</f>
        <v/>
      </c>
      <c r="H722" s="4" t="n"/>
      <c r="I722" s="4">
        <f>IFERROR(VLOOKUP($E722,ActionsCatalog!$A:$D,3,FALSE),0)</f>
        <v/>
      </c>
      <c r="J722" s="4">
        <f>IFERROR(VLOOKUP($E722,ActionsCatalog!$A:$D,4,FALSE),0)</f>
        <v/>
      </c>
      <c r="K722" s="4">
        <f>IF($M722&lt;&gt;"Yes",0,IF($H722="",0,$H722*$I722))</f>
        <v/>
      </c>
      <c r="L722" s="4">
        <f>IF($M722&lt;&gt;"Yes",0,IF($H722="",0,$H722*$J722))</f>
        <v/>
      </c>
      <c r="M722" s="4" t="n"/>
      <c r="N722" s="4" t="n"/>
      <c r="O722" s="4">
        <f>IF($A722="","",TEXT($A722,"yyyy")&amp;"-W"&amp;TEXT(ISOWEEKNUM($A722),"00"))</f>
        <v/>
      </c>
      <c r="P722" s="4" t="n"/>
      <c r="Q722" s="14">
        <f>IF($A722="","",TEXT($A722,"yyyy-mm"))</f>
        <v/>
      </c>
    </row>
    <row r="723">
      <c r="A723" s="66" t="n"/>
      <c r="B723" s="4" t="n"/>
      <c r="C723" s="11">
        <f>IFERROR(VLOOKUP($B723,Members!$A:$C,2,FALSE),"")</f>
        <v/>
      </c>
      <c r="D723" s="11">
        <f>IFERROR(VLOOKUP($B723,Members!$A:$C,3,FALSE),"")</f>
        <v/>
      </c>
      <c r="E723" s="11">
        <f>IF($F723="","",IFERROR(VLOOKUP($F723,ActionMap!$A:$B,2,FALSE),"INVALID ACTION"))</f>
        <v/>
      </c>
      <c r="F723" s="4" t="n"/>
      <c r="G723" s="11">
        <f>IFERROR(VLOOKUP($E723,ActionsCatalog!$A:$B,2,FALSE),"")</f>
        <v/>
      </c>
      <c r="H723" s="4" t="n"/>
      <c r="I723" s="4">
        <f>IFERROR(VLOOKUP($E723,ActionsCatalog!$A:$D,3,FALSE),0)</f>
        <v/>
      </c>
      <c r="J723" s="4">
        <f>IFERROR(VLOOKUP($E723,ActionsCatalog!$A:$D,4,FALSE),0)</f>
        <v/>
      </c>
      <c r="K723" s="4">
        <f>IF($M723&lt;&gt;"Yes",0,IF($H723="",0,$H723*$I723))</f>
        <v/>
      </c>
      <c r="L723" s="4">
        <f>IF($M723&lt;&gt;"Yes",0,IF($H723="",0,$H723*$J723))</f>
        <v/>
      </c>
      <c r="M723" s="4" t="n"/>
      <c r="N723" s="4" t="n"/>
      <c r="O723" s="4">
        <f>IF($A723="","",TEXT($A723,"yyyy")&amp;"-W"&amp;TEXT(ISOWEEKNUM($A723),"00"))</f>
        <v/>
      </c>
      <c r="P723" s="4" t="n"/>
      <c r="Q723" s="14">
        <f>IF($A723="","",TEXT($A723,"yyyy-mm"))</f>
        <v/>
      </c>
    </row>
    <row r="724">
      <c r="A724" s="66" t="n"/>
      <c r="B724" s="4" t="n"/>
      <c r="C724" s="11">
        <f>IFERROR(VLOOKUP($B724,Members!$A:$C,2,FALSE),"")</f>
        <v/>
      </c>
      <c r="D724" s="11">
        <f>IFERROR(VLOOKUP($B724,Members!$A:$C,3,FALSE),"")</f>
        <v/>
      </c>
      <c r="E724" s="11">
        <f>IF($F724="","",IFERROR(VLOOKUP($F724,ActionMap!$A:$B,2,FALSE),"INVALID ACTION"))</f>
        <v/>
      </c>
      <c r="F724" s="4" t="n"/>
      <c r="G724" s="11">
        <f>IFERROR(VLOOKUP($E724,ActionsCatalog!$A:$B,2,FALSE),"")</f>
        <v/>
      </c>
      <c r="H724" s="4" t="n"/>
      <c r="I724" s="4">
        <f>IFERROR(VLOOKUP($E724,ActionsCatalog!$A:$D,3,FALSE),0)</f>
        <v/>
      </c>
      <c r="J724" s="4">
        <f>IFERROR(VLOOKUP($E724,ActionsCatalog!$A:$D,4,FALSE),0)</f>
        <v/>
      </c>
      <c r="K724" s="4">
        <f>IF($M724&lt;&gt;"Yes",0,IF($H724="",0,$H724*$I724))</f>
        <v/>
      </c>
      <c r="L724" s="4">
        <f>IF($M724&lt;&gt;"Yes",0,IF($H724="",0,$H724*$J724))</f>
        <v/>
      </c>
      <c r="M724" s="4" t="n"/>
      <c r="N724" s="4" t="n"/>
      <c r="O724" s="4">
        <f>IF($A724="","",TEXT($A724,"yyyy")&amp;"-W"&amp;TEXT(ISOWEEKNUM($A724),"00"))</f>
        <v/>
      </c>
      <c r="P724" s="4" t="n"/>
      <c r="Q724" s="14">
        <f>IF($A724="","",TEXT($A724,"yyyy-mm"))</f>
        <v/>
      </c>
    </row>
    <row r="725">
      <c r="A725" s="66" t="n"/>
      <c r="B725" s="4" t="n"/>
      <c r="C725" s="11">
        <f>IFERROR(VLOOKUP($B725,Members!$A:$C,2,FALSE),"")</f>
        <v/>
      </c>
      <c r="D725" s="11">
        <f>IFERROR(VLOOKUP($B725,Members!$A:$C,3,FALSE),"")</f>
        <v/>
      </c>
      <c r="E725" s="11">
        <f>IF($F725="","",IFERROR(VLOOKUP($F725,ActionMap!$A:$B,2,FALSE),"INVALID ACTION"))</f>
        <v/>
      </c>
      <c r="F725" s="4" t="n"/>
      <c r="G725" s="11">
        <f>IFERROR(VLOOKUP($E725,ActionsCatalog!$A:$B,2,FALSE),"")</f>
        <v/>
      </c>
      <c r="H725" s="4" t="n"/>
      <c r="I725" s="4">
        <f>IFERROR(VLOOKUP($E725,ActionsCatalog!$A:$D,3,FALSE),0)</f>
        <v/>
      </c>
      <c r="J725" s="4">
        <f>IFERROR(VLOOKUP($E725,ActionsCatalog!$A:$D,4,FALSE),0)</f>
        <v/>
      </c>
      <c r="K725" s="4">
        <f>IF($M725&lt;&gt;"Yes",0,IF($H725="",0,$H725*$I725))</f>
        <v/>
      </c>
      <c r="L725" s="4">
        <f>IF($M725&lt;&gt;"Yes",0,IF($H725="",0,$H725*$J725))</f>
        <v/>
      </c>
      <c r="M725" s="4" t="n"/>
      <c r="N725" s="4" t="n"/>
      <c r="O725" s="4">
        <f>IF($A725="","",TEXT($A725,"yyyy")&amp;"-W"&amp;TEXT(ISOWEEKNUM($A725),"00"))</f>
        <v/>
      </c>
      <c r="P725" s="4" t="n"/>
      <c r="Q725" s="14">
        <f>IF($A725="","",TEXT($A725,"yyyy-mm"))</f>
        <v/>
      </c>
    </row>
    <row r="726">
      <c r="A726" s="66" t="n"/>
      <c r="B726" s="4" t="n"/>
      <c r="C726" s="11">
        <f>IFERROR(VLOOKUP($B726,Members!$A:$C,2,FALSE),"")</f>
        <v/>
      </c>
      <c r="D726" s="11">
        <f>IFERROR(VLOOKUP($B726,Members!$A:$C,3,FALSE),"")</f>
        <v/>
      </c>
      <c r="E726" s="11">
        <f>IF($F726="","",IFERROR(VLOOKUP($F726,ActionMap!$A:$B,2,FALSE),"INVALID ACTION"))</f>
        <v/>
      </c>
      <c r="F726" s="4" t="n"/>
      <c r="G726" s="11">
        <f>IFERROR(VLOOKUP($E726,ActionsCatalog!$A:$B,2,FALSE),"")</f>
        <v/>
      </c>
      <c r="H726" s="4" t="n"/>
      <c r="I726" s="4">
        <f>IFERROR(VLOOKUP($E726,ActionsCatalog!$A:$D,3,FALSE),0)</f>
        <v/>
      </c>
      <c r="J726" s="4">
        <f>IFERROR(VLOOKUP($E726,ActionsCatalog!$A:$D,4,FALSE),0)</f>
        <v/>
      </c>
      <c r="K726" s="4">
        <f>IF($M726&lt;&gt;"Yes",0,IF($H726="",0,$H726*$I726))</f>
        <v/>
      </c>
      <c r="L726" s="4">
        <f>IF($M726&lt;&gt;"Yes",0,IF($H726="",0,$H726*$J726))</f>
        <v/>
      </c>
      <c r="M726" s="4" t="n"/>
      <c r="N726" s="4" t="n"/>
      <c r="O726" s="4">
        <f>IF($A726="","",TEXT($A726,"yyyy")&amp;"-W"&amp;TEXT(ISOWEEKNUM($A726),"00"))</f>
        <v/>
      </c>
      <c r="P726" s="4" t="n"/>
      <c r="Q726" s="14">
        <f>IF($A726="","",TEXT($A726,"yyyy-mm"))</f>
        <v/>
      </c>
    </row>
    <row r="727">
      <c r="A727" s="66" t="n"/>
      <c r="B727" s="4" t="n"/>
      <c r="C727" s="11">
        <f>IFERROR(VLOOKUP($B727,Members!$A:$C,2,FALSE),"")</f>
        <v/>
      </c>
      <c r="D727" s="11">
        <f>IFERROR(VLOOKUP($B727,Members!$A:$C,3,FALSE),"")</f>
        <v/>
      </c>
      <c r="E727" s="11">
        <f>IF($F727="","",IFERROR(VLOOKUP($F727,ActionMap!$A:$B,2,FALSE),"INVALID ACTION"))</f>
        <v/>
      </c>
      <c r="F727" s="4" t="n"/>
      <c r="G727" s="11">
        <f>IFERROR(VLOOKUP($E727,ActionsCatalog!$A:$B,2,FALSE),"")</f>
        <v/>
      </c>
      <c r="H727" s="4" t="n"/>
      <c r="I727" s="4">
        <f>IFERROR(VLOOKUP($E727,ActionsCatalog!$A:$D,3,FALSE),0)</f>
        <v/>
      </c>
      <c r="J727" s="4">
        <f>IFERROR(VLOOKUP($E727,ActionsCatalog!$A:$D,4,FALSE),0)</f>
        <v/>
      </c>
      <c r="K727" s="4">
        <f>IF($M727&lt;&gt;"Yes",0,IF($H727="",0,$H727*$I727))</f>
        <v/>
      </c>
      <c r="L727" s="4">
        <f>IF($M727&lt;&gt;"Yes",0,IF($H727="",0,$H727*$J727))</f>
        <v/>
      </c>
      <c r="M727" s="4" t="n"/>
      <c r="N727" s="4" t="n"/>
      <c r="O727" s="4">
        <f>IF($A727="","",TEXT($A727,"yyyy")&amp;"-W"&amp;TEXT(ISOWEEKNUM($A727),"00"))</f>
        <v/>
      </c>
      <c r="P727" s="4" t="n"/>
      <c r="Q727" s="14">
        <f>IF($A727="","",TEXT($A727,"yyyy-mm"))</f>
        <v/>
      </c>
    </row>
    <row r="728">
      <c r="A728" s="66" t="n"/>
      <c r="B728" s="4" t="n"/>
      <c r="C728" s="11">
        <f>IFERROR(VLOOKUP($B728,Members!$A:$C,2,FALSE),"")</f>
        <v/>
      </c>
      <c r="D728" s="11">
        <f>IFERROR(VLOOKUP($B728,Members!$A:$C,3,FALSE),"")</f>
        <v/>
      </c>
      <c r="E728" s="11">
        <f>IF($F728="","",IFERROR(VLOOKUP($F728,ActionMap!$A:$B,2,FALSE),"INVALID ACTION"))</f>
        <v/>
      </c>
      <c r="F728" s="4" t="n"/>
      <c r="G728" s="11">
        <f>IFERROR(VLOOKUP($E728,ActionsCatalog!$A:$B,2,FALSE),"")</f>
        <v/>
      </c>
      <c r="H728" s="4" t="n"/>
      <c r="I728" s="4">
        <f>IFERROR(VLOOKUP($E728,ActionsCatalog!$A:$D,3,FALSE),0)</f>
        <v/>
      </c>
      <c r="J728" s="4">
        <f>IFERROR(VLOOKUP($E728,ActionsCatalog!$A:$D,4,FALSE),0)</f>
        <v/>
      </c>
      <c r="K728" s="4">
        <f>IF($M728&lt;&gt;"Yes",0,IF($H728="",0,$H728*$I728))</f>
        <v/>
      </c>
      <c r="L728" s="4">
        <f>IF($M728&lt;&gt;"Yes",0,IF($H728="",0,$H728*$J728))</f>
        <v/>
      </c>
      <c r="M728" s="4" t="n"/>
      <c r="N728" s="4" t="n"/>
      <c r="O728" s="4">
        <f>IF($A728="","",TEXT($A728,"yyyy")&amp;"-W"&amp;TEXT(ISOWEEKNUM($A728),"00"))</f>
        <v/>
      </c>
      <c r="P728" s="4" t="n"/>
      <c r="Q728" s="14">
        <f>IF($A728="","",TEXT($A728,"yyyy-mm"))</f>
        <v/>
      </c>
    </row>
    <row r="729">
      <c r="A729" s="66" t="n"/>
      <c r="B729" s="4" t="n"/>
      <c r="C729" s="11">
        <f>IFERROR(VLOOKUP($B729,Members!$A:$C,2,FALSE),"")</f>
        <v/>
      </c>
      <c r="D729" s="11">
        <f>IFERROR(VLOOKUP($B729,Members!$A:$C,3,FALSE),"")</f>
        <v/>
      </c>
      <c r="E729" s="11">
        <f>IF($F729="","",IFERROR(VLOOKUP($F729,ActionMap!$A:$B,2,FALSE),"INVALID ACTION"))</f>
        <v/>
      </c>
      <c r="F729" s="4" t="n"/>
      <c r="G729" s="11">
        <f>IFERROR(VLOOKUP($E729,ActionsCatalog!$A:$B,2,FALSE),"")</f>
        <v/>
      </c>
      <c r="H729" s="4" t="n"/>
      <c r="I729" s="4">
        <f>IFERROR(VLOOKUP($E729,ActionsCatalog!$A:$D,3,FALSE),0)</f>
        <v/>
      </c>
      <c r="J729" s="4">
        <f>IFERROR(VLOOKUP($E729,ActionsCatalog!$A:$D,4,FALSE),0)</f>
        <v/>
      </c>
      <c r="K729" s="4">
        <f>IF($M729&lt;&gt;"Yes",0,IF($H729="",0,$H729*$I729))</f>
        <v/>
      </c>
      <c r="L729" s="4">
        <f>IF($M729&lt;&gt;"Yes",0,IF($H729="",0,$H729*$J729))</f>
        <v/>
      </c>
      <c r="M729" s="4" t="n"/>
      <c r="N729" s="4" t="n"/>
      <c r="O729" s="4">
        <f>IF($A729="","",TEXT($A729,"yyyy")&amp;"-W"&amp;TEXT(ISOWEEKNUM($A729),"00"))</f>
        <v/>
      </c>
      <c r="P729" s="4" t="n"/>
      <c r="Q729" s="14">
        <f>IF($A729="","",TEXT($A729,"yyyy-mm"))</f>
        <v/>
      </c>
    </row>
    <row r="730">
      <c r="A730" s="66" t="n"/>
      <c r="B730" s="4" t="n"/>
      <c r="C730" s="11">
        <f>IFERROR(VLOOKUP($B730,Members!$A:$C,2,FALSE),"")</f>
        <v/>
      </c>
      <c r="D730" s="11">
        <f>IFERROR(VLOOKUP($B730,Members!$A:$C,3,FALSE),"")</f>
        <v/>
      </c>
      <c r="E730" s="11">
        <f>IF($F730="","",IFERROR(VLOOKUP($F730,ActionMap!$A:$B,2,FALSE),"INVALID ACTION"))</f>
        <v/>
      </c>
      <c r="F730" s="4" t="n"/>
      <c r="G730" s="11">
        <f>IFERROR(VLOOKUP($E730,ActionsCatalog!$A:$B,2,FALSE),"")</f>
        <v/>
      </c>
      <c r="H730" s="4" t="n"/>
      <c r="I730" s="4">
        <f>IFERROR(VLOOKUP($E730,ActionsCatalog!$A:$D,3,FALSE),0)</f>
        <v/>
      </c>
      <c r="J730" s="4">
        <f>IFERROR(VLOOKUP($E730,ActionsCatalog!$A:$D,4,FALSE),0)</f>
        <v/>
      </c>
      <c r="K730" s="4">
        <f>IF($M730&lt;&gt;"Yes",0,IF($H730="",0,$H730*$I730))</f>
        <v/>
      </c>
      <c r="L730" s="4">
        <f>IF($M730&lt;&gt;"Yes",0,IF($H730="",0,$H730*$J730))</f>
        <v/>
      </c>
      <c r="M730" s="4" t="n"/>
      <c r="N730" s="4" t="n"/>
      <c r="O730" s="4">
        <f>IF($A730="","",TEXT($A730,"yyyy")&amp;"-W"&amp;TEXT(ISOWEEKNUM($A730),"00"))</f>
        <v/>
      </c>
      <c r="P730" s="4" t="n"/>
      <c r="Q730" s="14">
        <f>IF($A730="","",TEXT($A730,"yyyy-mm"))</f>
        <v/>
      </c>
    </row>
    <row r="731">
      <c r="A731" s="66" t="n"/>
      <c r="B731" s="4" t="n"/>
      <c r="C731" s="11">
        <f>IFERROR(VLOOKUP($B731,Members!$A:$C,2,FALSE),"")</f>
        <v/>
      </c>
      <c r="D731" s="11">
        <f>IFERROR(VLOOKUP($B731,Members!$A:$C,3,FALSE),"")</f>
        <v/>
      </c>
      <c r="E731" s="11">
        <f>IF($F731="","",IFERROR(VLOOKUP($F731,ActionMap!$A:$B,2,FALSE),"INVALID ACTION"))</f>
        <v/>
      </c>
      <c r="F731" s="4" t="n"/>
      <c r="G731" s="11">
        <f>IFERROR(VLOOKUP($E731,ActionsCatalog!$A:$B,2,FALSE),"")</f>
        <v/>
      </c>
      <c r="H731" s="4" t="n"/>
      <c r="I731" s="4">
        <f>IFERROR(VLOOKUP($E731,ActionsCatalog!$A:$D,3,FALSE),0)</f>
        <v/>
      </c>
      <c r="J731" s="4">
        <f>IFERROR(VLOOKUP($E731,ActionsCatalog!$A:$D,4,FALSE),0)</f>
        <v/>
      </c>
      <c r="K731" s="4">
        <f>IF($M731&lt;&gt;"Yes",0,IF($H731="",0,$H731*$I731))</f>
        <v/>
      </c>
      <c r="L731" s="4">
        <f>IF($M731&lt;&gt;"Yes",0,IF($H731="",0,$H731*$J731))</f>
        <v/>
      </c>
      <c r="M731" s="4" t="n"/>
      <c r="N731" s="4" t="n"/>
      <c r="O731" s="4">
        <f>IF($A731="","",TEXT($A731,"yyyy")&amp;"-W"&amp;TEXT(ISOWEEKNUM($A731),"00"))</f>
        <v/>
      </c>
      <c r="P731" s="4" t="n"/>
      <c r="Q731" s="14">
        <f>IF($A731="","",TEXT($A731,"yyyy-mm"))</f>
        <v/>
      </c>
    </row>
    <row r="732">
      <c r="A732" s="66" t="n"/>
      <c r="B732" s="4" t="n"/>
      <c r="C732" s="11">
        <f>IFERROR(VLOOKUP($B732,Members!$A:$C,2,FALSE),"")</f>
        <v/>
      </c>
      <c r="D732" s="11">
        <f>IFERROR(VLOOKUP($B732,Members!$A:$C,3,FALSE),"")</f>
        <v/>
      </c>
      <c r="E732" s="11">
        <f>IF($F732="","",IFERROR(VLOOKUP($F732,ActionMap!$A:$B,2,FALSE),"INVALID ACTION"))</f>
        <v/>
      </c>
      <c r="F732" s="4" t="n"/>
      <c r="G732" s="11">
        <f>IFERROR(VLOOKUP($E732,ActionsCatalog!$A:$B,2,FALSE),"")</f>
        <v/>
      </c>
      <c r="H732" s="4" t="n"/>
      <c r="I732" s="4">
        <f>IFERROR(VLOOKUP($E732,ActionsCatalog!$A:$D,3,FALSE),0)</f>
        <v/>
      </c>
      <c r="J732" s="4">
        <f>IFERROR(VLOOKUP($E732,ActionsCatalog!$A:$D,4,FALSE),0)</f>
        <v/>
      </c>
      <c r="K732" s="4">
        <f>IF($M732&lt;&gt;"Yes",0,IF($H732="",0,$H732*$I732))</f>
        <v/>
      </c>
      <c r="L732" s="4">
        <f>IF($M732&lt;&gt;"Yes",0,IF($H732="",0,$H732*$J732))</f>
        <v/>
      </c>
      <c r="M732" s="4" t="n"/>
      <c r="N732" s="4" t="n"/>
      <c r="O732" s="4">
        <f>IF($A732="","",TEXT($A732,"yyyy")&amp;"-W"&amp;TEXT(ISOWEEKNUM($A732),"00"))</f>
        <v/>
      </c>
      <c r="P732" s="4" t="n"/>
      <c r="Q732" s="14">
        <f>IF($A732="","",TEXT($A732,"yyyy-mm"))</f>
        <v/>
      </c>
    </row>
    <row r="733">
      <c r="A733" s="66" t="n"/>
      <c r="B733" s="4" t="n"/>
      <c r="C733" s="11">
        <f>IFERROR(VLOOKUP($B733,Members!$A:$C,2,FALSE),"")</f>
        <v/>
      </c>
      <c r="D733" s="11">
        <f>IFERROR(VLOOKUP($B733,Members!$A:$C,3,FALSE),"")</f>
        <v/>
      </c>
      <c r="E733" s="11">
        <f>IF($F733="","",IFERROR(VLOOKUP($F733,ActionMap!$A:$B,2,FALSE),"INVALID ACTION"))</f>
        <v/>
      </c>
      <c r="F733" s="4" t="n"/>
      <c r="G733" s="11">
        <f>IFERROR(VLOOKUP($E733,ActionsCatalog!$A:$B,2,FALSE),"")</f>
        <v/>
      </c>
      <c r="H733" s="4" t="n"/>
      <c r="I733" s="4">
        <f>IFERROR(VLOOKUP($E733,ActionsCatalog!$A:$D,3,FALSE),0)</f>
        <v/>
      </c>
      <c r="J733" s="4">
        <f>IFERROR(VLOOKUP($E733,ActionsCatalog!$A:$D,4,FALSE),0)</f>
        <v/>
      </c>
      <c r="K733" s="4">
        <f>IF($M733&lt;&gt;"Yes",0,IF($H733="",0,$H733*$I733))</f>
        <v/>
      </c>
      <c r="L733" s="4">
        <f>IF($M733&lt;&gt;"Yes",0,IF($H733="",0,$H733*$J733))</f>
        <v/>
      </c>
      <c r="M733" s="4" t="n"/>
      <c r="N733" s="4" t="n"/>
      <c r="O733" s="4">
        <f>IF($A733="","",TEXT($A733,"yyyy")&amp;"-W"&amp;TEXT(ISOWEEKNUM($A733),"00"))</f>
        <v/>
      </c>
      <c r="P733" s="4" t="n"/>
      <c r="Q733" s="14">
        <f>IF($A733="","",TEXT($A733,"yyyy-mm"))</f>
        <v/>
      </c>
    </row>
    <row r="734">
      <c r="A734" s="66" t="n"/>
      <c r="B734" s="4" t="n"/>
      <c r="C734" s="11">
        <f>IFERROR(VLOOKUP($B734,Members!$A:$C,2,FALSE),"")</f>
        <v/>
      </c>
      <c r="D734" s="11">
        <f>IFERROR(VLOOKUP($B734,Members!$A:$C,3,FALSE),"")</f>
        <v/>
      </c>
      <c r="E734" s="11">
        <f>IF($F734="","",IFERROR(VLOOKUP($F734,ActionMap!$A:$B,2,FALSE),"INVALID ACTION"))</f>
        <v/>
      </c>
      <c r="F734" s="4" t="n"/>
      <c r="G734" s="11">
        <f>IFERROR(VLOOKUP($E734,ActionsCatalog!$A:$B,2,FALSE),"")</f>
        <v/>
      </c>
      <c r="H734" s="4" t="n"/>
      <c r="I734" s="4">
        <f>IFERROR(VLOOKUP($E734,ActionsCatalog!$A:$D,3,FALSE),0)</f>
        <v/>
      </c>
      <c r="J734" s="4">
        <f>IFERROR(VLOOKUP($E734,ActionsCatalog!$A:$D,4,FALSE),0)</f>
        <v/>
      </c>
      <c r="K734" s="4">
        <f>IF($M734&lt;&gt;"Yes",0,IF($H734="",0,$H734*$I734))</f>
        <v/>
      </c>
      <c r="L734" s="4">
        <f>IF($M734&lt;&gt;"Yes",0,IF($H734="",0,$H734*$J734))</f>
        <v/>
      </c>
      <c r="M734" s="4" t="n"/>
      <c r="N734" s="4" t="n"/>
      <c r="O734" s="4">
        <f>IF($A734="","",TEXT($A734,"yyyy")&amp;"-W"&amp;TEXT(ISOWEEKNUM($A734),"00"))</f>
        <v/>
      </c>
      <c r="P734" s="4" t="n"/>
      <c r="Q734" s="14">
        <f>IF($A734="","",TEXT($A734,"yyyy-mm"))</f>
        <v/>
      </c>
    </row>
    <row r="735">
      <c r="A735" s="66" t="n"/>
      <c r="B735" s="4" t="n"/>
      <c r="C735" s="11">
        <f>IFERROR(VLOOKUP($B735,Members!$A:$C,2,FALSE),"")</f>
        <v/>
      </c>
      <c r="D735" s="11">
        <f>IFERROR(VLOOKUP($B735,Members!$A:$C,3,FALSE),"")</f>
        <v/>
      </c>
      <c r="E735" s="11">
        <f>IF($F735="","",IFERROR(VLOOKUP($F735,ActionMap!$A:$B,2,FALSE),"INVALID ACTION"))</f>
        <v/>
      </c>
      <c r="F735" s="4" t="n"/>
      <c r="G735" s="11">
        <f>IFERROR(VLOOKUP($E735,ActionsCatalog!$A:$B,2,FALSE),"")</f>
        <v/>
      </c>
      <c r="H735" s="4" t="n"/>
      <c r="I735" s="4">
        <f>IFERROR(VLOOKUP($E735,ActionsCatalog!$A:$D,3,FALSE),0)</f>
        <v/>
      </c>
      <c r="J735" s="4">
        <f>IFERROR(VLOOKUP($E735,ActionsCatalog!$A:$D,4,FALSE),0)</f>
        <v/>
      </c>
      <c r="K735" s="4">
        <f>IF($M735&lt;&gt;"Yes",0,IF($H735="",0,$H735*$I735))</f>
        <v/>
      </c>
      <c r="L735" s="4">
        <f>IF($M735&lt;&gt;"Yes",0,IF($H735="",0,$H735*$J735))</f>
        <v/>
      </c>
      <c r="M735" s="4" t="n"/>
      <c r="N735" s="4" t="n"/>
      <c r="O735" s="4">
        <f>IF($A735="","",TEXT($A735,"yyyy")&amp;"-W"&amp;TEXT(ISOWEEKNUM($A735),"00"))</f>
        <v/>
      </c>
      <c r="P735" s="4" t="n"/>
      <c r="Q735" s="14">
        <f>IF($A735="","",TEXT($A735,"yyyy-mm"))</f>
        <v/>
      </c>
    </row>
    <row r="736">
      <c r="A736" s="66" t="n"/>
      <c r="B736" s="4" t="n"/>
      <c r="C736" s="11">
        <f>IFERROR(VLOOKUP($B736,Members!$A:$C,2,FALSE),"")</f>
        <v/>
      </c>
      <c r="D736" s="11">
        <f>IFERROR(VLOOKUP($B736,Members!$A:$C,3,FALSE),"")</f>
        <v/>
      </c>
      <c r="E736" s="11">
        <f>IF($F736="","",IFERROR(VLOOKUP($F736,ActionMap!$A:$B,2,FALSE),"INVALID ACTION"))</f>
        <v/>
      </c>
      <c r="F736" s="4" t="n"/>
      <c r="G736" s="11">
        <f>IFERROR(VLOOKUP($E736,ActionsCatalog!$A:$B,2,FALSE),"")</f>
        <v/>
      </c>
      <c r="H736" s="4" t="n"/>
      <c r="I736" s="4">
        <f>IFERROR(VLOOKUP($E736,ActionsCatalog!$A:$D,3,FALSE),0)</f>
        <v/>
      </c>
      <c r="J736" s="4">
        <f>IFERROR(VLOOKUP($E736,ActionsCatalog!$A:$D,4,FALSE),0)</f>
        <v/>
      </c>
      <c r="K736" s="4">
        <f>IF($M736&lt;&gt;"Yes",0,IF($H736="",0,$H736*$I736))</f>
        <v/>
      </c>
      <c r="L736" s="4">
        <f>IF($M736&lt;&gt;"Yes",0,IF($H736="",0,$H736*$J736))</f>
        <v/>
      </c>
      <c r="M736" s="4" t="n"/>
      <c r="N736" s="4" t="n"/>
      <c r="O736" s="4">
        <f>IF($A736="","",TEXT($A736,"yyyy")&amp;"-W"&amp;TEXT(ISOWEEKNUM($A736),"00"))</f>
        <v/>
      </c>
      <c r="P736" s="4" t="n"/>
      <c r="Q736" s="14">
        <f>IF($A736="","",TEXT($A736,"yyyy-mm"))</f>
        <v/>
      </c>
    </row>
    <row r="737">
      <c r="A737" s="66" t="n"/>
      <c r="B737" s="4" t="n"/>
      <c r="C737" s="11">
        <f>IFERROR(VLOOKUP($B737,Members!$A:$C,2,FALSE),"")</f>
        <v/>
      </c>
      <c r="D737" s="11">
        <f>IFERROR(VLOOKUP($B737,Members!$A:$C,3,FALSE),"")</f>
        <v/>
      </c>
      <c r="E737" s="11">
        <f>IF($F737="","",IFERROR(VLOOKUP($F737,ActionMap!$A:$B,2,FALSE),"INVALID ACTION"))</f>
        <v/>
      </c>
      <c r="F737" s="4" t="n"/>
      <c r="G737" s="11">
        <f>IFERROR(VLOOKUP($E737,ActionsCatalog!$A:$B,2,FALSE),"")</f>
        <v/>
      </c>
      <c r="H737" s="4" t="n"/>
      <c r="I737" s="4">
        <f>IFERROR(VLOOKUP($E737,ActionsCatalog!$A:$D,3,FALSE),0)</f>
        <v/>
      </c>
      <c r="J737" s="4">
        <f>IFERROR(VLOOKUP($E737,ActionsCatalog!$A:$D,4,FALSE),0)</f>
        <v/>
      </c>
      <c r="K737" s="4">
        <f>IF($M737&lt;&gt;"Yes",0,IF($H737="",0,$H737*$I737))</f>
        <v/>
      </c>
      <c r="L737" s="4">
        <f>IF($M737&lt;&gt;"Yes",0,IF($H737="",0,$H737*$J737))</f>
        <v/>
      </c>
      <c r="M737" s="4" t="n"/>
      <c r="N737" s="4" t="n"/>
      <c r="O737" s="4">
        <f>IF($A737="","",TEXT($A737,"yyyy")&amp;"-W"&amp;TEXT(ISOWEEKNUM($A737),"00"))</f>
        <v/>
      </c>
      <c r="P737" s="4" t="n"/>
      <c r="Q737" s="14">
        <f>IF($A737="","",TEXT($A737,"yyyy-mm"))</f>
        <v/>
      </c>
    </row>
    <row r="738">
      <c r="A738" s="66" t="n"/>
      <c r="B738" s="4" t="n"/>
      <c r="C738" s="11">
        <f>IFERROR(VLOOKUP($B738,Members!$A:$C,2,FALSE),"")</f>
        <v/>
      </c>
      <c r="D738" s="11">
        <f>IFERROR(VLOOKUP($B738,Members!$A:$C,3,FALSE),"")</f>
        <v/>
      </c>
      <c r="E738" s="11">
        <f>IF($F738="","",IFERROR(VLOOKUP($F738,ActionMap!$A:$B,2,FALSE),"INVALID ACTION"))</f>
        <v/>
      </c>
      <c r="F738" s="4" t="n"/>
      <c r="G738" s="11">
        <f>IFERROR(VLOOKUP($E738,ActionsCatalog!$A:$B,2,FALSE),"")</f>
        <v/>
      </c>
      <c r="H738" s="4" t="n"/>
      <c r="I738" s="4">
        <f>IFERROR(VLOOKUP($E738,ActionsCatalog!$A:$D,3,FALSE),0)</f>
        <v/>
      </c>
      <c r="J738" s="4">
        <f>IFERROR(VLOOKUP($E738,ActionsCatalog!$A:$D,4,FALSE),0)</f>
        <v/>
      </c>
      <c r="K738" s="4">
        <f>IF($M738&lt;&gt;"Yes",0,IF($H738="",0,$H738*$I738))</f>
        <v/>
      </c>
      <c r="L738" s="4">
        <f>IF($M738&lt;&gt;"Yes",0,IF($H738="",0,$H738*$J738))</f>
        <v/>
      </c>
      <c r="M738" s="4" t="n"/>
      <c r="N738" s="4" t="n"/>
      <c r="O738" s="4">
        <f>IF($A738="","",TEXT($A738,"yyyy")&amp;"-W"&amp;TEXT(ISOWEEKNUM($A738),"00"))</f>
        <v/>
      </c>
      <c r="P738" s="4" t="n"/>
      <c r="Q738" s="14">
        <f>IF($A738="","",TEXT($A738,"yyyy-mm"))</f>
        <v/>
      </c>
    </row>
    <row r="739">
      <c r="A739" s="66" t="n"/>
      <c r="B739" s="4" t="n"/>
      <c r="C739" s="11">
        <f>IFERROR(VLOOKUP($B739,Members!$A:$C,2,FALSE),"")</f>
        <v/>
      </c>
      <c r="D739" s="11">
        <f>IFERROR(VLOOKUP($B739,Members!$A:$C,3,FALSE),"")</f>
        <v/>
      </c>
      <c r="E739" s="11">
        <f>IF($F739="","",IFERROR(VLOOKUP($F739,ActionMap!$A:$B,2,FALSE),"INVALID ACTION"))</f>
        <v/>
      </c>
      <c r="F739" s="4" t="n"/>
      <c r="G739" s="11">
        <f>IFERROR(VLOOKUP($E739,ActionsCatalog!$A:$B,2,FALSE),"")</f>
        <v/>
      </c>
      <c r="H739" s="4" t="n"/>
      <c r="I739" s="4">
        <f>IFERROR(VLOOKUP($E739,ActionsCatalog!$A:$D,3,FALSE),0)</f>
        <v/>
      </c>
      <c r="J739" s="4">
        <f>IFERROR(VLOOKUP($E739,ActionsCatalog!$A:$D,4,FALSE),0)</f>
        <v/>
      </c>
      <c r="K739" s="4">
        <f>IF($M739&lt;&gt;"Yes",0,IF($H739="",0,$H739*$I739))</f>
        <v/>
      </c>
      <c r="L739" s="4">
        <f>IF($M739&lt;&gt;"Yes",0,IF($H739="",0,$H739*$J739))</f>
        <v/>
      </c>
      <c r="M739" s="4" t="n"/>
      <c r="N739" s="4" t="n"/>
      <c r="O739" s="4">
        <f>IF($A739="","",TEXT($A739,"yyyy")&amp;"-W"&amp;TEXT(ISOWEEKNUM($A739),"00"))</f>
        <v/>
      </c>
      <c r="P739" s="4" t="n"/>
      <c r="Q739" s="14">
        <f>IF($A739="","",TEXT($A739,"yyyy-mm"))</f>
        <v/>
      </c>
    </row>
    <row r="740">
      <c r="A740" s="66" t="n"/>
      <c r="B740" s="4" t="n"/>
      <c r="C740" s="11">
        <f>IFERROR(VLOOKUP($B740,Members!$A:$C,2,FALSE),"")</f>
        <v/>
      </c>
      <c r="D740" s="11">
        <f>IFERROR(VLOOKUP($B740,Members!$A:$C,3,FALSE),"")</f>
        <v/>
      </c>
      <c r="E740" s="11">
        <f>IF($F740="","",IFERROR(VLOOKUP($F740,ActionMap!$A:$B,2,FALSE),"INVALID ACTION"))</f>
        <v/>
      </c>
      <c r="F740" s="4" t="n"/>
      <c r="G740" s="11">
        <f>IFERROR(VLOOKUP($E740,ActionsCatalog!$A:$B,2,FALSE),"")</f>
        <v/>
      </c>
      <c r="H740" s="4" t="n"/>
      <c r="I740" s="4">
        <f>IFERROR(VLOOKUP($E740,ActionsCatalog!$A:$D,3,FALSE),0)</f>
        <v/>
      </c>
      <c r="J740" s="4">
        <f>IFERROR(VLOOKUP($E740,ActionsCatalog!$A:$D,4,FALSE),0)</f>
        <v/>
      </c>
      <c r="K740" s="4">
        <f>IF($M740&lt;&gt;"Yes",0,IF($H740="",0,$H740*$I740))</f>
        <v/>
      </c>
      <c r="L740" s="4">
        <f>IF($M740&lt;&gt;"Yes",0,IF($H740="",0,$H740*$J740))</f>
        <v/>
      </c>
      <c r="M740" s="4" t="n"/>
      <c r="N740" s="4" t="n"/>
      <c r="O740" s="4">
        <f>IF($A740="","",TEXT($A740,"yyyy")&amp;"-W"&amp;TEXT(ISOWEEKNUM($A740),"00"))</f>
        <v/>
      </c>
      <c r="P740" s="4" t="n"/>
      <c r="Q740" s="14">
        <f>IF($A740="","",TEXT($A740,"yyyy-mm"))</f>
        <v/>
      </c>
    </row>
    <row r="741">
      <c r="A741" s="66" t="n"/>
      <c r="B741" s="4" t="n"/>
      <c r="C741" s="11">
        <f>IFERROR(VLOOKUP($B741,Members!$A:$C,2,FALSE),"")</f>
        <v/>
      </c>
      <c r="D741" s="11">
        <f>IFERROR(VLOOKUP($B741,Members!$A:$C,3,FALSE),"")</f>
        <v/>
      </c>
      <c r="E741" s="11">
        <f>IF($F741="","",IFERROR(VLOOKUP($F741,ActionMap!$A:$B,2,FALSE),"INVALID ACTION"))</f>
        <v/>
      </c>
      <c r="F741" s="4" t="n"/>
      <c r="G741" s="11">
        <f>IFERROR(VLOOKUP($E741,ActionsCatalog!$A:$B,2,FALSE),"")</f>
        <v/>
      </c>
      <c r="H741" s="4" t="n"/>
      <c r="I741" s="4">
        <f>IFERROR(VLOOKUP($E741,ActionsCatalog!$A:$D,3,FALSE),0)</f>
        <v/>
      </c>
      <c r="J741" s="4">
        <f>IFERROR(VLOOKUP($E741,ActionsCatalog!$A:$D,4,FALSE),0)</f>
        <v/>
      </c>
      <c r="K741" s="4">
        <f>IF($M741&lt;&gt;"Yes",0,IF($H741="",0,$H741*$I741))</f>
        <v/>
      </c>
      <c r="L741" s="4">
        <f>IF($M741&lt;&gt;"Yes",0,IF($H741="",0,$H741*$J741))</f>
        <v/>
      </c>
      <c r="M741" s="4" t="n"/>
      <c r="N741" s="4" t="n"/>
      <c r="O741" s="4">
        <f>IF($A741="","",TEXT($A741,"yyyy")&amp;"-W"&amp;TEXT(ISOWEEKNUM($A741),"00"))</f>
        <v/>
      </c>
      <c r="P741" s="4" t="n"/>
      <c r="Q741" s="14">
        <f>IF($A741="","",TEXT($A741,"yyyy-mm"))</f>
        <v/>
      </c>
    </row>
    <row r="742">
      <c r="A742" s="66" t="n"/>
      <c r="B742" s="4" t="n"/>
      <c r="C742" s="11">
        <f>IFERROR(VLOOKUP($B742,Members!$A:$C,2,FALSE),"")</f>
        <v/>
      </c>
      <c r="D742" s="11">
        <f>IFERROR(VLOOKUP($B742,Members!$A:$C,3,FALSE),"")</f>
        <v/>
      </c>
      <c r="E742" s="11">
        <f>IF($F742="","",IFERROR(VLOOKUP($F742,ActionMap!$A:$B,2,FALSE),"INVALID ACTION"))</f>
        <v/>
      </c>
      <c r="F742" s="4" t="n"/>
      <c r="G742" s="11">
        <f>IFERROR(VLOOKUP($E742,ActionsCatalog!$A:$B,2,FALSE),"")</f>
        <v/>
      </c>
      <c r="H742" s="4" t="n"/>
      <c r="I742" s="4">
        <f>IFERROR(VLOOKUP($E742,ActionsCatalog!$A:$D,3,FALSE),0)</f>
        <v/>
      </c>
      <c r="J742" s="4">
        <f>IFERROR(VLOOKUP($E742,ActionsCatalog!$A:$D,4,FALSE),0)</f>
        <v/>
      </c>
      <c r="K742" s="4">
        <f>IF($M742&lt;&gt;"Yes",0,IF($H742="",0,$H742*$I742))</f>
        <v/>
      </c>
      <c r="L742" s="4">
        <f>IF($M742&lt;&gt;"Yes",0,IF($H742="",0,$H742*$J742))</f>
        <v/>
      </c>
      <c r="M742" s="4" t="n"/>
      <c r="N742" s="4" t="n"/>
      <c r="O742" s="4">
        <f>IF($A742="","",TEXT($A742,"yyyy")&amp;"-W"&amp;TEXT(ISOWEEKNUM($A742),"00"))</f>
        <v/>
      </c>
      <c r="P742" s="4" t="n"/>
      <c r="Q742" s="14">
        <f>IF($A742="","",TEXT($A742,"yyyy-mm"))</f>
        <v/>
      </c>
    </row>
    <row r="743">
      <c r="A743" s="66" t="n"/>
      <c r="B743" s="4" t="n"/>
      <c r="C743" s="11">
        <f>IFERROR(VLOOKUP($B743,Members!$A:$C,2,FALSE),"")</f>
        <v/>
      </c>
      <c r="D743" s="11">
        <f>IFERROR(VLOOKUP($B743,Members!$A:$C,3,FALSE),"")</f>
        <v/>
      </c>
      <c r="E743" s="11">
        <f>IF($F743="","",IFERROR(VLOOKUP($F743,ActionMap!$A:$B,2,FALSE),"INVALID ACTION"))</f>
        <v/>
      </c>
      <c r="F743" s="4" t="n"/>
      <c r="G743" s="11">
        <f>IFERROR(VLOOKUP($E743,ActionsCatalog!$A:$B,2,FALSE),"")</f>
        <v/>
      </c>
      <c r="H743" s="4" t="n"/>
      <c r="I743" s="4">
        <f>IFERROR(VLOOKUP($E743,ActionsCatalog!$A:$D,3,FALSE),0)</f>
        <v/>
      </c>
      <c r="J743" s="4">
        <f>IFERROR(VLOOKUP($E743,ActionsCatalog!$A:$D,4,FALSE),0)</f>
        <v/>
      </c>
      <c r="K743" s="4">
        <f>IF($M743&lt;&gt;"Yes",0,IF($H743="",0,$H743*$I743))</f>
        <v/>
      </c>
      <c r="L743" s="4">
        <f>IF($M743&lt;&gt;"Yes",0,IF($H743="",0,$H743*$J743))</f>
        <v/>
      </c>
      <c r="M743" s="4" t="n"/>
      <c r="N743" s="4" t="n"/>
      <c r="O743" s="4">
        <f>IF($A743="","",TEXT($A743,"yyyy")&amp;"-W"&amp;TEXT(ISOWEEKNUM($A743),"00"))</f>
        <v/>
      </c>
      <c r="P743" s="4" t="n"/>
      <c r="Q743" s="14">
        <f>IF($A743="","",TEXT($A743,"yyyy-mm"))</f>
        <v/>
      </c>
    </row>
    <row r="744">
      <c r="A744" s="66" t="n"/>
      <c r="B744" s="4" t="n"/>
      <c r="C744" s="11">
        <f>IFERROR(VLOOKUP($B744,Members!$A:$C,2,FALSE),"")</f>
        <v/>
      </c>
      <c r="D744" s="11">
        <f>IFERROR(VLOOKUP($B744,Members!$A:$C,3,FALSE),"")</f>
        <v/>
      </c>
      <c r="E744" s="11">
        <f>IF($F744="","",IFERROR(VLOOKUP($F744,ActionMap!$A:$B,2,FALSE),"INVALID ACTION"))</f>
        <v/>
      </c>
      <c r="F744" s="4" t="n"/>
      <c r="G744" s="11">
        <f>IFERROR(VLOOKUP($E744,ActionsCatalog!$A:$B,2,FALSE),"")</f>
        <v/>
      </c>
      <c r="H744" s="4" t="n"/>
      <c r="I744" s="4">
        <f>IFERROR(VLOOKUP($E744,ActionsCatalog!$A:$D,3,FALSE),0)</f>
        <v/>
      </c>
      <c r="J744" s="4">
        <f>IFERROR(VLOOKUP($E744,ActionsCatalog!$A:$D,4,FALSE),0)</f>
        <v/>
      </c>
      <c r="K744" s="4">
        <f>IF($M744&lt;&gt;"Yes",0,IF($H744="",0,$H744*$I744))</f>
        <v/>
      </c>
      <c r="L744" s="4">
        <f>IF($M744&lt;&gt;"Yes",0,IF($H744="",0,$H744*$J744))</f>
        <v/>
      </c>
      <c r="M744" s="4" t="n"/>
      <c r="N744" s="4" t="n"/>
      <c r="O744" s="4">
        <f>IF($A744="","",TEXT($A744,"yyyy")&amp;"-W"&amp;TEXT(ISOWEEKNUM($A744),"00"))</f>
        <v/>
      </c>
      <c r="P744" s="4" t="n"/>
      <c r="Q744" s="14">
        <f>IF($A744="","",TEXT($A744,"yyyy-mm"))</f>
        <v/>
      </c>
    </row>
    <row r="745">
      <c r="A745" s="66" t="n"/>
      <c r="B745" s="4" t="n"/>
      <c r="C745" s="11">
        <f>IFERROR(VLOOKUP($B745,Members!$A:$C,2,FALSE),"")</f>
        <v/>
      </c>
      <c r="D745" s="11">
        <f>IFERROR(VLOOKUP($B745,Members!$A:$C,3,FALSE),"")</f>
        <v/>
      </c>
      <c r="E745" s="11">
        <f>IF($F745="","",IFERROR(VLOOKUP($F745,ActionMap!$A:$B,2,FALSE),"INVALID ACTION"))</f>
        <v/>
      </c>
      <c r="F745" s="4" t="n"/>
      <c r="G745" s="11">
        <f>IFERROR(VLOOKUP($E745,ActionsCatalog!$A:$B,2,FALSE),"")</f>
        <v/>
      </c>
      <c r="H745" s="4" t="n"/>
      <c r="I745" s="4">
        <f>IFERROR(VLOOKUP($E745,ActionsCatalog!$A:$D,3,FALSE),0)</f>
        <v/>
      </c>
      <c r="J745" s="4">
        <f>IFERROR(VLOOKUP($E745,ActionsCatalog!$A:$D,4,FALSE),0)</f>
        <v/>
      </c>
      <c r="K745" s="4">
        <f>IF($M745&lt;&gt;"Yes",0,IF($H745="",0,$H745*$I745))</f>
        <v/>
      </c>
      <c r="L745" s="4">
        <f>IF($M745&lt;&gt;"Yes",0,IF($H745="",0,$H745*$J745))</f>
        <v/>
      </c>
      <c r="M745" s="4" t="n"/>
      <c r="N745" s="4" t="n"/>
      <c r="O745" s="4">
        <f>IF($A745="","",TEXT($A745,"yyyy")&amp;"-W"&amp;TEXT(ISOWEEKNUM($A745),"00"))</f>
        <v/>
      </c>
      <c r="P745" s="4" t="n"/>
      <c r="Q745" s="14">
        <f>IF($A745="","",TEXT($A745,"yyyy-mm"))</f>
        <v/>
      </c>
    </row>
    <row r="746">
      <c r="A746" s="66" t="n"/>
      <c r="B746" s="4" t="n"/>
      <c r="C746" s="11">
        <f>IFERROR(VLOOKUP($B746,Members!$A:$C,2,FALSE),"")</f>
        <v/>
      </c>
      <c r="D746" s="11">
        <f>IFERROR(VLOOKUP($B746,Members!$A:$C,3,FALSE),"")</f>
        <v/>
      </c>
      <c r="E746" s="11">
        <f>IF($F746="","",IFERROR(VLOOKUP($F746,ActionMap!$A:$B,2,FALSE),"INVALID ACTION"))</f>
        <v/>
      </c>
      <c r="F746" s="4" t="n"/>
      <c r="G746" s="11">
        <f>IFERROR(VLOOKUP($E746,ActionsCatalog!$A:$B,2,FALSE),"")</f>
        <v/>
      </c>
      <c r="H746" s="4" t="n"/>
      <c r="I746" s="4">
        <f>IFERROR(VLOOKUP($E746,ActionsCatalog!$A:$D,3,FALSE),0)</f>
        <v/>
      </c>
      <c r="J746" s="4">
        <f>IFERROR(VLOOKUP($E746,ActionsCatalog!$A:$D,4,FALSE),0)</f>
        <v/>
      </c>
      <c r="K746" s="4">
        <f>IF($M746&lt;&gt;"Yes",0,IF($H746="",0,$H746*$I746))</f>
        <v/>
      </c>
      <c r="L746" s="4">
        <f>IF($M746&lt;&gt;"Yes",0,IF($H746="",0,$H746*$J746))</f>
        <v/>
      </c>
      <c r="M746" s="4" t="n"/>
      <c r="N746" s="4" t="n"/>
      <c r="O746" s="4">
        <f>IF($A746="","",TEXT($A746,"yyyy")&amp;"-W"&amp;TEXT(ISOWEEKNUM($A746),"00"))</f>
        <v/>
      </c>
      <c r="P746" s="4" t="n"/>
      <c r="Q746" s="14">
        <f>IF($A746="","",TEXT($A746,"yyyy-mm"))</f>
        <v/>
      </c>
    </row>
    <row r="747">
      <c r="A747" s="66" t="n"/>
      <c r="B747" s="4" t="n"/>
      <c r="C747" s="11">
        <f>IFERROR(VLOOKUP($B747,Members!$A:$C,2,FALSE),"")</f>
        <v/>
      </c>
      <c r="D747" s="11">
        <f>IFERROR(VLOOKUP($B747,Members!$A:$C,3,FALSE),"")</f>
        <v/>
      </c>
      <c r="E747" s="11">
        <f>IF($F747="","",IFERROR(VLOOKUP($F747,ActionMap!$A:$B,2,FALSE),"INVALID ACTION"))</f>
        <v/>
      </c>
      <c r="F747" s="4" t="n"/>
      <c r="G747" s="11">
        <f>IFERROR(VLOOKUP($E747,ActionsCatalog!$A:$B,2,FALSE),"")</f>
        <v/>
      </c>
      <c r="H747" s="4" t="n"/>
      <c r="I747" s="4">
        <f>IFERROR(VLOOKUP($E747,ActionsCatalog!$A:$D,3,FALSE),0)</f>
        <v/>
      </c>
      <c r="J747" s="4">
        <f>IFERROR(VLOOKUP($E747,ActionsCatalog!$A:$D,4,FALSE),0)</f>
        <v/>
      </c>
      <c r="K747" s="4">
        <f>IF($M747&lt;&gt;"Yes",0,IF($H747="",0,$H747*$I747))</f>
        <v/>
      </c>
      <c r="L747" s="4">
        <f>IF($M747&lt;&gt;"Yes",0,IF($H747="",0,$H747*$J747))</f>
        <v/>
      </c>
      <c r="M747" s="4" t="n"/>
      <c r="N747" s="4" t="n"/>
      <c r="O747" s="4">
        <f>IF($A747="","",TEXT($A747,"yyyy")&amp;"-W"&amp;TEXT(ISOWEEKNUM($A747),"00"))</f>
        <v/>
      </c>
      <c r="P747" s="4" t="n"/>
      <c r="Q747" s="14">
        <f>IF($A747="","",TEXT($A747,"yyyy-mm"))</f>
        <v/>
      </c>
    </row>
    <row r="748">
      <c r="A748" s="66" t="n"/>
      <c r="B748" s="4" t="n"/>
      <c r="C748" s="11">
        <f>IFERROR(VLOOKUP($B748,Members!$A:$C,2,FALSE),"")</f>
        <v/>
      </c>
      <c r="D748" s="11">
        <f>IFERROR(VLOOKUP($B748,Members!$A:$C,3,FALSE),"")</f>
        <v/>
      </c>
      <c r="E748" s="11">
        <f>IF($F748="","",IFERROR(VLOOKUP($F748,ActionMap!$A:$B,2,FALSE),"INVALID ACTION"))</f>
        <v/>
      </c>
      <c r="F748" s="4" t="n"/>
      <c r="G748" s="11">
        <f>IFERROR(VLOOKUP($E748,ActionsCatalog!$A:$B,2,FALSE),"")</f>
        <v/>
      </c>
      <c r="H748" s="4" t="n"/>
      <c r="I748" s="4">
        <f>IFERROR(VLOOKUP($E748,ActionsCatalog!$A:$D,3,FALSE),0)</f>
        <v/>
      </c>
      <c r="J748" s="4">
        <f>IFERROR(VLOOKUP($E748,ActionsCatalog!$A:$D,4,FALSE),0)</f>
        <v/>
      </c>
      <c r="K748" s="4">
        <f>IF($M748&lt;&gt;"Yes",0,IF($H748="",0,$H748*$I748))</f>
        <v/>
      </c>
      <c r="L748" s="4">
        <f>IF($M748&lt;&gt;"Yes",0,IF($H748="",0,$H748*$J748))</f>
        <v/>
      </c>
      <c r="M748" s="4" t="n"/>
      <c r="N748" s="4" t="n"/>
      <c r="O748" s="4">
        <f>IF($A748="","",TEXT($A748,"yyyy")&amp;"-W"&amp;TEXT(ISOWEEKNUM($A748),"00"))</f>
        <v/>
      </c>
      <c r="P748" s="4" t="n"/>
      <c r="Q748" s="14">
        <f>IF($A748="","",TEXT($A748,"yyyy-mm"))</f>
        <v/>
      </c>
    </row>
    <row r="749">
      <c r="A749" s="66" t="n"/>
      <c r="B749" s="4" t="n"/>
      <c r="C749" s="11">
        <f>IFERROR(VLOOKUP($B749,Members!$A:$C,2,FALSE),"")</f>
        <v/>
      </c>
      <c r="D749" s="11">
        <f>IFERROR(VLOOKUP($B749,Members!$A:$C,3,FALSE),"")</f>
        <v/>
      </c>
      <c r="E749" s="11">
        <f>IF($F749="","",IFERROR(VLOOKUP($F749,ActionMap!$A:$B,2,FALSE),"INVALID ACTION"))</f>
        <v/>
      </c>
      <c r="F749" s="4" t="n"/>
      <c r="G749" s="11">
        <f>IFERROR(VLOOKUP($E749,ActionsCatalog!$A:$B,2,FALSE),"")</f>
        <v/>
      </c>
      <c r="H749" s="4" t="n"/>
      <c r="I749" s="4">
        <f>IFERROR(VLOOKUP($E749,ActionsCatalog!$A:$D,3,FALSE),0)</f>
        <v/>
      </c>
      <c r="J749" s="4">
        <f>IFERROR(VLOOKUP($E749,ActionsCatalog!$A:$D,4,FALSE),0)</f>
        <v/>
      </c>
      <c r="K749" s="4">
        <f>IF($M749&lt;&gt;"Yes",0,IF($H749="",0,$H749*$I749))</f>
        <v/>
      </c>
      <c r="L749" s="4">
        <f>IF($M749&lt;&gt;"Yes",0,IF($H749="",0,$H749*$J749))</f>
        <v/>
      </c>
      <c r="M749" s="4" t="n"/>
      <c r="N749" s="4" t="n"/>
      <c r="O749" s="4">
        <f>IF($A749="","",TEXT($A749,"yyyy")&amp;"-W"&amp;TEXT(ISOWEEKNUM($A749),"00"))</f>
        <v/>
      </c>
      <c r="P749" s="4" t="n"/>
      <c r="Q749" s="14">
        <f>IF($A749="","",TEXT($A749,"yyyy-mm"))</f>
        <v/>
      </c>
    </row>
    <row r="750">
      <c r="A750" s="66" t="n"/>
      <c r="B750" s="4" t="n"/>
      <c r="C750" s="11">
        <f>IFERROR(VLOOKUP($B750,Members!$A:$C,2,FALSE),"")</f>
        <v/>
      </c>
      <c r="D750" s="11">
        <f>IFERROR(VLOOKUP($B750,Members!$A:$C,3,FALSE),"")</f>
        <v/>
      </c>
      <c r="E750" s="11">
        <f>IF($F750="","",IFERROR(VLOOKUP($F750,ActionMap!$A:$B,2,FALSE),"INVALID ACTION"))</f>
        <v/>
      </c>
      <c r="F750" s="4" t="n"/>
      <c r="G750" s="11">
        <f>IFERROR(VLOOKUP($E750,ActionsCatalog!$A:$B,2,FALSE),"")</f>
        <v/>
      </c>
      <c r="H750" s="4" t="n"/>
      <c r="I750" s="4">
        <f>IFERROR(VLOOKUP($E750,ActionsCatalog!$A:$D,3,FALSE),0)</f>
        <v/>
      </c>
      <c r="J750" s="4">
        <f>IFERROR(VLOOKUP($E750,ActionsCatalog!$A:$D,4,FALSE),0)</f>
        <v/>
      </c>
      <c r="K750" s="4">
        <f>IF($M750&lt;&gt;"Yes",0,IF($H750="",0,$H750*$I750))</f>
        <v/>
      </c>
      <c r="L750" s="4">
        <f>IF($M750&lt;&gt;"Yes",0,IF($H750="",0,$H750*$J750))</f>
        <v/>
      </c>
      <c r="M750" s="4" t="n"/>
      <c r="N750" s="4" t="n"/>
      <c r="O750" s="4">
        <f>IF($A750="","",TEXT($A750,"yyyy")&amp;"-W"&amp;TEXT(ISOWEEKNUM($A750),"00"))</f>
        <v/>
      </c>
      <c r="P750" s="4" t="n"/>
      <c r="Q750" s="14">
        <f>IF($A750="","",TEXT($A750,"yyyy-mm"))</f>
        <v/>
      </c>
    </row>
    <row r="751">
      <c r="A751" s="66" t="n"/>
      <c r="B751" s="4" t="n"/>
      <c r="C751" s="11">
        <f>IFERROR(VLOOKUP($B751,Members!$A:$C,2,FALSE),"")</f>
        <v/>
      </c>
      <c r="D751" s="11">
        <f>IFERROR(VLOOKUP($B751,Members!$A:$C,3,FALSE),"")</f>
        <v/>
      </c>
      <c r="E751" s="11">
        <f>IF($F751="","",IFERROR(VLOOKUP($F751,ActionMap!$A:$B,2,FALSE),"INVALID ACTION"))</f>
        <v/>
      </c>
      <c r="F751" s="4" t="n"/>
      <c r="G751" s="11">
        <f>IFERROR(VLOOKUP($E751,ActionsCatalog!$A:$B,2,FALSE),"")</f>
        <v/>
      </c>
      <c r="H751" s="4" t="n"/>
      <c r="I751" s="4">
        <f>IFERROR(VLOOKUP($E751,ActionsCatalog!$A:$D,3,FALSE),0)</f>
        <v/>
      </c>
      <c r="J751" s="4">
        <f>IFERROR(VLOOKUP($E751,ActionsCatalog!$A:$D,4,FALSE),0)</f>
        <v/>
      </c>
      <c r="K751" s="4">
        <f>IF($M751&lt;&gt;"Yes",0,IF($H751="",0,$H751*$I751))</f>
        <v/>
      </c>
      <c r="L751" s="4">
        <f>IF($M751&lt;&gt;"Yes",0,IF($H751="",0,$H751*$J751))</f>
        <v/>
      </c>
      <c r="M751" s="4" t="n"/>
      <c r="N751" s="4" t="n"/>
      <c r="O751" s="4">
        <f>IF($A751="","",TEXT($A751,"yyyy")&amp;"-W"&amp;TEXT(ISOWEEKNUM($A751),"00"))</f>
        <v/>
      </c>
      <c r="P751" s="4" t="n"/>
      <c r="Q751" s="14">
        <f>IF($A751="","",TEXT($A751,"yyyy-mm"))</f>
        <v/>
      </c>
    </row>
    <row r="752">
      <c r="A752" s="66" t="n"/>
      <c r="B752" s="4" t="n"/>
      <c r="C752" s="11">
        <f>IFERROR(VLOOKUP($B752,Members!$A:$C,2,FALSE),"")</f>
        <v/>
      </c>
      <c r="D752" s="11">
        <f>IFERROR(VLOOKUP($B752,Members!$A:$C,3,FALSE),"")</f>
        <v/>
      </c>
      <c r="E752" s="11">
        <f>IF($F752="","",IFERROR(VLOOKUP($F752,ActionMap!$A:$B,2,FALSE),"INVALID ACTION"))</f>
        <v/>
      </c>
      <c r="F752" s="4" t="n"/>
      <c r="G752" s="11">
        <f>IFERROR(VLOOKUP($E752,ActionsCatalog!$A:$B,2,FALSE),"")</f>
        <v/>
      </c>
      <c r="H752" s="4" t="n"/>
      <c r="I752" s="4">
        <f>IFERROR(VLOOKUP($E752,ActionsCatalog!$A:$D,3,FALSE),0)</f>
        <v/>
      </c>
      <c r="J752" s="4">
        <f>IFERROR(VLOOKUP($E752,ActionsCatalog!$A:$D,4,FALSE),0)</f>
        <v/>
      </c>
      <c r="K752" s="4">
        <f>IF($M752&lt;&gt;"Yes",0,IF($H752="",0,$H752*$I752))</f>
        <v/>
      </c>
      <c r="L752" s="4">
        <f>IF($M752&lt;&gt;"Yes",0,IF($H752="",0,$H752*$J752))</f>
        <v/>
      </c>
      <c r="M752" s="4" t="n"/>
      <c r="N752" s="4" t="n"/>
      <c r="O752" s="4">
        <f>IF($A752="","",TEXT($A752,"yyyy")&amp;"-W"&amp;TEXT(ISOWEEKNUM($A752),"00"))</f>
        <v/>
      </c>
      <c r="P752" s="4" t="n"/>
      <c r="Q752" s="14">
        <f>IF($A752="","",TEXT($A752,"yyyy-mm"))</f>
        <v/>
      </c>
    </row>
    <row r="753">
      <c r="A753" s="66" t="n"/>
      <c r="B753" s="4" t="n"/>
      <c r="C753" s="11">
        <f>IFERROR(VLOOKUP($B753,Members!$A:$C,2,FALSE),"")</f>
        <v/>
      </c>
      <c r="D753" s="11">
        <f>IFERROR(VLOOKUP($B753,Members!$A:$C,3,FALSE),"")</f>
        <v/>
      </c>
      <c r="E753" s="11">
        <f>IF($F753="","",IFERROR(VLOOKUP($F753,ActionMap!$A:$B,2,FALSE),"INVALID ACTION"))</f>
        <v/>
      </c>
      <c r="F753" s="4" t="n"/>
      <c r="G753" s="11">
        <f>IFERROR(VLOOKUP($E753,ActionsCatalog!$A:$B,2,FALSE),"")</f>
        <v/>
      </c>
      <c r="H753" s="4" t="n"/>
      <c r="I753" s="4">
        <f>IFERROR(VLOOKUP($E753,ActionsCatalog!$A:$D,3,FALSE),0)</f>
        <v/>
      </c>
      <c r="J753" s="4">
        <f>IFERROR(VLOOKUP($E753,ActionsCatalog!$A:$D,4,FALSE),0)</f>
        <v/>
      </c>
      <c r="K753" s="4">
        <f>IF($M753&lt;&gt;"Yes",0,IF($H753="",0,$H753*$I753))</f>
        <v/>
      </c>
      <c r="L753" s="4">
        <f>IF($M753&lt;&gt;"Yes",0,IF($H753="",0,$H753*$J753))</f>
        <v/>
      </c>
      <c r="M753" s="4" t="n"/>
      <c r="N753" s="4" t="n"/>
      <c r="O753" s="4">
        <f>IF($A753="","",TEXT($A753,"yyyy")&amp;"-W"&amp;TEXT(ISOWEEKNUM($A753),"00"))</f>
        <v/>
      </c>
      <c r="P753" s="4" t="n"/>
      <c r="Q753" s="14">
        <f>IF($A753="","",TEXT($A753,"yyyy-mm"))</f>
        <v/>
      </c>
    </row>
    <row r="754">
      <c r="A754" s="66" t="n"/>
      <c r="B754" s="4" t="n"/>
      <c r="C754" s="11">
        <f>IFERROR(VLOOKUP($B754,Members!$A:$C,2,FALSE),"")</f>
        <v/>
      </c>
      <c r="D754" s="11">
        <f>IFERROR(VLOOKUP($B754,Members!$A:$C,3,FALSE),"")</f>
        <v/>
      </c>
      <c r="E754" s="11">
        <f>IF($F754="","",IFERROR(VLOOKUP($F754,ActionMap!$A:$B,2,FALSE),"INVALID ACTION"))</f>
        <v/>
      </c>
      <c r="F754" s="4" t="n"/>
      <c r="G754" s="11">
        <f>IFERROR(VLOOKUP($E754,ActionsCatalog!$A:$B,2,FALSE),"")</f>
        <v/>
      </c>
      <c r="H754" s="4" t="n"/>
      <c r="I754" s="4">
        <f>IFERROR(VLOOKUP($E754,ActionsCatalog!$A:$D,3,FALSE),0)</f>
        <v/>
      </c>
      <c r="J754" s="4">
        <f>IFERROR(VLOOKUP($E754,ActionsCatalog!$A:$D,4,FALSE),0)</f>
        <v/>
      </c>
      <c r="K754" s="4">
        <f>IF($M754&lt;&gt;"Yes",0,IF($H754="",0,$H754*$I754))</f>
        <v/>
      </c>
      <c r="L754" s="4">
        <f>IF($M754&lt;&gt;"Yes",0,IF($H754="",0,$H754*$J754))</f>
        <v/>
      </c>
      <c r="M754" s="4" t="n"/>
      <c r="N754" s="4" t="n"/>
      <c r="O754" s="4">
        <f>IF($A754="","",TEXT($A754,"yyyy")&amp;"-W"&amp;TEXT(ISOWEEKNUM($A754),"00"))</f>
        <v/>
      </c>
      <c r="P754" s="4" t="n"/>
      <c r="Q754" s="14">
        <f>IF($A754="","",TEXT($A754,"yyyy-mm"))</f>
        <v/>
      </c>
    </row>
    <row r="755">
      <c r="A755" s="66" t="n"/>
      <c r="B755" s="4" t="n"/>
      <c r="C755" s="11">
        <f>IFERROR(VLOOKUP($B755,Members!$A:$C,2,FALSE),"")</f>
        <v/>
      </c>
      <c r="D755" s="11">
        <f>IFERROR(VLOOKUP($B755,Members!$A:$C,3,FALSE),"")</f>
        <v/>
      </c>
      <c r="E755" s="11">
        <f>IF($F755="","",IFERROR(VLOOKUP($F755,ActionMap!$A:$B,2,FALSE),"INVALID ACTION"))</f>
        <v/>
      </c>
      <c r="F755" s="4" t="n"/>
      <c r="G755" s="11">
        <f>IFERROR(VLOOKUP($E755,ActionsCatalog!$A:$B,2,FALSE),"")</f>
        <v/>
      </c>
      <c r="H755" s="4" t="n"/>
      <c r="I755" s="4">
        <f>IFERROR(VLOOKUP($E755,ActionsCatalog!$A:$D,3,FALSE),0)</f>
        <v/>
      </c>
      <c r="J755" s="4">
        <f>IFERROR(VLOOKUP($E755,ActionsCatalog!$A:$D,4,FALSE),0)</f>
        <v/>
      </c>
      <c r="K755" s="4">
        <f>IF($M755&lt;&gt;"Yes",0,IF($H755="",0,$H755*$I755))</f>
        <v/>
      </c>
      <c r="L755" s="4">
        <f>IF($M755&lt;&gt;"Yes",0,IF($H755="",0,$H755*$J755))</f>
        <v/>
      </c>
      <c r="M755" s="4" t="n"/>
      <c r="N755" s="4" t="n"/>
      <c r="O755" s="4">
        <f>IF($A755="","",TEXT($A755,"yyyy")&amp;"-W"&amp;TEXT(ISOWEEKNUM($A755),"00"))</f>
        <v/>
      </c>
      <c r="P755" s="4" t="n"/>
      <c r="Q755" s="14">
        <f>IF($A755="","",TEXT($A755,"yyyy-mm"))</f>
        <v/>
      </c>
    </row>
    <row r="756">
      <c r="A756" s="66" t="n"/>
      <c r="B756" s="4" t="n"/>
      <c r="C756" s="11">
        <f>IFERROR(VLOOKUP($B756,Members!$A:$C,2,FALSE),"")</f>
        <v/>
      </c>
      <c r="D756" s="11">
        <f>IFERROR(VLOOKUP($B756,Members!$A:$C,3,FALSE),"")</f>
        <v/>
      </c>
      <c r="E756" s="11">
        <f>IF($F756="","",IFERROR(VLOOKUP($F756,ActionMap!$A:$B,2,FALSE),"INVALID ACTION"))</f>
        <v/>
      </c>
      <c r="F756" s="4" t="n"/>
      <c r="G756" s="11">
        <f>IFERROR(VLOOKUP($E756,ActionsCatalog!$A:$B,2,FALSE),"")</f>
        <v/>
      </c>
      <c r="H756" s="4" t="n"/>
      <c r="I756" s="4">
        <f>IFERROR(VLOOKUP($E756,ActionsCatalog!$A:$D,3,FALSE),0)</f>
        <v/>
      </c>
      <c r="J756" s="4">
        <f>IFERROR(VLOOKUP($E756,ActionsCatalog!$A:$D,4,FALSE),0)</f>
        <v/>
      </c>
      <c r="K756" s="4">
        <f>IF($M756&lt;&gt;"Yes",0,IF($H756="",0,$H756*$I756))</f>
        <v/>
      </c>
      <c r="L756" s="4">
        <f>IF($M756&lt;&gt;"Yes",0,IF($H756="",0,$H756*$J756))</f>
        <v/>
      </c>
      <c r="M756" s="4" t="n"/>
      <c r="N756" s="4" t="n"/>
      <c r="O756" s="4">
        <f>IF($A756="","",TEXT($A756,"yyyy")&amp;"-W"&amp;TEXT(ISOWEEKNUM($A756),"00"))</f>
        <v/>
      </c>
      <c r="P756" s="4" t="n"/>
      <c r="Q756" s="14">
        <f>IF($A756="","",TEXT($A756,"yyyy-mm"))</f>
        <v/>
      </c>
    </row>
    <row r="757">
      <c r="A757" s="66" t="n"/>
      <c r="B757" s="4" t="n"/>
      <c r="C757" s="11">
        <f>IFERROR(VLOOKUP($B757,Members!$A:$C,2,FALSE),"")</f>
        <v/>
      </c>
      <c r="D757" s="11">
        <f>IFERROR(VLOOKUP($B757,Members!$A:$C,3,FALSE),"")</f>
        <v/>
      </c>
      <c r="E757" s="11">
        <f>IF($F757="","",IFERROR(VLOOKUP($F757,ActionMap!$A:$B,2,FALSE),"INVALID ACTION"))</f>
        <v/>
      </c>
      <c r="F757" s="4" t="n"/>
      <c r="G757" s="11">
        <f>IFERROR(VLOOKUP($E757,ActionsCatalog!$A:$B,2,FALSE),"")</f>
        <v/>
      </c>
      <c r="H757" s="4" t="n"/>
      <c r="I757" s="4">
        <f>IFERROR(VLOOKUP($E757,ActionsCatalog!$A:$D,3,FALSE),0)</f>
        <v/>
      </c>
      <c r="J757" s="4">
        <f>IFERROR(VLOOKUP($E757,ActionsCatalog!$A:$D,4,FALSE),0)</f>
        <v/>
      </c>
      <c r="K757" s="4">
        <f>IF($M757&lt;&gt;"Yes",0,IF($H757="",0,$H757*$I757))</f>
        <v/>
      </c>
      <c r="L757" s="4">
        <f>IF($M757&lt;&gt;"Yes",0,IF($H757="",0,$H757*$J757))</f>
        <v/>
      </c>
      <c r="M757" s="4" t="n"/>
      <c r="N757" s="4" t="n"/>
      <c r="O757" s="4">
        <f>IF($A757="","",TEXT($A757,"yyyy")&amp;"-W"&amp;TEXT(ISOWEEKNUM($A757),"00"))</f>
        <v/>
      </c>
      <c r="P757" s="4" t="n"/>
      <c r="Q757" s="14">
        <f>IF($A757="","",TEXT($A757,"yyyy-mm"))</f>
        <v/>
      </c>
    </row>
    <row r="758">
      <c r="A758" s="66" t="n"/>
      <c r="B758" s="4" t="n"/>
      <c r="C758" s="11">
        <f>IFERROR(VLOOKUP($B758,Members!$A:$C,2,FALSE),"")</f>
        <v/>
      </c>
      <c r="D758" s="11">
        <f>IFERROR(VLOOKUP($B758,Members!$A:$C,3,FALSE),"")</f>
        <v/>
      </c>
      <c r="E758" s="11">
        <f>IF($F758="","",IFERROR(VLOOKUP($F758,ActionMap!$A:$B,2,FALSE),"INVALID ACTION"))</f>
        <v/>
      </c>
      <c r="F758" s="4" t="n"/>
      <c r="G758" s="11">
        <f>IFERROR(VLOOKUP($E758,ActionsCatalog!$A:$B,2,FALSE),"")</f>
        <v/>
      </c>
      <c r="H758" s="4" t="n"/>
      <c r="I758" s="4">
        <f>IFERROR(VLOOKUP($E758,ActionsCatalog!$A:$D,3,FALSE),0)</f>
        <v/>
      </c>
      <c r="J758" s="4">
        <f>IFERROR(VLOOKUP($E758,ActionsCatalog!$A:$D,4,FALSE),0)</f>
        <v/>
      </c>
      <c r="K758" s="4">
        <f>IF($M758&lt;&gt;"Yes",0,IF($H758="",0,$H758*$I758))</f>
        <v/>
      </c>
      <c r="L758" s="4">
        <f>IF($M758&lt;&gt;"Yes",0,IF($H758="",0,$H758*$J758))</f>
        <v/>
      </c>
      <c r="M758" s="4" t="n"/>
      <c r="N758" s="4" t="n"/>
      <c r="O758" s="4">
        <f>IF($A758="","",TEXT($A758,"yyyy")&amp;"-W"&amp;TEXT(ISOWEEKNUM($A758),"00"))</f>
        <v/>
      </c>
      <c r="P758" s="4" t="n"/>
      <c r="Q758" s="14">
        <f>IF($A758="","",TEXT($A758,"yyyy-mm"))</f>
        <v/>
      </c>
    </row>
    <row r="759">
      <c r="A759" s="66" t="n"/>
      <c r="B759" s="4" t="n"/>
      <c r="C759" s="11">
        <f>IFERROR(VLOOKUP($B759,Members!$A:$C,2,FALSE),"")</f>
        <v/>
      </c>
      <c r="D759" s="11">
        <f>IFERROR(VLOOKUP($B759,Members!$A:$C,3,FALSE),"")</f>
        <v/>
      </c>
      <c r="E759" s="11">
        <f>IF($F759="","",IFERROR(VLOOKUP($F759,ActionMap!$A:$B,2,FALSE),"INVALID ACTION"))</f>
        <v/>
      </c>
      <c r="F759" s="4" t="n"/>
      <c r="G759" s="11">
        <f>IFERROR(VLOOKUP($E759,ActionsCatalog!$A:$B,2,FALSE),"")</f>
        <v/>
      </c>
      <c r="H759" s="4" t="n"/>
      <c r="I759" s="4">
        <f>IFERROR(VLOOKUP($E759,ActionsCatalog!$A:$D,3,FALSE),0)</f>
        <v/>
      </c>
      <c r="J759" s="4">
        <f>IFERROR(VLOOKUP($E759,ActionsCatalog!$A:$D,4,FALSE),0)</f>
        <v/>
      </c>
      <c r="K759" s="4">
        <f>IF($M759&lt;&gt;"Yes",0,IF($H759="",0,$H759*$I759))</f>
        <v/>
      </c>
      <c r="L759" s="4">
        <f>IF($M759&lt;&gt;"Yes",0,IF($H759="",0,$H759*$J759))</f>
        <v/>
      </c>
      <c r="M759" s="4" t="n"/>
      <c r="N759" s="4" t="n"/>
      <c r="O759" s="4">
        <f>IF($A759="","",TEXT($A759,"yyyy")&amp;"-W"&amp;TEXT(ISOWEEKNUM($A759),"00"))</f>
        <v/>
      </c>
      <c r="P759" s="4" t="n"/>
      <c r="Q759" s="14">
        <f>IF($A759="","",TEXT($A759,"yyyy-mm"))</f>
        <v/>
      </c>
    </row>
    <row r="760">
      <c r="A760" s="66" t="n"/>
      <c r="B760" s="4" t="n"/>
      <c r="C760" s="11">
        <f>IFERROR(VLOOKUP($B760,Members!$A:$C,2,FALSE),"")</f>
        <v/>
      </c>
      <c r="D760" s="11">
        <f>IFERROR(VLOOKUP($B760,Members!$A:$C,3,FALSE),"")</f>
        <v/>
      </c>
      <c r="E760" s="11">
        <f>IF($F760="","",IFERROR(VLOOKUP($F760,ActionMap!$A:$B,2,FALSE),"INVALID ACTION"))</f>
        <v/>
      </c>
      <c r="F760" s="4" t="n"/>
      <c r="G760" s="11">
        <f>IFERROR(VLOOKUP($E760,ActionsCatalog!$A:$B,2,FALSE),"")</f>
        <v/>
      </c>
      <c r="H760" s="4" t="n"/>
      <c r="I760" s="4">
        <f>IFERROR(VLOOKUP($E760,ActionsCatalog!$A:$D,3,FALSE),0)</f>
        <v/>
      </c>
      <c r="J760" s="4">
        <f>IFERROR(VLOOKUP($E760,ActionsCatalog!$A:$D,4,FALSE),0)</f>
        <v/>
      </c>
      <c r="K760" s="4">
        <f>IF($M760&lt;&gt;"Yes",0,IF($H760="",0,$H760*$I760))</f>
        <v/>
      </c>
      <c r="L760" s="4">
        <f>IF($M760&lt;&gt;"Yes",0,IF($H760="",0,$H760*$J760))</f>
        <v/>
      </c>
      <c r="M760" s="4" t="n"/>
      <c r="N760" s="4" t="n"/>
      <c r="O760" s="4">
        <f>IF($A760="","",TEXT($A760,"yyyy")&amp;"-W"&amp;TEXT(ISOWEEKNUM($A760),"00"))</f>
        <v/>
      </c>
      <c r="P760" s="4" t="n"/>
      <c r="Q760" s="14">
        <f>IF($A760="","",TEXT($A760,"yyyy-mm"))</f>
        <v/>
      </c>
    </row>
    <row r="761">
      <c r="A761" s="66" t="n"/>
      <c r="B761" s="4" t="n"/>
      <c r="C761" s="11">
        <f>IFERROR(VLOOKUP($B761,Members!$A:$C,2,FALSE),"")</f>
        <v/>
      </c>
      <c r="D761" s="11">
        <f>IFERROR(VLOOKUP($B761,Members!$A:$C,3,FALSE),"")</f>
        <v/>
      </c>
      <c r="E761" s="11">
        <f>IF($F761="","",IFERROR(VLOOKUP($F761,ActionMap!$A:$B,2,FALSE),"INVALID ACTION"))</f>
        <v/>
      </c>
      <c r="F761" s="4" t="n"/>
      <c r="G761" s="11">
        <f>IFERROR(VLOOKUP($E761,ActionsCatalog!$A:$B,2,FALSE),"")</f>
        <v/>
      </c>
      <c r="H761" s="4" t="n"/>
      <c r="I761" s="4">
        <f>IFERROR(VLOOKUP($E761,ActionsCatalog!$A:$D,3,FALSE),0)</f>
        <v/>
      </c>
      <c r="J761" s="4">
        <f>IFERROR(VLOOKUP($E761,ActionsCatalog!$A:$D,4,FALSE),0)</f>
        <v/>
      </c>
      <c r="K761" s="4">
        <f>IF($M761&lt;&gt;"Yes",0,IF($H761="",0,$H761*$I761))</f>
        <v/>
      </c>
      <c r="L761" s="4">
        <f>IF($M761&lt;&gt;"Yes",0,IF($H761="",0,$H761*$J761))</f>
        <v/>
      </c>
      <c r="M761" s="4" t="n"/>
      <c r="N761" s="4" t="n"/>
      <c r="O761" s="4">
        <f>IF($A761="","",TEXT($A761,"yyyy")&amp;"-W"&amp;TEXT(ISOWEEKNUM($A761),"00"))</f>
        <v/>
      </c>
      <c r="P761" s="4" t="n"/>
      <c r="Q761" s="14">
        <f>IF($A761="","",TEXT($A761,"yyyy-mm"))</f>
        <v/>
      </c>
    </row>
    <row r="762">
      <c r="A762" s="66" t="n"/>
      <c r="B762" s="4" t="n"/>
      <c r="C762" s="11">
        <f>IFERROR(VLOOKUP($B762,Members!$A:$C,2,FALSE),"")</f>
        <v/>
      </c>
      <c r="D762" s="11">
        <f>IFERROR(VLOOKUP($B762,Members!$A:$C,3,FALSE),"")</f>
        <v/>
      </c>
      <c r="E762" s="11">
        <f>IF($F762="","",IFERROR(VLOOKUP($F762,ActionMap!$A:$B,2,FALSE),"INVALID ACTION"))</f>
        <v/>
      </c>
      <c r="F762" s="4" t="n"/>
      <c r="G762" s="11">
        <f>IFERROR(VLOOKUP($E762,ActionsCatalog!$A:$B,2,FALSE),"")</f>
        <v/>
      </c>
      <c r="H762" s="4" t="n"/>
      <c r="I762" s="4">
        <f>IFERROR(VLOOKUP($E762,ActionsCatalog!$A:$D,3,FALSE),0)</f>
        <v/>
      </c>
      <c r="J762" s="4">
        <f>IFERROR(VLOOKUP($E762,ActionsCatalog!$A:$D,4,FALSE),0)</f>
        <v/>
      </c>
      <c r="K762" s="4">
        <f>IF($M762&lt;&gt;"Yes",0,IF($H762="",0,$H762*$I762))</f>
        <v/>
      </c>
      <c r="L762" s="4">
        <f>IF($M762&lt;&gt;"Yes",0,IF($H762="",0,$H762*$J762))</f>
        <v/>
      </c>
      <c r="M762" s="4" t="n"/>
      <c r="N762" s="4" t="n"/>
      <c r="O762" s="4">
        <f>IF($A762="","",TEXT($A762,"yyyy")&amp;"-W"&amp;TEXT(ISOWEEKNUM($A762),"00"))</f>
        <v/>
      </c>
      <c r="P762" s="4" t="n"/>
      <c r="Q762" s="14">
        <f>IF($A762="","",TEXT($A762,"yyyy-mm"))</f>
        <v/>
      </c>
    </row>
    <row r="763">
      <c r="A763" s="66" t="n"/>
      <c r="B763" s="4" t="n"/>
      <c r="C763" s="11">
        <f>IFERROR(VLOOKUP($B763,Members!$A:$C,2,FALSE),"")</f>
        <v/>
      </c>
      <c r="D763" s="11">
        <f>IFERROR(VLOOKUP($B763,Members!$A:$C,3,FALSE),"")</f>
        <v/>
      </c>
      <c r="E763" s="11">
        <f>IF($F763="","",IFERROR(VLOOKUP($F763,ActionMap!$A:$B,2,FALSE),"INVALID ACTION"))</f>
        <v/>
      </c>
      <c r="F763" s="4" t="n"/>
      <c r="G763" s="11">
        <f>IFERROR(VLOOKUP($E763,ActionsCatalog!$A:$B,2,FALSE),"")</f>
        <v/>
      </c>
      <c r="H763" s="4" t="n"/>
      <c r="I763" s="4">
        <f>IFERROR(VLOOKUP($E763,ActionsCatalog!$A:$D,3,FALSE),0)</f>
        <v/>
      </c>
      <c r="J763" s="4">
        <f>IFERROR(VLOOKUP($E763,ActionsCatalog!$A:$D,4,FALSE),0)</f>
        <v/>
      </c>
      <c r="K763" s="4">
        <f>IF($M763&lt;&gt;"Yes",0,IF($H763="",0,$H763*$I763))</f>
        <v/>
      </c>
      <c r="L763" s="4">
        <f>IF($M763&lt;&gt;"Yes",0,IF($H763="",0,$H763*$J763))</f>
        <v/>
      </c>
      <c r="M763" s="4" t="n"/>
      <c r="N763" s="4" t="n"/>
      <c r="O763" s="4">
        <f>IF($A763="","",TEXT($A763,"yyyy")&amp;"-W"&amp;TEXT(ISOWEEKNUM($A763),"00"))</f>
        <v/>
      </c>
      <c r="P763" s="4" t="n"/>
      <c r="Q763" s="14">
        <f>IF($A763="","",TEXT($A763,"yyyy-mm"))</f>
        <v/>
      </c>
    </row>
    <row r="764">
      <c r="A764" s="66" t="n"/>
      <c r="B764" s="4" t="n"/>
      <c r="C764" s="11">
        <f>IFERROR(VLOOKUP($B764,Members!$A:$C,2,FALSE),"")</f>
        <v/>
      </c>
      <c r="D764" s="11">
        <f>IFERROR(VLOOKUP($B764,Members!$A:$C,3,FALSE),"")</f>
        <v/>
      </c>
      <c r="E764" s="11">
        <f>IF($F764="","",IFERROR(VLOOKUP($F764,ActionMap!$A:$B,2,FALSE),"INVALID ACTION"))</f>
        <v/>
      </c>
      <c r="F764" s="4" t="n"/>
      <c r="G764" s="11">
        <f>IFERROR(VLOOKUP($E764,ActionsCatalog!$A:$B,2,FALSE),"")</f>
        <v/>
      </c>
      <c r="H764" s="4" t="n"/>
      <c r="I764" s="4">
        <f>IFERROR(VLOOKUP($E764,ActionsCatalog!$A:$D,3,FALSE),0)</f>
        <v/>
      </c>
      <c r="J764" s="4">
        <f>IFERROR(VLOOKUP($E764,ActionsCatalog!$A:$D,4,FALSE),0)</f>
        <v/>
      </c>
      <c r="K764" s="4">
        <f>IF($M764&lt;&gt;"Yes",0,IF($H764="",0,$H764*$I764))</f>
        <v/>
      </c>
      <c r="L764" s="4">
        <f>IF($M764&lt;&gt;"Yes",0,IF($H764="",0,$H764*$J764))</f>
        <v/>
      </c>
      <c r="M764" s="4" t="n"/>
      <c r="N764" s="4" t="n"/>
      <c r="O764" s="4">
        <f>IF($A764="","",TEXT($A764,"yyyy")&amp;"-W"&amp;TEXT(ISOWEEKNUM($A764),"00"))</f>
        <v/>
      </c>
      <c r="P764" s="4" t="n"/>
      <c r="Q764" s="14">
        <f>IF($A764="","",TEXT($A764,"yyyy-mm"))</f>
        <v/>
      </c>
    </row>
    <row r="765">
      <c r="A765" s="66" t="n"/>
      <c r="B765" s="4" t="n"/>
      <c r="C765" s="11">
        <f>IFERROR(VLOOKUP($B765,Members!$A:$C,2,FALSE),"")</f>
        <v/>
      </c>
      <c r="D765" s="11">
        <f>IFERROR(VLOOKUP($B765,Members!$A:$C,3,FALSE),"")</f>
        <v/>
      </c>
      <c r="E765" s="11">
        <f>IF($F765="","",IFERROR(VLOOKUP($F765,ActionMap!$A:$B,2,FALSE),"INVALID ACTION"))</f>
        <v/>
      </c>
      <c r="F765" s="4" t="n"/>
      <c r="G765" s="11">
        <f>IFERROR(VLOOKUP($E765,ActionsCatalog!$A:$B,2,FALSE),"")</f>
        <v/>
      </c>
      <c r="H765" s="4" t="n"/>
      <c r="I765" s="4">
        <f>IFERROR(VLOOKUP($E765,ActionsCatalog!$A:$D,3,FALSE),0)</f>
        <v/>
      </c>
      <c r="J765" s="4">
        <f>IFERROR(VLOOKUP($E765,ActionsCatalog!$A:$D,4,FALSE),0)</f>
        <v/>
      </c>
      <c r="K765" s="4">
        <f>IF($M765&lt;&gt;"Yes",0,IF($H765="",0,$H765*$I765))</f>
        <v/>
      </c>
      <c r="L765" s="4">
        <f>IF($M765&lt;&gt;"Yes",0,IF($H765="",0,$H765*$J765))</f>
        <v/>
      </c>
      <c r="M765" s="4" t="n"/>
      <c r="N765" s="4" t="n"/>
      <c r="O765" s="4">
        <f>IF($A765="","",TEXT($A765,"yyyy")&amp;"-W"&amp;TEXT(ISOWEEKNUM($A765),"00"))</f>
        <v/>
      </c>
      <c r="P765" s="4" t="n"/>
      <c r="Q765" s="14">
        <f>IF($A765="","",TEXT($A765,"yyyy-mm"))</f>
        <v/>
      </c>
    </row>
    <row r="766">
      <c r="A766" s="66" t="n"/>
      <c r="B766" s="4" t="n"/>
      <c r="C766" s="11">
        <f>IFERROR(VLOOKUP($B766,Members!$A:$C,2,FALSE),"")</f>
        <v/>
      </c>
      <c r="D766" s="11">
        <f>IFERROR(VLOOKUP($B766,Members!$A:$C,3,FALSE),"")</f>
        <v/>
      </c>
      <c r="E766" s="11">
        <f>IF($F766="","",IFERROR(VLOOKUP($F766,ActionMap!$A:$B,2,FALSE),"INVALID ACTION"))</f>
        <v/>
      </c>
      <c r="F766" s="4" t="n"/>
      <c r="G766" s="11">
        <f>IFERROR(VLOOKUP($E766,ActionsCatalog!$A:$B,2,FALSE),"")</f>
        <v/>
      </c>
      <c r="H766" s="4" t="n"/>
      <c r="I766" s="4">
        <f>IFERROR(VLOOKUP($E766,ActionsCatalog!$A:$D,3,FALSE),0)</f>
        <v/>
      </c>
      <c r="J766" s="4">
        <f>IFERROR(VLOOKUP($E766,ActionsCatalog!$A:$D,4,FALSE),0)</f>
        <v/>
      </c>
      <c r="K766" s="4">
        <f>IF($M766&lt;&gt;"Yes",0,IF($H766="",0,$H766*$I766))</f>
        <v/>
      </c>
      <c r="L766" s="4">
        <f>IF($M766&lt;&gt;"Yes",0,IF($H766="",0,$H766*$J766))</f>
        <v/>
      </c>
      <c r="M766" s="4" t="n"/>
      <c r="N766" s="4" t="n"/>
      <c r="O766" s="4">
        <f>IF($A766="","",TEXT($A766,"yyyy")&amp;"-W"&amp;TEXT(ISOWEEKNUM($A766),"00"))</f>
        <v/>
      </c>
      <c r="P766" s="4" t="n"/>
      <c r="Q766" s="14">
        <f>IF($A766="","",TEXT($A766,"yyyy-mm"))</f>
        <v/>
      </c>
    </row>
    <row r="767">
      <c r="A767" s="66" t="n"/>
      <c r="B767" s="4" t="n"/>
      <c r="C767" s="11">
        <f>IFERROR(VLOOKUP($B767,Members!$A:$C,2,FALSE),"")</f>
        <v/>
      </c>
      <c r="D767" s="11">
        <f>IFERROR(VLOOKUP($B767,Members!$A:$C,3,FALSE),"")</f>
        <v/>
      </c>
      <c r="E767" s="11">
        <f>IF($F767="","",IFERROR(VLOOKUP($F767,ActionMap!$A:$B,2,FALSE),"INVALID ACTION"))</f>
        <v/>
      </c>
      <c r="F767" s="4" t="n"/>
      <c r="G767" s="11">
        <f>IFERROR(VLOOKUP($E767,ActionsCatalog!$A:$B,2,FALSE),"")</f>
        <v/>
      </c>
      <c r="H767" s="4" t="n"/>
      <c r="I767" s="4">
        <f>IFERROR(VLOOKUP($E767,ActionsCatalog!$A:$D,3,FALSE),0)</f>
        <v/>
      </c>
      <c r="J767" s="4">
        <f>IFERROR(VLOOKUP($E767,ActionsCatalog!$A:$D,4,FALSE),0)</f>
        <v/>
      </c>
      <c r="K767" s="4">
        <f>IF($M767&lt;&gt;"Yes",0,IF($H767="",0,$H767*$I767))</f>
        <v/>
      </c>
      <c r="L767" s="4">
        <f>IF($M767&lt;&gt;"Yes",0,IF($H767="",0,$H767*$J767))</f>
        <v/>
      </c>
      <c r="M767" s="4" t="n"/>
      <c r="N767" s="4" t="n"/>
      <c r="O767" s="4">
        <f>IF($A767="","",TEXT($A767,"yyyy")&amp;"-W"&amp;TEXT(ISOWEEKNUM($A767),"00"))</f>
        <v/>
      </c>
      <c r="P767" s="4" t="n"/>
      <c r="Q767" s="14">
        <f>IF($A767="","",TEXT($A767,"yyyy-mm"))</f>
        <v/>
      </c>
    </row>
    <row r="768">
      <c r="A768" s="66" t="n"/>
      <c r="B768" s="4" t="n"/>
      <c r="C768" s="11">
        <f>IFERROR(VLOOKUP($B768,Members!$A:$C,2,FALSE),"")</f>
        <v/>
      </c>
      <c r="D768" s="11">
        <f>IFERROR(VLOOKUP($B768,Members!$A:$C,3,FALSE),"")</f>
        <v/>
      </c>
      <c r="E768" s="11">
        <f>IF($F768="","",IFERROR(VLOOKUP($F768,ActionMap!$A:$B,2,FALSE),"INVALID ACTION"))</f>
        <v/>
      </c>
      <c r="F768" s="4" t="n"/>
      <c r="G768" s="11">
        <f>IFERROR(VLOOKUP($E768,ActionsCatalog!$A:$B,2,FALSE),"")</f>
        <v/>
      </c>
      <c r="H768" s="4" t="n"/>
      <c r="I768" s="4">
        <f>IFERROR(VLOOKUP($E768,ActionsCatalog!$A:$D,3,FALSE),0)</f>
        <v/>
      </c>
      <c r="J768" s="4">
        <f>IFERROR(VLOOKUP($E768,ActionsCatalog!$A:$D,4,FALSE),0)</f>
        <v/>
      </c>
      <c r="K768" s="4">
        <f>IF($M768&lt;&gt;"Yes",0,IF($H768="",0,$H768*$I768))</f>
        <v/>
      </c>
      <c r="L768" s="4">
        <f>IF($M768&lt;&gt;"Yes",0,IF($H768="",0,$H768*$J768))</f>
        <v/>
      </c>
      <c r="M768" s="4" t="n"/>
      <c r="N768" s="4" t="n"/>
      <c r="O768" s="4">
        <f>IF($A768="","",TEXT($A768,"yyyy")&amp;"-W"&amp;TEXT(ISOWEEKNUM($A768),"00"))</f>
        <v/>
      </c>
      <c r="P768" s="4" t="n"/>
      <c r="Q768" s="14">
        <f>IF($A768="","",TEXT($A768,"yyyy-mm"))</f>
        <v/>
      </c>
    </row>
    <row r="769">
      <c r="A769" s="66" t="n"/>
      <c r="B769" s="4" t="n"/>
      <c r="C769" s="11">
        <f>IFERROR(VLOOKUP($B769,Members!$A:$C,2,FALSE),"")</f>
        <v/>
      </c>
      <c r="D769" s="11">
        <f>IFERROR(VLOOKUP($B769,Members!$A:$C,3,FALSE),"")</f>
        <v/>
      </c>
      <c r="E769" s="11">
        <f>IF($F769="","",IFERROR(VLOOKUP($F769,ActionMap!$A:$B,2,FALSE),"INVALID ACTION"))</f>
        <v/>
      </c>
      <c r="F769" s="4" t="n"/>
      <c r="G769" s="11">
        <f>IFERROR(VLOOKUP($E769,ActionsCatalog!$A:$B,2,FALSE),"")</f>
        <v/>
      </c>
      <c r="H769" s="4" t="n"/>
      <c r="I769" s="4">
        <f>IFERROR(VLOOKUP($E769,ActionsCatalog!$A:$D,3,FALSE),0)</f>
        <v/>
      </c>
      <c r="J769" s="4">
        <f>IFERROR(VLOOKUP($E769,ActionsCatalog!$A:$D,4,FALSE),0)</f>
        <v/>
      </c>
      <c r="K769" s="4">
        <f>IF($M769&lt;&gt;"Yes",0,IF($H769="",0,$H769*$I769))</f>
        <v/>
      </c>
      <c r="L769" s="4">
        <f>IF($M769&lt;&gt;"Yes",0,IF($H769="",0,$H769*$J769))</f>
        <v/>
      </c>
      <c r="M769" s="4" t="n"/>
      <c r="N769" s="4" t="n"/>
      <c r="O769" s="4">
        <f>IF($A769="","",TEXT($A769,"yyyy")&amp;"-W"&amp;TEXT(ISOWEEKNUM($A769),"00"))</f>
        <v/>
      </c>
      <c r="P769" s="4" t="n"/>
      <c r="Q769" s="14">
        <f>IF($A769="","",TEXT($A769,"yyyy-mm"))</f>
        <v/>
      </c>
    </row>
    <row r="770">
      <c r="A770" s="66" t="n"/>
      <c r="B770" s="4" t="n"/>
      <c r="C770" s="11">
        <f>IFERROR(VLOOKUP($B770,Members!$A:$C,2,FALSE),"")</f>
        <v/>
      </c>
      <c r="D770" s="11">
        <f>IFERROR(VLOOKUP($B770,Members!$A:$C,3,FALSE),"")</f>
        <v/>
      </c>
      <c r="E770" s="11">
        <f>IF($F770="","",IFERROR(VLOOKUP($F770,ActionMap!$A:$B,2,FALSE),"INVALID ACTION"))</f>
        <v/>
      </c>
      <c r="F770" s="4" t="n"/>
      <c r="G770" s="11">
        <f>IFERROR(VLOOKUP($E770,ActionsCatalog!$A:$B,2,FALSE),"")</f>
        <v/>
      </c>
      <c r="H770" s="4" t="n"/>
      <c r="I770" s="4">
        <f>IFERROR(VLOOKUP($E770,ActionsCatalog!$A:$D,3,FALSE),0)</f>
        <v/>
      </c>
      <c r="J770" s="4">
        <f>IFERROR(VLOOKUP($E770,ActionsCatalog!$A:$D,4,FALSE),0)</f>
        <v/>
      </c>
      <c r="K770" s="4">
        <f>IF($M770&lt;&gt;"Yes",0,IF($H770="",0,$H770*$I770))</f>
        <v/>
      </c>
      <c r="L770" s="4">
        <f>IF($M770&lt;&gt;"Yes",0,IF($H770="",0,$H770*$J770))</f>
        <v/>
      </c>
      <c r="M770" s="4" t="n"/>
      <c r="N770" s="4" t="n"/>
      <c r="O770" s="4">
        <f>IF($A770="","",TEXT($A770,"yyyy")&amp;"-W"&amp;TEXT(ISOWEEKNUM($A770),"00"))</f>
        <v/>
      </c>
      <c r="P770" s="4" t="n"/>
      <c r="Q770" s="14">
        <f>IF($A770="","",TEXT($A770,"yyyy-mm"))</f>
        <v/>
      </c>
    </row>
    <row r="771">
      <c r="A771" s="66" t="n"/>
      <c r="B771" s="4" t="n"/>
      <c r="C771" s="11">
        <f>IFERROR(VLOOKUP($B771,Members!$A:$C,2,FALSE),"")</f>
        <v/>
      </c>
      <c r="D771" s="11">
        <f>IFERROR(VLOOKUP($B771,Members!$A:$C,3,FALSE),"")</f>
        <v/>
      </c>
      <c r="E771" s="11">
        <f>IF($F771="","",IFERROR(VLOOKUP($F771,ActionMap!$A:$B,2,FALSE),"INVALID ACTION"))</f>
        <v/>
      </c>
      <c r="F771" s="4" t="n"/>
      <c r="G771" s="11">
        <f>IFERROR(VLOOKUP($E771,ActionsCatalog!$A:$B,2,FALSE),"")</f>
        <v/>
      </c>
      <c r="H771" s="4" t="n"/>
      <c r="I771" s="4">
        <f>IFERROR(VLOOKUP($E771,ActionsCatalog!$A:$D,3,FALSE),0)</f>
        <v/>
      </c>
      <c r="J771" s="4">
        <f>IFERROR(VLOOKUP($E771,ActionsCatalog!$A:$D,4,FALSE),0)</f>
        <v/>
      </c>
      <c r="K771" s="4">
        <f>IF($M771&lt;&gt;"Yes",0,IF($H771="",0,$H771*$I771))</f>
        <v/>
      </c>
      <c r="L771" s="4">
        <f>IF($M771&lt;&gt;"Yes",0,IF($H771="",0,$H771*$J771))</f>
        <v/>
      </c>
      <c r="M771" s="4" t="n"/>
      <c r="N771" s="4" t="n"/>
      <c r="O771" s="4">
        <f>IF($A771="","",TEXT($A771,"yyyy")&amp;"-W"&amp;TEXT(ISOWEEKNUM($A771),"00"))</f>
        <v/>
      </c>
      <c r="P771" s="4" t="n"/>
      <c r="Q771" s="14">
        <f>IF($A771="","",TEXT($A771,"yyyy-mm"))</f>
        <v/>
      </c>
    </row>
    <row r="772">
      <c r="A772" s="66" t="n"/>
      <c r="B772" s="4" t="n"/>
      <c r="C772" s="11">
        <f>IFERROR(VLOOKUP($B772,Members!$A:$C,2,FALSE),"")</f>
        <v/>
      </c>
      <c r="D772" s="11">
        <f>IFERROR(VLOOKUP($B772,Members!$A:$C,3,FALSE),"")</f>
        <v/>
      </c>
      <c r="E772" s="11">
        <f>IF($F772="","",IFERROR(VLOOKUP($F772,ActionMap!$A:$B,2,FALSE),"INVALID ACTION"))</f>
        <v/>
      </c>
      <c r="F772" s="4" t="n"/>
      <c r="G772" s="11">
        <f>IFERROR(VLOOKUP($E772,ActionsCatalog!$A:$B,2,FALSE),"")</f>
        <v/>
      </c>
      <c r="H772" s="4" t="n"/>
      <c r="I772" s="4">
        <f>IFERROR(VLOOKUP($E772,ActionsCatalog!$A:$D,3,FALSE),0)</f>
        <v/>
      </c>
      <c r="J772" s="4">
        <f>IFERROR(VLOOKUP($E772,ActionsCatalog!$A:$D,4,FALSE),0)</f>
        <v/>
      </c>
      <c r="K772" s="4">
        <f>IF($M772&lt;&gt;"Yes",0,IF($H772="",0,$H772*$I772))</f>
        <v/>
      </c>
      <c r="L772" s="4">
        <f>IF($M772&lt;&gt;"Yes",0,IF($H772="",0,$H772*$J772))</f>
        <v/>
      </c>
      <c r="M772" s="4" t="n"/>
      <c r="N772" s="4" t="n"/>
      <c r="O772" s="4">
        <f>IF($A772="","",TEXT($A772,"yyyy")&amp;"-W"&amp;TEXT(ISOWEEKNUM($A772),"00"))</f>
        <v/>
      </c>
      <c r="P772" s="4" t="n"/>
      <c r="Q772" s="14">
        <f>IF($A772="","",TEXT($A772,"yyyy-mm"))</f>
        <v/>
      </c>
    </row>
    <row r="773">
      <c r="A773" s="66" t="n"/>
      <c r="B773" s="4" t="n"/>
      <c r="C773" s="11">
        <f>IFERROR(VLOOKUP($B773,Members!$A:$C,2,FALSE),"")</f>
        <v/>
      </c>
      <c r="D773" s="11">
        <f>IFERROR(VLOOKUP($B773,Members!$A:$C,3,FALSE),"")</f>
        <v/>
      </c>
      <c r="E773" s="11">
        <f>IF($F773="","",IFERROR(VLOOKUP($F773,ActionMap!$A:$B,2,FALSE),"INVALID ACTION"))</f>
        <v/>
      </c>
      <c r="F773" s="4" t="n"/>
      <c r="G773" s="11">
        <f>IFERROR(VLOOKUP($E773,ActionsCatalog!$A:$B,2,FALSE),"")</f>
        <v/>
      </c>
      <c r="H773" s="4" t="n"/>
      <c r="I773" s="4">
        <f>IFERROR(VLOOKUP($E773,ActionsCatalog!$A:$D,3,FALSE),0)</f>
        <v/>
      </c>
      <c r="J773" s="4">
        <f>IFERROR(VLOOKUP($E773,ActionsCatalog!$A:$D,4,FALSE),0)</f>
        <v/>
      </c>
      <c r="K773" s="4">
        <f>IF($M773&lt;&gt;"Yes",0,IF($H773="",0,$H773*$I773))</f>
        <v/>
      </c>
      <c r="L773" s="4">
        <f>IF($M773&lt;&gt;"Yes",0,IF($H773="",0,$H773*$J773))</f>
        <v/>
      </c>
      <c r="M773" s="4" t="n"/>
      <c r="N773" s="4" t="n"/>
      <c r="O773" s="4">
        <f>IF($A773="","",TEXT($A773,"yyyy")&amp;"-W"&amp;TEXT(ISOWEEKNUM($A773),"00"))</f>
        <v/>
      </c>
      <c r="P773" s="4" t="n"/>
      <c r="Q773" s="14">
        <f>IF($A773="","",TEXT($A773,"yyyy-mm"))</f>
        <v/>
      </c>
    </row>
    <row r="774">
      <c r="A774" s="66" t="n"/>
      <c r="B774" s="4" t="n"/>
      <c r="C774" s="11">
        <f>IFERROR(VLOOKUP($B774,Members!$A:$C,2,FALSE),"")</f>
        <v/>
      </c>
      <c r="D774" s="11">
        <f>IFERROR(VLOOKUP($B774,Members!$A:$C,3,FALSE),"")</f>
        <v/>
      </c>
      <c r="E774" s="11">
        <f>IF($F774="","",IFERROR(VLOOKUP($F774,ActionMap!$A:$B,2,FALSE),"INVALID ACTION"))</f>
        <v/>
      </c>
      <c r="F774" s="4" t="n"/>
      <c r="G774" s="11">
        <f>IFERROR(VLOOKUP($E774,ActionsCatalog!$A:$B,2,FALSE),"")</f>
        <v/>
      </c>
      <c r="H774" s="4" t="n"/>
      <c r="I774" s="4">
        <f>IFERROR(VLOOKUP($E774,ActionsCatalog!$A:$D,3,FALSE),0)</f>
        <v/>
      </c>
      <c r="J774" s="4">
        <f>IFERROR(VLOOKUP($E774,ActionsCatalog!$A:$D,4,FALSE),0)</f>
        <v/>
      </c>
      <c r="K774" s="4">
        <f>IF($M774&lt;&gt;"Yes",0,IF($H774="",0,$H774*$I774))</f>
        <v/>
      </c>
      <c r="L774" s="4">
        <f>IF($M774&lt;&gt;"Yes",0,IF($H774="",0,$H774*$J774))</f>
        <v/>
      </c>
      <c r="M774" s="4" t="n"/>
      <c r="N774" s="4" t="n"/>
      <c r="O774" s="4">
        <f>IF($A774="","",TEXT($A774,"yyyy")&amp;"-W"&amp;TEXT(ISOWEEKNUM($A774),"00"))</f>
        <v/>
      </c>
      <c r="P774" s="4" t="n"/>
      <c r="Q774" s="14">
        <f>IF($A774="","",TEXT($A774,"yyyy-mm"))</f>
        <v/>
      </c>
    </row>
    <row r="775">
      <c r="A775" s="66" t="n"/>
      <c r="B775" s="4" t="n"/>
      <c r="C775" s="11">
        <f>IFERROR(VLOOKUP($B775,Members!$A:$C,2,FALSE),"")</f>
        <v/>
      </c>
      <c r="D775" s="11">
        <f>IFERROR(VLOOKUP($B775,Members!$A:$C,3,FALSE),"")</f>
        <v/>
      </c>
      <c r="E775" s="11">
        <f>IF($F775="","",IFERROR(VLOOKUP($F775,ActionMap!$A:$B,2,FALSE),"INVALID ACTION"))</f>
        <v/>
      </c>
      <c r="F775" s="4" t="n"/>
      <c r="G775" s="11">
        <f>IFERROR(VLOOKUP($E775,ActionsCatalog!$A:$B,2,FALSE),"")</f>
        <v/>
      </c>
      <c r="H775" s="4" t="n"/>
      <c r="I775" s="4">
        <f>IFERROR(VLOOKUP($E775,ActionsCatalog!$A:$D,3,FALSE),0)</f>
        <v/>
      </c>
      <c r="J775" s="4">
        <f>IFERROR(VLOOKUP($E775,ActionsCatalog!$A:$D,4,FALSE),0)</f>
        <v/>
      </c>
      <c r="K775" s="4">
        <f>IF($M775&lt;&gt;"Yes",0,IF($H775="",0,$H775*$I775))</f>
        <v/>
      </c>
      <c r="L775" s="4">
        <f>IF($M775&lt;&gt;"Yes",0,IF($H775="",0,$H775*$J775))</f>
        <v/>
      </c>
      <c r="M775" s="4" t="n"/>
      <c r="N775" s="4" t="n"/>
      <c r="O775" s="4">
        <f>IF($A775="","",TEXT($A775,"yyyy")&amp;"-W"&amp;TEXT(ISOWEEKNUM($A775),"00"))</f>
        <v/>
      </c>
      <c r="P775" s="4" t="n"/>
      <c r="Q775" s="14">
        <f>IF($A775="","",TEXT($A775,"yyyy-mm"))</f>
        <v/>
      </c>
    </row>
    <row r="776">
      <c r="A776" s="66" t="n"/>
      <c r="B776" s="4" t="n"/>
      <c r="C776" s="11">
        <f>IFERROR(VLOOKUP($B776,Members!$A:$C,2,FALSE),"")</f>
        <v/>
      </c>
      <c r="D776" s="11">
        <f>IFERROR(VLOOKUP($B776,Members!$A:$C,3,FALSE),"")</f>
        <v/>
      </c>
      <c r="E776" s="11">
        <f>IF($F776="","",IFERROR(VLOOKUP($F776,ActionMap!$A:$B,2,FALSE),"INVALID ACTION"))</f>
        <v/>
      </c>
      <c r="F776" s="4" t="n"/>
      <c r="G776" s="11">
        <f>IFERROR(VLOOKUP($E776,ActionsCatalog!$A:$B,2,FALSE),"")</f>
        <v/>
      </c>
      <c r="H776" s="4" t="n"/>
      <c r="I776" s="4">
        <f>IFERROR(VLOOKUP($E776,ActionsCatalog!$A:$D,3,FALSE),0)</f>
        <v/>
      </c>
      <c r="J776" s="4">
        <f>IFERROR(VLOOKUP($E776,ActionsCatalog!$A:$D,4,FALSE),0)</f>
        <v/>
      </c>
      <c r="K776" s="4">
        <f>IF($M776&lt;&gt;"Yes",0,IF($H776="",0,$H776*$I776))</f>
        <v/>
      </c>
      <c r="L776" s="4">
        <f>IF($M776&lt;&gt;"Yes",0,IF($H776="",0,$H776*$J776))</f>
        <v/>
      </c>
      <c r="M776" s="4" t="n"/>
      <c r="N776" s="4" t="n"/>
      <c r="O776" s="4">
        <f>IF($A776="","",TEXT($A776,"yyyy")&amp;"-W"&amp;TEXT(ISOWEEKNUM($A776),"00"))</f>
        <v/>
      </c>
      <c r="P776" s="4" t="n"/>
      <c r="Q776" s="14">
        <f>IF($A776="","",TEXT($A776,"yyyy-mm"))</f>
        <v/>
      </c>
    </row>
    <row r="777">
      <c r="A777" s="66" t="n"/>
      <c r="B777" s="4" t="n"/>
      <c r="C777" s="11">
        <f>IFERROR(VLOOKUP($B777,Members!$A:$C,2,FALSE),"")</f>
        <v/>
      </c>
      <c r="D777" s="11">
        <f>IFERROR(VLOOKUP($B777,Members!$A:$C,3,FALSE),"")</f>
        <v/>
      </c>
      <c r="E777" s="11">
        <f>IF($F777="","",IFERROR(VLOOKUP($F777,ActionMap!$A:$B,2,FALSE),"INVALID ACTION"))</f>
        <v/>
      </c>
      <c r="F777" s="4" t="n"/>
      <c r="G777" s="11">
        <f>IFERROR(VLOOKUP($E777,ActionsCatalog!$A:$B,2,FALSE),"")</f>
        <v/>
      </c>
      <c r="H777" s="4" t="n"/>
      <c r="I777" s="4">
        <f>IFERROR(VLOOKUP($E777,ActionsCatalog!$A:$D,3,FALSE),0)</f>
        <v/>
      </c>
      <c r="J777" s="4">
        <f>IFERROR(VLOOKUP($E777,ActionsCatalog!$A:$D,4,FALSE),0)</f>
        <v/>
      </c>
      <c r="K777" s="4">
        <f>IF($M777&lt;&gt;"Yes",0,IF($H777="",0,$H777*$I777))</f>
        <v/>
      </c>
      <c r="L777" s="4">
        <f>IF($M777&lt;&gt;"Yes",0,IF($H777="",0,$H777*$J777))</f>
        <v/>
      </c>
      <c r="M777" s="4" t="n"/>
      <c r="N777" s="4" t="n"/>
      <c r="O777" s="4">
        <f>IF($A777="","",TEXT($A777,"yyyy")&amp;"-W"&amp;TEXT(ISOWEEKNUM($A777),"00"))</f>
        <v/>
      </c>
      <c r="P777" s="4" t="n"/>
      <c r="Q777" s="14">
        <f>IF($A777="","",TEXT($A777,"yyyy-mm"))</f>
        <v/>
      </c>
    </row>
    <row r="778">
      <c r="A778" s="66" t="n"/>
      <c r="B778" s="4" t="n"/>
      <c r="C778" s="11">
        <f>IFERROR(VLOOKUP($B778,Members!$A:$C,2,FALSE),"")</f>
        <v/>
      </c>
      <c r="D778" s="11">
        <f>IFERROR(VLOOKUP($B778,Members!$A:$C,3,FALSE),"")</f>
        <v/>
      </c>
      <c r="E778" s="11">
        <f>IF($F778="","",IFERROR(VLOOKUP($F778,ActionMap!$A:$B,2,FALSE),"INVALID ACTION"))</f>
        <v/>
      </c>
      <c r="F778" s="4" t="n"/>
      <c r="G778" s="11">
        <f>IFERROR(VLOOKUP($E778,ActionsCatalog!$A:$B,2,FALSE),"")</f>
        <v/>
      </c>
      <c r="H778" s="4" t="n"/>
      <c r="I778" s="4">
        <f>IFERROR(VLOOKUP($E778,ActionsCatalog!$A:$D,3,FALSE),0)</f>
        <v/>
      </c>
      <c r="J778" s="4">
        <f>IFERROR(VLOOKUP($E778,ActionsCatalog!$A:$D,4,FALSE),0)</f>
        <v/>
      </c>
      <c r="K778" s="4">
        <f>IF($M778&lt;&gt;"Yes",0,IF($H778="",0,$H778*$I778))</f>
        <v/>
      </c>
      <c r="L778" s="4">
        <f>IF($M778&lt;&gt;"Yes",0,IF($H778="",0,$H778*$J778))</f>
        <v/>
      </c>
      <c r="M778" s="4" t="n"/>
      <c r="N778" s="4" t="n"/>
      <c r="O778" s="4">
        <f>IF($A778="","",TEXT($A778,"yyyy")&amp;"-W"&amp;TEXT(ISOWEEKNUM($A778),"00"))</f>
        <v/>
      </c>
      <c r="P778" s="4" t="n"/>
      <c r="Q778" s="14">
        <f>IF($A778="","",TEXT($A778,"yyyy-mm"))</f>
        <v/>
      </c>
    </row>
    <row r="779">
      <c r="A779" s="66" t="n"/>
      <c r="B779" s="4" t="n"/>
      <c r="C779" s="11">
        <f>IFERROR(VLOOKUP($B779,Members!$A:$C,2,FALSE),"")</f>
        <v/>
      </c>
      <c r="D779" s="11">
        <f>IFERROR(VLOOKUP($B779,Members!$A:$C,3,FALSE),"")</f>
        <v/>
      </c>
      <c r="E779" s="11">
        <f>IF($F779="","",IFERROR(VLOOKUP($F779,ActionMap!$A:$B,2,FALSE),"INVALID ACTION"))</f>
        <v/>
      </c>
      <c r="F779" s="4" t="n"/>
      <c r="G779" s="11">
        <f>IFERROR(VLOOKUP($E779,ActionsCatalog!$A:$B,2,FALSE),"")</f>
        <v/>
      </c>
      <c r="H779" s="4" t="n"/>
      <c r="I779" s="4">
        <f>IFERROR(VLOOKUP($E779,ActionsCatalog!$A:$D,3,FALSE),0)</f>
        <v/>
      </c>
      <c r="J779" s="4">
        <f>IFERROR(VLOOKUP($E779,ActionsCatalog!$A:$D,4,FALSE),0)</f>
        <v/>
      </c>
      <c r="K779" s="4">
        <f>IF($M779&lt;&gt;"Yes",0,IF($H779="",0,$H779*$I779))</f>
        <v/>
      </c>
      <c r="L779" s="4">
        <f>IF($M779&lt;&gt;"Yes",0,IF($H779="",0,$H779*$J779))</f>
        <v/>
      </c>
      <c r="M779" s="4" t="n"/>
      <c r="N779" s="4" t="n"/>
      <c r="O779" s="4">
        <f>IF($A779="","",TEXT($A779,"yyyy")&amp;"-W"&amp;TEXT(ISOWEEKNUM($A779),"00"))</f>
        <v/>
      </c>
      <c r="P779" s="4" t="n"/>
      <c r="Q779" s="14">
        <f>IF($A779="","",TEXT($A779,"yyyy-mm"))</f>
        <v/>
      </c>
    </row>
    <row r="780">
      <c r="A780" s="66" t="n"/>
      <c r="B780" s="4" t="n"/>
      <c r="C780" s="11">
        <f>IFERROR(VLOOKUP($B780,Members!$A:$C,2,FALSE),"")</f>
        <v/>
      </c>
      <c r="D780" s="11">
        <f>IFERROR(VLOOKUP($B780,Members!$A:$C,3,FALSE),"")</f>
        <v/>
      </c>
      <c r="E780" s="11">
        <f>IF($F780="","",IFERROR(VLOOKUP($F780,ActionMap!$A:$B,2,FALSE),"INVALID ACTION"))</f>
        <v/>
      </c>
      <c r="F780" s="4" t="n"/>
      <c r="G780" s="11">
        <f>IFERROR(VLOOKUP($E780,ActionsCatalog!$A:$B,2,FALSE),"")</f>
        <v/>
      </c>
      <c r="H780" s="4" t="n"/>
      <c r="I780" s="4">
        <f>IFERROR(VLOOKUP($E780,ActionsCatalog!$A:$D,3,FALSE),0)</f>
        <v/>
      </c>
      <c r="J780" s="4">
        <f>IFERROR(VLOOKUP($E780,ActionsCatalog!$A:$D,4,FALSE),0)</f>
        <v/>
      </c>
      <c r="K780" s="4">
        <f>IF($M780&lt;&gt;"Yes",0,IF($H780="",0,$H780*$I780))</f>
        <v/>
      </c>
      <c r="L780" s="4">
        <f>IF($M780&lt;&gt;"Yes",0,IF($H780="",0,$H780*$J780))</f>
        <v/>
      </c>
      <c r="M780" s="4" t="n"/>
      <c r="N780" s="4" t="n"/>
      <c r="O780" s="4">
        <f>IF($A780="","",TEXT($A780,"yyyy")&amp;"-W"&amp;TEXT(ISOWEEKNUM($A780),"00"))</f>
        <v/>
      </c>
      <c r="P780" s="4" t="n"/>
      <c r="Q780" s="14">
        <f>IF($A780="","",TEXT($A780,"yyyy-mm"))</f>
        <v/>
      </c>
    </row>
    <row r="781">
      <c r="A781" s="66" t="n"/>
      <c r="B781" s="4" t="n"/>
      <c r="C781" s="11">
        <f>IFERROR(VLOOKUP($B781,Members!$A:$C,2,FALSE),"")</f>
        <v/>
      </c>
      <c r="D781" s="11">
        <f>IFERROR(VLOOKUP($B781,Members!$A:$C,3,FALSE),"")</f>
        <v/>
      </c>
      <c r="E781" s="11">
        <f>IF($F781="","",IFERROR(VLOOKUP($F781,ActionMap!$A:$B,2,FALSE),"INVALID ACTION"))</f>
        <v/>
      </c>
      <c r="F781" s="4" t="n"/>
      <c r="G781" s="11">
        <f>IFERROR(VLOOKUP($E781,ActionsCatalog!$A:$B,2,FALSE),"")</f>
        <v/>
      </c>
      <c r="H781" s="4" t="n"/>
      <c r="I781" s="4">
        <f>IFERROR(VLOOKUP($E781,ActionsCatalog!$A:$D,3,FALSE),0)</f>
        <v/>
      </c>
      <c r="J781" s="4">
        <f>IFERROR(VLOOKUP($E781,ActionsCatalog!$A:$D,4,FALSE),0)</f>
        <v/>
      </c>
      <c r="K781" s="4">
        <f>IF($M781&lt;&gt;"Yes",0,IF($H781="",0,$H781*$I781))</f>
        <v/>
      </c>
      <c r="L781" s="4">
        <f>IF($M781&lt;&gt;"Yes",0,IF($H781="",0,$H781*$J781))</f>
        <v/>
      </c>
      <c r="M781" s="4" t="n"/>
      <c r="N781" s="4" t="n"/>
      <c r="O781" s="4">
        <f>IF($A781="","",TEXT($A781,"yyyy")&amp;"-W"&amp;TEXT(ISOWEEKNUM($A781),"00"))</f>
        <v/>
      </c>
      <c r="P781" s="4" t="n"/>
      <c r="Q781" s="14">
        <f>IF($A781="","",TEXT($A781,"yyyy-mm"))</f>
        <v/>
      </c>
    </row>
    <row r="782">
      <c r="A782" s="66" t="n"/>
      <c r="B782" s="4" t="n"/>
      <c r="C782" s="11">
        <f>IFERROR(VLOOKUP($B782,Members!$A:$C,2,FALSE),"")</f>
        <v/>
      </c>
      <c r="D782" s="11">
        <f>IFERROR(VLOOKUP($B782,Members!$A:$C,3,FALSE),"")</f>
        <v/>
      </c>
      <c r="E782" s="11">
        <f>IF($F782="","",IFERROR(VLOOKUP($F782,ActionMap!$A:$B,2,FALSE),"INVALID ACTION"))</f>
        <v/>
      </c>
      <c r="F782" s="4" t="n"/>
      <c r="G782" s="11">
        <f>IFERROR(VLOOKUP($E782,ActionsCatalog!$A:$B,2,FALSE),"")</f>
        <v/>
      </c>
      <c r="H782" s="4" t="n"/>
      <c r="I782" s="4">
        <f>IFERROR(VLOOKUP($E782,ActionsCatalog!$A:$D,3,FALSE),0)</f>
        <v/>
      </c>
      <c r="J782" s="4">
        <f>IFERROR(VLOOKUP($E782,ActionsCatalog!$A:$D,4,FALSE),0)</f>
        <v/>
      </c>
      <c r="K782" s="4">
        <f>IF($M782&lt;&gt;"Yes",0,IF($H782="",0,$H782*$I782))</f>
        <v/>
      </c>
      <c r="L782" s="4">
        <f>IF($M782&lt;&gt;"Yes",0,IF($H782="",0,$H782*$J782))</f>
        <v/>
      </c>
      <c r="M782" s="4" t="n"/>
      <c r="N782" s="4" t="n"/>
      <c r="O782" s="4">
        <f>IF($A782="","",TEXT($A782,"yyyy")&amp;"-W"&amp;TEXT(ISOWEEKNUM($A782),"00"))</f>
        <v/>
      </c>
      <c r="P782" s="4" t="n"/>
      <c r="Q782" s="14">
        <f>IF($A782="","",TEXT($A782,"yyyy-mm"))</f>
        <v/>
      </c>
    </row>
    <row r="783">
      <c r="A783" s="66" t="n"/>
      <c r="B783" s="4" t="n"/>
      <c r="C783" s="11">
        <f>IFERROR(VLOOKUP($B783,Members!$A:$C,2,FALSE),"")</f>
        <v/>
      </c>
      <c r="D783" s="11">
        <f>IFERROR(VLOOKUP($B783,Members!$A:$C,3,FALSE),"")</f>
        <v/>
      </c>
      <c r="E783" s="11">
        <f>IF($F783="","",IFERROR(VLOOKUP($F783,ActionMap!$A:$B,2,FALSE),"INVALID ACTION"))</f>
        <v/>
      </c>
      <c r="F783" s="4" t="n"/>
      <c r="G783" s="11">
        <f>IFERROR(VLOOKUP($E783,ActionsCatalog!$A:$B,2,FALSE),"")</f>
        <v/>
      </c>
      <c r="H783" s="4" t="n"/>
      <c r="I783" s="4">
        <f>IFERROR(VLOOKUP($E783,ActionsCatalog!$A:$D,3,FALSE),0)</f>
        <v/>
      </c>
      <c r="J783" s="4">
        <f>IFERROR(VLOOKUP($E783,ActionsCatalog!$A:$D,4,FALSE),0)</f>
        <v/>
      </c>
      <c r="K783" s="4">
        <f>IF($M783&lt;&gt;"Yes",0,IF($H783="",0,$H783*$I783))</f>
        <v/>
      </c>
      <c r="L783" s="4">
        <f>IF($M783&lt;&gt;"Yes",0,IF($H783="",0,$H783*$J783))</f>
        <v/>
      </c>
      <c r="M783" s="4" t="n"/>
      <c r="N783" s="4" t="n"/>
      <c r="O783" s="4">
        <f>IF($A783="","",TEXT($A783,"yyyy")&amp;"-W"&amp;TEXT(ISOWEEKNUM($A783),"00"))</f>
        <v/>
      </c>
      <c r="P783" s="4" t="n"/>
      <c r="Q783" s="14">
        <f>IF($A783="","",TEXT($A783,"yyyy-mm"))</f>
        <v/>
      </c>
    </row>
    <row r="784">
      <c r="A784" s="66" t="n"/>
      <c r="B784" s="4" t="n"/>
      <c r="C784" s="11">
        <f>IFERROR(VLOOKUP($B784,Members!$A:$C,2,FALSE),"")</f>
        <v/>
      </c>
      <c r="D784" s="11">
        <f>IFERROR(VLOOKUP($B784,Members!$A:$C,3,FALSE),"")</f>
        <v/>
      </c>
      <c r="E784" s="11">
        <f>IF($F784="","",IFERROR(VLOOKUP($F784,ActionMap!$A:$B,2,FALSE),"INVALID ACTION"))</f>
        <v/>
      </c>
      <c r="F784" s="4" t="n"/>
      <c r="G784" s="11">
        <f>IFERROR(VLOOKUP($E784,ActionsCatalog!$A:$B,2,FALSE),"")</f>
        <v/>
      </c>
      <c r="H784" s="4" t="n"/>
      <c r="I784" s="4">
        <f>IFERROR(VLOOKUP($E784,ActionsCatalog!$A:$D,3,FALSE),0)</f>
        <v/>
      </c>
      <c r="J784" s="4">
        <f>IFERROR(VLOOKUP($E784,ActionsCatalog!$A:$D,4,FALSE),0)</f>
        <v/>
      </c>
      <c r="K784" s="4">
        <f>IF($M784&lt;&gt;"Yes",0,IF($H784="",0,$H784*$I784))</f>
        <v/>
      </c>
      <c r="L784" s="4">
        <f>IF($M784&lt;&gt;"Yes",0,IF($H784="",0,$H784*$J784))</f>
        <v/>
      </c>
      <c r="M784" s="4" t="n"/>
      <c r="N784" s="4" t="n"/>
      <c r="O784" s="4">
        <f>IF($A784="","",TEXT($A784,"yyyy")&amp;"-W"&amp;TEXT(ISOWEEKNUM($A784),"00"))</f>
        <v/>
      </c>
      <c r="P784" s="4" t="n"/>
      <c r="Q784" s="14">
        <f>IF($A784="","",TEXT($A784,"yyyy-mm"))</f>
        <v/>
      </c>
    </row>
    <row r="785">
      <c r="A785" s="66" t="n"/>
      <c r="B785" s="4" t="n"/>
      <c r="C785" s="11">
        <f>IFERROR(VLOOKUP($B785,Members!$A:$C,2,FALSE),"")</f>
        <v/>
      </c>
      <c r="D785" s="11">
        <f>IFERROR(VLOOKUP($B785,Members!$A:$C,3,FALSE),"")</f>
        <v/>
      </c>
      <c r="E785" s="11">
        <f>IF($F785="","",IFERROR(VLOOKUP($F785,ActionMap!$A:$B,2,FALSE),"INVALID ACTION"))</f>
        <v/>
      </c>
      <c r="F785" s="4" t="n"/>
      <c r="G785" s="11">
        <f>IFERROR(VLOOKUP($E785,ActionsCatalog!$A:$B,2,FALSE),"")</f>
        <v/>
      </c>
      <c r="H785" s="4" t="n"/>
      <c r="I785" s="4">
        <f>IFERROR(VLOOKUP($E785,ActionsCatalog!$A:$D,3,FALSE),0)</f>
        <v/>
      </c>
      <c r="J785" s="4">
        <f>IFERROR(VLOOKUP($E785,ActionsCatalog!$A:$D,4,FALSE),0)</f>
        <v/>
      </c>
      <c r="K785" s="4">
        <f>IF($M785&lt;&gt;"Yes",0,IF($H785="",0,$H785*$I785))</f>
        <v/>
      </c>
      <c r="L785" s="4">
        <f>IF($M785&lt;&gt;"Yes",0,IF($H785="",0,$H785*$J785))</f>
        <v/>
      </c>
      <c r="M785" s="4" t="n"/>
      <c r="N785" s="4" t="n"/>
      <c r="O785" s="4">
        <f>IF($A785="","",TEXT($A785,"yyyy")&amp;"-W"&amp;TEXT(ISOWEEKNUM($A785),"00"))</f>
        <v/>
      </c>
      <c r="P785" s="4" t="n"/>
      <c r="Q785" s="14">
        <f>IF($A785="","",TEXT($A785,"yyyy-mm"))</f>
        <v/>
      </c>
    </row>
    <row r="786">
      <c r="A786" s="66" t="n"/>
      <c r="B786" s="4" t="n"/>
      <c r="C786" s="11">
        <f>IFERROR(VLOOKUP($B786,Members!$A:$C,2,FALSE),"")</f>
        <v/>
      </c>
      <c r="D786" s="11">
        <f>IFERROR(VLOOKUP($B786,Members!$A:$C,3,FALSE),"")</f>
        <v/>
      </c>
      <c r="E786" s="11">
        <f>IF($F786="","",IFERROR(VLOOKUP($F786,ActionMap!$A:$B,2,FALSE),"INVALID ACTION"))</f>
        <v/>
      </c>
      <c r="F786" s="4" t="n"/>
      <c r="G786" s="11">
        <f>IFERROR(VLOOKUP($E786,ActionsCatalog!$A:$B,2,FALSE),"")</f>
        <v/>
      </c>
      <c r="H786" s="4" t="n"/>
      <c r="I786" s="4">
        <f>IFERROR(VLOOKUP($E786,ActionsCatalog!$A:$D,3,FALSE),0)</f>
        <v/>
      </c>
      <c r="J786" s="4">
        <f>IFERROR(VLOOKUP($E786,ActionsCatalog!$A:$D,4,FALSE),0)</f>
        <v/>
      </c>
      <c r="K786" s="4">
        <f>IF($M786&lt;&gt;"Yes",0,IF($H786="",0,$H786*$I786))</f>
        <v/>
      </c>
      <c r="L786" s="4">
        <f>IF($M786&lt;&gt;"Yes",0,IF($H786="",0,$H786*$J786))</f>
        <v/>
      </c>
      <c r="M786" s="4" t="n"/>
      <c r="N786" s="4" t="n"/>
      <c r="O786" s="4">
        <f>IF($A786="","",TEXT($A786,"yyyy")&amp;"-W"&amp;TEXT(ISOWEEKNUM($A786),"00"))</f>
        <v/>
      </c>
      <c r="P786" s="4" t="n"/>
      <c r="Q786" s="14">
        <f>IF($A786="","",TEXT($A786,"yyyy-mm"))</f>
        <v/>
      </c>
    </row>
    <row r="787">
      <c r="A787" s="66" t="n"/>
      <c r="B787" s="4" t="n"/>
      <c r="C787" s="11">
        <f>IFERROR(VLOOKUP($B787,Members!$A:$C,2,FALSE),"")</f>
        <v/>
      </c>
      <c r="D787" s="11">
        <f>IFERROR(VLOOKUP($B787,Members!$A:$C,3,FALSE),"")</f>
        <v/>
      </c>
      <c r="E787" s="11">
        <f>IF($F787="","",IFERROR(VLOOKUP($F787,ActionMap!$A:$B,2,FALSE),"INVALID ACTION"))</f>
        <v/>
      </c>
      <c r="F787" s="4" t="n"/>
      <c r="G787" s="11">
        <f>IFERROR(VLOOKUP($E787,ActionsCatalog!$A:$B,2,FALSE),"")</f>
        <v/>
      </c>
      <c r="H787" s="4" t="n"/>
      <c r="I787" s="4">
        <f>IFERROR(VLOOKUP($E787,ActionsCatalog!$A:$D,3,FALSE),0)</f>
        <v/>
      </c>
      <c r="J787" s="4">
        <f>IFERROR(VLOOKUP($E787,ActionsCatalog!$A:$D,4,FALSE),0)</f>
        <v/>
      </c>
      <c r="K787" s="4">
        <f>IF($M787&lt;&gt;"Yes",0,IF($H787="",0,$H787*$I787))</f>
        <v/>
      </c>
      <c r="L787" s="4">
        <f>IF($M787&lt;&gt;"Yes",0,IF($H787="",0,$H787*$J787))</f>
        <v/>
      </c>
      <c r="M787" s="4" t="n"/>
      <c r="N787" s="4" t="n"/>
      <c r="O787" s="4">
        <f>IF($A787="","",TEXT($A787,"yyyy")&amp;"-W"&amp;TEXT(ISOWEEKNUM($A787),"00"))</f>
        <v/>
      </c>
      <c r="P787" s="4" t="n"/>
      <c r="Q787" s="14">
        <f>IF($A787="","",TEXT($A787,"yyyy-mm"))</f>
        <v/>
      </c>
    </row>
    <row r="788">
      <c r="A788" s="66" t="n"/>
      <c r="B788" s="4" t="n"/>
      <c r="C788" s="11">
        <f>IFERROR(VLOOKUP($B788,Members!$A:$C,2,FALSE),"")</f>
        <v/>
      </c>
      <c r="D788" s="11">
        <f>IFERROR(VLOOKUP($B788,Members!$A:$C,3,FALSE),"")</f>
        <v/>
      </c>
      <c r="E788" s="11">
        <f>IF($F788="","",IFERROR(VLOOKUP($F788,ActionMap!$A:$B,2,FALSE),"INVALID ACTION"))</f>
        <v/>
      </c>
      <c r="F788" s="4" t="n"/>
      <c r="G788" s="11">
        <f>IFERROR(VLOOKUP($E788,ActionsCatalog!$A:$B,2,FALSE),"")</f>
        <v/>
      </c>
      <c r="H788" s="4" t="n"/>
      <c r="I788" s="4">
        <f>IFERROR(VLOOKUP($E788,ActionsCatalog!$A:$D,3,FALSE),0)</f>
        <v/>
      </c>
      <c r="J788" s="4">
        <f>IFERROR(VLOOKUP($E788,ActionsCatalog!$A:$D,4,FALSE),0)</f>
        <v/>
      </c>
      <c r="K788" s="4">
        <f>IF($M788&lt;&gt;"Yes",0,IF($H788="",0,$H788*$I788))</f>
        <v/>
      </c>
      <c r="L788" s="4">
        <f>IF($M788&lt;&gt;"Yes",0,IF($H788="",0,$H788*$J788))</f>
        <v/>
      </c>
      <c r="M788" s="4" t="n"/>
      <c r="N788" s="4" t="n"/>
      <c r="O788" s="4">
        <f>IF($A788="","",TEXT($A788,"yyyy")&amp;"-W"&amp;TEXT(ISOWEEKNUM($A788),"00"))</f>
        <v/>
      </c>
      <c r="P788" s="4" t="n"/>
      <c r="Q788" s="14">
        <f>IF($A788="","",TEXT($A788,"yyyy-mm"))</f>
        <v/>
      </c>
    </row>
    <row r="789">
      <c r="A789" s="66" t="n"/>
      <c r="B789" s="4" t="n"/>
      <c r="C789" s="11">
        <f>IFERROR(VLOOKUP($B789,Members!$A:$C,2,FALSE),"")</f>
        <v/>
      </c>
      <c r="D789" s="11">
        <f>IFERROR(VLOOKUP($B789,Members!$A:$C,3,FALSE),"")</f>
        <v/>
      </c>
      <c r="E789" s="11">
        <f>IF($F789="","",IFERROR(VLOOKUP($F789,ActionMap!$A:$B,2,FALSE),"INVALID ACTION"))</f>
        <v/>
      </c>
      <c r="F789" s="4" t="n"/>
      <c r="G789" s="11">
        <f>IFERROR(VLOOKUP($E789,ActionsCatalog!$A:$B,2,FALSE),"")</f>
        <v/>
      </c>
      <c r="H789" s="4" t="n"/>
      <c r="I789" s="4">
        <f>IFERROR(VLOOKUP($E789,ActionsCatalog!$A:$D,3,FALSE),0)</f>
        <v/>
      </c>
      <c r="J789" s="4">
        <f>IFERROR(VLOOKUP($E789,ActionsCatalog!$A:$D,4,FALSE),0)</f>
        <v/>
      </c>
      <c r="K789" s="4">
        <f>IF($M789&lt;&gt;"Yes",0,IF($H789="",0,$H789*$I789))</f>
        <v/>
      </c>
      <c r="L789" s="4">
        <f>IF($M789&lt;&gt;"Yes",0,IF($H789="",0,$H789*$J789))</f>
        <v/>
      </c>
      <c r="M789" s="4" t="n"/>
      <c r="N789" s="4" t="n"/>
      <c r="O789" s="4">
        <f>IF($A789="","",TEXT($A789,"yyyy")&amp;"-W"&amp;TEXT(ISOWEEKNUM($A789),"00"))</f>
        <v/>
      </c>
      <c r="P789" s="4" t="n"/>
      <c r="Q789" s="14">
        <f>IF($A789="","",TEXT($A789,"yyyy-mm"))</f>
        <v/>
      </c>
    </row>
    <row r="790">
      <c r="A790" s="66" t="n"/>
      <c r="B790" s="4" t="n"/>
      <c r="C790" s="11">
        <f>IFERROR(VLOOKUP($B790,Members!$A:$C,2,FALSE),"")</f>
        <v/>
      </c>
      <c r="D790" s="11">
        <f>IFERROR(VLOOKUP($B790,Members!$A:$C,3,FALSE),"")</f>
        <v/>
      </c>
      <c r="E790" s="11">
        <f>IF($F790="","",IFERROR(VLOOKUP($F790,ActionMap!$A:$B,2,FALSE),"INVALID ACTION"))</f>
        <v/>
      </c>
      <c r="F790" s="4" t="n"/>
      <c r="G790" s="11">
        <f>IFERROR(VLOOKUP($E790,ActionsCatalog!$A:$B,2,FALSE),"")</f>
        <v/>
      </c>
      <c r="H790" s="4" t="n"/>
      <c r="I790" s="4">
        <f>IFERROR(VLOOKUP($E790,ActionsCatalog!$A:$D,3,FALSE),0)</f>
        <v/>
      </c>
      <c r="J790" s="4">
        <f>IFERROR(VLOOKUP($E790,ActionsCatalog!$A:$D,4,FALSE),0)</f>
        <v/>
      </c>
      <c r="K790" s="4">
        <f>IF($M790&lt;&gt;"Yes",0,IF($H790="",0,$H790*$I790))</f>
        <v/>
      </c>
      <c r="L790" s="4">
        <f>IF($M790&lt;&gt;"Yes",0,IF($H790="",0,$H790*$J790))</f>
        <v/>
      </c>
      <c r="M790" s="4" t="n"/>
      <c r="N790" s="4" t="n"/>
      <c r="O790" s="4">
        <f>IF($A790="","",TEXT($A790,"yyyy")&amp;"-W"&amp;TEXT(ISOWEEKNUM($A790),"00"))</f>
        <v/>
      </c>
      <c r="P790" s="4" t="n"/>
      <c r="Q790" s="14">
        <f>IF($A790="","",TEXT($A790,"yyyy-mm"))</f>
        <v/>
      </c>
    </row>
    <row r="791">
      <c r="A791" s="66" t="n"/>
      <c r="B791" s="4" t="n"/>
      <c r="C791" s="11">
        <f>IFERROR(VLOOKUP($B791,Members!$A:$C,2,FALSE),"")</f>
        <v/>
      </c>
      <c r="D791" s="11">
        <f>IFERROR(VLOOKUP($B791,Members!$A:$C,3,FALSE),"")</f>
        <v/>
      </c>
      <c r="E791" s="11">
        <f>IF($F791="","",IFERROR(VLOOKUP($F791,ActionMap!$A:$B,2,FALSE),"INVALID ACTION"))</f>
        <v/>
      </c>
      <c r="F791" s="4" t="n"/>
      <c r="G791" s="11">
        <f>IFERROR(VLOOKUP($E791,ActionsCatalog!$A:$B,2,FALSE),"")</f>
        <v/>
      </c>
      <c r="H791" s="4" t="n"/>
      <c r="I791" s="4">
        <f>IFERROR(VLOOKUP($E791,ActionsCatalog!$A:$D,3,FALSE),0)</f>
        <v/>
      </c>
      <c r="J791" s="4">
        <f>IFERROR(VLOOKUP($E791,ActionsCatalog!$A:$D,4,FALSE),0)</f>
        <v/>
      </c>
      <c r="K791" s="4">
        <f>IF($M791&lt;&gt;"Yes",0,IF($H791="",0,$H791*$I791))</f>
        <v/>
      </c>
      <c r="L791" s="4">
        <f>IF($M791&lt;&gt;"Yes",0,IF($H791="",0,$H791*$J791))</f>
        <v/>
      </c>
      <c r="M791" s="4" t="n"/>
      <c r="N791" s="4" t="n"/>
      <c r="O791" s="4">
        <f>IF($A791="","",TEXT($A791,"yyyy")&amp;"-W"&amp;TEXT(ISOWEEKNUM($A791),"00"))</f>
        <v/>
      </c>
      <c r="P791" s="4" t="n"/>
      <c r="Q791" s="14">
        <f>IF($A791="","",TEXT($A791,"yyyy-mm"))</f>
        <v/>
      </c>
    </row>
    <row r="792">
      <c r="A792" s="66" t="n"/>
      <c r="B792" s="4" t="n"/>
      <c r="C792" s="11">
        <f>IFERROR(VLOOKUP($B792,Members!$A:$C,2,FALSE),"")</f>
        <v/>
      </c>
      <c r="D792" s="11">
        <f>IFERROR(VLOOKUP($B792,Members!$A:$C,3,FALSE),"")</f>
        <v/>
      </c>
      <c r="E792" s="11">
        <f>IF($F792="","",IFERROR(VLOOKUP($F792,ActionMap!$A:$B,2,FALSE),"INVALID ACTION"))</f>
        <v/>
      </c>
      <c r="F792" s="4" t="n"/>
      <c r="G792" s="11">
        <f>IFERROR(VLOOKUP($E792,ActionsCatalog!$A:$B,2,FALSE),"")</f>
        <v/>
      </c>
      <c r="H792" s="4" t="n"/>
      <c r="I792" s="4">
        <f>IFERROR(VLOOKUP($E792,ActionsCatalog!$A:$D,3,FALSE),0)</f>
        <v/>
      </c>
      <c r="J792" s="4">
        <f>IFERROR(VLOOKUP($E792,ActionsCatalog!$A:$D,4,FALSE),0)</f>
        <v/>
      </c>
      <c r="K792" s="4">
        <f>IF($M792&lt;&gt;"Yes",0,IF($H792="",0,$H792*$I792))</f>
        <v/>
      </c>
      <c r="L792" s="4">
        <f>IF($M792&lt;&gt;"Yes",0,IF($H792="",0,$H792*$J792))</f>
        <v/>
      </c>
      <c r="M792" s="4" t="n"/>
      <c r="N792" s="4" t="n"/>
      <c r="O792" s="4">
        <f>IF($A792="","",TEXT($A792,"yyyy")&amp;"-W"&amp;TEXT(ISOWEEKNUM($A792),"00"))</f>
        <v/>
      </c>
      <c r="P792" s="4" t="n"/>
      <c r="Q792" s="14">
        <f>IF($A792="","",TEXT($A792,"yyyy-mm"))</f>
        <v/>
      </c>
    </row>
    <row r="793">
      <c r="A793" s="66" t="n"/>
      <c r="B793" s="4" t="n"/>
      <c r="C793" s="11">
        <f>IFERROR(VLOOKUP($B793,Members!$A:$C,2,FALSE),"")</f>
        <v/>
      </c>
      <c r="D793" s="11">
        <f>IFERROR(VLOOKUP($B793,Members!$A:$C,3,FALSE),"")</f>
        <v/>
      </c>
      <c r="E793" s="11">
        <f>IF($F793="","",IFERROR(VLOOKUP($F793,ActionMap!$A:$B,2,FALSE),"INVALID ACTION"))</f>
        <v/>
      </c>
      <c r="F793" s="4" t="n"/>
      <c r="G793" s="11">
        <f>IFERROR(VLOOKUP($E793,ActionsCatalog!$A:$B,2,FALSE),"")</f>
        <v/>
      </c>
      <c r="H793" s="4" t="n"/>
      <c r="I793" s="4">
        <f>IFERROR(VLOOKUP($E793,ActionsCatalog!$A:$D,3,FALSE),0)</f>
        <v/>
      </c>
      <c r="J793" s="4">
        <f>IFERROR(VLOOKUP($E793,ActionsCatalog!$A:$D,4,FALSE),0)</f>
        <v/>
      </c>
      <c r="K793" s="4">
        <f>IF($M793&lt;&gt;"Yes",0,IF($H793="",0,$H793*$I793))</f>
        <v/>
      </c>
      <c r="L793" s="4">
        <f>IF($M793&lt;&gt;"Yes",0,IF($H793="",0,$H793*$J793))</f>
        <v/>
      </c>
      <c r="M793" s="4" t="n"/>
      <c r="N793" s="4" t="n"/>
      <c r="O793" s="4">
        <f>IF($A793="","",TEXT($A793,"yyyy")&amp;"-W"&amp;TEXT(ISOWEEKNUM($A793),"00"))</f>
        <v/>
      </c>
      <c r="P793" s="4" t="n"/>
      <c r="Q793" s="14">
        <f>IF($A793="","",TEXT($A793,"yyyy-mm"))</f>
        <v/>
      </c>
    </row>
    <row r="794">
      <c r="A794" s="66" t="n"/>
      <c r="B794" s="4" t="n"/>
      <c r="C794" s="11">
        <f>IFERROR(VLOOKUP($B794,Members!$A:$C,2,FALSE),"")</f>
        <v/>
      </c>
      <c r="D794" s="11">
        <f>IFERROR(VLOOKUP($B794,Members!$A:$C,3,FALSE),"")</f>
        <v/>
      </c>
      <c r="E794" s="11">
        <f>IF($F794="","",IFERROR(VLOOKUP($F794,ActionMap!$A:$B,2,FALSE),"INVALID ACTION"))</f>
        <v/>
      </c>
      <c r="F794" s="4" t="n"/>
      <c r="G794" s="11">
        <f>IFERROR(VLOOKUP($E794,ActionsCatalog!$A:$B,2,FALSE),"")</f>
        <v/>
      </c>
      <c r="H794" s="4" t="n"/>
      <c r="I794" s="4">
        <f>IFERROR(VLOOKUP($E794,ActionsCatalog!$A:$D,3,FALSE),0)</f>
        <v/>
      </c>
      <c r="J794" s="4">
        <f>IFERROR(VLOOKUP($E794,ActionsCatalog!$A:$D,4,FALSE),0)</f>
        <v/>
      </c>
      <c r="K794" s="4">
        <f>IF($M794&lt;&gt;"Yes",0,IF($H794="",0,$H794*$I794))</f>
        <v/>
      </c>
      <c r="L794" s="4">
        <f>IF($M794&lt;&gt;"Yes",0,IF($H794="",0,$H794*$J794))</f>
        <v/>
      </c>
      <c r="M794" s="4" t="n"/>
      <c r="N794" s="4" t="n"/>
      <c r="O794" s="4">
        <f>IF($A794="","",TEXT($A794,"yyyy")&amp;"-W"&amp;TEXT(ISOWEEKNUM($A794),"00"))</f>
        <v/>
      </c>
      <c r="P794" s="4" t="n"/>
      <c r="Q794" s="14">
        <f>IF($A794="","",TEXT($A794,"yyyy-mm"))</f>
        <v/>
      </c>
    </row>
    <row r="795">
      <c r="A795" s="66" t="n"/>
      <c r="B795" s="4" t="n"/>
      <c r="C795" s="11">
        <f>IFERROR(VLOOKUP($B795,Members!$A:$C,2,FALSE),"")</f>
        <v/>
      </c>
      <c r="D795" s="11">
        <f>IFERROR(VLOOKUP($B795,Members!$A:$C,3,FALSE),"")</f>
        <v/>
      </c>
      <c r="E795" s="11">
        <f>IF($F795="","",IFERROR(VLOOKUP($F795,ActionMap!$A:$B,2,FALSE),"INVALID ACTION"))</f>
        <v/>
      </c>
      <c r="F795" s="4" t="n"/>
      <c r="G795" s="11">
        <f>IFERROR(VLOOKUP($E795,ActionsCatalog!$A:$B,2,FALSE),"")</f>
        <v/>
      </c>
      <c r="H795" s="4" t="n"/>
      <c r="I795" s="4">
        <f>IFERROR(VLOOKUP($E795,ActionsCatalog!$A:$D,3,FALSE),0)</f>
        <v/>
      </c>
      <c r="J795" s="4">
        <f>IFERROR(VLOOKUP($E795,ActionsCatalog!$A:$D,4,FALSE),0)</f>
        <v/>
      </c>
      <c r="K795" s="4">
        <f>IF($M795&lt;&gt;"Yes",0,IF($H795="",0,$H795*$I795))</f>
        <v/>
      </c>
      <c r="L795" s="4">
        <f>IF($M795&lt;&gt;"Yes",0,IF($H795="",0,$H795*$J795))</f>
        <v/>
      </c>
      <c r="M795" s="4" t="n"/>
      <c r="N795" s="4" t="n"/>
      <c r="O795" s="4">
        <f>IF($A795="","",TEXT($A795,"yyyy")&amp;"-W"&amp;TEXT(ISOWEEKNUM($A795),"00"))</f>
        <v/>
      </c>
      <c r="P795" s="4" t="n"/>
      <c r="Q795" s="14">
        <f>IF($A795="","",TEXT($A795,"yyyy-mm"))</f>
        <v/>
      </c>
    </row>
    <row r="796">
      <c r="A796" s="66" t="n"/>
      <c r="B796" s="4" t="n"/>
      <c r="C796" s="11">
        <f>IFERROR(VLOOKUP($B796,Members!$A:$C,2,FALSE),"")</f>
        <v/>
      </c>
      <c r="D796" s="11">
        <f>IFERROR(VLOOKUP($B796,Members!$A:$C,3,FALSE),"")</f>
        <v/>
      </c>
      <c r="E796" s="11">
        <f>IF($F796="","",IFERROR(VLOOKUP($F796,ActionMap!$A:$B,2,FALSE),"INVALID ACTION"))</f>
        <v/>
      </c>
      <c r="F796" s="4" t="n"/>
      <c r="G796" s="11">
        <f>IFERROR(VLOOKUP($E796,ActionsCatalog!$A:$B,2,FALSE),"")</f>
        <v/>
      </c>
      <c r="H796" s="4" t="n"/>
      <c r="I796" s="4">
        <f>IFERROR(VLOOKUP($E796,ActionsCatalog!$A:$D,3,FALSE),0)</f>
        <v/>
      </c>
      <c r="J796" s="4">
        <f>IFERROR(VLOOKUP($E796,ActionsCatalog!$A:$D,4,FALSE),0)</f>
        <v/>
      </c>
      <c r="K796" s="4">
        <f>IF($M796&lt;&gt;"Yes",0,IF($H796="",0,$H796*$I796))</f>
        <v/>
      </c>
      <c r="L796" s="4">
        <f>IF($M796&lt;&gt;"Yes",0,IF($H796="",0,$H796*$J796))</f>
        <v/>
      </c>
      <c r="M796" s="4" t="n"/>
      <c r="N796" s="4" t="n"/>
      <c r="O796" s="4">
        <f>IF($A796="","",TEXT($A796,"yyyy")&amp;"-W"&amp;TEXT(ISOWEEKNUM($A796),"00"))</f>
        <v/>
      </c>
      <c r="P796" s="4" t="n"/>
      <c r="Q796" s="14">
        <f>IF($A796="","",TEXT($A796,"yyyy-mm"))</f>
        <v/>
      </c>
    </row>
    <row r="797">
      <c r="A797" s="66" t="n"/>
      <c r="B797" s="4" t="n"/>
      <c r="C797" s="11">
        <f>IFERROR(VLOOKUP($B797,Members!$A:$C,2,FALSE),"")</f>
        <v/>
      </c>
      <c r="D797" s="11">
        <f>IFERROR(VLOOKUP($B797,Members!$A:$C,3,FALSE),"")</f>
        <v/>
      </c>
      <c r="E797" s="11">
        <f>IF($F797="","",IFERROR(VLOOKUP($F797,ActionMap!$A:$B,2,FALSE),"INVALID ACTION"))</f>
        <v/>
      </c>
      <c r="F797" s="4" t="n"/>
      <c r="G797" s="11">
        <f>IFERROR(VLOOKUP($E797,ActionsCatalog!$A:$B,2,FALSE),"")</f>
        <v/>
      </c>
      <c r="H797" s="4" t="n"/>
      <c r="I797" s="4">
        <f>IFERROR(VLOOKUP($E797,ActionsCatalog!$A:$D,3,FALSE),0)</f>
        <v/>
      </c>
      <c r="J797" s="4">
        <f>IFERROR(VLOOKUP($E797,ActionsCatalog!$A:$D,4,FALSE),0)</f>
        <v/>
      </c>
      <c r="K797" s="4">
        <f>IF($M797&lt;&gt;"Yes",0,IF($H797="",0,$H797*$I797))</f>
        <v/>
      </c>
      <c r="L797" s="4">
        <f>IF($M797&lt;&gt;"Yes",0,IF($H797="",0,$H797*$J797))</f>
        <v/>
      </c>
      <c r="M797" s="4" t="n"/>
      <c r="N797" s="4" t="n"/>
      <c r="O797" s="4">
        <f>IF($A797="","",TEXT($A797,"yyyy")&amp;"-W"&amp;TEXT(ISOWEEKNUM($A797),"00"))</f>
        <v/>
      </c>
      <c r="P797" s="4" t="n"/>
      <c r="Q797" s="14">
        <f>IF($A797="","",TEXT($A797,"yyyy-mm"))</f>
        <v/>
      </c>
    </row>
    <row r="798">
      <c r="A798" s="66" t="n"/>
      <c r="B798" s="4" t="n"/>
      <c r="C798" s="11">
        <f>IFERROR(VLOOKUP($B798,Members!$A:$C,2,FALSE),"")</f>
        <v/>
      </c>
      <c r="D798" s="11">
        <f>IFERROR(VLOOKUP($B798,Members!$A:$C,3,FALSE),"")</f>
        <v/>
      </c>
      <c r="E798" s="11">
        <f>IF($F798="","",IFERROR(VLOOKUP($F798,ActionMap!$A:$B,2,FALSE),"INVALID ACTION"))</f>
        <v/>
      </c>
      <c r="F798" s="4" t="n"/>
      <c r="G798" s="11">
        <f>IFERROR(VLOOKUP($E798,ActionsCatalog!$A:$B,2,FALSE),"")</f>
        <v/>
      </c>
      <c r="H798" s="4" t="n"/>
      <c r="I798" s="4">
        <f>IFERROR(VLOOKUP($E798,ActionsCatalog!$A:$D,3,FALSE),0)</f>
        <v/>
      </c>
      <c r="J798" s="4">
        <f>IFERROR(VLOOKUP($E798,ActionsCatalog!$A:$D,4,FALSE),0)</f>
        <v/>
      </c>
      <c r="K798" s="4">
        <f>IF($M798&lt;&gt;"Yes",0,IF($H798="",0,$H798*$I798))</f>
        <v/>
      </c>
      <c r="L798" s="4">
        <f>IF($M798&lt;&gt;"Yes",0,IF($H798="",0,$H798*$J798))</f>
        <v/>
      </c>
      <c r="M798" s="4" t="n"/>
      <c r="N798" s="4" t="n"/>
      <c r="O798" s="4">
        <f>IF($A798="","",TEXT($A798,"yyyy")&amp;"-W"&amp;TEXT(ISOWEEKNUM($A798),"00"))</f>
        <v/>
      </c>
      <c r="P798" s="4" t="n"/>
      <c r="Q798" s="14">
        <f>IF($A798="","",TEXT($A798,"yyyy-mm"))</f>
        <v/>
      </c>
    </row>
    <row r="799">
      <c r="A799" s="66" t="n"/>
      <c r="B799" s="4" t="n"/>
      <c r="C799" s="11">
        <f>IFERROR(VLOOKUP($B799,Members!$A:$C,2,FALSE),"")</f>
        <v/>
      </c>
      <c r="D799" s="11">
        <f>IFERROR(VLOOKUP($B799,Members!$A:$C,3,FALSE),"")</f>
        <v/>
      </c>
      <c r="E799" s="11">
        <f>IF($F799="","",IFERROR(VLOOKUP($F799,ActionMap!$A:$B,2,FALSE),"INVALID ACTION"))</f>
        <v/>
      </c>
      <c r="F799" s="4" t="n"/>
      <c r="G799" s="11">
        <f>IFERROR(VLOOKUP($E799,ActionsCatalog!$A:$B,2,FALSE),"")</f>
        <v/>
      </c>
      <c r="H799" s="4" t="n"/>
      <c r="I799" s="4">
        <f>IFERROR(VLOOKUP($E799,ActionsCatalog!$A:$D,3,FALSE),0)</f>
        <v/>
      </c>
      <c r="J799" s="4">
        <f>IFERROR(VLOOKUP($E799,ActionsCatalog!$A:$D,4,FALSE),0)</f>
        <v/>
      </c>
      <c r="K799" s="4">
        <f>IF($M799&lt;&gt;"Yes",0,IF($H799="",0,$H799*$I799))</f>
        <v/>
      </c>
      <c r="L799" s="4">
        <f>IF($M799&lt;&gt;"Yes",0,IF($H799="",0,$H799*$J799))</f>
        <v/>
      </c>
      <c r="M799" s="4" t="n"/>
      <c r="N799" s="4" t="n"/>
      <c r="O799" s="4">
        <f>IF($A799="","",TEXT($A799,"yyyy")&amp;"-W"&amp;TEXT(ISOWEEKNUM($A799),"00"))</f>
        <v/>
      </c>
      <c r="P799" s="4" t="n"/>
      <c r="Q799" s="14">
        <f>IF($A799="","",TEXT($A799,"yyyy-mm"))</f>
        <v/>
      </c>
    </row>
    <row r="800">
      <c r="A800" s="66" t="n"/>
      <c r="B800" s="4" t="n"/>
      <c r="C800" s="11">
        <f>IFERROR(VLOOKUP($B800,Members!$A:$C,2,FALSE),"")</f>
        <v/>
      </c>
      <c r="D800" s="11">
        <f>IFERROR(VLOOKUP($B800,Members!$A:$C,3,FALSE),"")</f>
        <v/>
      </c>
      <c r="E800" s="11">
        <f>IF($F800="","",IFERROR(VLOOKUP($F800,ActionMap!$A:$B,2,FALSE),"INVALID ACTION"))</f>
        <v/>
      </c>
      <c r="F800" s="4" t="n"/>
      <c r="G800" s="11">
        <f>IFERROR(VLOOKUP($E800,ActionsCatalog!$A:$B,2,FALSE),"")</f>
        <v/>
      </c>
      <c r="H800" s="4" t="n"/>
      <c r="I800" s="4">
        <f>IFERROR(VLOOKUP($E800,ActionsCatalog!$A:$D,3,FALSE),0)</f>
        <v/>
      </c>
      <c r="J800" s="4">
        <f>IFERROR(VLOOKUP($E800,ActionsCatalog!$A:$D,4,FALSE),0)</f>
        <v/>
      </c>
      <c r="K800" s="4">
        <f>IF($M800&lt;&gt;"Yes",0,IF($H800="",0,$H800*$I800))</f>
        <v/>
      </c>
      <c r="L800" s="4">
        <f>IF($M800&lt;&gt;"Yes",0,IF($H800="",0,$H800*$J800))</f>
        <v/>
      </c>
      <c r="M800" s="4" t="n"/>
      <c r="N800" s="4" t="n"/>
      <c r="O800" s="4">
        <f>IF($A800="","",TEXT($A800,"yyyy")&amp;"-W"&amp;TEXT(ISOWEEKNUM($A800),"00"))</f>
        <v/>
      </c>
      <c r="P800" s="4" t="n"/>
      <c r="Q800" s="14">
        <f>IF($A800="","",TEXT($A800,"yyyy-mm"))</f>
        <v/>
      </c>
    </row>
    <row r="801">
      <c r="A801" s="66" t="n"/>
      <c r="B801" s="4" t="n"/>
      <c r="C801" s="11">
        <f>IFERROR(VLOOKUP($B801,Members!$A:$C,2,FALSE),"")</f>
        <v/>
      </c>
      <c r="D801" s="11">
        <f>IFERROR(VLOOKUP($B801,Members!$A:$C,3,FALSE),"")</f>
        <v/>
      </c>
      <c r="E801" s="11">
        <f>IF($F801="","",IFERROR(VLOOKUP($F801,ActionMap!$A:$B,2,FALSE),"INVALID ACTION"))</f>
        <v/>
      </c>
      <c r="F801" s="4" t="n"/>
      <c r="G801" s="11">
        <f>IFERROR(VLOOKUP($E801,ActionsCatalog!$A:$B,2,FALSE),"")</f>
        <v/>
      </c>
      <c r="H801" s="4" t="n"/>
      <c r="I801" s="4">
        <f>IFERROR(VLOOKUP($E801,ActionsCatalog!$A:$D,3,FALSE),0)</f>
        <v/>
      </c>
      <c r="J801" s="4">
        <f>IFERROR(VLOOKUP($E801,ActionsCatalog!$A:$D,4,FALSE),0)</f>
        <v/>
      </c>
      <c r="K801" s="4">
        <f>IF($M801&lt;&gt;"Yes",0,IF($H801="",0,$H801*$I801))</f>
        <v/>
      </c>
      <c r="L801" s="4">
        <f>IF($M801&lt;&gt;"Yes",0,IF($H801="",0,$H801*$J801))</f>
        <v/>
      </c>
      <c r="M801" s="4" t="n"/>
      <c r="N801" s="4" t="n"/>
      <c r="O801" s="4">
        <f>IF($A801="","",TEXT($A801,"yyyy")&amp;"-W"&amp;TEXT(ISOWEEKNUM($A801),"00"))</f>
        <v/>
      </c>
      <c r="P801" s="4" t="n"/>
      <c r="Q801" s="14">
        <f>IF($A801="","",TEXT($A801,"yyyy-mm"))</f>
        <v/>
      </c>
    </row>
    <row r="802">
      <c r="A802" s="66" t="n"/>
      <c r="B802" s="4" t="n"/>
      <c r="C802" s="11">
        <f>IFERROR(VLOOKUP($B802,Members!$A:$C,2,FALSE),"")</f>
        <v/>
      </c>
      <c r="D802" s="11">
        <f>IFERROR(VLOOKUP($B802,Members!$A:$C,3,FALSE),"")</f>
        <v/>
      </c>
      <c r="E802" s="11">
        <f>IF($F802="","",IFERROR(VLOOKUP($F802,ActionMap!$A:$B,2,FALSE),"INVALID ACTION"))</f>
        <v/>
      </c>
      <c r="F802" s="4" t="n"/>
      <c r="G802" s="11">
        <f>IFERROR(VLOOKUP($E802,ActionsCatalog!$A:$B,2,FALSE),"")</f>
        <v/>
      </c>
      <c r="H802" s="4" t="n"/>
      <c r="I802" s="4">
        <f>IFERROR(VLOOKUP($E802,ActionsCatalog!$A:$D,3,FALSE),0)</f>
        <v/>
      </c>
      <c r="J802" s="4">
        <f>IFERROR(VLOOKUP($E802,ActionsCatalog!$A:$D,4,FALSE),0)</f>
        <v/>
      </c>
      <c r="K802" s="4">
        <f>IF($M802&lt;&gt;"Yes",0,IF($H802="",0,$H802*$I802))</f>
        <v/>
      </c>
      <c r="L802" s="4">
        <f>IF($M802&lt;&gt;"Yes",0,IF($H802="",0,$H802*$J802))</f>
        <v/>
      </c>
      <c r="M802" s="4" t="n"/>
      <c r="N802" s="4" t="n"/>
      <c r="O802" s="4">
        <f>IF($A802="","",TEXT($A802,"yyyy")&amp;"-W"&amp;TEXT(ISOWEEKNUM($A802),"00"))</f>
        <v/>
      </c>
      <c r="P802" s="4" t="n"/>
      <c r="Q802" s="14">
        <f>IF($A802="","",TEXT($A802,"yyyy-mm"))</f>
        <v/>
      </c>
    </row>
    <row r="803">
      <c r="A803" s="66" t="n"/>
      <c r="B803" s="4" t="n"/>
      <c r="C803" s="11">
        <f>IFERROR(VLOOKUP($B803,Members!$A:$C,2,FALSE),"")</f>
        <v/>
      </c>
      <c r="D803" s="11">
        <f>IFERROR(VLOOKUP($B803,Members!$A:$C,3,FALSE),"")</f>
        <v/>
      </c>
      <c r="E803" s="11">
        <f>IF($F803="","",IFERROR(VLOOKUP($F803,ActionMap!$A:$B,2,FALSE),"INVALID ACTION"))</f>
        <v/>
      </c>
      <c r="F803" s="4" t="n"/>
      <c r="G803" s="11">
        <f>IFERROR(VLOOKUP($E803,ActionsCatalog!$A:$B,2,FALSE),"")</f>
        <v/>
      </c>
      <c r="H803" s="4" t="n"/>
      <c r="I803" s="4">
        <f>IFERROR(VLOOKUP($E803,ActionsCatalog!$A:$D,3,FALSE),0)</f>
        <v/>
      </c>
      <c r="J803" s="4">
        <f>IFERROR(VLOOKUP($E803,ActionsCatalog!$A:$D,4,FALSE),0)</f>
        <v/>
      </c>
      <c r="K803" s="4">
        <f>IF($M803&lt;&gt;"Yes",0,IF($H803="",0,$H803*$I803))</f>
        <v/>
      </c>
      <c r="L803" s="4">
        <f>IF($M803&lt;&gt;"Yes",0,IF($H803="",0,$H803*$J803))</f>
        <v/>
      </c>
      <c r="M803" s="4" t="n"/>
      <c r="N803" s="4" t="n"/>
      <c r="O803" s="4">
        <f>IF($A803="","",TEXT($A803,"yyyy")&amp;"-W"&amp;TEXT(ISOWEEKNUM($A803),"00"))</f>
        <v/>
      </c>
      <c r="P803" s="4" t="n"/>
      <c r="Q803" s="14">
        <f>IF($A803="","",TEXT($A803,"yyyy-mm"))</f>
        <v/>
      </c>
    </row>
    <row r="804">
      <c r="A804" s="66" t="n"/>
      <c r="B804" s="4" t="n"/>
      <c r="C804" s="11">
        <f>IFERROR(VLOOKUP($B804,Members!$A:$C,2,FALSE),"")</f>
        <v/>
      </c>
      <c r="D804" s="11">
        <f>IFERROR(VLOOKUP($B804,Members!$A:$C,3,FALSE),"")</f>
        <v/>
      </c>
      <c r="E804" s="11">
        <f>IF($F804="","",IFERROR(VLOOKUP($F804,ActionMap!$A:$B,2,FALSE),"INVALID ACTION"))</f>
        <v/>
      </c>
      <c r="F804" s="4" t="n"/>
      <c r="G804" s="11">
        <f>IFERROR(VLOOKUP($E804,ActionsCatalog!$A:$B,2,FALSE),"")</f>
        <v/>
      </c>
      <c r="H804" s="4" t="n"/>
      <c r="I804" s="4">
        <f>IFERROR(VLOOKUP($E804,ActionsCatalog!$A:$D,3,FALSE),0)</f>
        <v/>
      </c>
      <c r="J804" s="4">
        <f>IFERROR(VLOOKUP($E804,ActionsCatalog!$A:$D,4,FALSE),0)</f>
        <v/>
      </c>
      <c r="K804" s="4">
        <f>IF($M804&lt;&gt;"Yes",0,IF($H804="",0,$H804*$I804))</f>
        <v/>
      </c>
      <c r="L804" s="4">
        <f>IF($M804&lt;&gt;"Yes",0,IF($H804="",0,$H804*$J804))</f>
        <v/>
      </c>
      <c r="M804" s="4" t="n"/>
      <c r="N804" s="4" t="n"/>
      <c r="O804" s="4">
        <f>IF($A804="","",TEXT($A804,"yyyy")&amp;"-W"&amp;TEXT(ISOWEEKNUM($A804),"00"))</f>
        <v/>
      </c>
      <c r="P804" s="4" t="n"/>
      <c r="Q804" s="14">
        <f>IF($A804="","",TEXT($A804,"yyyy-mm"))</f>
        <v/>
      </c>
    </row>
    <row r="805">
      <c r="A805" s="66" t="n"/>
      <c r="B805" s="4" t="n"/>
      <c r="C805" s="11">
        <f>IFERROR(VLOOKUP($B805,Members!$A:$C,2,FALSE),"")</f>
        <v/>
      </c>
      <c r="D805" s="11">
        <f>IFERROR(VLOOKUP($B805,Members!$A:$C,3,FALSE),"")</f>
        <v/>
      </c>
      <c r="E805" s="11">
        <f>IF($F805="","",IFERROR(VLOOKUP($F805,ActionMap!$A:$B,2,FALSE),"INVALID ACTION"))</f>
        <v/>
      </c>
      <c r="F805" s="4" t="n"/>
      <c r="G805" s="11">
        <f>IFERROR(VLOOKUP($E805,ActionsCatalog!$A:$B,2,FALSE),"")</f>
        <v/>
      </c>
      <c r="H805" s="4" t="n"/>
      <c r="I805" s="4">
        <f>IFERROR(VLOOKUP($E805,ActionsCatalog!$A:$D,3,FALSE),0)</f>
        <v/>
      </c>
      <c r="J805" s="4">
        <f>IFERROR(VLOOKUP($E805,ActionsCatalog!$A:$D,4,FALSE),0)</f>
        <v/>
      </c>
      <c r="K805" s="4">
        <f>IF($M805&lt;&gt;"Yes",0,IF($H805="",0,$H805*$I805))</f>
        <v/>
      </c>
      <c r="L805" s="4">
        <f>IF($M805&lt;&gt;"Yes",0,IF($H805="",0,$H805*$J805))</f>
        <v/>
      </c>
      <c r="M805" s="4" t="n"/>
      <c r="N805" s="4" t="n"/>
      <c r="O805" s="4">
        <f>IF($A805="","",TEXT($A805,"yyyy")&amp;"-W"&amp;TEXT(ISOWEEKNUM($A805),"00"))</f>
        <v/>
      </c>
      <c r="P805" s="4" t="n"/>
      <c r="Q805" s="14">
        <f>IF($A805="","",TEXT($A805,"yyyy-mm"))</f>
        <v/>
      </c>
    </row>
    <row r="806">
      <c r="A806" s="66" t="n"/>
      <c r="B806" s="4" t="n"/>
      <c r="C806" s="11">
        <f>IFERROR(VLOOKUP($B806,Members!$A:$C,2,FALSE),"")</f>
        <v/>
      </c>
      <c r="D806" s="11">
        <f>IFERROR(VLOOKUP($B806,Members!$A:$C,3,FALSE),"")</f>
        <v/>
      </c>
      <c r="E806" s="11">
        <f>IF($F806="","",IFERROR(VLOOKUP($F806,ActionMap!$A:$B,2,FALSE),"INVALID ACTION"))</f>
        <v/>
      </c>
      <c r="F806" s="4" t="n"/>
      <c r="G806" s="11">
        <f>IFERROR(VLOOKUP($E806,ActionsCatalog!$A:$B,2,FALSE),"")</f>
        <v/>
      </c>
      <c r="H806" s="4" t="n"/>
      <c r="I806" s="4">
        <f>IFERROR(VLOOKUP($E806,ActionsCatalog!$A:$D,3,FALSE),0)</f>
        <v/>
      </c>
      <c r="J806" s="4">
        <f>IFERROR(VLOOKUP($E806,ActionsCatalog!$A:$D,4,FALSE),0)</f>
        <v/>
      </c>
      <c r="K806" s="4">
        <f>IF($M806&lt;&gt;"Yes",0,IF($H806="",0,$H806*$I806))</f>
        <v/>
      </c>
      <c r="L806" s="4">
        <f>IF($M806&lt;&gt;"Yes",0,IF($H806="",0,$H806*$J806))</f>
        <v/>
      </c>
      <c r="M806" s="4" t="n"/>
      <c r="N806" s="4" t="n"/>
      <c r="O806" s="4">
        <f>IF($A806="","",TEXT($A806,"yyyy")&amp;"-W"&amp;TEXT(ISOWEEKNUM($A806),"00"))</f>
        <v/>
      </c>
      <c r="P806" s="4" t="n"/>
      <c r="Q806" s="14">
        <f>IF($A806="","",TEXT($A806,"yyyy-mm"))</f>
        <v/>
      </c>
    </row>
    <row r="807">
      <c r="A807" s="66" t="n"/>
      <c r="B807" s="4" t="n"/>
      <c r="C807" s="11">
        <f>IFERROR(VLOOKUP($B807,Members!$A:$C,2,FALSE),"")</f>
        <v/>
      </c>
      <c r="D807" s="11">
        <f>IFERROR(VLOOKUP($B807,Members!$A:$C,3,FALSE),"")</f>
        <v/>
      </c>
      <c r="E807" s="11">
        <f>IF($F807="","",IFERROR(VLOOKUP($F807,ActionMap!$A:$B,2,FALSE),"INVALID ACTION"))</f>
        <v/>
      </c>
      <c r="F807" s="4" t="n"/>
      <c r="G807" s="11">
        <f>IFERROR(VLOOKUP($E807,ActionsCatalog!$A:$B,2,FALSE),"")</f>
        <v/>
      </c>
      <c r="H807" s="4" t="n"/>
      <c r="I807" s="4">
        <f>IFERROR(VLOOKUP($E807,ActionsCatalog!$A:$D,3,FALSE),0)</f>
        <v/>
      </c>
      <c r="J807" s="4">
        <f>IFERROR(VLOOKUP($E807,ActionsCatalog!$A:$D,4,FALSE),0)</f>
        <v/>
      </c>
      <c r="K807" s="4">
        <f>IF($M807&lt;&gt;"Yes",0,IF($H807="",0,$H807*$I807))</f>
        <v/>
      </c>
      <c r="L807" s="4">
        <f>IF($M807&lt;&gt;"Yes",0,IF($H807="",0,$H807*$J807))</f>
        <v/>
      </c>
      <c r="M807" s="4" t="n"/>
      <c r="N807" s="4" t="n"/>
      <c r="O807" s="4">
        <f>IF($A807="","",TEXT($A807,"yyyy")&amp;"-W"&amp;TEXT(ISOWEEKNUM($A807),"00"))</f>
        <v/>
      </c>
      <c r="P807" s="4" t="n"/>
      <c r="Q807" s="14">
        <f>IF($A807="","",TEXT($A807,"yyyy-mm"))</f>
        <v/>
      </c>
    </row>
    <row r="808">
      <c r="A808" s="66" t="n"/>
      <c r="B808" s="4" t="n"/>
      <c r="C808" s="11">
        <f>IFERROR(VLOOKUP($B808,Members!$A:$C,2,FALSE),"")</f>
        <v/>
      </c>
      <c r="D808" s="11">
        <f>IFERROR(VLOOKUP($B808,Members!$A:$C,3,FALSE),"")</f>
        <v/>
      </c>
      <c r="E808" s="11">
        <f>IF($F808="","",IFERROR(VLOOKUP($F808,ActionMap!$A:$B,2,FALSE),"INVALID ACTION"))</f>
        <v/>
      </c>
      <c r="F808" s="4" t="n"/>
      <c r="G808" s="11">
        <f>IFERROR(VLOOKUP($E808,ActionsCatalog!$A:$B,2,FALSE),"")</f>
        <v/>
      </c>
      <c r="H808" s="4" t="n"/>
      <c r="I808" s="4">
        <f>IFERROR(VLOOKUP($E808,ActionsCatalog!$A:$D,3,FALSE),0)</f>
        <v/>
      </c>
      <c r="J808" s="4">
        <f>IFERROR(VLOOKUP($E808,ActionsCatalog!$A:$D,4,FALSE),0)</f>
        <v/>
      </c>
      <c r="K808" s="4">
        <f>IF($M808&lt;&gt;"Yes",0,IF($H808="",0,$H808*$I808))</f>
        <v/>
      </c>
      <c r="L808" s="4">
        <f>IF($M808&lt;&gt;"Yes",0,IF($H808="",0,$H808*$J808))</f>
        <v/>
      </c>
      <c r="M808" s="4" t="n"/>
      <c r="N808" s="4" t="n"/>
      <c r="O808" s="4">
        <f>IF($A808="","",TEXT($A808,"yyyy")&amp;"-W"&amp;TEXT(ISOWEEKNUM($A808),"00"))</f>
        <v/>
      </c>
      <c r="P808" s="4" t="n"/>
      <c r="Q808" s="14">
        <f>IF($A808="","",TEXT($A808,"yyyy-mm"))</f>
        <v/>
      </c>
    </row>
    <row r="809">
      <c r="A809" s="66" t="n"/>
      <c r="B809" s="4" t="n"/>
      <c r="C809" s="11">
        <f>IFERROR(VLOOKUP($B809,Members!$A:$C,2,FALSE),"")</f>
        <v/>
      </c>
      <c r="D809" s="11">
        <f>IFERROR(VLOOKUP($B809,Members!$A:$C,3,FALSE),"")</f>
        <v/>
      </c>
      <c r="E809" s="11">
        <f>IF($F809="","",IFERROR(VLOOKUP($F809,ActionMap!$A:$B,2,FALSE),"INVALID ACTION"))</f>
        <v/>
      </c>
      <c r="F809" s="4" t="n"/>
      <c r="G809" s="11">
        <f>IFERROR(VLOOKUP($E809,ActionsCatalog!$A:$B,2,FALSE),"")</f>
        <v/>
      </c>
      <c r="H809" s="4" t="n"/>
      <c r="I809" s="4">
        <f>IFERROR(VLOOKUP($E809,ActionsCatalog!$A:$D,3,FALSE),0)</f>
        <v/>
      </c>
      <c r="J809" s="4">
        <f>IFERROR(VLOOKUP($E809,ActionsCatalog!$A:$D,4,FALSE),0)</f>
        <v/>
      </c>
      <c r="K809" s="4">
        <f>IF($M809&lt;&gt;"Yes",0,IF($H809="",0,$H809*$I809))</f>
        <v/>
      </c>
      <c r="L809" s="4">
        <f>IF($M809&lt;&gt;"Yes",0,IF($H809="",0,$H809*$J809))</f>
        <v/>
      </c>
      <c r="M809" s="4" t="n"/>
      <c r="N809" s="4" t="n"/>
      <c r="O809" s="4">
        <f>IF($A809="","",TEXT($A809,"yyyy")&amp;"-W"&amp;TEXT(ISOWEEKNUM($A809),"00"))</f>
        <v/>
      </c>
      <c r="P809" s="4" t="n"/>
      <c r="Q809" s="14">
        <f>IF($A809="","",TEXT($A809,"yyyy-mm"))</f>
        <v/>
      </c>
    </row>
    <row r="810">
      <c r="A810" s="66" t="n"/>
      <c r="B810" s="4" t="n"/>
      <c r="C810" s="11">
        <f>IFERROR(VLOOKUP($B810,Members!$A:$C,2,FALSE),"")</f>
        <v/>
      </c>
      <c r="D810" s="11">
        <f>IFERROR(VLOOKUP($B810,Members!$A:$C,3,FALSE),"")</f>
        <v/>
      </c>
      <c r="E810" s="11">
        <f>IF($F810="","",IFERROR(VLOOKUP($F810,ActionMap!$A:$B,2,FALSE),"INVALID ACTION"))</f>
        <v/>
      </c>
      <c r="F810" s="4" t="n"/>
      <c r="G810" s="11">
        <f>IFERROR(VLOOKUP($E810,ActionsCatalog!$A:$B,2,FALSE),"")</f>
        <v/>
      </c>
      <c r="H810" s="4" t="n"/>
      <c r="I810" s="4">
        <f>IFERROR(VLOOKUP($E810,ActionsCatalog!$A:$D,3,FALSE),0)</f>
        <v/>
      </c>
      <c r="J810" s="4">
        <f>IFERROR(VLOOKUP($E810,ActionsCatalog!$A:$D,4,FALSE),0)</f>
        <v/>
      </c>
      <c r="K810" s="4">
        <f>IF($M810&lt;&gt;"Yes",0,IF($H810="",0,$H810*$I810))</f>
        <v/>
      </c>
      <c r="L810" s="4">
        <f>IF($M810&lt;&gt;"Yes",0,IF($H810="",0,$H810*$J810))</f>
        <v/>
      </c>
      <c r="M810" s="4" t="n"/>
      <c r="N810" s="4" t="n"/>
      <c r="O810" s="4">
        <f>IF($A810="","",TEXT($A810,"yyyy")&amp;"-W"&amp;TEXT(ISOWEEKNUM($A810),"00"))</f>
        <v/>
      </c>
      <c r="P810" s="4" t="n"/>
      <c r="Q810" s="14">
        <f>IF($A810="","",TEXT($A810,"yyyy-mm"))</f>
        <v/>
      </c>
    </row>
    <row r="811">
      <c r="A811" s="66" t="n"/>
      <c r="B811" s="4" t="n"/>
      <c r="C811" s="11">
        <f>IFERROR(VLOOKUP($B811,Members!$A:$C,2,FALSE),"")</f>
        <v/>
      </c>
      <c r="D811" s="11">
        <f>IFERROR(VLOOKUP($B811,Members!$A:$C,3,FALSE),"")</f>
        <v/>
      </c>
      <c r="E811" s="11">
        <f>IF($F811="","",IFERROR(VLOOKUP($F811,ActionMap!$A:$B,2,FALSE),"INVALID ACTION"))</f>
        <v/>
      </c>
      <c r="F811" s="4" t="n"/>
      <c r="G811" s="11">
        <f>IFERROR(VLOOKUP($E811,ActionsCatalog!$A:$B,2,FALSE),"")</f>
        <v/>
      </c>
      <c r="H811" s="4" t="n"/>
      <c r="I811" s="4">
        <f>IFERROR(VLOOKUP($E811,ActionsCatalog!$A:$D,3,FALSE),0)</f>
        <v/>
      </c>
      <c r="J811" s="4">
        <f>IFERROR(VLOOKUP($E811,ActionsCatalog!$A:$D,4,FALSE),0)</f>
        <v/>
      </c>
      <c r="K811" s="4">
        <f>IF($M811&lt;&gt;"Yes",0,IF($H811="",0,$H811*$I811))</f>
        <v/>
      </c>
      <c r="L811" s="4">
        <f>IF($M811&lt;&gt;"Yes",0,IF($H811="",0,$H811*$J811))</f>
        <v/>
      </c>
      <c r="M811" s="4" t="n"/>
      <c r="N811" s="4" t="n"/>
      <c r="O811" s="4">
        <f>IF($A811="","",TEXT($A811,"yyyy")&amp;"-W"&amp;TEXT(ISOWEEKNUM($A811),"00"))</f>
        <v/>
      </c>
      <c r="P811" s="4" t="n"/>
      <c r="Q811" s="14">
        <f>IF($A811="","",TEXT($A811,"yyyy-mm"))</f>
        <v/>
      </c>
    </row>
    <row r="812">
      <c r="A812" s="66" t="n"/>
      <c r="B812" s="4" t="n"/>
      <c r="C812" s="11">
        <f>IFERROR(VLOOKUP($B812,Members!$A:$C,2,FALSE),"")</f>
        <v/>
      </c>
      <c r="D812" s="11">
        <f>IFERROR(VLOOKUP($B812,Members!$A:$C,3,FALSE),"")</f>
        <v/>
      </c>
      <c r="E812" s="11">
        <f>IF($F812="","",IFERROR(VLOOKUP($F812,ActionMap!$A:$B,2,FALSE),"INVALID ACTION"))</f>
        <v/>
      </c>
      <c r="F812" s="4" t="n"/>
      <c r="G812" s="11">
        <f>IFERROR(VLOOKUP($E812,ActionsCatalog!$A:$B,2,FALSE),"")</f>
        <v/>
      </c>
      <c r="H812" s="4" t="n"/>
      <c r="I812" s="4">
        <f>IFERROR(VLOOKUP($E812,ActionsCatalog!$A:$D,3,FALSE),0)</f>
        <v/>
      </c>
      <c r="J812" s="4">
        <f>IFERROR(VLOOKUP($E812,ActionsCatalog!$A:$D,4,FALSE),0)</f>
        <v/>
      </c>
      <c r="K812" s="4">
        <f>IF($M812&lt;&gt;"Yes",0,IF($H812="",0,$H812*$I812))</f>
        <v/>
      </c>
      <c r="L812" s="4">
        <f>IF($M812&lt;&gt;"Yes",0,IF($H812="",0,$H812*$J812))</f>
        <v/>
      </c>
      <c r="M812" s="4" t="n"/>
      <c r="N812" s="4" t="n"/>
      <c r="O812" s="4">
        <f>IF($A812="","",TEXT($A812,"yyyy")&amp;"-W"&amp;TEXT(ISOWEEKNUM($A812),"00"))</f>
        <v/>
      </c>
      <c r="P812" s="4" t="n"/>
      <c r="Q812" s="14">
        <f>IF($A812="","",TEXT($A812,"yyyy-mm"))</f>
        <v/>
      </c>
    </row>
    <row r="813">
      <c r="A813" s="66" t="n"/>
      <c r="B813" s="4" t="n"/>
      <c r="C813" s="11">
        <f>IFERROR(VLOOKUP($B813,Members!$A:$C,2,FALSE),"")</f>
        <v/>
      </c>
      <c r="D813" s="11">
        <f>IFERROR(VLOOKUP($B813,Members!$A:$C,3,FALSE),"")</f>
        <v/>
      </c>
      <c r="E813" s="11">
        <f>IF($F813="","",IFERROR(VLOOKUP($F813,ActionMap!$A:$B,2,FALSE),"INVALID ACTION"))</f>
        <v/>
      </c>
      <c r="F813" s="4" t="n"/>
      <c r="G813" s="11">
        <f>IFERROR(VLOOKUP($E813,ActionsCatalog!$A:$B,2,FALSE),"")</f>
        <v/>
      </c>
      <c r="H813" s="4" t="n"/>
      <c r="I813" s="4">
        <f>IFERROR(VLOOKUP($E813,ActionsCatalog!$A:$D,3,FALSE),0)</f>
        <v/>
      </c>
      <c r="J813" s="4">
        <f>IFERROR(VLOOKUP($E813,ActionsCatalog!$A:$D,4,FALSE),0)</f>
        <v/>
      </c>
      <c r="K813" s="4">
        <f>IF($M813&lt;&gt;"Yes",0,IF($H813="",0,$H813*$I813))</f>
        <v/>
      </c>
      <c r="L813" s="4">
        <f>IF($M813&lt;&gt;"Yes",0,IF($H813="",0,$H813*$J813))</f>
        <v/>
      </c>
      <c r="M813" s="4" t="n"/>
      <c r="N813" s="4" t="n"/>
      <c r="O813" s="4">
        <f>IF($A813="","",TEXT($A813,"yyyy")&amp;"-W"&amp;TEXT(ISOWEEKNUM($A813),"00"))</f>
        <v/>
      </c>
      <c r="P813" s="4" t="n"/>
      <c r="Q813" s="14">
        <f>IF($A813="","",TEXT($A813,"yyyy-mm"))</f>
        <v/>
      </c>
    </row>
    <row r="814">
      <c r="A814" s="66" t="n"/>
      <c r="B814" s="4" t="n"/>
      <c r="C814" s="11">
        <f>IFERROR(VLOOKUP($B814,Members!$A:$C,2,FALSE),"")</f>
        <v/>
      </c>
      <c r="D814" s="11">
        <f>IFERROR(VLOOKUP($B814,Members!$A:$C,3,FALSE),"")</f>
        <v/>
      </c>
      <c r="E814" s="11">
        <f>IF($F814="","",IFERROR(VLOOKUP($F814,ActionMap!$A:$B,2,FALSE),"INVALID ACTION"))</f>
        <v/>
      </c>
      <c r="F814" s="4" t="n"/>
      <c r="G814" s="11">
        <f>IFERROR(VLOOKUP($E814,ActionsCatalog!$A:$B,2,FALSE),"")</f>
        <v/>
      </c>
      <c r="H814" s="4" t="n"/>
      <c r="I814" s="4">
        <f>IFERROR(VLOOKUP($E814,ActionsCatalog!$A:$D,3,FALSE),0)</f>
        <v/>
      </c>
      <c r="J814" s="4">
        <f>IFERROR(VLOOKUP($E814,ActionsCatalog!$A:$D,4,FALSE),0)</f>
        <v/>
      </c>
      <c r="K814" s="4">
        <f>IF($M814&lt;&gt;"Yes",0,IF($H814="",0,$H814*$I814))</f>
        <v/>
      </c>
      <c r="L814" s="4">
        <f>IF($M814&lt;&gt;"Yes",0,IF($H814="",0,$H814*$J814))</f>
        <v/>
      </c>
      <c r="M814" s="4" t="n"/>
      <c r="N814" s="4" t="n"/>
      <c r="O814" s="4">
        <f>IF($A814="","",TEXT($A814,"yyyy")&amp;"-W"&amp;TEXT(ISOWEEKNUM($A814),"00"))</f>
        <v/>
      </c>
      <c r="P814" s="4" t="n"/>
      <c r="Q814" s="14">
        <f>IF($A814="","",TEXT($A814,"yyyy-mm"))</f>
        <v/>
      </c>
    </row>
    <row r="815">
      <c r="A815" s="66" t="n"/>
      <c r="B815" s="4" t="n"/>
      <c r="C815" s="11">
        <f>IFERROR(VLOOKUP($B815,Members!$A:$C,2,FALSE),"")</f>
        <v/>
      </c>
      <c r="D815" s="11">
        <f>IFERROR(VLOOKUP($B815,Members!$A:$C,3,FALSE),"")</f>
        <v/>
      </c>
      <c r="E815" s="11">
        <f>IF($F815="","",IFERROR(VLOOKUP($F815,ActionMap!$A:$B,2,FALSE),"INVALID ACTION"))</f>
        <v/>
      </c>
      <c r="F815" s="4" t="n"/>
      <c r="G815" s="11">
        <f>IFERROR(VLOOKUP($E815,ActionsCatalog!$A:$B,2,FALSE),"")</f>
        <v/>
      </c>
      <c r="H815" s="4" t="n"/>
      <c r="I815" s="4">
        <f>IFERROR(VLOOKUP($E815,ActionsCatalog!$A:$D,3,FALSE),0)</f>
        <v/>
      </c>
      <c r="J815" s="4">
        <f>IFERROR(VLOOKUP($E815,ActionsCatalog!$A:$D,4,FALSE),0)</f>
        <v/>
      </c>
      <c r="K815" s="4">
        <f>IF($M815&lt;&gt;"Yes",0,IF($H815="",0,$H815*$I815))</f>
        <v/>
      </c>
      <c r="L815" s="4">
        <f>IF($M815&lt;&gt;"Yes",0,IF($H815="",0,$H815*$J815))</f>
        <v/>
      </c>
      <c r="M815" s="4" t="n"/>
      <c r="N815" s="4" t="n"/>
      <c r="O815" s="4">
        <f>IF($A815="","",TEXT($A815,"yyyy")&amp;"-W"&amp;TEXT(ISOWEEKNUM($A815),"00"))</f>
        <v/>
      </c>
      <c r="P815" s="4" t="n"/>
      <c r="Q815" s="14">
        <f>IF($A815="","",TEXT($A815,"yyyy-mm"))</f>
        <v/>
      </c>
    </row>
    <row r="816">
      <c r="A816" s="66" t="n"/>
      <c r="B816" s="4" t="n"/>
      <c r="C816" s="11">
        <f>IFERROR(VLOOKUP($B816,Members!$A:$C,2,FALSE),"")</f>
        <v/>
      </c>
      <c r="D816" s="11">
        <f>IFERROR(VLOOKUP($B816,Members!$A:$C,3,FALSE),"")</f>
        <v/>
      </c>
      <c r="E816" s="11">
        <f>IF($F816="","",IFERROR(VLOOKUP($F816,ActionMap!$A:$B,2,FALSE),"INVALID ACTION"))</f>
        <v/>
      </c>
      <c r="F816" s="4" t="n"/>
      <c r="G816" s="11">
        <f>IFERROR(VLOOKUP($E816,ActionsCatalog!$A:$B,2,FALSE),"")</f>
        <v/>
      </c>
      <c r="H816" s="4" t="n"/>
      <c r="I816" s="4">
        <f>IFERROR(VLOOKUP($E816,ActionsCatalog!$A:$D,3,FALSE),0)</f>
        <v/>
      </c>
      <c r="J816" s="4">
        <f>IFERROR(VLOOKUP($E816,ActionsCatalog!$A:$D,4,FALSE),0)</f>
        <v/>
      </c>
      <c r="K816" s="4">
        <f>IF($M816&lt;&gt;"Yes",0,IF($H816="",0,$H816*$I816))</f>
        <v/>
      </c>
      <c r="L816" s="4">
        <f>IF($M816&lt;&gt;"Yes",0,IF($H816="",0,$H816*$J816))</f>
        <v/>
      </c>
      <c r="M816" s="4" t="n"/>
      <c r="N816" s="4" t="n"/>
      <c r="O816" s="4">
        <f>IF($A816="","",TEXT($A816,"yyyy")&amp;"-W"&amp;TEXT(ISOWEEKNUM($A816),"00"))</f>
        <v/>
      </c>
      <c r="P816" s="4" t="n"/>
      <c r="Q816" s="14">
        <f>IF($A816="","",TEXT($A816,"yyyy-mm"))</f>
        <v/>
      </c>
    </row>
    <row r="817">
      <c r="A817" s="66" t="n"/>
      <c r="B817" s="4" t="n"/>
      <c r="C817" s="11">
        <f>IFERROR(VLOOKUP($B817,Members!$A:$C,2,FALSE),"")</f>
        <v/>
      </c>
      <c r="D817" s="11">
        <f>IFERROR(VLOOKUP($B817,Members!$A:$C,3,FALSE),"")</f>
        <v/>
      </c>
      <c r="E817" s="11">
        <f>IF($F817="","",IFERROR(VLOOKUP($F817,ActionMap!$A:$B,2,FALSE),"INVALID ACTION"))</f>
        <v/>
      </c>
      <c r="F817" s="4" t="n"/>
      <c r="G817" s="11">
        <f>IFERROR(VLOOKUP($E817,ActionsCatalog!$A:$B,2,FALSE),"")</f>
        <v/>
      </c>
      <c r="H817" s="4" t="n"/>
      <c r="I817" s="4">
        <f>IFERROR(VLOOKUP($E817,ActionsCatalog!$A:$D,3,FALSE),0)</f>
        <v/>
      </c>
      <c r="J817" s="4">
        <f>IFERROR(VLOOKUP($E817,ActionsCatalog!$A:$D,4,FALSE),0)</f>
        <v/>
      </c>
      <c r="K817" s="4">
        <f>IF($M817&lt;&gt;"Yes",0,IF($H817="",0,$H817*$I817))</f>
        <v/>
      </c>
      <c r="L817" s="4">
        <f>IF($M817&lt;&gt;"Yes",0,IF($H817="",0,$H817*$J817))</f>
        <v/>
      </c>
      <c r="M817" s="4" t="n"/>
      <c r="N817" s="4" t="n"/>
      <c r="O817" s="4">
        <f>IF($A817="","",TEXT($A817,"yyyy")&amp;"-W"&amp;TEXT(ISOWEEKNUM($A817),"00"))</f>
        <v/>
      </c>
      <c r="P817" s="4" t="n"/>
      <c r="Q817" s="14">
        <f>IF($A817="","",TEXT($A817,"yyyy-mm"))</f>
        <v/>
      </c>
    </row>
    <row r="818">
      <c r="A818" s="66" t="n"/>
      <c r="B818" s="4" t="n"/>
      <c r="C818" s="11">
        <f>IFERROR(VLOOKUP($B818,Members!$A:$C,2,FALSE),"")</f>
        <v/>
      </c>
      <c r="D818" s="11">
        <f>IFERROR(VLOOKUP($B818,Members!$A:$C,3,FALSE),"")</f>
        <v/>
      </c>
      <c r="E818" s="11">
        <f>IF($F818="","",IFERROR(VLOOKUP($F818,ActionMap!$A:$B,2,FALSE),"INVALID ACTION"))</f>
        <v/>
      </c>
      <c r="F818" s="4" t="n"/>
      <c r="G818" s="11">
        <f>IFERROR(VLOOKUP($E818,ActionsCatalog!$A:$B,2,FALSE),"")</f>
        <v/>
      </c>
      <c r="H818" s="4" t="n"/>
      <c r="I818" s="4">
        <f>IFERROR(VLOOKUP($E818,ActionsCatalog!$A:$D,3,FALSE),0)</f>
        <v/>
      </c>
      <c r="J818" s="4">
        <f>IFERROR(VLOOKUP($E818,ActionsCatalog!$A:$D,4,FALSE),0)</f>
        <v/>
      </c>
      <c r="K818" s="4">
        <f>IF($M818&lt;&gt;"Yes",0,IF($H818="",0,$H818*$I818))</f>
        <v/>
      </c>
      <c r="L818" s="4">
        <f>IF($M818&lt;&gt;"Yes",0,IF($H818="",0,$H818*$J818))</f>
        <v/>
      </c>
      <c r="M818" s="4" t="n"/>
      <c r="N818" s="4" t="n"/>
      <c r="O818" s="4">
        <f>IF($A818="","",TEXT($A818,"yyyy")&amp;"-W"&amp;TEXT(ISOWEEKNUM($A818),"00"))</f>
        <v/>
      </c>
      <c r="P818" s="4" t="n"/>
      <c r="Q818" s="14">
        <f>IF($A818="","",TEXT($A818,"yyyy-mm"))</f>
        <v/>
      </c>
    </row>
    <row r="819">
      <c r="A819" s="66" t="n"/>
      <c r="B819" s="4" t="n"/>
      <c r="C819" s="11">
        <f>IFERROR(VLOOKUP($B819,Members!$A:$C,2,FALSE),"")</f>
        <v/>
      </c>
      <c r="D819" s="11">
        <f>IFERROR(VLOOKUP($B819,Members!$A:$C,3,FALSE),"")</f>
        <v/>
      </c>
      <c r="E819" s="11">
        <f>IF($F819="","",IFERROR(VLOOKUP($F819,ActionMap!$A:$B,2,FALSE),"INVALID ACTION"))</f>
        <v/>
      </c>
      <c r="F819" s="4" t="n"/>
      <c r="G819" s="11">
        <f>IFERROR(VLOOKUP($E819,ActionsCatalog!$A:$B,2,FALSE),"")</f>
        <v/>
      </c>
      <c r="H819" s="4" t="n"/>
      <c r="I819" s="4">
        <f>IFERROR(VLOOKUP($E819,ActionsCatalog!$A:$D,3,FALSE),0)</f>
        <v/>
      </c>
      <c r="J819" s="4">
        <f>IFERROR(VLOOKUP($E819,ActionsCatalog!$A:$D,4,FALSE),0)</f>
        <v/>
      </c>
      <c r="K819" s="4">
        <f>IF($M819&lt;&gt;"Yes",0,IF($H819="",0,$H819*$I819))</f>
        <v/>
      </c>
      <c r="L819" s="4">
        <f>IF($M819&lt;&gt;"Yes",0,IF($H819="",0,$H819*$J819))</f>
        <v/>
      </c>
      <c r="M819" s="4" t="n"/>
      <c r="N819" s="4" t="n"/>
      <c r="O819" s="4">
        <f>IF($A819="","",TEXT($A819,"yyyy")&amp;"-W"&amp;TEXT(ISOWEEKNUM($A819),"00"))</f>
        <v/>
      </c>
      <c r="P819" s="4" t="n"/>
      <c r="Q819" s="14">
        <f>IF($A819="","",TEXT($A819,"yyyy-mm"))</f>
        <v/>
      </c>
    </row>
    <row r="820">
      <c r="A820" s="66" t="n"/>
      <c r="B820" s="4" t="n"/>
      <c r="C820" s="11">
        <f>IFERROR(VLOOKUP($B820,Members!$A:$C,2,FALSE),"")</f>
        <v/>
      </c>
      <c r="D820" s="11">
        <f>IFERROR(VLOOKUP($B820,Members!$A:$C,3,FALSE),"")</f>
        <v/>
      </c>
      <c r="E820" s="11">
        <f>IF($F820="","",IFERROR(VLOOKUP($F820,ActionMap!$A:$B,2,FALSE),"INVALID ACTION"))</f>
        <v/>
      </c>
      <c r="F820" s="4" t="n"/>
      <c r="G820" s="11">
        <f>IFERROR(VLOOKUP($E820,ActionsCatalog!$A:$B,2,FALSE),"")</f>
        <v/>
      </c>
      <c r="H820" s="4" t="n"/>
      <c r="I820" s="4">
        <f>IFERROR(VLOOKUP($E820,ActionsCatalog!$A:$D,3,FALSE),0)</f>
        <v/>
      </c>
      <c r="J820" s="4">
        <f>IFERROR(VLOOKUP($E820,ActionsCatalog!$A:$D,4,FALSE),0)</f>
        <v/>
      </c>
      <c r="K820" s="4">
        <f>IF($M820&lt;&gt;"Yes",0,IF($H820="",0,$H820*$I820))</f>
        <v/>
      </c>
      <c r="L820" s="4">
        <f>IF($M820&lt;&gt;"Yes",0,IF($H820="",0,$H820*$J820))</f>
        <v/>
      </c>
      <c r="M820" s="4" t="n"/>
      <c r="N820" s="4" t="n"/>
      <c r="O820" s="4">
        <f>IF($A820="","",TEXT($A820,"yyyy")&amp;"-W"&amp;TEXT(ISOWEEKNUM($A820),"00"))</f>
        <v/>
      </c>
      <c r="P820" s="4" t="n"/>
      <c r="Q820" s="14">
        <f>IF($A820="","",TEXT($A820,"yyyy-mm"))</f>
        <v/>
      </c>
    </row>
    <row r="821">
      <c r="A821" s="66" t="n"/>
      <c r="B821" s="4" t="n"/>
      <c r="C821" s="11">
        <f>IFERROR(VLOOKUP($B821,Members!$A:$C,2,FALSE),"")</f>
        <v/>
      </c>
      <c r="D821" s="11">
        <f>IFERROR(VLOOKUP($B821,Members!$A:$C,3,FALSE),"")</f>
        <v/>
      </c>
      <c r="E821" s="11">
        <f>IF($F821="","",IFERROR(VLOOKUP($F821,ActionMap!$A:$B,2,FALSE),"INVALID ACTION"))</f>
        <v/>
      </c>
      <c r="F821" s="4" t="n"/>
      <c r="G821" s="11">
        <f>IFERROR(VLOOKUP($E821,ActionsCatalog!$A:$B,2,FALSE),"")</f>
        <v/>
      </c>
      <c r="H821" s="4" t="n"/>
      <c r="I821" s="4">
        <f>IFERROR(VLOOKUP($E821,ActionsCatalog!$A:$D,3,FALSE),0)</f>
        <v/>
      </c>
      <c r="J821" s="4">
        <f>IFERROR(VLOOKUP($E821,ActionsCatalog!$A:$D,4,FALSE),0)</f>
        <v/>
      </c>
      <c r="K821" s="4">
        <f>IF($M821&lt;&gt;"Yes",0,IF($H821="",0,$H821*$I821))</f>
        <v/>
      </c>
      <c r="L821" s="4">
        <f>IF($M821&lt;&gt;"Yes",0,IF($H821="",0,$H821*$J821))</f>
        <v/>
      </c>
      <c r="M821" s="4" t="n"/>
      <c r="N821" s="4" t="n"/>
      <c r="O821" s="4">
        <f>IF($A821="","",TEXT($A821,"yyyy")&amp;"-W"&amp;TEXT(ISOWEEKNUM($A821),"00"))</f>
        <v/>
      </c>
      <c r="P821" s="4" t="n"/>
      <c r="Q821" s="14">
        <f>IF($A821="","",TEXT($A821,"yyyy-mm"))</f>
        <v/>
      </c>
    </row>
    <row r="822">
      <c r="A822" s="66" t="n"/>
      <c r="B822" s="4" t="n"/>
      <c r="C822" s="11">
        <f>IFERROR(VLOOKUP($B822,Members!$A:$C,2,FALSE),"")</f>
        <v/>
      </c>
      <c r="D822" s="11">
        <f>IFERROR(VLOOKUP($B822,Members!$A:$C,3,FALSE),"")</f>
        <v/>
      </c>
      <c r="E822" s="11">
        <f>IF($F822="","",IFERROR(VLOOKUP($F822,ActionMap!$A:$B,2,FALSE),"INVALID ACTION"))</f>
        <v/>
      </c>
      <c r="F822" s="4" t="n"/>
      <c r="G822" s="11">
        <f>IFERROR(VLOOKUP($E822,ActionsCatalog!$A:$B,2,FALSE),"")</f>
        <v/>
      </c>
      <c r="H822" s="4" t="n"/>
      <c r="I822" s="4">
        <f>IFERROR(VLOOKUP($E822,ActionsCatalog!$A:$D,3,FALSE),0)</f>
        <v/>
      </c>
      <c r="J822" s="4">
        <f>IFERROR(VLOOKUP($E822,ActionsCatalog!$A:$D,4,FALSE),0)</f>
        <v/>
      </c>
      <c r="K822" s="4">
        <f>IF($M822&lt;&gt;"Yes",0,IF($H822="",0,$H822*$I822))</f>
        <v/>
      </c>
      <c r="L822" s="4">
        <f>IF($M822&lt;&gt;"Yes",0,IF($H822="",0,$H822*$J822))</f>
        <v/>
      </c>
      <c r="M822" s="4" t="n"/>
      <c r="N822" s="4" t="n"/>
      <c r="O822" s="4">
        <f>IF($A822="","",TEXT($A822,"yyyy")&amp;"-W"&amp;TEXT(ISOWEEKNUM($A822),"00"))</f>
        <v/>
      </c>
      <c r="P822" s="4" t="n"/>
      <c r="Q822" s="14">
        <f>IF($A822="","",TEXT($A822,"yyyy-mm"))</f>
        <v/>
      </c>
    </row>
    <row r="823">
      <c r="A823" s="66" t="n"/>
      <c r="B823" s="4" t="n"/>
      <c r="C823" s="11">
        <f>IFERROR(VLOOKUP($B823,Members!$A:$C,2,FALSE),"")</f>
        <v/>
      </c>
      <c r="D823" s="11">
        <f>IFERROR(VLOOKUP($B823,Members!$A:$C,3,FALSE),"")</f>
        <v/>
      </c>
      <c r="E823" s="11">
        <f>IF($F823="","",IFERROR(VLOOKUP($F823,ActionMap!$A:$B,2,FALSE),"INVALID ACTION"))</f>
        <v/>
      </c>
      <c r="F823" s="4" t="n"/>
      <c r="G823" s="11">
        <f>IFERROR(VLOOKUP($E823,ActionsCatalog!$A:$B,2,FALSE),"")</f>
        <v/>
      </c>
      <c r="H823" s="4" t="n"/>
      <c r="I823" s="4">
        <f>IFERROR(VLOOKUP($E823,ActionsCatalog!$A:$D,3,FALSE),0)</f>
        <v/>
      </c>
      <c r="J823" s="4">
        <f>IFERROR(VLOOKUP($E823,ActionsCatalog!$A:$D,4,FALSE),0)</f>
        <v/>
      </c>
      <c r="K823" s="4">
        <f>IF($M823&lt;&gt;"Yes",0,IF($H823="",0,$H823*$I823))</f>
        <v/>
      </c>
      <c r="L823" s="4">
        <f>IF($M823&lt;&gt;"Yes",0,IF($H823="",0,$H823*$J823))</f>
        <v/>
      </c>
      <c r="M823" s="4" t="n"/>
      <c r="N823" s="4" t="n"/>
      <c r="O823" s="4">
        <f>IF($A823="","",TEXT($A823,"yyyy")&amp;"-W"&amp;TEXT(ISOWEEKNUM($A823),"00"))</f>
        <v/>
      </c>
      <c r="P823" s="4" t="n"/>
      <c r="Q823" s="14">
        <f>IF($A823="","",TEXT($A823,"yyyy-mm"))</f>
        <v/>
      </c>
    </row>
    <row r="824">
      <c r="A824" s="66" t="n"/>
      <c r="B824" s="4" t="n"/>
      <c r="C824" s="11">
        <f>IFERROR(VLOOKUP($B824,Members!$A:$C,2,FALSE),"")</f>
        <v/>
      </c>
      <c r="D824" s="11">
        <f>IFERROR(VLOOKUP($B824,Members!$A:$C,3,FALSE),"")</f>
        <v/>
      </c>
      <c r="E824" s="11">
        <f>IF($F824="","",IFERROR(VLOOKUP($F824,ActionMap!$A:$B,2,FALSE),"INVALID ACTION"))</f>
        <v/>
      </c>
      <c r="F824" s="4" t="n"/>
      <c r="G824" s="11">
        <f>IFERROR(VLOOKUP($E824,ActionsCatalog!$A:$B,2,FALSE),"")</f>
        <v/>
      </c>
      <c r="H824" s="4" t="n"/>
      <c r="I824" s="4">
        <f>IFERROR(VLOOKUP($E824,ActionsCatalog!$A:$D,3,FALSE),0)</f>
        <v/>
      </c>
      <c r="J824" s="4">
        <f>IFERROR(VLOOKUP($E824,ActionsCatalog!$A:$D,4,FALSE),0)</f>
        <v/>
      </c>
      <c r="K824" s="4">
        <f>IF($M824&lt;&gt;"Yes",0,IF($H824="",0,$H824*$I824))</f>
        <v/>
      </c>
      <c r="L824" s="4">
        <f>IF($M824&lt;&gt;"Yes",0,IF($H824="",0,$H824*$J824))</f>
        <v/>
      </c>
      <c r="M824" s="4" t="n"/>
      <c r="N824" s="4" t="n"/>
      <c r="O824" s="4">
        <f>IF($A824="","",TEXT($A824,"yyyy")&amp;"-W"&amp;TEXT(ISOWEEKNUM($A824),"00"))</f>
        <v/>
      </c>
      <c r="P824" s="4" t="n"/>
      <c r="Q824" s="14">
        <f>IF($A824="","",TEXT($A824,"yyyy-mm"))</f>
        <v/>
      </c>
    </row>
    <row r="825">
      <c r="A825" s="66" t="n"/>
      <c r="B825" s="4" t="n"/>
      <c r="C825" s="11">
        <f>IFERROR(VLOOKUP($B825,Members!$A:$C,2,FALSE),"")</f>
        <v/>
      </c>
      <c r="D825" s="11">
        <f>IFERROR(VLOOKUP($B825,Members!$A:$C,3,FALSE),"")</f>
        <v/>
      </c>
      <c r="E825" s="11">
        <f>IF($F825="","",IFERROR(VLOOKUP($F825,ActionMap!$A:$B,2,FALSE),"INVALID ACTION"))</f>
        <v/>
      </c>
      <c r="F825" s="4" t="n"/>
      <c r="G825" s="11">
        <f>IFERROR(VLOOKUP($E825,ActionsCatalog!$A:$B,2,FALSE),"")</f>
        <v/>
      </c>
      <c r="H825" s="4" t="n"/>
      <c r="I825" s="4">
        <f>IFERROR(VLOOKUP($E825,ActionsCatalog!$A:$D,3,FALSE),0)</f>
        <v/>
      </c>
      <c r="J825" s="4">
        <f>IFERROR(VLOOKUP($E825,ActionsCatalog!$A:$D,4,FALSE),0)</f>
        <v/>
      </c>
      <c r="K825" s="4">
        <f>IF($M825&lt;&gt;"Yes",0,IF($H825="",0,$H825*$I825))</f>
        <v/>
      </c>
      <c r="L825" s="4">
        <f>IF($M825&lt;&gt;"Yes",0,IF($H825="",0,$H825*$J825))</f>
        <v/>
      </c>
      <c r="M825" s="4" t="n"/>
      <c r="N825" s="4" t="n"/>
      <c r="O825" s="4">
        <f>IF($A825="","",TEXT($A825,"yyyy")&amp;"-W"&amp;TEXT(ISOWEEKNUM($A825),"00"))</f>
        <v/>
      </c>
      <c r="P825" s="4" t="n"/>
      <c r="Q825" s="14">
        <f>IF($A825="","",TEXT($A825,"yyyy-mm"))</f>
        <v/>
      </c>
    </row>
    <row r="826">
      <c r="A826" s="66" t="n"/>
      <c r="B826" s="4" t="n"/>
      <c r="C826" s="11">
        <f>IFERROR(VLOOKUP($B826,Members!$A:$C,2,FALSE),"")</f>
        <v/>
      </c>
      <c r="D826" s="11">
        <f>IFERROR(VLOOKUP($B826,Members!$A:$C,3,FALSE),"")</f>
        <v/>
      </c>
      <c r="E826" s="11">
        <f>IF($F826="","",IFERROR(VLOOKUP($F826,ActionMap!$A:$B,2,FALSE),"INVALID ACTION"))</f>
        <v/>
      </c>
      <c r="F826" s="4" t="n"/>
      <c r="G826" s="11">
        <f>IFERROR(VLOOKUP($E826,ActionsCatalog!$A:$B,2,FALSE),"")</f>
        <v/>
      </c>
      <c r="H826" s="4" t="n"/>
      <c r="I826" s="4">
        <f>IFERROR(VLOOKUP($E826,ActionsCatalog!$A:$D,3,FALSE),0)</f>
        <v/>
      </c>
      <c r="J826" s="4">
        <f>IFERROR(VLOOKUP($E826,ActionsCatalog!$A:$D,4,FALSE),0)</f>
        <v/>
      </c>
      <c r="K826" s="4">
        <f>IF($M826&lt;&gt;"Yes",0,IF($H826="",0,$H826*$I826))</f>
        <v/>
      </c>
      <c r="L826" s="4">
        <f>IF($M826&lt;&gt;"Yes",0,IF($H826="",0,$H826*$J826))</f>
        <v/>
      </c>
      <c r="M826" s="4" t="n"/>
      <c r="N826" s="4" t="n"/>
      <c r="O826" s="4">
        <f>IF($A826="","",TEXT($A826,"yyyy")&amp;"-W"&amp;TEXT(ISOWEEKNUM($A826),"00"))</f>
        <v/>
      </c>
      <c r="P826" s="4" t="n"/>
      <c r="Q826" s="14">
        <f>IF($A826="","",TEXT($A826,"yyyy-mm"))</f>
        <v/>
      </c>
    </row>
    <row r="827">
      <c r="A827" s="66" t="n"/>
      <c r="B827" s="4" t="n"/>
      <c r="C827" s="11">
        <f>IFERROR(VLOOKUP($B827,Members!$A:$C,2,FALSE),"")</f>
        <v/>
      </c>
      <c r="D827" s="11">
        <f>IFERROR(VLOOKUP($B827,Members!$A:$C,3,FALSE),"")</f>
        <v/>
      </c>
      <c r="E827" s="11">
        <f>IF($F827="","",IFERROR(VLOOKUP($F827,ActionMap!$A:$B,2,FALSE),"INVALID ACTION"))</f>
        <v/>
      </c>
      <c r="F827" s="4" t="n"/>
      <c r="G827" s="11">
        <f>IFERROR(VLOOKUP($E827,ActionsCatalog!$A:$B,2,FALSE),"")</f>
        <v/>
      </c>
      <c r="H827" s="4" t="n"/>
      <c r="I827" s="4">
        <f>IFERROR(VLOOKUP($E827,ActionsCatalog!$A:$D,3,FALSE),0)</f>
        <v/>
      </c>
      <c r="J827" s="4">
        <f>IFERROR(VLOOKUP($E827,ActionsCatalog!$A:$D,4,FALSE),0)</f>
        <v/>
      </c>
      <c r="K827" s="4">
        <f>IF($M827&lt;&gt;"Yes",0,IF($H827="",0,$H827*$I827))</f>
        <v/>
      </c>
      <c r="L827" s="4">
        <f>IF($M827&lt;&gt;"Yes",0,IF($H827="",0,$H827*$J827))</f>
        <v/>
      </c>
      <c r="M827" s="4" t="n"/>
      <c r="N827" s="4" t="n"/>
      <c r="O827" s="4">
        <f>IF($A827="","",TEXT($A827,"yyyy")&amp;"-W"&amp;TEXT(ISOWEEKNUM($A827),"00"))</f>
        <v/>
      </c>
      <c r="P827" s="4" t="n"/>
      <c r="Q827" s="14">
        <f>IF($A827="","",TEXT($A827,"yyyy-mm"))</f>
        <v/>
      </c>
    </row>
    <row r="828">
      <c r="A828" s="66" t="n"/>
      <c r="B828" s="4" t="n"/>
      <c r="C828" s="11">
        <f>IFERROR(VLOOKUP($B828,Members!$A:$C,2,FALSE),"")</f>
        <v/>
      </c>
      <c r="D828" s="11">
        <f>IFERROR(VLOOKUP($B828,Members!$A:$C,3,FALSE),"")</f>
        <v/>
      </c>
      <c r="E828" s="11">
        <f>IF($F828="","",IFERROR(VLOOKUP($F828,ActionMap!$A:$B,2,FALSE),"INVALID ACTION"))</f>
        <v/>
      </c>
      <c r="F828" s="4" t="n"/>
      <c r="G828" s="11">
        <f>IFERROR(VLOOKUP($E828,ActionsCatalog!$A:$B,2,FALSE),"")</f>
        <v/>
      </c>
      <c r="H828" s="4" t="n"/>
      <c r="I828" s="4">
        <f>IFERROR(VLOOKUP($E828,ActionsCatalog!$A:$D,3,FALSE),0)</f>
        <v/>
      </c>
      <c r="J828" s="4">
        <f>IFERROR(VLOOKUP($E828,ActionsCatalog!$A:$D,4,FALSE),0)</f>
        <v/>
      </c>
      <c r="K828" s="4">
        <f>IF($M828&lt;&gt;"Yes",0,IF($H828="",0,$H828*$I828))</f>
        <v/>
      </c>
      <c r="L828" s="4">
        <f>IF($M828&lt;&gt;"Yes",0,IF($H828="",0,$H828*$J828))</f>
        <v/>
      </c>
      <c r="M828" s="4" t="n"/>
      <c r="N828" s="4" t="n"/>
      <c r="O828" s="4">
        <f>IF($A828="","",TEXT($A828,"yyyy")&amp;"-W"&amp;TEXT(ISOWEEKNUM($A828),"00"))</f>
        <v/>
      </c>
      <c r="P828" s="4" t="n"/>
      <c r="Q828" s="14">
        <f>IF($A828="","",TEXT($A828,"yyyy-mm"))</f>
        <v/>
      </c>
    </row>
    <row r="829">
      <c r="A829" s="66" t="n"/>
      <c r="B829" s="4" t="n"/>
      <c r="C829" s="11">
        <f>IFERROR(VLOOKUP($B829,Members!$A:$C,2,FALSE),"")</f>
        <v/>
      </c>
      <c r="D829" s="11">
        <f>IFERROR(VLOOKUP($B829,Members!$A:$C,3,FALSE),"")</f>
        <v/>
      </c>
      <c r="E829" s="11">
        <f>IF($F829="","",IFERROR(VLOOKUP($F829,ActionMap!$A:$B,2,FALSE),"INVALID ACTION"))</f>
        <v/>
      </c>
      <c r="F829" s="4" t="n"/>
      <c r="G829" s="11">
        <f>IFERROR(VLOOKUP($E829,ActionsCatalog!$A:$B,2,FALSE),"")</f>
        <v/>
      </c>
      <c r="H829" s="4" t="n"/>
      <c r="I829" s="4">
        <f>IFERROR(VLOOKUP($E829,ActionsCatalog!$A:$D,3,FALSE),0)</f>
        <v/>
      </c>
      <c r="J829" s="4">
        <f>IFERROR(VLOOKUP($E829,ActionsCatalog!$A:$D,4,FALSE),0)</f>
        <v/>
      </c>
      <c r="K829" s="4">
        <f>IF($M829&lt;&gt;"Yes",0,IF($H829="",0,$H829*$I829))</f>
        <v/>
      </c>
      <c r="L829" s="4">
        <f>IF($M829&lt;&gt;"Yes",0,IF($H829="",0,$H829*$J829))</f>
        <v/>
      </c>
      <c r="M829" s="4" t="n"/>
      <c r="N829" s="4" t="n"/>
      <c r="O829" s="4">
        <f>IF($A829="","",TEXT($A829,"yyyy")&amp;"-W"&amp;TEXT(ISOWEEKNUM($A829),"00"))</f>
        <v/>
      </c>
      <c r="P829" s="4" t="n"/>
      <c r="Q829" s="14">
        <f>IF($A829="","",TEXT($A829,"yyyy-mm"))</f>
        <v/>
      </c>
    </row>
    <row r="830">
      <c r="A830" s="66" t="n"/>
      <c r="B830" s="4" t="n"/>
      <c r="C830" s="11">
        <f>IFERROR(VLOOKUP($B830,Members!$A:$C,2,FALSE),"")</f>
        <v/>
      </c>
      <c r="D830" s="11">
        <f>IFERROR(VLOOKUP($B830,Members!$A:$C,3,FALSE),"")</f>
        <v/>
      </c>
      <c r="E830" s="11">
        <f>IF($F830="","",IFERROR(VLOOKUP($F830,ActionMap!$A:$B,2,FALSE),"INVALID ACTION"))</f>
        <v/>
      </c>
      <c r="F830" s="4" t="n"/>
      <c r="G830" s="11">
        <f>IFERROR(VLOOKUP($E830,ActionsCatalog!$A:$B,2,FALSE),"")</f>
        <v/>
      </c>
      <c r="H830" s="4" t="n"/>
      <c r="I830" s="4">
        <f>IFERROR(VLOOKUP($E830,ActionsCatalog!$A:$D,3,FALSE),0)</f>
        <v/>
      </c>
      <c r="J830" s="4">
        <f>IFERROR(VLOOKUP($E830,ActionsCatalog!$A:$D,4,FALSE),0)</f>
        <v/>
      </c>
      <c r="K830" s="4">
        <f>IF($M830&lt;&gt;"Yes",0,IF($H830="",0,$H830*$I830))</f>
        <v/>
      </c>
      <c r="L830" s="4">
        <f>IF($M830&lt;&gt;"Yes",0,IF($H830="",0,$H830*$J830))</f>
        <v/>
      </c>
      <c r="M830" s="4" t="n"/>
      <c r="N830" s="4" t="n"/>
      <c r="O830" s="4">
        <f>IF($A830="","",TEXT($A830,"yyyy")&amp;"-W"&amp;TEXT(ISOWEEKNUM($A830),"00"))</f>
        <v/>
      </c>
      <c r="P830" s="4" t="n"/>
      <c r="Q830" s="14">
        <f>IF($A830="","",TEXT($A830,"yyyy-mm"))</f>
        <v/>
      </c>
    </row>
    <row r="831">
      <c r="A831" s="66" t="n"/>
      <c r="B831" s="4" t="n"/>
      <c r="C831" s="11">
        <f>IFERROR(VLOOKUP($B831,Members!$A:$C,2,FALSE),"")</f>
        <v/>
      </c>
      <c r="D831" s="11">
        <f>IFERROR(VLOOKUP($B831,Members!$A:$C,3,FALSE),"")</f>
        <v/>
      </c>
      <c r="E831" s="11">
        <f>IF($F831="","",IFERROR(VLOOKUP($F831,ActionMap!$A:$B,2,FALSE),"INVALID ACTION"))</f>
        <v/>
      </c>
      <c r="F831" s="4" t="n"/>
      <c r="G831" s="11">
        <f>IFERROR(VLOOKUP($E831,ActionsCatalog!$A:$B,2,FALSE),"")</f>
        <v/>
      </c>
      <c r="H831" s="4" t="n"/>
      <c r="I831" s="4">
        <f>IFERROR(VLOOKUP($E831,ActionsCatalog!$A:$D,3,FALSE),0)</f>
        <v/>
      </c>
      <c r="J831" s="4">
        <f>IFERROR(VLOOKUP($E831,ActionsCatalog!$A:$D,4,FALSE),0)</f>
        <v/>
      </c>
      <c r="K831" s="4">
        <f>IF($M831&lt;&gt;"Yes",0,IF($H831="",0,$H831*$I831))</f>
        <v/>
      </c>
      <c r="L831" s="4">
        <f>IF($M831&lt;&gt;"Yes",0,IF($H831="",0,$H831*$J831))</f>
        <v/>
      </c>
      <c r="M831" s="4" t="n"/>
      <c r="N831" s="4" t="n"/>
      <c r="O831" s="4">
        <f>IF($A831="","",TEXT($A831,"yyyy")&amp;"-W"&amp;TEXT(ISOWEEKNUM($A831),"00"))</f>
        <v/>
      </c>
      <c r="P831" s="4" t="n"/>
      <c r="Q831" s="14">
        <f>IF($A831="","",TEXT($A831,"yyyy-mm"))</f>
        <v/>
      </c>
    </row>
    <row r="832">
      <c r="A832" s="66" t="n"/>
      <c r="B832" s="4" t="n"/>
      <c r="C832" s="11">
        <f>IFERROR(VLOOKUP($B832,Members!$A:$C,2,FALSE),"")</f>
        <v/>
      </c>
      <c r="D832" s="11">
        <f>IFERROR(VLOOKUP($B832,Members!$A:$C,3,FALSE),"")</f>
        <v/>
      </c>
      <c r="E832" s="11">
        <f>IF($F832="","",IFERROR(VLOOKUP($F832,ActionMap!$A:$B,2,FALSE),"INVALID ACTION"))</f>
        <v/>
      </c>
      <c r="F832" s="4" t="n"/>
      <c r="G832" s="11">
        <f>IFERROR(VLOOKUP($E832,ActionsCatalog!$A:$B,2,FALSE),"")</f>
        <v/>
      </c>
      <c r="H832" s="4" t="n"/>
      <c r="I832" s="4">
        <f>IFERROR(VLOOKUP($E832,ActionsCatalog!$A:$D,3,FALSE),0)</f>
        <v/>
      </c>
      <c r="J832" s="4">
        <f>IFERROR(VLOOKUP($E832,ActionsCatalog!$A:$D,4,FALSE),0)</f>
        <v/>
      </c>
      <c r="K832" s="4">
        <f>IF($M832&lt;&gt;"Yes",0,IF($H832="",0,$H832*$I832))</f>
        <v/>
      </c>
      <c r="L832" s="4">
        <f>IF($M832&lt;&gt;"Yes",0,IF($H832="",0,$H832*$J832))</f>
        <v/>
      </c>
      <c r="M832" s="4" t="n"/>
      <c r="N832" s="4" t="n"/>
      <c r="O832" s="4">
        <f>IF($A832="","",TEXT($A832,"yyyy")&amp;"-W"&amp;TEXT(ISOWEEKNUM($A832),"00"))</f>
        <v/>
      </c>
      <c r="P832" s="4" t="n"/>
      <c r="Q832" s="14">
        <f>IF($A832="","",TEXT($A832,"yyyy-mm"))</f>
        <v/>
      </c>
    </row>
    <row r="833">
      <c r="A833" s="66" t="n"/>
      <c r="B833" s="4" t="n"/>
      <c r="C833" s="11">
        <f>IFERROR(VLOOKUP($B833,Members!$A:$C,2,FALSE),"")</f>
        <v/>
      </c>
      <c r="D833" s="11">
        <f>IFERROR(VLOOKUP($B833,Members!$A:$C,3,FALSE),"")</f>
        <v/>
      </c>
      <c r="E833" s="11">
        <f>IF($F833="","",IFERROR(VLOOKUP($F833,ActionMap!$A:$B,2,FALSE),"INVALID ACTION"))</f>
        <v/>
      </c>
      <c r="F833" s="4" t="n"/>
      <c r="G833" s="11">
        <f>IFERROR(VLOOKUP($E833,ActionsCatalog!$A:$B,2,FALSE),"")</f>
        <v/>
      </c>
      <c r="H833" s="4" t="n"/>
      <c r="I833" s="4">
        <f>IFERROR(VLOOKUP($E833,ActionsCatalog!$A:$D,3,FALSE),0)</f>
        <v/>
      </c>
      <c r="J833" s="4">
        <f>IFERROR(VLOOKUP($E833,ActionsCatalog!$A:$D,4,FALSE),0)</f>
        <v/>
      </c>
      <c r="K833" s="4">
        <f>IF($M833&lt;&gt;"Yes",0,IF($H833="",0,$H833*$I833))</f>
        <v/>
      </c>
      <c r="L833" s="4">
        <f>IF($M833&lt;&gt;"Yes",0,IF($H833="",0,$H833*$J833))</f>
        <v/>
      </c>
      <c r="M833" s="4" t="n"/>
      <c r="N833" s="4" t="n"/>
      <c r="O833" s="4">
        <f>IF($A833="","",TEXT($A833,"yyyy")&amp;"-W"&amp;TEXT(ISOWEEKNUM($A833),"00"))</f>
        <v/>
      </c>
      <c r="P833" s="4" t="n"/>
      <c r="Q833" s="14">
        <f>IF($A833="","",TEXT($A833,"yyyy-mm"))</f>
        <v/>
      </c>
    </row>
    <row r="834">
      <c r="A834" s="66" t="n"/>
      <c r="B834" s="4" t="n"/>
      <c r="C834" s="11">
        <f>IFERROR(VLOOKUP($B834,Members!$A:$C,2,FALSE),"")</f>
        <v/>
      </c>
      <c r="D834" s="11">
        <f>IFERROR(VLOOKUP($B834,Members!$A:$C,3,FALSE),"")</f>
        <v/>
      </c>
      <c r="E834" s="11">
        <f>IF($F834="","",IFERROR(VLOOKUP($F834,ActionMap!$A:$B,2,FALSE),"INVALID ACTION"))</f>
        <v/>
      </c>
      <c r="F834" s="4" t="n"/>
      <c r="G834" s="11">
        <f>IFERROR(VLOOKUP($E834,ActionsCatalog!$A:$B,2,FALSE),"")</f>
        <v/>
      </c>
      <c r="H834" s="4" t="n"/>
      <c r="I834" s="4">
        <f>IFERROR(VLOOKUP($E834,ActionsCatalog!$A:$D,3,FALSE),0)</f>
        <v/>
      </c>
      <c r="J834" s="4">
        <f>IFERROR(VLOOKUP($E834,ActionsCatalog!$A:$D,4,FALSE),0)</f>
        <v/>
      </c>
      <c r="K834" s="4">
        <f>IF($M834&lt;&gt;"Yes",0,IF($H834="",0,$H834*$I834))</f>
        <v/>
      </c>
      <c r="L834" s="4">
        <f>IF($M834&lt;&gt;"Yes",0,IF($H834="",0,$H834*$J834))</f>
        <v/>
      </c>
      <c r="M834" s="4" t="n"/>
      <c r="N834" s="4" t="n"/>
      <c r="O834" s="4">
        <f>IF($A834="","",TEXT($A834,"yyyy")&amp;"-W"&amp;TEXT(ISOWEEKNUM($A834),"00"))</f>
        <v/>
      </c>
      <c r="P834" s="4" t="n"/>
      <c r="Q834" s="14">
        <f>IF($A834="","",TEXT($A834,"yyyy-mm"))</f>
        <v/>
      </c>
    </row>
    <row r="835">
      <c r="A835" s="66" t="n"/>
      <c r="B835" s="4" t="n"/>
      <c r="C835" s="11">
        <f>IFERROR(VLOOKUP($B835,Members!$A:$C,2,FALSE),"")</f>
        <v/>
      </c>
      <c r="D835" s="11">
        <f>IFERROR(VLOOKUP($B835,Members!$A:$C,3,FALSE),"")</f>
        <v/>
      </c>
      <c r="E835" s="11">
        <f>IF($F835="","",IFERROR(VLOOKUP($F835,ActionMap!$A:$B,2,FALSE),"INVALID ACTION"))</f>
        <v/>
      </c>
      <c r="F835" s="4" t="n"/>
      <c r="G835" s="11">
        <f>IFERROR(VLOOKUP($E835,ActionsCatalog!$A:$B,2,FALSE),"")</f>
        <v/>
      </c>
      <c r="H835" s="4" t="n"/>
      <c r="I835" s="4">
        <f>IFERROR(VLOOKUP($E835,ActionsCatalog!$A:$D,3,FALSE),0)</f>
        <v/>
      </c>
      <c r="J835" s="4">
        <f>IFERROR(VLOOKUP($E835,ActionsCatalog!$A:$D,4,FALSE),0)</f>
        <v/>
      </c>
      <c r="K835" s="4">
        <f>IF($M835&lt;&gt;"Yes",0,IF($H835="",0,$H835*$I835))</f>
        <v/>
      </c>
      <c r="L835" s="4">
        <f>IF($M835&lt;&gt;"Yes",0,IF($H835="",0,$H835*$J835))</f>
        <v/>
      </c>
      <c r="M835" s="4" t="n"/>
      <c r="N835" s="4" t="n"/>
      <c r="O835" s="4">
        <f>IF($A835="","",TEXT($A835,"yyyy")&amp;"-W"&amp;TEXT(ISOWEEKNUM($A835),"00"))</f>
        <v/>
      </c>
      <c r="P835" s="4" t="n"/>
      <c r="Q835" s="14">
        <f>IF($A835="","",TEXT($A835,"yyyy-mm"))</f>
        <v/>
      </c>
    </row>
    <row r="836">
      <c r="A836" s="66" t="n"/>
      <c r="B836" s="4" t="n"/>
      <c r="C836" s="11">
        <f>IFERROR(VLOOKUP($B836,Members!$A:$C,2,FALSE),"")</f>
        <v/>
      </c>
      <c r="D836" s="11">
        <f>IFERROR(VLOOKUP($B836,Members!$A:$C,3,FALSE),"")</f>
        <v/>
      </c>
      <c r="E836" s="11">
        <f>IF($F836="","",IFERROR(VLOOKUP($F836,ActionMap!$A:$B,2,FALSE),"INVALID ACTION"))</f>
        <v/>
      </c>
      <c r="F836" s="4" t="n"/>
      <c r="G836" s="11">
        <f>IFERROR(VLOOKUP($E836,ActionsCatalog!$A:$B,2,FALSE),"")</f>
        <v/>
      </c>
      <c r="H836" s="4" t="n"/>
      <c r="I836" s="4">
        <f>IFERROR(VLOOKUP($E836,ActionsCatalog!$A:$D,3,FALSE),0)</f>
        <v/>
      </c>
      <c r="J836" s="4">
        <f>IFERROR(VLOOKUP($E836,ActionsCatalog!$A:$D,4,FALSE),0)</f>
        <v/>
      </c>
      <c r="K836" s="4">
        <f>IF($M836&lt;&gt;"Yes",0,IF($H836="",0,$H836*$I836))</f>
        <v/>
      </c>
      <c r="L836" s="4">
        <f>IF($M836&lt;&gt;"Yes",0,IF($H836="",0,$H836*$J836))</f>
        <v/>
      </c>
      <c r="M836" s="4" t="n"/>
      <c r="N836" s="4" t="n"/>
      <c r="O836" s="4">
        <f>IF($A836="","",TEXT($A836,"yyyy")&amp;"-W"&amp;TEXT(ISOWEEKNUM($A836),"00"))</f>
        <v/>
      </c>
      <c r="P836" s="4" t="n"/>
      <c r="Q836" s="14">
        <f>IF($A836="","",TEXT($A836,"yyyy-mm"))</f>
        <v/>
      </c>
    </row>
    <row r="837">
      <c r="A837" s="66" t="n"/>
      <c r="B837" s="4" t="n"/>
      <c r="C837" s="11">
        <f>IFERROR(VLOOKUP($B837,Members!$A:$C,2,FALSE),"")</f>
        <v/>
      </c>
      <c r="D837" s="11">
        <f>IFERROR(VLOOKUP($B837,Members!$A:$C,3,FALSE),"")</f>
        <v/>
      </c>
      <c r="E837" s="11">
        <f>IF($F837="","",IFERROR(VLOOKUP($F837,ActionMap!$A:$B,2,FALSE),"INVALID ACTION"))</f>
        <v/>
      </c>
      <c r="F837" s="4" t="n"/>
      <c r="G837" s="11">
        <f>IFERROR(VLOOKUP($E837,ActionsCatalog!$A:$B,2,FALSE),"")</f>
        <v/>
      </c>
      <c r="H837" s="4" t="n"/>
      <c r="I837" s="4">
        <f>IFERROR(VLOOKUP($E837,ActionsCatalog!$A:$D,3,FALSE),0)</f>
        <v/>
      </c>
      <c r="J837" s="4">
        <f>IFERROR(VLOOKUP($E837,ActionsCatalog!$A:$D,4,FALSE),0)</f>
        <v/>
      </c>
      <c r="K837" s="4">
        <f>IF($M837&lt;&gt;"Yes",0,IF($H837="",0,$H837*$I837))</f>
        <v/>
      </c>
      <c r="L837" s="4">
        <f>IF($M837&lt;&gt;"Yes",0,IF($H837="",0,$H837*$J837))</f>
        <v/>
      </c>
      <c r="M837" s="4" t="n"/>
      <c r="N837" s="4" t="n"/>
      <c r="O837" s="4">
        <f>IF($A837="","",TEXT($A837,"yyyy")&amp;"-W"&amp;TEXT(ISOWEEKNUM($A837),"00"))</f>
        <v/>
      </c>
      <c r="P837" s="4" t="n"/>
      <c r="Q837" s="14">
        <f>IF($A837="","",TEXT($A837,"yyyy-mm"))</f>
        <v/>
      </c>
    </row>
    <row r="838">
      <c r="A838" s="66" t="n"/>
      <c r="B838" s="4" t="n"/>
      <c r="C838" s="11">
        <f>IFERROR(VLOOKUP($B838,Members!$A:$C,2,FALSE),"")</f>
        <v/>
      </c>
      <c r="D838" s="11">
        <f>IFERROR(VLOOKUP($B838,Members!$A:$C,3,FALSE),"")</f>
        <v/>
      </c>
      <c r="E838" s="11">
        <f>IF($F838="","",IFERROR(VLOOKUP($F838,ActionMap!$A:$B,2,FALSE),"INVALID ACTION"))</f>
        <v/>
      </c>
      <c r="F838" s="4" t="n"/>
      <c r="G838" s="11">
        <f>IFERROR(VLOOKUP($E838,ActionsCatalog!$A:$B,2,FALSE),"")</f>
        <v/>
      </c>
      <c r="H838" s="4" t="n"/>
      <c r="I838" s="4">
        <f>IFERROR(VLOOKUP($E838,ActionsCatalog!$A:$D,3,FALSE),0)</f>
        <v/>
      </c>
      <c r="J838" s="4">
        <f>IFERROR(VLOOKUP($E838,ActionsCatalog!$A:$D,4,FALSE),0)</f>
        <v/>
      </c>
      <c r="K838" s="4">
        <f>IF($M838&lt;&gt;"Yes",0,IF($H838="",0,$H838*$I838))</f>
        <v/>
      </c>
      <c r="L838" s="4">
        <f>IF($M838&lt;&gt;"Yes",0,IF($H838="",0,$H838*$J838))</f>
        <v/>
      </c>
      <c r="M838" s="4" t="n"/>
      <c r="N838" s="4" t="n"/>
      <c r="O838" s="4">
        <f>IF($A838="","",TEXT($A838,"yyyy")&amp;"-W"&amp;TEXT(ISOWEEKNUM($A838),"00"))</f>
        <v/>
      </c>
      <c r="P838" s="4" t="n"/>
      <c r="Q838" s="14">
        <f>IF($A838="","",TEXT($A838,"yyyy-mm"))</f>
        <v/>
      </c>
    </row>
    <row r="839">
      <c r="A839" s="66" t="n"/>
      <c r="B839" s="4" t="n"/>
      <c r="C839" s="11">
        <f>IFERROR(VLOOKUP($B839,Members!$A:$C,2,FALSE),"")</f>
        <v/>
      </c>
      <c r="D839" s="11">
        <f>IFERROR(VLOOKUP($B839,Members!$A:$C,3,FALSE),"")</f>
        <v/>
      </c>
      <c r="E839" s="11">
        <f>IF($F839="","",IFERROR(VLOOKUP($F839,ActionMap!$A:$B,2,FALSE),"INVALID ACTION"))</f>
        <v/>
      </c>
      <c r="F839" s="4" t="n"/>
      <c r="G839" s="11">
        <f>IFERROR(VLOOKUP($E839,ActionsCatalog!$A:$B,2,FALSE),"")</f>
        <v/>
      </c>
      <c r="H839" s="4" t="n"/>
      <c r="I839" s="4">
        <f>IFERROR(VLOOKUP($E839,ActionsCatalog!$A:$D,3,FALSE),0)</f>
        <v/>
      </c>
      <c r="J839" s="4">
        <f>IFERROR(VLOOKUP($E839,ActionsCatalog!$A:$D,4,FALSE),0)</f>
        <v/>
      </c>
      <c r="K839" s="4">
        <f>IF($M839&lt;&gt;"Yes",0,IF($H839="",0,$H839*$I839))</f>
        <v/>
      </c>
      <c r="L839" s="4">
        <f>IF($M839&lt;&gt;"Yes",0,IF($H839="",0,$H839*$J839))</f>
        <v/>
      </c>
      <c r="M839" s="4" t="n"/>
      <c r="N839" s="4" t="n"/>
      <c r="O839" s="4">
        <f>IF($A839="","",TEXT($A839,"yyyy")&amp;"-W"&amp;TEXT(ISOWEEKNUM($A839),"00"))</f>
        <v/>
      </c>
      <c r="P839" s="4" t="n"/>
      <c r="Q839" s="14">
        <f>IF($A839="","",TEXT($A839,"yyyy-mm"))</f>
        <v/>
      </c>
    </row>
    <row r="840">
      <c r="A840" s="66" t="n"/>
      <c r="B840" s="4" t="n"/>
      <c r="C840" s="11">
        <f>IFERROR(VLOOKUP($B840,Members!$A:$C,2,FALSE),"")</f>
        <v/>
      </c>
      <c r="D840" s="11">
        <f>IFERROR(VLOOKUP($B840,Members!$A:$C,3,FALSE),"")</f>
        <v/>
      </c>
      <c r="E840" s="11">
        <f>IF($F840="","",IFERROR(VLOOKUP($F840,ActionMap!$A:$B,2,FALSE),"INVALID ACTION"))</f>
        <v/>
      </c>
      <c r="F840" s="4" t="n"/>
      <c r="G840" s="11">
        <f>IFERROR(VLOOKUP($E840,ActionsCatalog!$A:$B,2,FALSE),"")</f>
        <v/>
      </c>
      <c r="H840" s="4" t="n"/>
      <c r="I840" s="4">
        <f>IFERROR(VLOOKUP($E840,ActionsCatalog!$A:$D,3,FALSE),0)</f>
        <v/>
      </c>
      <c r="J840" s="4">
        <f>IFERROR(VLOOKUP($E840,ActionsCatalog!$A:$D,4,FALSE),0)</f>
        <v/>
      </c>
      <c r="K840" s="4">
        <f>IF($M840&lt;&gt;"Yes",0,IF($H840="",0,$H840*$I840))</f>
        <v/>
      </c>
      <c r="L840" s="4">
        <f>IF($M840&lt;&gt;"Yes",0,IF($H840="",0,$H840*$J840))</f>
        <v/>
      </c>
      <c r="M840" s="4" t="n"/>
      <c r="N840" s="4" t="n"/>
      <c r="O840" s="4">
        <f>IF($A840="","",TEXT($A840,"yyyy")&amp;"-W"&amp;TEXT(ISOWEEKNUM($A840),"00"))</f>
        <v/>
      </c>
      <c r="P840" s="4" t="n"/>
      <c r="Q840" s="14">
        <f>IF($A840="","",TEXT($A840,"yyyy-mm"))</f>
        <v/>
      </c>
    </row>
    <row r="841">
      <c r="A841" s="66" t="n"/>
      <c r="B841" s="4" t="n"/>
      <c r="C841" s="11">
        <f>IFERROR(VLOOKUP($B841,Members!$A:$C,2,FALSE),"")</f>
        <v/>
      </c>
      <c r="D841" s="11">
        <f>IFERROR(VLOOKUP($B841,Members!$A:$C,3,FALSE),"")</f>
        <v/>
      </c>
      <c r="E841" s="11">
        <f>IF($F841="","",IFERROR(VLOOKUP($F841,ActionMap!$A:$B,2,FALSE),"INVALID ACTION"))</f>
        <v/>
      </c>
      <c r="F841" s="4" t="n"/>
      <c r="G841" s="11">
        <f>IFERROR(VLOOKUP($E841,ActionsCatalog!$A:$B,2,FALSE),"")</f>
        <v/>
      </c>
      <c r="H841" s="4" t="n"/>
      <c r="I841" s="4">
        <f>IFERROR(VLOOKUP($E841,ActionsCatalog!$A:$D,3,FALSE),0)</f>
        <v/>
      </c>
      <c r="J841" s="4">
        <f>IFERROR(VLOOKUP($E841,ActionsCatalog!$A:$D,4,FALSE),0)</f>
        <v/>
      </c>
      <c r="K841" s="4">
        <f>IF($M841&lt;&gt;"Yes",0,IF($H841="",0,$H841*$I841))</f>
        <v/>
      </c>
      <c r="L841" s="4">
        <f>IF($M841&lt;&gt;"Yes",0,IF($H841="",0,$H841*$J841))</f>
        <v/>
      </c>
      <c r="M841" s="4" t="n"/>
      <c r="N841" s="4" t="n"/>
      <c r="O841" s="4">
        <f>IF($A841="","",TEXT($A841,"yyyy")&amp;"-W"&amp;TEXT(ISOWEEKNUM($A841),"00"))</f>
        <v/>
      </c>
      <c r="P841" s="4" t="n"/>
      <c r="Q841" s="14">
        <f>IF($A841="","",TEXT($A841,"yyyy-mm"))</f>
        <v/>
      </c>
    </row>
    <row r="842">
      <c r="A842" s="66" t="n"/>
      <c r="B842" s="4" t="n"/>
      <c r="C842" s="11">
        <f>IFERROR(VLOOKUP($B842,Members!$A:$C,2,FALSE),"")</f>
        <v/>
      </c>
      <c r="D842" s="11">
        <f>IFERROR(VLOOKUP($B842,Members!$A:$C,3,FALSE),"")</f>
        <v/>
      </c>
      <c r="E842" s="11">
        <f>IF($F842="","",IFERROR(VLOOKUP($F842,ActionMap!$A:$B,2,FALSE),"INVALID ACTION"))</f>
        <v/>
      </c>
      <c r="F842" s="4" t="n"/>
      <c r="G842" s="11">
        <f>IFERROR(VLOOKUP($E842,ActionsCatalog!$A:$B,2,FALSE),"")</f>
        <v/>
      </c>
      <c r="H842" s="4" t="n"/>
      <c r="I842" s="4">
        <f>IFERROR(VLOOKUP($E842,ActionsCatalog!$A:$D,3,FALSE),0)</f>
        <v/>
      </c>
      <c r="J842" s="4">
        <f>IFERROR(VLOOKUP($E842,ActionsCatalog!$A:$D,4,FALSE),0)</f>
        <v/>
      </c>
      <c r="K842" s="4">
        <f>IF($M842&lt;&gt;"Yes",0,IF($H842="",0,$H842*$I842))</f>
        <v/>
      </c>
      <c r="L842" s="4">
        <f>IF($M842&lt;&gt;"Yes",0,IF($H842="",0,$H842*$J842))</f>
        <v/>
      </c>
      <c r="M842" s="4" t="n"/>
      <c r="N842" s="4" t="n"/>
      <c r="O842" s="4">
        <f>IF($A842="","",TEXT($A842,"yyyy")&amp;"-W"&amp;TEXT(ISOWEEKNUM($A842),"00"))</f>
        <v/>
      </c>
      <c r="P842" s="4" t="n"/>
      <c r="Q842" s="14">
        <f>IF($A842="","",TEXT($A842,"yyyy-mm"))</f>
        <v/>
      </c>
    </row>
    <row r="843">
      <c r="A843" s="66" t="n"/>
      <c r="B843" s="4" t="n"/>
      <c r="C843" s="11">
        <f>IFERROR(VLOOKUP($B843,Members!$A:$C,2,FALSE),"")</f>
        <v/>
      </c>
      <c r="D843" s="11">
        <f>IFERROR(VLOOKUP($B843,Members!$A:$C,3,FALSE),"")</f>
        <v/>
      </c>
      <c r="E843" s="11">
        <f>IF($F843="","",IFERROR(VLOOKUP($F843,ActionMap!$A:$B,2,FALSE),"INVALID ACTION"))</f>
        <v/>
      </c>
      <c r="F843" s="4" t="n"/>
      <c r="G843" s="11">
        <f>IFERROR(VLOOKUP($E843,ActionsCatalog!$A:$B,2,FALSE),"")</f>
        <v/>
      </c>
      <c r="H843" s="4" t="n"/>
      <c r="I843" s="4">
        <f>IFERROR(VLOOKUP($E843,ActionsCatalog!$A:$D,3,FALSE),0)</f>
        <v/>
      </c>
      <c r="J843" s="4">
        <f>IFERROR(VLOOKUP($E843,ActionsCatalog!$A:$D,4,FALSE),0)</f>
        <v/>
      </c>
      <c r="K843" s="4">
        <f>IF($M843&lt;&gt;"Yes",0,IF($H843="",0,$H843*$I843))</f>
        <v/>
      </c>
      <c r="L843" s="4">
        <f>IF($M843&lt;&gt;"Yes",0,IF($H843="",0,$H843*$J843))</f>
        <v/>
      </c>
      <c r="M843" s="4" t="n"/>
      <c r="N843" s="4" t="n"/>
      <c r="O843" s="4">
        <f>IF($A843="","",TEXT($A843,"yyyy")&amp;"-W"&amp;TEXT(ISOWEEKNUM($A843),"00"))</f>
        <v/>
      </c>
      <c r="P843" s="4" t="n"/>
      <c r="Q843" s="14">
        <f>IF($A843="","",TEXT($A843,"yyyy-mm"))</f>
        <v/>
      </c>
    </row>
    <row r="844">
      <c r="A844" s="66" t="n"/>
      <c r="B844" s="4" t="n"/>
      <c r="C844" s="11">
        <f>IFERROR(VLOOKUP($B844,Members!$A:$C,2,FALSE),"")</f>
        <v/>
      </c>
      <c r="D844" s="11">
        <f>IFERROR(VLOOKUP($B844,Members!$A:$C,3,FALSE),"")</f>
        <v/>
      </c>
      <c r="E844" s="11">
        <f>IF($F844="","",IFERROR(VLOOKUP($F844,ActionMap!$A:$B,2,FALSE),"INVALID ACTION"))</f>
        <v/>
      </c>
      <c r="F844" s="4" t="n"/>
      <c r="G844" s="11">
        <f>IFERROR(VLOOKUP($E844,ActionsCatalog!$A:$B,2,FALSE),"")</f>
        <v/>
      </c>
      <c r="H844" s="4" t="n"/>
      <c r="I844" s="4">
        <f>IFERROR(VLOOKUP($E844,ActionsCatalog!$A:$D,3,FALSE),0)</f>
        <v/>
      </c>
      <c r="J844" s="4">
        <f>IFERROR(VLOOKUP($E844,ActionsCatalog!$A:$D,4,FALSE),0)</f>
        <v/>
      </c>
      <c r="K844" s="4">
        <f>IF($M844&lt;&gt;"Yes",0,IF($H844="",0,$H844*$I844))</f>
        <v/>
      </c>
      <c r="L844" s="4">
        <f>IF($M844&lt;&gt;"Yes",0,IF($H844="",0,$H844*$J844))</f>
        <v/>
      </c>
      <c r="M844" s="4" t="n"/>
      <c r="N844" s="4" t="n"/>
      <c r="O844" s="4">
        <f>IF($A844="","",TEXT($A844,"yyyy")&amp;"-W"&amp;TEXT(ISOWEEKNUM($A844),"00"))</f>
        <v/>
      </c>
      <c r="P844" s="4" t="n"/>
      <c r="Q844" s="14">
        <f>IF($A844="","",TEXT($A844,"yyyy-mm"))</f>
        <v/>
      </c>
    </row>
    <row r="845">
      <c r="A845" s="66" t="n"/>
      <c r="B845" s="4" t="n"/>
      <c r="C845" s="11">
        <f>IFERROR(VLOOKUP($B845,Members!$A:$C,2,FALSE),"")</f>
        <v/>
      </c>
      <c r="D845" s="11">
        <f>IFERROR(VLOOKUP($B845,Members!$A:$C,3,FALSE),"")</f>
        <v/>
      </c>
      <c r="E845" s="11">
        <f>IF($F845="","",IFERROR(VLOOKUP($F845,ActionMap!$A:$B,2,FALSE),"INVALID ACTION"))</f>
        <v/>
      </c>
      <c r="F845" s="4" t="n"/>
      <c r="G845" s="11">
        <f>IFERROR(VLOOKUP($E845,ActionsCatalog!$A:$B,2,FALSE),"")</f>
        <v/>
      </c>
      <c r="H845" s="4" t="n"/>
      <c r="I845" s="4">
        <f>IFERROR(VLOOKUP($E845,ActionsCatalog!$A:$D,3,FALSE),0)</f>
        <v/>
      </c>
      <c r="J845" s="4">
        <f>IFERROR(VLOOKUP($E845,ActionsCatalog!$A:$D,4,FALSE),0)</f>
        <v/>
      </c>
      <c r="K845" s="4">
        <f>IF($M845&lt;&gt;"Yes",0,IF($H845="",0,$H845*$I845))</f>
        <v/>
      </c>
      <c r="L845" s="4">
        <f>IF($M845&lt;&gt;"Yes",0,IF($H845="",0,$H845*$J845))</f>
        <v/>
      </c>
      <c r="M845" s="4" t="n"/>
      <c r="N845" s="4" t="n"/>
      <c r="O845" s="4">
        <f>IF($A845="","",TEXT($A845,"yyyy")&amp;"-W"&amp;TEXT(ISOWEEKNUM($A845),"00"))</f>
        <v/>
      </c>
      <c r="P845" s="4" t="n"/>
      <c r="Q845" s="14">
        <f>IF($A845="","",TEXT($A845,"yyyy-mm"))</f>
        <v/>
      </c>
    </row>
    <row r="846">
      <c r="A846" s="66" t="n"/>
      <c r="B846" s="4" t="n"/>
      <c r="C846" s="11">
        <f>IFERROR(VLOOKUP($B846,Members!$A:$C,2,FALSE),"")</f>
        <v/>
      </c>
      <c r="D846" s="11">
        <f>IFERROR(VLOOKUP($B846,Members!$A:$C,3,FALSE),"")</f>
        <v/>
      </c>
      <c r="E846" s="11">
        <f>IF($F846="","",IFERROR(VLOOKUP($F846,ActionMap!$A:$B,2,FALSE),"INVALID ACTION"))</f>
        <v/>
      </c>
      <c r="F846" s="4" t="n"/>
      <c r="G846" s="11">
        <f>IFERROR(VLOOKUP($E846,ActionsCatalog!$A:$B,2,FALSE),"")</f>
        <v/>
      </c>
      <c r="H846" s="4" t="n"/>
      <c r="I846" s="4">
        <f>IFERROR(VLOOKUP($E846,ActionsCatalog!$A:$D,3,FALSE),0)</f>
        <v/>
      </c>
      <c r="J846" s="4">
        <f>IFERROR(VLOOKUP($E846,ActionsCatalog!$A:$D,4,FALSE),0)</f>
        <v/>
      </c>
      <c r="K846" s="4">
        <f>IF($M846&lt;&gt;"Yes",0,IF($H846="",0,$H846*$I846))</f>
        <v/>
      </c>
      <c r="L846" s="4">
        <f>IF($M846&lt;&gt;"Yes",0,IF($H846="",0,$H846*$J846))</f>
        <v/>
      </c>
      <c r="M846" s="4" t="n"/>
      <c r="N846" s="4" t="n"/>
      <c r="O846" s="4">
        <f>IF($A846="","",TEXT($A846,"yyyy")&amp;"-W"&amp;TEXT(ISOWEEKNUM($A846),"00"))</f>
        <v/>
      </c>
      <c r="P846" s="4" t="n"/>
      <c r="Q846" s="14">
        <f>IF($A846="","",TEXT($A846,"yyyy-mm"))</f>
        <v/>
      </c>
    </row>
    <row r="847">
      <c r="A847" s="66" t="n"/>
      <c r="B847" s="4" t="n"/>
      <c r="C847" s="11">
        <f>IFERROR(VLOOKUP($B847,Members!$A:$C,2,FALSE),"")</f>
        <v/>
      </c>
      <c r="D847" s="11">
        <f>IFERROR(VLOOKUP($B847,Members!$A:$C,3,FALSE),"")</f>
        <v/>
      </c>
      <c r="E847" s="11">
        <f>IF($F847="","",IFERROR(VLOOKUP($F847,ActionMap!$A:$B,2,FALSE),"INVALID ACTION"))</f>
        <v/>
      </c>
      <c r="F847" s="4" t="n"/>
      <c r="G847" s="11">
        <f>IFERROR(VLOOKUP($E847,ActionsCatalog!$A:$B,2,FALSE),"")</f>
        <v/>
      </c>
      <c r="H847" s="4" t="n"/>
      <c r="I847" s="4">
        <f>IFERROR(VLOOKUP($E847,ActionsCatalog!$A:$D,3,FALSE),0)</f>
        <v/>
      </c>
      <c r="J847" s="4">
        <f>IFERROR(VLOOKUP($E847,ActionsCatalog!$A:$D,4,FALSE),0)</f>
        <v/>
      </c>
      <c r="K847" s="4">
        <f>IF($M847&lt;&gt;"Yes",0,IF($H847="",0,$H847*$I847))</f>
        <v/>
      </c>
      <c r="L847" s="4">
        <f>IF($M847&lt;&gt;"Yes",0,IF($H847="",0,$H847*$J847))</f>
        <v/>
      </c>
      <c r="M847" s="4" t="n"/>
      <c r="N847" s="4" t="n"/>
      <c r="O847" s="4">
        <f>IF($A847="","",TEXT($A847,"yyyy")&amp;"-W"&amp;TEXT(ISOWEEKNUM($A847),"00"))</f>
        <v/>
      </c>
      <c r="P847" s="4" t="n"/>
      <c r="Q847" s="14">
        <f>IF($A847="","",TEXT($A847,"yyyy-mm"))</f>
        <v/>
      </c>
    </row>
    <row r="848">
      <c r="A848" s="66" t="n"/>
      <c r="B848" s="4" t="n"/>
      <c r="C848" s="11">
        <f>IFERROR(VLOOKUP($B848,Members!$A:$C,2,FALSE),"")</f>
        <v/>
      </c>
      <c r="D848" s="11">
        <f>IFERROR(VLOOKUP($B848,Members!$A:$C,3,FALSE),"")</f>
        <v/>
      </c>
      <c r="E848" s="11">
        <f>IF($F848="","",IFERROR(VLOOKUP($F848,ActionMap!$A:$B,2,FALSE),"INVALID ACTION"))</f>
        <v/>
      </c>
      <c r="F848" s="4" t="n"/>
      <c r="G848" s="11">
        <f>IFERROR(VLOOKUP($E848,ActionsCatalog!$A:$B,2,FALSE),"")</f>
        <v/>
      </c>
      <c r="H848" s="4" t="n"/>
      <c r="I848" s="4">
        <f>IFERROR(VLOOKUP($E848,ActionsCatalog!$A:$D,3,FALSE),0)</f>
        <v/>
      </c>
      <c r="J848" s="4">
        <f>IFERROR(VLOOKUP($E848,ActionsCatalog!$A:$D,4,FALSE),0)</f>
        <v/>
      </c>
      <c r="K848" s="4">
        <f>IF($M848&lt;&gt;"Yes",0,IF($H848="",0,$H848*$I848))</f>
        <v/>
      </c>
      <c r="L848" s="4">
        <f>IF($M848&lt;&gt;"Yes",0,IF($H848="",0,$H848*$J848))</f>
        <v/>
      </c>
      <c r="M848" s="4" t="n"/>
      <c r="N848" s="4" t="n"/>
      <c r="O848" s="4">
        <f>IF($A848="","",TEXT($A848,"yyyy")&amp;"-W"&amp;TEXT(ISOWEEKNUM($A848),"00"))</f>
        <v/>
      </c>
      <c r="P848" s="4" t="n"/>
      <c r="Q848" s="14">
        <f>IF($A848="","",TEXT($A848,"yyyy-mm"))</f>
        <v/>
      </c>
    </row>
    <row r="849">
      <c r="A849" s="66" t="n"/>
      <c r="B849" s="4" t="n"/>
      <c r="C849" s="11">
        <f>IFERROR(VLOOKUP($B849,Members!$A:$C,2,FALSE),"")</f>
        <v/>
      </c>
      <c r="D849" s="11">
        <f>IFERROR(VLOOKUP($B849,Members!$A:$C,3,FALSE),"")</f>
        <v/>
      </c>
      <c r="E849" s="11">
        <f>IF($F849="","",IFERROR(VLOOKUP($F849,ActionMap!$A:$B,2,FALSE),"INVALID ACTION"))</f>
        <v/>
      </c>
      <c r="F849" s="4" t="n"/>
      <c r="G849" s="11">
        <f>IFERROR(VLOOKUP($E849,ActionsCatalog!$A:$B,2,FALSE),"")</f>
        <v/>
      </c>
      <c r="H849" s="4" t="n"/>
      <c r="I849" s="4">
        <f>IFERROR(VLOOKUP($E849,ActionsCatalog!$A:$D,3,FALSE),0)</f>
        <v/>
      </c>
      <c r="J849" s="4">
        <f>IFERROR(VLOOKUP($E849,ActionsCatalog!$A:$D,4,FALSE),0)</f>
        <v/>
      </c>
      <c r="K849" s="4">
        <f>IF($M849&lt;&gt;"Yes",0,IF($H849="",0,$H849*$I849))</f>
        <v/>
      </c>
      <c r="L849" s="4">
        <f>IF($M849&lt;&gt;"Yes",0,IF($H849="",0,$H849*$J849))</f>
        <v/>
      </c>
      <c r="M849" s="4" t="n"/>
      <c r="N849" s="4" t="n"/>
      <c r="O849" s="4">
        <f>IF($A849="","",TEXT($A849,"yyyy")&amp;"-W"&amp;TEXT(ISOWEEKNUM($A849),"00"))</f>
        <v/>
      </c>
      <c r="P849" s="4" t="n"/>
      <c r="Q849" s="14">
        <f>IF($A849="","",TEXT($A849,"yyyy-mm"))</f>
        <v/>
      </c>
    </row>
    <row r="850">
      <c r="A850" s="66" t="n"/>
      <c r="B850" s="4" t="n"/>
      <c r="C850" s="11">
        <f>IFERROR(VLOOKUP($B850,Members!$A:$C,2,FALSE),"")</f>
        <v/>
      </c>
      <c r="D850" s="11">
        <f>IFERROR(VLOOKUP($B850,Members!$A:$C,3,FALSE),"")</f>
        <v/>
      </c>
      <c r="E850" s="11">
        <f>IF($F850="","",IFERROR(VLOOKUP($F850,ActionMap!$A:$B,2,FALSE),"INVALID ACTION"))</f>
        <v/>
      </c>
      <c r="F850" s="4" t="n"/>
      <c r="G850" s="11">
        <f>IFERROR(VLOOKUP($E850,ActionsCatalog!$A:$B,2,FALSE),"")</f>
        <v/>
      </c>
      <c r="H850" s="4" t="n"/>
      <c r="I850" s="4">
        <f>IFERROR(VLOOKUP($E850,ActionsCatalog!$A:$D,3,FALSE),0)</f>
        <v/>
      </c>
      <c r="J850" s="4">
        <f>IFERROR(VLOOKUP($E850,ActionsCatalog!$A:$D,4,FALSE),0)</f>
        <v/>
      </c>
      <c r="K850" s="4">
        <f>IF($M850&lt;&gt;"Yes",0,IF($H850="",0,$H850*$I850))</f>
        <v/>
      </c>
      <c r="L850" s="4">
        <f>IF($M850&lt;&gt;"Yes",0,IF($H850="",0,$H850*$J850))</f>
        <v/>
      </c>
      <c r="M850" s="4" t="n"/>
      <c r="N850" s="4" t="n"/>
      <c r="O850" s="4">
        <f>IF($A850="","",TEXT($A850,"yyyy")&amp;"-W"&amp;TEXT(ISOWEEKNUM($A850),"00"))</f>
        <v/>
      </c>
      <c r="P850" s="4" t="n"/>
      <c r="Q850" s="14">
        <f>IF($A850="","",TEXT($A850,"yyyy-mm"))</f>
        <v/>
      </c>
    </row>
    <row r="851">
      <c r="A851" s="66" t="n"/>
      <c r="B851" s="4" t="n"/>
      <c r="C851" s="11">
        <f>IFERROR(VLOOKUP($B851,Members!$A:$C,2,FALSE),"")</f>
        <v/>
      </c>
      <c r="D851" s="11">
        <f>IFERROR(VLOOKUP($B851,Members!$A:$C,3,FALSE),"")</f>
        <v/>
      </c>
      <c r="E851" s="11">
        <f>IF($F851="","",IFERROR(VLOOKUP($F851,ActionMap!$A:$B,2,FALSE),"INVALID ACTION"))</f>
        <v/>
      </c>
      <c r="F851" s="4" t="n"/>
      <c r="G851" s="11">
        <f>IFERROR(VLOOKUP($E851,ActionsCatalog!$A:$B,2,FALSE),"")</f>
        <v/>
      </c>
      <c r="H851" s="4" t="n"/>
      <c r="I851" s="4">
        <f>IFERROR(VLOOKUP($E851,ActionsCatalog!$A:$D,3,FALSE),0)</f>
        <v/>
      </c>
      <c r="J851" s="4">
        <f>IFERROR(VLOOKUP($E851,ActionsCatalog!$A:$D,4,FALSE),0)</f>
        <v/>
      </c>
      <c r="K851" s="4">
        <f>IF($M851&lt;&gt;"Yes",0,IF($H851="",0,$H851*$I851))</f>
        <v/>
      </c>
      <c r="L851" s="4">
        <f>IF($M851&lt;&gt;"Yes",0,IF($H851="",0,$H851*$J851))</f>
        <v/>
      </c>
      <c r="M851" s="4" t="n"/>
      <c r="N851" s="4" t="n"/>
      <c r="O851" s="4">
        <f>IF($A851="","",TEXT($A851,"yyyy")&amp;"-W"&amp;TEXT(ISOWEEKNUM($A851),"00"))</f>
        <v/>
      </c>
      <c r="P851" s="4" t="n"/>
      <c r="Q851" s="14">
        <f>IF($A851="","",TEXT($A851,"yyyy-mm"))</f>
        <v/>
      </c>
    </row>
    <row r="852">
      <c r="A852" s="66" t="n"/>
      <c r="B852" s="4" t="n"/>
      <c r="C852" s="11">
        <f>IFERROR(VLOOKUP($B852,Members!$A:$C,2,FALSE),"")</f>
        <v/>
      </c>
      <c r="D852" s="11">
        <f>IFERROR(VLOOKUP($B852,Members!$A:$C,3,FALSE),"")</f>
        <v/>
      </c>
      <c r="E852" s="11">
        <f>IF($F852="","",IFERROR(VLOOKUP($F852,ActionMap!$A:$B,2,FALSE),"INVALID ACTION"))</f>
        <v/>
      </c>
      <c r="F852" s="4" t="n"/>
      <c r="G852" s="11">
        <f>IFERROR(VLOOKUP($E852,ActionsCatalog!$A:$B,2,FALSE),"")</f>
        <v/>
      </c>
      <c r="H852" s="4" t="n"/>
      <c r="I852" s="4">
        <f>IFERROR(VLOOKUP($E852,ActionsCatalog!$A:$D,3,FALSE),0)</f>
        <v/>
      </c>
      <c r="J852" s="4">
        <f>IFERROR(VLOOKUP($E852,ActionsCatalog!$A:$D,4,FALSE),0)</f>
        <v/>
      </c>
      <c r="K852" s="4">
        <f>IF($M852&lt;&gt;"Yes",0,IF($H852="",0,$H852*$I852))</f>
        <v/>
      </c>
      <c r="L852" s="4">
        <f>IF($M852&lt;&gt;"Yes",0,IF($H852="",0,$H852*$J852))</f>
        <v/>
      </c>
      <c r="M852" s="4" t="n"/>
      <c r="N852" s="4" t="n"/>
      <c r="O852" s="4">
        <f>IF($A852="","",TEXT($A852,"yyyy")&amp;"-W"&amp;TEXT(ISOWEEKNUM($A852),"00"))</f>
        <v/>
      </c>
      <c r="P852" s="4" t="n"/>
      <c r="Q852" s="14">
        <f>IF($A852="","",TEXT($A852,"yyyy-mm"))</f>
        <v/>
      </c>
    </row>
    <row r="853">
      <c r="A853" s="66" t="n"/>
      <c r="B853" s="4" t="n"/>
      <c r="C853" s="11">
        <f>IFERROR(VLOOKUP($B853,Members!$A:$C,2,FALSE),"")</f>
        <v/>
      </c>
      <c r="D853" s="11">
        <f>IFERROR(VLOOKUP($B853,Members!$A:$C,3,FALSE),"")</f>
        <v/>
      </c>
      <c r="E853" s="11">
        <f>IF($F853="","",IFERROR(VLOOKUP($F853,ActionMap!$A:$B,2,FALSE),"INVALID ACTION"))</f>
        <v/>
      </c>
      <c r="F853" s="4" t="n"/>
      <c r="G853" s="11">
        <f>IFERROR(VLOOKUP($E853,ActionsCatalog!$A:$B,2,FALSE),"")</f>
        <v/>
      </c>
      <c r="H853" s="4" t="n"/>
      <c r="I853" s="4">
        <f>IFERROR(VLOOKUP($E853,ActionsCatalog!$A:$D,3,FALSE),0)</f>
        <v/>
      </c>
      <c r="J853" s="4">
        <f>IFERROR(VLOOKUP($E853,ActionsCatalog!$A:$D,4,FALSE),0)</f>
        <v/>
      </c>
      <c r="K853" s="4">
        <f>IF($M853&lt;&gt;"Yes",0,IF($H853="",0,$H853*$I853))</f>
        <v/>
      </c>
      <c r="L853" s="4">
        <f>IF($M853&lt;&gt;"Yes",0,IF($H853="",0,$H853*$J853))</f>
        <v/>
      </c>
      <c r="M853" s="4" t="n"/>
      <c r="N853" s="4" t="n"/>
      <c r="O853" s="4">
        <f>IF($A853="","",TEXT($A853,"yyyy")&amp;"-W"&amp;TEXT(ISOWEEKNUM($A853),"00"))</f>
        <v/>
      </c>
      <c r="P853" s="4" t="n"/>
      <c r="Q853" s="14">
        <f>IF($A853="","",TEXT($A853,"yyyy-mm"))</f>
        <v/>
      </c>
    </row>
    <row r="854">
      <c r="A854" s="66" t="n"/>
      <c r="B854" s="4" t="n"/>
      <c r="C854" s="11">
        <f>IFERROR(VLOOKUP($B854,Members!$A:$C,2,FALSE),"")</f>
        <v/>
      </c>
      <c r="D854" s="11">
        <f>IFERROR(VLOOKUP($B854,Members!$A:$C,3,FALSE),"")</f>
        <v/>
      </c>
      <c r="E854" s="11">
        <f>IF($F854="","",IFERROR(VLOOKUP($F854,ActionMap!$A:$B,2,FALSE),"INVALID ACTION"))</f>
        <v/>
      </c>
      <c r="F854" s="4" t="n"/>
      <c r="G854" s="11">
        <f>IFERROR(VLOOKUP($E854,ActionsCatalog!$A:$B,2,FALSE),"")</f>
        <v/>
      </c>
      <c r="H854" s="4" t="n"/>
      <c r="I854" s="4">
        <f>IFERROR(VLOOKUP($E854,ActionsCatalog!$A:$D,3,FALSE),0)</f>
        <v/>
      </c>
      <c r="J854" s="4">
        <f>IFERROR(VLOOKUP($E854,ActionsCatalog!$A:$D,4,FALSE),0)</f>
        <v/>
      </c>
      <c r="K854" s="4">
        <f>IF($M854&lt;&gt;"Yes",0,IF($H854="",0,$H854*$I854))</f>
        <v/>
      </c>
      <c r="L854" s="4">
        <f>IF($M854&lt;&gt;"Yes",0,IF($H854="",0,$H854*$J854))</f>
        <v/>
      </c>
      <c r="M854" s="4" t="n"/>
      <c r="N854" s="4" t="n"/>
      <c r="O854" s="4">
        <f>IF($A854="","",TEXT($A854,"yyyy")&amp;"-W"&amp;TEXT(ISOWEEKNUM($A854),"00"))</f>
        <v/>
      </c>
      <c r="P854" s="4" t="n"/>
      <c r="Q854" s="14">
        <f>IF($A854="","",TEXT($A854,"yyyy-mm"))</f>
        <v/>
      </c>
    </row>
    <row r="855">
      <c r="A855" s="66" t="n"/>
      <c r="B855" s="4" t="n"/>
      <c r="C855" s="11">
        <f>IFERROR(VLOOKUP($B855,Members!$A:$C,2,FALSE),"")</f>
        <v/>
      </c>
      <c r="D855" s="11">
        <f>IFERROR(VLOOKUP($B855,Members!$A:$C,3,FALSE),"")</f>
        <v/>
      </c>
      <c r="E855" s="11">
        <f>IF($F855="","",IFERROR(VLOOKUP($F855,ActionMap!$A:$B,2,FALSE),"INVALID ACTION"))</f>
        <v/>
      </c>
      <c r="F855" s="4" t="n"/>
      <c r="G855" s="11">
        <f>IFERROR(VLOOKUP($E855,ActionsCatalog!$A:$B,2,FALSE),"")</f>
        <v/>
      </c>
      <c r="H855" s="4" t="n"/>
      <c r="I855" s="4">
        <f>IFERROR(VLOOKUP($E855,ActionsCatalog!$A:$D,3,FALSE),0)</f>
        <v/>
      </c>
      <c r="J855" s="4">
        <f>IFERROR(VLOOKUP($E855,ActionsCatalog!$A:$D,4,FALSE),0)</f>
        <v/>
      </c>
      <c r="K855" s="4">
        <f>IF($M855&lt;&gt;"Yes",0,IF($H855="",0,$H855*$I855))</f>
        <v/>
      </c>
      <c r="L855" s="4">
        <f>IF($M855&lt;&gt;"Yes",0,IF($H855="",0,$H855*$J855))</f>
        <v/>
      </c>
      <c r="M855" s="4" t="n"/>
      <c r="N855" s="4" t="n"/>
      <c r="O855" s="4">
        <f>IF($A855="","",TEXT($A855,"yyyy")&amp;"-W"&amp;TEXT(ISOWEEKNUM($A855),"00"))</f>
        <v/>
      </c>
      <c r="P855" s="4" t="n"/>
      <c r="Q855" s="14">
        <f>IF($A855="","",TEXT($A855,"yyyy-mm"))</f>
        <v/>
      </c>
    </row>
    <row r="856">
      <c r="A856" s="66" t="n"/>
      <c r="B856" s="4" t="n"/>
      <c r="C856" s="11">
        <f>IFERROR(VLOOKUP($B856,Members!$A:$C,2,FALSE),"")</f>
        <v/>
      </c>
      <c r="D856" s="11">
        <f>IFERROR(VLOOKUP($B856,Members!$A:$C,3,FALSE),"")</f>
        <v/>
      </c>
      <c r="E856" s="11">
        <f>IF($F856="","",IFERROR(VLOOKUP($F856,ActionMap!$A:$B,2,FALSE),"INVALID ACTION"))</f>
        <v/>
      </c>
      <c r="F856" s="4" t="n"/>
      <c r="G856" s="11">
        <f>IFERROR(VLOOKUP($E856,ActionsCatalog!$A:$B,2,FALSE),"")</f>
        <v/>
      </c>
      <c r="H856" s="4" t="n"/>
      <c r="I856" s="4">
        <f>IFERROR(VLOOKUP($E856,ActionsCatalog!$A:$D,3,FALSE),0)</f>
        <v/>
      </c>
      <c r="J856" s="4">
        <f>IFERROR(VLOOKUP($E856,ActionsCatalog!$A:$D,4,FALSE),0)</f>
        <v/>
      </c>
      <c r="K856" s="4">
        <f>IF($M856&lt;&gt;"Yes",0,IF($H856="",0,$H856*$I856))</f>
        <v/>
      </c>
      <c r="L856" s="4">
        <f>IF($M856&lt;&gt;"Yes",0,IF($H856="",0,$H856*$J856))</f>
        <v/>
      </c>
      <c r="M856" s="4" t="n"/>
      <c r="N856" s="4" t="n"/>
      <c r="O856" s="4">
        <f>IF($A856="","",TEXT($A856,"yyyy")&amp;"-W"&amp;TEXT(ISOWEEKNUM($A856),"00"))</f>
        <v/>
      </c>
      <c r="P856" s="4" t="n"/>
      <c r="Q856" s="14">
        <f>IF($A856="","",TEXT($A856,"yyyy-mm"))</f>
        <v/>
      </c>
    </row>
    <row r="857">
      <c r="A857" s="66" t="n"/>
      <c r="B857" s="4" t="n"/>
      <c r="C857" s="11">
        <f>IFERROR(VLOOKUP($B857,Members!$A:$C,2,FALSE),"")</f>
        <v/>
      </c>
      <c r="D857" s="11">
        <f>IFERROR(VLOOKUP($B857,Members!$A:$C,3,FALSE),"")</f>
        <v/>
      </c>
      <c r="E857" s="11">
        <f>IF($F857="","",IFERROR(VLOOKUP($F857,ActionMap!$A:$B,2,FALSE),"INVALID ACTION"))</f>
        <v/>
      </c>
      <c r="F857" s="4" t="n"/>
      <c r="G857" s="11">
        <f>IFERROR(VLOOKUP($E857,ActionsCatalog!$A:$B,2,FALSE),"")</f>
        <v/>
      </c>
      <c r="H857" s="4" t="n"/>
      <c r="I857" s="4">
        <f>IFERROR(VLOOKUP($E857,ActionsCatalog!$A:$D,3,FALSE),0)</f>
        <v/>
      </c>
      <c r="J857" s="4">
        <f>IFERROR(VLOOKUP($E857,ActionsCatalog!$A:$D,4,FALSE),0)</f>
        <v/>
      </c>
      <c r="K857" s="4">
        <f>IF($M857&lt;&gt;"Yes",0,IF($H857="",0,$H857*$I857))</f>
        <v/>
      </c>
      <c r="L857" s="4">
        <f>IF($M857&lt;&gt;"Yes",0,IF($H857="",0,$H857*$J857))</f>
        <v/>
      </c>
      <c r="M857" s="4" t="n"/>
      <c r="N857" s="4" t="n"/>
      <c r="O857" s="4">
        <f>IF($A857="","",TEXT($A857,"yyyy")&amp;"-W"&amp;TEXT(ISOWEEKNUM($A857),"00"))</f>
        <v/>
      </c>
      <c r="P857" s="4" t="n"/>
      <c r="Q857" s="14">
        <f>IF($A857="","",TEXT($A857,"yyyy-mm"))</f>
        <v/>
      </c>
    </row>
    <row r="858">
      <c r="A858" s="66" t="n"/>
      <c r="B858" s="4" t="n"/>
      <c r="C858" s="11">
        <f>IFERROR(VLOOKUP($B858,Members!$A:$C,2,FALSE),"")</f>
        <v/>
      </c>
      <c r="D858" s="11">
        <f>IFERROR(VLOOKUP($B858,Members!$A:$C,3,FALSE),"")</f>
        <v/>
      </c>
      <c r="E858" s="11">
        <f>IF($F858="","",IFERROR(VLOOKUP($F858,ActionMap!$A:$B,2,FALSE),"INVALID ACTION"))</f>
        <v/>
      </c>
      <c r="F858" s="4" t="n"/>
      <c r="G858" s="11">
        <f>IFERROR(VLOOKUP($E858,ActionsCatalog!$A:$B,2,FALSE),"")</f>
        <v/>
      </c>
      <c r="H858" s="4" t="n"/>
      <c r="I858" s="4">
        <f>IFERROR(VLOOKUP($E858,ActionsCatalog!$A:$D,3,FALSE),0)</f>
        <v/>
      </c>
      <c r="J858" s="4">
        <f>IFERROR(VLOOKUP($E858,ActionsCatalog!$A:$D,4,FALSE),0)</f>
        <v/>
      </c>
      <c r="K858" s="4">
        <f>IF($M858&lt;&gt;"Yes",0,IF($H858="",0,$H858*$I858))</f>
        <v/>
      </c>
      <c r="L858" s="4">
        <f>IF($M858&lt;&gt;"Yes",0,IF($H858="",0,$H858*$J858))</f>
        <v/>
      </c>
      <c r="M858" s="4" t="n"/>
      <c r="N858" s="4" t="n"/>
      <c r="O858" s="4">
        <f>IF($A858="","",TEXT($A858,"yyyy")&amp;"-W"&amp;TEXT(ISOWEEKNUM($A858),"00"))</f>
        <v/>
      </c>
      <c r="P858" s="4" t="n"/>
      <c r="Q858" s="14">
        <f>IF($A858="","",TEXT($A858,"yyyy-mm"))</f>
        <v/>
      </c>
    </row>
    <row r="859">
      <c r="A859" s="66" t="n"/>
      <c r="B859" s="4" t="n"/>
      <c r="C859" s="11">
        <f>IFERROR(VLOOKUP($B859,Members!$A:$C,2,FALSE),"")</f>
        <v/>
      </c>
      <c r="D859" s="11">
        <f>IFERROR(VLOOKUP($B859,Members!$A:$C,3,FALSE),"")</f>
        <v/>
      </c>
      <c r="E859" s="11">
        <f>IF($F859="","",IFERROR(VLOOKUP($F859,ActionMap!$A:$B,2,FALSE),"INVALID ACTION"))</f>
        <v/>
      </c>
      <c r="F859" s="4" t="n"/>
      <c r="G859" s="11">
        <f>IFERROR(VLOOKUP($E859,ActionsCatalog!$A:$B,2,FALSE),"")</f>
        <v/>
      </c>
      <c r="H859" s="4" t="n"/>
      <c r="I859" s="4">
        <f>IFERROR(VLOOKUP($E859,ActionsCatalog!$A:$D,3,FALSE),0)</f>
        <v/>
      </c>
      <c r="J859" s="4">
        <f>IFERROR(VLOOKUP($E859,ActionsCatalog!$A:$D,4,FALSE),0)</f>
        <v/>
      </c>
      <c r="K859" s="4">
        <f>IF($M859&lt;&gt;"Yes",0,IF($H859="",0,$H859*$I859))</f>
        <v/>
      </c>
      <c r="L859" s="4">
        <f>IF($M859&lt;&gt;"Yes",0,IF($H859="",0,$H859*$J859))</f>
        <v/>
      </c>
      <c r="M859" s="4" t="n"/>
      <c r="N859" s="4" t="n"/>
      <c r="O859" s="4">
        <f>IF($A859="","",TEXT($A859,"yyyy")&amp;"-W"&amp;TEXT(ISOWEEKNUM($A859),"00"))</f>
        <v/>
      </c>
      <c r="P859" s="4" t="n"/>
      <c r="Q859" s="14">
        <f>IF($A859="","",TEXT($A859,"yyyy-mm"))</f>
        <v/>
      </c>
    </row>
    <row r="860">
      <c r="A860" s="66" t="n"/>
      <c r="B860" s="4" t="n"/>
      <c r="C860" s="11">
        <f>IFERROR(VLOOKUP($B860,Members!$A:$C,2,FALSE),"")</f>
        <v/>
      </c>
      <c r="D860" s="11">
        <f>IFERROR(VLOOKUP($B860,Members!$A:$C,3,FALSE),"")</f>
        <v/>
      </c>
      <c r="E860" s="11">
        <f>IF($F860="","",IFERROR(VLOOKUP($F860,ActionMap!$A:$B,2,FALSE),"INVALID ACTION"))</f>
        <v/>
      </c>
      <c r="F860" s="4" t="n"/>
      <c r="G860" s="11">
        <f>IFERROR(VLOOKUP($E860,ActionsCatalog!$A:$B,2,FALSE),"")</f>
        <v/>
      </c>
      <c r="H860" s="4" t="n"/>
      <c r="I860" s="4">
        <f>IFERROR(VLOOKUP($E860,ActionsCatalog!$A:$D,3,FALSE),0)</f>
        <v/>
      </c>
      <c r="J860" s="4">
        <f>IFERROR(VLOOKUP($E860,ActionsCatalog!$A:$D,4,FALSE),0)</f>
        <v/>
      </c>
      <c r="K860" s="4">
        <f>IF($M860&lt;&gt;"Yes",0,IF($H860="",0,$H860*$I860))</f>
        <v/>
      </c>
      <c r="L860" s="4">
        <f>IF($M860&lt;&gt;"Yes",0,IF($H860="",0,$H860*$J860))</f>
        <v/>
      </c>
      <c r="M860" s="4" t="n"/>
      <c r="N860" s="4" t="n"/>
      <c r="O860" s="4">
        <f>IF($A860="","",TEXT($A860,"yyyy")&amp;"-W"&amp;TEXT(ISOWEEKNUM($A860),"00"))</f>
        <v/>
      </c>
      <c r="P860" s="4" t="n"/>
      <c r="Q860" s="14">
        <f>IF($A860="","",TEXT($A860,"yyyy-mm"))</f>
        <v/>
      </c>
    </row>
    <row r="861">
      <c r="A861" s="66" t="n"/>
      <c r="B861" s="4" t="n"/>
      <c r="C861" s="11">
        <f>IFERROR(VLOOKUP($B861,Members!$A:$C,2,FALSE),"")</f>
        <v/>
      </c>
      <c r="D861" s="11">
        <f>IFERROR(VLOOKUP($B861,Members!$A:$C,3,FALSE),"")</f>
        <v/>
      </c>
      <c r="E861" s="11">
        <f>IF($F861="","",IFERROR(VLOOKUP($F861,ActionMap!$A:$B,2,FALSE),"INVALID ACTION"))</f>
        <v/>
      </c>
      <c r="F861" s="4" t="n"/>
      <c r="G861" s="11">
        <f>IFERROR(VLOOKUP($E861,ActionsCatalog!$A:$B,2,FALSE),"")</f>
        <v/>
      </c>
      <c r="H861" s="4" t="n"/>
      <c r="I861" s="4">
        <f>IFERROR(VLOOKUP($E861,ActionsCatalog!$A:$D,3,FALSE),0)</f>
        <v/>
      </c>
      <c r="J861" s="4">
        <f>IFERROR(VLOOKUP($E861,ActionsCatalog!$A:$D,4,FALSE),0)</f>
        <v/>
      </c>
      <c r="K861" s="4">
        <f>IF($M861&lt;&gt;"Yes",0,IF($H861="",0,$H861*$I861))</f>
        <v/>
      </c>
      <c r="L861" s="4">
        <f>IF($M861&lt;&gt;"Yes",0,IF($H861="",0,$H861*$J861))</f>
        <v/>
      </c>
      <c r="M861" s="4" t="n"/>
      <c r="N861" s="4" t="n"/>
      <c r="O861" s="4">
        <f>IF($A861="","",TEXT($A861,"yyyy")&amp;"-W"&amp;TEXT(ISOWEEKNUM($A861),"00"))</f>
        <v/>
      </c>
      <c r="P861" s="4" t="n"/>
      <c r="Q861" s="14">
        <f>IF($A861="","",TEXT($A861,"yyyy-mm"))</f>
        <v/>
      </c>
    </row>
    <row r="862">
      <c r="A862" s="66" t="n"/>
      <c r="B862" s="4" t="n"/>
      <c r="C862" s="11">
        <f>IFERROR(VLOOKUP($B862,Members!$A:$C,2,FALSE),"")</f>
        <v/>
      </c>
      <c r="D862" s="11">
        <f>IFERROR(VLOOKUP($B862,Members!$A:$C,3,FALSE),"")</f>
        <v/>
      </c>
      <c r="E862" s="11">
        <f>IF($F862="","",IFERROR(VLOOKUP($F862,ActionMap!$A:$B,2,FALSE),"INVALID ACTION"))</f>
        <v/>
      </c>
      <c r="F862" s="4" t="n"/>
      <c r="G862" s="11">
        <f>IFERROR(VLOOKUP($E862,ActionsCatalog!$A:$B,2,FALSE),"")</f>
        <v/>
      </c>
      <c r="H862" s="4" t="n"/>
      <c r="I862" s="4">
        <f>IFERROR(VLOOKUP($E862,ActionsCatalog!$A:$D,3,FALSE),0)</f>
        <v/>
      </c>
      <c r="J862" s="4">
        <f>IFERROR(VLOOKUP($E862,ActionsCatalog!$A:$D,4,FALSE),0)</f>
        <v/>
      </c>
      <c r="K862" s="4">
        <f>IF($M862&lt;&gt;"Yes",0,IF($H862="",0,$H862*$I862))</f>
        <v/>
      </c>
      <c r="L862" s="4">
        <f>IF($M862&lt;&gt;"Yes",0,IF($H862="",0,$H862*$J862))</f>
        <v/>
      </c>
      <c r="M862" s="4" t="n"/>
      <c r="N862" s="4" t="n"/>
      <c r="O862" s="4">
        <f>IF($A862="","",TEXT($A862,"yyyy")&amp;"-W"&amp;TEXT(ISOWEEKNUM($A862),"00"))</f>
        <v/>
      </c>
      <c r="P862" s="4" t="n"/>
      <c r="Q862" s="14">
        <f>IF($A862="","",TEXT($A862,"yyyy-mm"))</f>
        <v/>
      </c>
    </row>
    <row r="863">
      <c r="A863" s="66" t="n"/>
      <c r="B863" s="4" t="n"/>
      <c r="C863" s="11">
        <f>IFERROR(VLOOKUP($B863,Members!$A:$C,2,FALSE),"")</f>
        <v/>
      </c>
      <c r="D863" s="11">
        <f>IFERROR(VLOOKUP($B863,Members!$A:$C,3,FALSE),"")</f>
        <v/>
      </c>
      <c r="E863" s="11">
        <f>IF($F863="","",IFERROR(VLOOKUP($F863,ActionMap!$A:$B,2,FALSE),"INVALID ACTION"))</f>
        <v/>
      </c>
      <c r="F863" s="4" t="n"/>
      <c r="G863" s="11">
        <f>IFERROR(VLOOKUP($E863,ActionsCatalog!$A:$B,2,FALSE),"")</f>
        <v/>
      </c>
      <c r="H863" s="4" t="n"/>
      <c r="I863" s="4">
        <f>IFERROR(VLOOKUP($E863,ActionsCatalog!$A:$D,3,FALSE),0)</f>
        <v/>
      </c>
      <c r="J863" s="4">
        <f>IFERROR(VLOOKUP($E863,ActionsCatalog!$A:$D,4,FALSE),0)</f>
        <v/>
      </c>
      <c r="K863" s="4">
        <f>IF($M863&lt;&gt;"Yes",0,IF($H863="",0,$H863*$I863))</f>
        <v/>
      </c>
      <c r="L863" s="4">
        <f>IF($M863&lt;&gt;"Yes",0,IF($H863="",0,$H863*$J863))</f>
        <v/>
      </c>
      <c r="M863" s="4" t="n"/>
      <c r="N863" s="4" t="n"/>
      <c r="O863" s="4">
        <f>IF($A863="","",TEXT($A863,"yyyy")&amp;"-W"&amp;TEXT(ISOWEEKNUM($A863),"00"))</f>
        <v/>
      </c>
      <c r="P863" s="4" t="n"/>
      <c r="Q863" s="14">
        <f>IF($A863="","",TEXT($A863,"yyyy-mm"))</f>
        <v/>
      </c>
    </row>
    <row r="864">
      <c r="A864" s="66" t="n"/>
      <c r="B864" s="4" t="n"/>
      <c r="C864" s="11">
        <f>IFERROR(VLOOKUP($B864,Members!$A:$C,2,FALSE),"")</f>
        <v/>
      </c>
      <c r="D864" s="11">
        <f>IFERROR(VLOOKUP($B864,Members!$A:$C,3,FALSE),"")</f>
        <v/>
      </c>
      <c r="E864" s="11">
        <f>IF($F864="","",IFERROR(VLOOKUP($F864,ActionMap!$A:$B,2,FALSE),"INVALID ACTION"))</f>
        <v/>
      </c>
      <c r="F864" s="4" t="n"/>
      <c r="G864" s="11">
        <f>IFERROR(VLOOKUP($E864,ActionsCatalog!$A:$B,2,FALSE),"")</f>
        <v/>
      </c>
      <c r="H864" s="4" t="n"/>
      <c r="I864" s="4">
        <f>IFERROR(VLOOKUP($E864,ActionsCatalog!$A:$D,3,FALSE),0)</f>
        <v/>
      </c>
      <c r="J864" s="4">
        <f>IFERROR(VLOOKUP($E864,ActionsCatalog!$A:$D,4,FALSE),0)</f>
        <v/>
      </c>
      <c r="K864" s="4">
        <f>IF($M864&lt;&gt;"Yes",0,IF($H864="",0,$H864*$I864))</f>
        <v/>
      </c>
      <c r="L864" s="4">
        <f>IF($M864&lt;&gt;"Yes",0,IF($H864="",0,$H864*$J864))</f>
        <v/>
      </c>
      <c r="M864" s="4" t="n"/>
      <c r="N864" s="4" t="n"/>
      <c r="O864" s="4">
        <f>IF($A864="","",TEXT($A864,"yyyy")&amp;"-W"&amp;TEXT(ISOWEEKNUM($A864),"00"))</f>
        <v/>
      </c>
      <c r="P864" s="4" t="n"/>
      <c r="Q864" s="14">
        <f>IF($A864="","",TEXT($A864,"yyyy-mm"))</f>
        <v/>
      </c>
    </row>
    <row r="865">
      <c r="A865" s="66" t="n"/>
      <c r="B865" s="4" t="n"/>
      <c r="C865" s="11">
        <f>IFERROR(VLOOKUP($B865,Members!$A:$C,2,FALSE),"")</f>
        <v/>
      </c>
      <c r="D865" s="11">
        <f>IFERROR(VLOOKUP($B865,Members!$A:$C,3,FALSE),"")</f>
        <v/>
      </c>
      <c r="E865" s="11">
        <f>IF($F865="","",IFERROR(VLOOKUP($F865,ActionMap!$A:$B,2,FALSE),"INVALID ACTION"))</f>
        <v/>
      </c>
      <c r="F865" s="4" t="n"/>
      <c r="G865" s="11">
        <f>IFERROR(VLOOKUP($E865,ActionsCatalog!$A:$B,2,FALSE),"")</f>
        <v/>
      </c>
      <c r="H865" s="4" t="n"/>
      <c r="I865" s="4">
        <f>IFERROR(VLOOKUP($E865,ActionsCatalog!$A:$D,3,FALSE),0)</f>
        <v/>
      </c>
      <c r="J865" s="4">
        <f>IFERROR(VLOOKUP($E865,ActionsCatalog!$A:$D,4,FALSE),0)</f>
        <v/>
      </c>
      <c r="K865" s="4">
        <f>IF($M865&lt;&gt;"Yes",0,IF($H865="",0,$H865*$I865))</f>
        <v/>
      </c>
      <c r="L865" s="4">
        <f>IF($M865&lt;&gt;"Yes",0,IF($H865="",0,$H865*$J865))</f>
        <v/>
      </c>
      <c r="M865" s="4" t="n"/>
      <c r="N865" s="4" t="n"/>
      <c r="O865" s="4">
        <f>IF($A865="","",TEXT($A865,"yyyy")&amp;"-W"&amp;TEXT(ISOWEEKNUM($A865),"00"))</f>
        <v/>
      </c>
      <c r="P865" s="4" t="n"/>
      <c r="Q865" s="14">
        <f>IF($A865="","",TEXT($A865,"yyyy-mm"))</f>
        <v/>
      </c>
    </row>
    <row r="866">
      <c r="A866" s="66" t="n"/>
      <c r="B866" s="4" t="n"/>
      <c r="C866" s="11">
        <f>IFERROR(VLOOKUP($B866,Members!$A:$C,2,FALSE),"")</f>
        <v/>
      </c>
      <c r="D866" s="11">
        <f>IFERROR(VLOOKUP($B866,Members!$A:$C,3,FALSE),"")</f>
        <v/>
      </c>
      <c r="E866" s="11">
        <f>IF($F866="","",IFERROR(VLOOKUP($F866,ActionMap!$A:$B,2,FALSE),"INVALID ACTION"))</f>
        <v/>
      </c>
      <c r="F866" s="4" t="n"/>
      <c r="G866" s="11">
        <f>IFERROR(VLOOKUP($E866,ActionsCatalog!$A:$B,2,FALSE),"")</f>
        <v/>
      </c>
      <c r="H866" s="4" t="n"/>
      <c r="I866" s="4">
        <f>IFERROR(VLOOKUP($E866,ActionsCatalog!$A:$D,3,FALSE),0)</f>
        <v/>
      </c>
      <c r="J866" s="4">
        <f>IFERROR(VLOOKUP($E866,ActionsCatalog!$A:$D,4,FALSE),0)</f>
        <v/>
      </c>
      <c r="K866" s="4">
        <f>IF($M866&lt;&gt;"Yes",0,IF($H866="",0,$H866*$I866))</f>
        <v/>
      </c>
      <c r="L866" s="4">
        <f>IF($M866&lt;&gt;"Yes",0,IF($H866="",0,$H866*$J866))</f>
        <v/>
      </c>
      <c r="M866" s="4" t="n"/>
      <c r="N866" s="4" t="n"/>
      <c r="O866" s="4">
        <f>IF($A866="","",TEXT($A866,"yyyy")&amp;"-W"&amp;TEXT(ISOWEEKNUM($A866),"00"))</f>
        <v/>
      </c>
      <c r="P866" s="4" t="n"/>
      <c r="Q866" s="14">
        <f>IF($A866="","",TEXT($A866,"yyyy-mm"))</f>
        <v/>
      </c>
    </row>
    <row r="867">
      <c r="A867" s="66" t="n"/>
      <c r="B867" s="4" t="n"/>
      <c r="C867" s="11">
        <f>IFERROR(VLOOKUP($B867,Members!$A:$C,2,FALSE),"")</f>
        <v/>
      </c>
      <c r="D867" s="11">
        <f>IFERROR(VLOOKUP($B867,Members!$A:$C,3,FALSE),"")</f>
        <v/>
      </c>
      <c r="E867" s="11">
        <f>IF($F867="","",IFERROR(VLOOKUP($F867,ActionMap!$A:$B,2,FALSE),"INVALID ACTION"))</f>
        <v/>
      </c>
      <c r="F867" s="4" t="n"/>
      <c r="G867" s="11">
        <f>IFERROR(VLOOKUP($E867,ActionsCatalog!$A:$B,2,FALSE),"")</f>
        <v/>
      </c>
      <c r="H867" s="4" t="n"/>
      <c r="I867" s="4">
        <f>IFERROR(VLOOKUP($E867,ActionsCatalog!$A:$D,3,FALSE),0)</f>
        <v/>
      </c>
      <c r="J867" s="4">
        <f>IFERROR(VLOOKUP($E867,ActionsCatalog!$A:$D,4,FALSE),0)</f>
        <v/>
      </c>
      <c r="K867" s="4">
        <f>IF($M867&lt;&gt;"Yes",0,IF($H867="",0,$H867*$I867))</f>
        <v/>
      </c>
      <c r="L867" s="4">
        <f>IF($M867&lt;&gt;"Yes",0,IF($H867="",0,$H867*$J867))</f>
        <v/>
      </c>
      <c r="M867" s="4" t="n"/>
      <c r="N867" s="4" t="n"/>
      <c r="O867" s="4">
        <f>IF($A867="","",TEXT($A867,"yyyy")&amp;"-W"&amp;TEXT(ISOWEEKNUM($A867),"00"))</f>
        <v/>
      </c>
      <c r="P867" s="4" t="n"/>
      <c r="Q867" s="14">
        <f>IF($A867="","",TEXT($A867,"yyyy-mm"))</f>
        <v/>
      </c>
    </row>
    <row r="868">
      <c r="A868" s="66" t="n"/>
      <c r="B868" s="4" t="n"/>
      <c r="C868" s="11">
        <f>IFERROR(VLOOKUP($B868,Members!$A:$C,2,FALSE),"")</f>
        <v/>
      </c>
      <c r="D868" s="11">
        <f>IFERROR(VLOOKUP($B868,Members!$A:$C,3,FALSE),"")</f>
        <v/>
      </c>
      <c r="E868" s="11">
        <f>IF($F868="","",IFERROR(VLOOKUP($F868,ActionMap!$A:$B,2,FALSE),"INVALID ACTION"))</f>
        <v/>
      </c>
      <c r="F868" s="4" t="n"/>
      <c r="G868" s="11">
        <f>IFERROR(VLOOKUP($E868,ActionsCatalog!$A:$B,2,FALSE),"")</f>
        <v/>
      </c>
      <c r="H868" s="4" t="n"/>
      <c r="I868" s="4">
        <f>IFERROR(VLOOKUP($E868,ActionsCatalog!$A:$D,3,FALSE),0)</f>
        <v/>
      </c>
      <c r="J868" s="4">
        <f>IFERROR(VLOOKUP($E868,ActionsCatalog!$A:$D,4,FALSE),0)</f>
        <v/>
      </c>
      <c r="K868" s="4">
        <f>IF($M868&lt;&gt;"Yes",0,IF($H868="",0,$H868*$I868))</f>
        <v/>
      </c>
      <c r="L868" s="4">
        <f>IF($M868&lt;&gt;"Yes",0,IF($H868="",0,$H868*$J868))</f>
        <v/>
      </c>
      <c r="M868" s="4" t="n"/>
      <c r="N868" s="4" t="n"/>
      <c r="O868" s="4">
        <f>IF($A868="","",TEXT($A868,"yyyy")&amp;"-W"&amp;TEXT(ISOWEEKNUM($A868),"00"))</f>
        <v/>
      </c>
      <c r="P868" s="4" t="n"/>
      <c r="Q868" s="14">
        <f>IF($A868="","",TEXT($A868,"yyyy-mm"))</f>
        <v/>
      </c>
    </row>
    <row r="869">
      <c r="A869" s="66" t="n"/>
      <c r="B869" s="4" t="n"/>
      <c r="C869" s="11">
        <f>IFERROR(VLOOKUP($B869,Members!$A:$C,2,FALSE),"")</f>
        <v/>
      </c>
      <c r="D869" s="11">
        <f>IFERROR(VLOOKUP($B869,Members!$A:$C,3,FALSE),"")</f>
        <v/>
      </c>
      <c r="E869" s="11">
        <f>IF($F869="","",IFERROR(VLOOKUP($F869,ActionMap!$A:$B,2,FALSE),"INVALID ACTION"))</f>
        <v/>
      </c>
      <c r="F869" s="4" t="n"/>
      <c r="G869" s="11">
        <f>IFERROR(VLOOKUP($E869,ActionsCatalog!$A:$B,2,FALSE),"")</f>
        <v/>
      </c>
      <c r="H869" s="4" t="n"/>
      <c r="I869" s="4">
        <f>IFERROR(VLOOKUP($E869,ActionsCatalog!$A:$D,3,FALSE),0)</f>
        <v/>
      </c>
      <c r="J869" s="4">
        <f>IFERROR(VLOOKUP($E869,ActionsCatalog!$A:$D,4,FALSE),0)</f>
        <v/>
      </c>
      <c r="K869" s="4">
        <f>IF($M869&lt;&gt;"Yes",0,IF($H869="",0,$H869*$I869))</f>
        <v/>
      </c>
      <c r="L869" s="4">
        <f>IF($M869&lt;&gt;"Yes",0,IF($H869="",0,$H869*$J869))</f>
        <v/>
      </c>
      <c r="M869" s="4" t="n"/>
      <c r="N869" s="4" t="n"/>
      <c r="O869" s="4">
        <f>IF($A869="","",TEXT($A869,"yyyy")&amp;"-W"&amp;TEXT(ISOWEEKNUM($A869),"00"))</f>
        <v/>
      </c>
      <c r="P869" s="4" t="n"/>
      <c r="Q869" s="14">
        <f>IF($A869="","",TEXT($A869,"yyyy-mm"))</f>
        <v/>
      </c>
    </row>
    <row r="870">
      <c r="A870" s="66" t="n"/>
      <c r="B870" s="4" t="n"/>
      <c r="C870" s="11">
        <f>IFERROR(VLOOKUP($B870,Members!$A:$C,2,FALSE),"")</f>
        <v/>
      </c>
      <c r="D870" s="11">
        <f>IFERROR(VLOOKUP($B870,Members!$A:$C,3,FALSE),"")</f>
        <v/>
      </c>
      <c r="E870" s="11">
        <f>IF($F870="","",IFERROR(VLOOKUP($F870,ActionMap!$A:$B,2,FALSE),"INVALID ACTION"))</f>
        <v/>
      </c>
      <c r="F870" s="4" t="n"/>
      <c r="G870" s="11">
        <f>IFERROR(VLOOKUP($E870,ActionsCatalog!$A:$B,2,FALSE),"")</f>
        <v/>
      </c>
      <c r="H870" s="4" t="n"/>
      <c r="I870" s="4">
        <f>IFERROR(VLOOKUP($E870,ActionsCatalog!$A:$D,3,FALSE),0)</f>
        <v/>
      </c>
      <c r="J870" s="4">
        <f>IFERROR(VLOOKUP($E870,ActionsCatalog!$A:$D,4,FALSE),0)</f>
        <v/>
      </c>
      <c r="K870" s="4">
        <f>IF($M870&lt;&gt;"Yes",0,IF($H870="",0,$H870*$I870))</f>
        <v/>
      </c>
      <c r="L870" s="4">
        <f>IF($M870&lt;&gt;"Yes",0,IF($H870="",0,$H870*$J870))</f>
        <v/>
      </c>
      <c r="M870" s="4" t="n"/>
      <c r="N870" s="4" t="n"/>
      <c r="O870" s="4">
        <f>IF($A870="","",TEXT($A870,"yyyy")&amp;"-W"&amp;TEXT(ISOWEEKNUM($A870),"00"))</f>
        <v/>
      </c>
      <c r="P870" s="4" t="n"/>
      <c r="Q870" s="14">
        <f>IF($A870="","",TEXT($A870,"yyyy-mm"))</f>
        <v/>
      </c>
    </row>
    <row r="871">
      <c r="A871" s="66" t="n"/>
      <c r="B871" s="4" t="n"/>
      <c r="C871" s="11">
        <f>IFERROR(VLOOKUP($B871,Members!$A:$C,2,FALSE),"")</f>
        <v/>
      </c>
      <c r="D871" s="11">
        <f>IFERROR(VLOOKUP($B871,Members!$A:$C,3,FALSE),"")</f>
        <v/>
      </c>
      <c r="E871" s="11">
        <f>IF($F871="","",IFERROR(VLOOKUP($F871,ActionMap!$A:$B,2,FALSE),"INVALID ACTION"))</f>
        <v/>
      </c>
      <c r="F871" s="4" t="n"/>
      <c r="G871" s="11">
        <f>IFERROR(VLOOKUP($E871,ActionsCatalog!$A:$B,2,FALSE),"")</f>
        <v/>
      </c>
      <c r="H871" s="4" t="n"/>
      <c r="I871" s="4">
        <f>IFERROR(VLOOKUP($E871,ActionsCatalog!$A:$D,3,FALSE),0)</f>
        <v/>
      </c>
      <c r="J871" s="4">
        <f>IFERROR(VLOOKUP($E871,ActionsCatalog!$A:$D,4,FALSE),0)</f>
        <v/>
      </c>
      <c r="K871" s="4">
        <f>IF($M871&lt;&gt;"Yes",0,IF($H871="",0,$H871*$I871))</f>
        <v/>
      </c>
      <c r="L871" s="4">
        <f>IF($M871&lt;&gt;"Yes",0,IF($H871="",0,$H871*$J871))</f>
        <v/>
      </c>
      <c r="M871" s="4" t="n"/>
      <c r="N871" s="4" t="n"/>
      <c r="O871" s="4">
        <f>IF($A871="","",TEXT($A871,"yyyy")&amp;"-W"&amp;TEXT(ISOWEEKNUM($A871),"00"))</f>
        <v/>
      </c>
      <c r="P871" s="4" t="n"/>
      <c r="Q871" s="14">
        <f>IF($A871="","",TEXT($A871,"yyyy-mm"))</f>
        <v/>
      </c>
    </row>
    <row r="872">
      <c r="A872" s="66" t="n"/>
      <c r="B872" s="4" t="n"/>
      <c r="C872" s="11">
        <f>IFERROR(VLOOKUP($B872,Members!$A:$C,2,FALSE),"")</f>
        <v/>
      </c>
      <c r="D872" s="11">
        <f>IFERROR(VLOOKUP($B872,Members!$A:$C,3,FALSE),"")</f>
        <v/>
      </c>
      <c r="E872" s="11">
        <f>IF($F872="","",IFERROR(VLOOKUP($F872,ActionMap!$A:$B,2,FALSE),"INVALID ACTION"))</f>
        <v/>
      </c>
      <c r="F872" s="4" t="n"/>
      <c r="G872" s="11">
        <f>IFERROR(VLOOKUP($E872,ActionsCatalog!$A:$B,2,FALSE),"")</f>
        <v/>
      </c>
      <c r="H872" s="4" t="n"/>
      <c r="I872" s="4">
        <f>IFERROR(VLOOKUP($E872,ActionsCatalog!$A:$D,3,FALSE),0)</f>
        <v/>
      </c>
      <c r="J872" s="4">
        <f>IFERROR(VLOOKUP($E872,ActionsCatalog!$A:$D,4,FALSE),0)</f>
        <v/>
      </c>
      <c r="K872" s="4">
        <f>IF($M872&lt;&gt;"Yes",0,IF($H872="",0,$H872*$I872))</f>
        <v/>
      </c>
      <c r="L872" s="4">
        <f>IF($M872&lt;&gt;"Yes",0,IF($H872="",0,$H872*$J872))</f>
        <v/>
      </c>
      <c r="M872" s="4" t="n"/>
      <c r="N872" s="4" t="n"/>
      <c r="O872" s="4">
        <f>IF($A872="","",TEXT($A872,"yyyy")&amp;"-W"&amp;TEXT(ISOWEEKNUM($A872),"00"))</f>
        <v/>
      </c>
      <c r="P872" s="4" t="n"/>
      <c r="Q872" s="14">
        <f>IF($A872="","",TEXT($A872,"yyyy-mm"))</f>
        <v/>
      </c>
    </row>
    <row r="873">
      <c r="A873" s="66" t="n"/>
      <c r="B873" s="4" t="n"/>
      <c r="C873" s="11">
        <f>IFERROR(VLOOKUP($B873,Members!$A:$C,2,FALSE),"")</f>
        <v/>
      </c>
      <c r="D873" s="11">
        <f>IFERROR(VLOOKUP($B873,Members!$A:$C,3,FALSE),"")</f>
        <v/>
      </c>
      <c r="E873" s="11">
        <f>IF($F873="","",IFERROR(VLOOKUP($F873,ActionMap!$A:$B,2,FALSE),"INVALID ACTION"))</f>
        <v/>
      </c>
      <c r="F873" s="4" t="n"/>
      <c r="G873" s="11">
        <f>IFERROR(VLOOKUP($E873,ActionsCatalog!$A:$B,2,FALSE),"")</f>
        <v/>
      </c>
      <c r="H873" s="4" t="n"/>
      <c r="I873" s="4">
        <f>IFERROR(VLOOKUP($E873,ActionsCatalog!$A:$D,3,FALSE),0)</f>
        <v/>
      </c>
      <c r="J873" s="4">
        <f>IFERROR(VLOOKUP($E873,ActionsCatalog!$A:$D,4,FALSE),0)</f>
        <v/>
      </c>
      <c r="K873" s="4">
        <f>IF($M873&lt;&gt;"Yes",0,IF($H873="",0,$H873*$I873))</f>
        <v/>
      </c>
      <c r="L873" s="4">
        <f>IF($M873&lt;&gt;"Yes",0,IF($H873="",0,$H873*$J873))</f>
        <v/>
      </c>
      <c r="M873" s="4" t="n"/>
      <c r="N873" s="4" t="n"/>
      <c r="O873" s="4">
        <f>IF($A873="","",TEXT($A873,"yyyy")&amp;"-W"&amp;TEXT(ISOWEEKNUM($A873),"00"))</f>
        <v/>
      </c>
      <c r="P873" s="4" t="n"/>
      <c r="Q873" s="14">
        <f>IF($A873="","",TEXT($A873,"yyyy-mm"))</f>
        <v/>
      </c>
    </row>
    <row r="874">
      <c r="A874" s="66" t="n"/>
      <c r="B874" s="4" t="n"/>
      <c r="C874" s="11">
        <f>IFERROR(VLOOKUP($B874,Members!$A:$C,2,FALSE),"")</f>
        <v/>
      </c>
      <c r="D874" s="11">
        <f>IFERROR(VLOOKUP($B874,Members!$A:$C,3,FALSE),"")</f>
        <v/>
      </c>
      <c r="E874" s="11">
        <f>IF($F874="","",IFERROR(VLOOKUP($F874,ActionMap!$A:$B,2,FALSE),"INVALID ACTION"))</f>
        <v/>
      </c>
      <c r="F874" s="4" t="n"/>
      <c r="G874" s="11">
        <f>IFERROR(VLOOKUP($E874,ActionsCatalog!$A:$B,2,FALSE),"")</f>
        <v/>
      </c>
      <c r="H874" s="4" t="n"/>
      <c r="I874" s="4">
        <f>IFERROR(VLOOKUP($E874,ActionsCatalog!$A:$D,3,FALSE),0)</f>
        <v/>
      </c>
      <c r="J874" s="4">
        <f>IFERROR(VLOOKUP($E874,ActionsCatalog!$A:$D,4,FALSE),0)</f>
        <v/>
      </c>
      <c r="K874" s="4">
        <f>IF($M874&lt;&gt;"Yes",0,IF($H874="",0,$H874*$I874))</f>
        <v/>
      </c>
      <c r="L874" s="4">
        <f>IF($M874&lt;&gt;"Yes",0,IF($H874="",0,$H874*$J874))</f>
        <v/>
      </c>
      <c r="M874" s="4" t="n"/>
      <c r="N874" s="4" t="n"/>
      <c r="O874" s="4">
        <f>IF($A874="","",TEXT($A874,"yyyy")&amp;"-W"&amp;TEXT(ISOWEEKNUM($A874),"00"))</f>
        <v/>
      </c>
      <c r="P874" s="4" t="n"/>
      <c r="Q874" s="14">
        <f>IF($A874="","",TEXT($A874,"yyyy-mm"))</f>
        <v/>
      </c>
    </row>
    <row r="875">
      <c r="A875" s="66" t="n"/>
      <c r="B875" s="4" t="n"/>
      <c r="C875" s="11">
        <f>IFERROR(VLOOKUP($B875,Members!$A:$C,2,FALSE),"")</f>
        <v/>
      </c>
      <c r="D875" s="11">
        <f>IFERROR(VLOOKUP($B875,Members!$A:$C,3,FALSE),"")</f>
        <v/>
      </c>
      <c r="E875" s="11">
        <f>IF($F875="","",IFERROR(VLOOKUP($F875,ActionMap!$A:$B,2,FALSE),"INVALID ACTION"))</f>
        <v/>
      </c>
      <c r="F875" s="4" t="n"/>
      <c r="G875" s="11">
        <f>IFERROR(VLOOKUP($E875,ActionsCatalog!$A:$B,2,FALSE),"")</f>
        <v/>
      </c>
      <c r="H875" s="4" t="n"/>
      <c r="I875" s="4">
        <f>IFERROR(VLOOKUP($E875,ActionsCatalog!$A:$D,3,FALSE),0)</f>
        <v/>
      </c>
      <c r="J875" s="4">
        <f>IFERROR(VLOOKUP($E875,ActionsCatalog!$A:$D,4,FALSE),0)</f>
        <v/>
      </c>
      <c r="K875" s="4">
        <f>IF($M875&lt;&gt;"Yes",0,IF($H875="",0,$H875*$I875))</f>
        <v/>
      </c>
      <c r="L875" s="4">
        <f>IF($M875&lt;&gt;"Yes",0,IF($H875="",0,$H875*$J875))</f>
        <v/>
      </c>
      <c r="M875" s="4" t="n"/>
      <c r="N875" s="4" t="n"/>
      <c r="O875" s="4">
        <f>IF($A875="","",TEXT($A875,"yyyy")&amp;"-W"&amp;TEXT(ISOWEEKNUM($A875),"00"))</f>
        <v/>
      </c>
      <c r="P875" s="4" t="n"/>
      <c r="Q875" s="14">
        <f>IF($A875="","",TEXT($A875,"yyyy-mm"))</f>
        <v/>
      </c>
    </row>
    <row r="876">
      <c r="A876" s="66" t="n"/>
      <c r="B876" s="4" t="n"/>
      <c r="C876" s="11">
        <f>IFERROR(VLOOKUP($B876,Members!$A:$C,2,FALSE),"")</f>
        <v/>
      </c>
      <c r="D876" s="11">
        <f>IFERROR(VLOOKUP($B876,Members!$A:$C,3,FALSE),"")</f>
        <v/>
      </c>
      <c r="E876" s="11">
        <f>IF($F876="","",IFERROR(VLOOKUP($F876,ActionMap!$A:$B,2,FALSE),"INVALID ACTION"))</f>
        <v/>
      </c>
      <c r="F876" s="4" t="n"/>
      <c r="G876" s="11">
        <f>IFERROR(VLOOKUP($E876,ActionsCatalog!$A:$B,2,FALSE),"")</f>
        <v/>
      </c>
      <c r="H876" s="4" t="n"/>
      <c r="I876" s="4">
        <f>IFERROR(VLOOKUP($E876,ActionsCatalog!$A:$D,3,FALSE),0)</f>
        <v/>
      </c>
      <c r="J876" s="4">
        <f>IFERROR(VLOOKUP($E876,ActionsCatalog!$A:$D,4,FALSE),0)</f>
        <v/>
      </c>
      <c r="K876" s="4">
        <f>IF($M876&lt;&gt;"Yes",0,IF($H876="",0,$H876*$I876))</f>
        <v/>
      </c>
      <c r="L876" s="4">
        <f>IF($M876&lt;&gt;"Yes",0,IF($H876="",0,$H876*$J876))</f>
        <v/>
      </c>
      <c r="M876" s="4" t="n"/>
      <c r="N876" s="4" t="n"/>
      <c r="O876" s="4">
        <f>IF($A876="","",TEXT($A876,"yyyy")&amp;"-W"&amp;TEXT(ISOWEEKNUM($A876),"00"))</f>
        <v/>
      </c>
      <c r="P876" s="4" t="n"/>
      <c r="Q876" s="14">
        <f>IF($A876="","",TEXT($A876,"yyyy-mm"))</f>
        <v/>
      </c>
    </row>
    <row r="877">
      <c r="A877" s="66" t="n"/>
      <c r="B877" s="4" t="n"/>
      <c r="C877" s="11">
        <f>IFERROR(VLOOKUP($B877,Members!$A:$C,2,FALSE),"")</f>
        <v/>
      </c>
      <c r="D877" s="11">
        <f>IFERROR(VLOOKUP($B877,Members!$A:$C,3,FALSE),"")</f>
        <v/>
      </c>
      <c r="E877" s="11">
        <f>IF($F877="","",IFERROR(VLOOKUP($F877,ActionMap!$A:$B,2,FALSE),"INVALID ACTION"))</f>
        <v/>
      </c>
      <c r="F877" s="4" t="n"/>
      <c r="G877" s="11">
        <f>IFERROR(VLOOKUP($E877,ActionsCatalog!$A:$B,2,FALSE),"")</f>
        <v/>
      </c>
      <c r="H877" s="4" t="n"/>
      <c r="I877" s="4">
        <f>IFERROR(VLOOKUP($E877,ActionsCatalog!$A:$D,3,FALSE),0)</f>
        <v/>
      </c>
      <c r="J877" s="4">
        <f>IFERROR(VLOOKUP($E877,ActionsCatalog!$A:$D,4,FALSE),0)</f>
        <v/>
      </c>
      <c r="K877" s="4">
        <f>IF($M877&lt;&gt;"Yes",0,IF($H877="",0,$H877*$I877))</f>
        <v/>
      </c>
      <c r="L877" s="4">
        <f>IF($M877&lt;&gt;"Yes",0,IF($H877="",0,$H877*$J877))</f>
        <v/>
      </c>
      <c r="M877" s="4" t="n"/>
      <c r="N877" s="4" t="n"/>
      <c r="O877" s="4">
        <f>IF($A877="","",TEXT($A877,"yyyy")&amp;"-W"&amp;TEXT(ISOWEEKNUM($A877),"00"))</f>
        <v/>
      </c>
      <c r="P877" s="4" t="n"/>
      <c r="Q877" s="14">
        <f>IF($A877="","",TEXT($A877,"yyyy-mm"))</f>
        <v/>
      </c>
    </row>
    <row r="878">
      <c r="A878" s="66" t="n"/>
      <c r="B878" s="4" t="n"/>
      <c r="C878" s="11">
        <f>IFERROR(VLOOKUP($B878,Members!$A:$C,2,FALSE),"")</f>
        <v/>
      </c>
      <c r="D878" s="11">
        <f>IFERROR(VLOOKUP($B878,Members!$A:$C,3,FALSE),"")</f>
        <v/>
      </c>
      <c r="E878" s="11">
        <f>IF($F878="","",IFERROR(VLOOKUP($F878,ActionMap!$A:$B,2,FALSE),"INVALID ACTION"))</f>
        <v/>
      </c>
      <c r="F878" s="4" t="n"/>
      <c r="G878" s="11">
        <f>IFERROR(VLOOKUP($E878,ActionsCatalog!$A:$B,2,FALSE),"")</f>
        <v/>
      </c>
      <c r="H878" s="4" t="n"/>
      <c r="I878" s="4">
        <f>IFERROR(VLOOKUP($E878,ActionsCatalog!$A:$D,3,FALSE),0)</f>
        <v/>
      </c>
      <c r="J878" s="4">
        <f>IFERROR(VLOOKUP($E878,ActionsCatalog!$A:$D,4,FALSE),0)</f>
        <v/>
      </c>
      <c r="K878" s="4">
        <f>IF($M878&lt;&gt;"Yes",0,IF($H878="",0,$H878*$I878))</f>
        <v/>
      </c>
      <c r="L878" s="4">
        <f>IF($M878&lt;&gt;"Yes",0,IF($H878="",0,$H878*$J878))</f>
        <v/>
      </c>
      <c r="M878" s="4" t="n"/>
      <c r="N878" s="4" t="n"/>
      <c r="O878" s="4">
        <f>IF($A878="","",TEXT($A878,"yyyy")&amp;"-W"&amp;TEXT(ISOWEEKNUM($A878),"00"))</f>
        <v/>
      </c>
      <c r="P878" s="4" t="n"/>
      <c r="Q878" s="14">
        <f>IF($A878="","",TEXT($A878,"yyyy-mm"))</f>
        <v/>
      </c>
    </row>
    <row r="879">
      <c r="A879" s="66" t="n"/>
      <c r="B879" s="4" t="n"/>
      <c r="C879" s="11">
        <f>IFERROR(VLOOKUP($B879,Members!$A:$C,2,FALSE),"")</f>
        <v/>
      </c>
      <c r="D879" s="11">
        <f>IFERROR(VLOOKUP($B879,Members!$A:$C,3,FALSE),"")</f>
        <v/>
      </c>
      <c r="E879" s="11">
        <f>IF($F879="","",IFERROR(VLOOKUP($F879,ActionMap!$A:$B,2,FALSE),"INVALID ACTION"))</f>
        <v/>
      </c>
      <c r="F879" s="4" t="n"/>
      <c r="G879" s="11">
        <f>IFERROR(VLOOKUP($E879,ActionsCatalog!$A:$B,2,FALSE),"")</f>
        <v/>
      </c>
      <c r="H879" s="4" t="n"/>
      <c r="I879" s="4">
        <f>IFERROR(VLOOKUP($E879,ActionsCatalog!$A:$D,3,FALSE),0)</f>
        <v/>
      </c>
      <c r="J879" s="4">
        <f>IFERROR(VLOOKUP($E879,ActionsCatalog!$A:$D,4,FALSE),0)</f>
        <v/>
      </c>
      <c r="K879" s="4">
        <f>IF($M879&lt;&gt;"Yes",0,IF($H879="",0,$H879*$I879))</f>
        <v/>
      </c>
      <c r="L879" s="4">
        <f>IF($M879&lt;&gt;"Yes",0,IF($H879="",0,$H879*$J879))</f>
        <v/>
      </c>
      <c r="M879" s="4" t="n"/>
      <c r="N879" s="4" t="n"/>
      <c r="O879" s="4">
        <f>IF($A879="","",TEXT($A879,"yyyy")&amp;"-W"&amp;TEXT(ISOWEEKNUM($A879),"00"))</f>
        <v/>
      </c>
      <c r="P879" s="4" t="n"/>
      <c r="Q879" s="14">
        <f>IF($A879="","",TEXT($A879,"yyyy-mm"))</f>
        <v/>
      </c>
    </row>
    <row r="880">
      <c r="A880" s="66" t="n"/>
      <c r="B880" s="4" t="n"/>
      <c r="C880" s="11">
        <f>IFERROR(VLOOKUP($B880,Members!$A:$C,2,FALSE),"")</f>
        <v/>
      </c>
      <c r="D880" s="11">
        <f>IFERROR(VLOOKUP($B880,Members!$A:$C,3,FALSE),"")</f>
        <v/>
      </c>
      <c r="E880" s="11">
        <f>IF($F880="","",IFERROR(VLOOKUP($F880,ActionMap!$A:$B,2,FALSE),"INVALID ACTION"))</f>
        <v/>
      </c>
      <c r="F880" s="4" t="n"/>
      <c r="G880" s="11">
        <f>IFERROR(VLOOKUP($E880,ActionsCatalog!$A:$B,2,FALSE),"")</f>
        <v/>
      </c>
      <c r="H880" s="4" t="n"/>
      <c r="I880" s="4">
        <f>IFERROR(VLOOKUP($E880,ActionsCatalog!$A:$D,3,FALSE),0)</f>
        <v/>
      </c>
      <c r="J880" s="4">
        <f>IFERROR(VLOOKUP($E880,ActionsCatalog!$A:$D,4,FALSE),0)</f>
        <v/>
      </c>
      <c r="K880" s="4">
        <f>IF($M880&lt;&gt;"Yes",0,IF($H880="",0,$H880*$I880))</f>
        <v/>
      </c>
      <c r="L880" s="4">
        <f>IF($M880&lt;&gt;"Yes",0,IF($H880="",0,$H880*$J880))</f>
        <v/>
      </c>
      <c r="M880" s="4" t="n"/>
      <c r="N880" s="4" t="n"/>
      <c r="O880" s="4">
        <f>IF($A880="","",TEXT($A880,"yyyy")&amp;"-W"&amp;TEXT(ISOWEEKNUM($A880),"00"))</f>
        <v/>
      </c>
      <c r="P880" s="4" t="n"/>
      <c r="Q880" s="14">
        <f>IF($A880="","",TEXT($A880,"yyyy-mm"))</f>
        <v/>
      </c>
    </row>
    <row r="881">
      <c r="A881" s="66" t="n"/>
      <c r="B881" s="4" t="n"/>
      <c r="C881" s="11">
        <f>IFERROR(VLOOKUP($B881,Members!$A:$C,2,FALSE),"")</f>
        <v/>
      </c>
      <c r="D881" s="11">
        <f>IFERROR(VLOOKUP($B881,Members!$A:$C,3,FALSE),"")</f>
        <v/>
      </c>
      <c r="E881" s="11">
        <f>IF($F881="","",IFERROR(VLOOKUP($F881,ActionMap!$A:$B,2,FALSE),"INVALID ACTION"))</f>
        <v/>
      </c>
      <c r="F881" s="4" t="n"/>
      <c r="G881" s="11">
        <f>IFERROR(VLOOKUP($E881,ActionsCatalog!$A:$B,2,FALSE),"")</f>
        <v/>
      </c>
      <c r="H881" s="4" t="n"/>
      <c r="I881" s="4">
        <f>IFERROR(VLOOKUP($E881,ActionsCatalog!$A:$D,3,FALSE),0)</f>
        <v/>
      </c>
      <c r="J881" s="4">
        <f>IFERROR(VLOOKUP($E881,ActionsCatalog!$A:$D,4,FALSE),0)</f>
        <v/>
      </c>
      <c r="K881" s="4">
        <f>IF($M881&lt;&gt;"Yes",0,IF($H881="",0,$H881*$I881))</f>
        <v/>
      </c>
      <c r="L881" s="4">
        <f>IF($M881&lt;&gt;"Yes",0,IF($H881="",0,$H881*$J881))</f>
        <v/>
      </c>
      <c r="M881" s="4" t="n"/>
      <c r="N881" s="4" t="n"/>
      <c r="O881" s="4">
        <f>IF($A881="","",TEXT($A881,"yyyy")&amp;"-W"&amp;TEXT(ISOWEEKNUM($A881),"00"))</f>
        <v/>
      </c>
      <c r="P881" s="4" t="n"/>
      <c r="Q881" s="14">
        <f>IF($A881="","",TEXT($A881,"yyyy-mm"))</f>
        <v/>
      </c>
    </row>
    <row r="882">
      <c r="A882" s="66" t="n"/>
      <c r="B882" s="4" t="n"/>
      <c r="C882" s="11">
        <f>IFERROR(VLOOKUP($B882,Members!$A:$C,2,FALSE),"")</f>
        <v/>
      </c>
      <c r="D882" s="11">
        <f>IFERROR(VLOOKUP($B882,Members!$A:$C,3,FALSE),"")</f>
        <v/>
      </c>
      <c r="E882" s="11">
        <f>IF($F882="","",IFERROR(VLOOKUP($F882,ActionMap!$A:$B,2,FALSE),"INVALID ACTION"))</f>
        <v/>
      </c>
      <c r="F882" s="4" t="n"/>
      <c r="G882" s="11">
        <f>IFERROR(VLOOKUP($E882,ActionsCatalog!$A:$B,2,FALSE),"")</f>
        <v/>
      </c>
      <c r="H882" s="4" t="n"/>
      <c r="I882" s="4">
        <f>IFERROR(VLOOKUP($E882,ActionsCatalog!$A:$D,3,FALSE),0)</f>
        <v/>
      </c>
      <c r="J882" s="4">
        <f>IFERROR(VLOOKUP($E882,ActionsCatalog!$A:$D,4,FALSE),0)</f>
        <v/>
      </c>
      <c r="K882" s="4">
        <f>IF($M882&lt;&gt;"Yes",0,IF($H882="",0,$H882*$I882))</f>
        <v/>
      </c>
      <c r="L882" s="4">
        <f>IF($M882&lt;&gt;"Yes",0,IF($H882="",0,$H882*$J882))</f>
        <v/>
      </c>
      <c r="M882" s="4" t="n"/>
      <c r="N882" s="4" t="n"/>
      <c r="O882" s="4">
        <f>IF($A882="","",TEXT($A882,"yyyy")&amp;"-W"&amp;TEXT(ISOWEEKNUM($A882),"00"))</f>
        <v/>
      </c>
      <c r="P882" s="4" t="n"/>
      <c r="Q882" s="14">
        <f>IF($A882="","",TEXT($A882,"yyyy-mm"))</f>
        <v/>
      </c>
    </row>
    <row r="883">
      <c r="A883" s="66" t="n"/>
      <c r="B883" s="4" t="n"/>
      <c r="C883" s="11">
        <f>IFERROR(VLOOKUP($B883,Members!$A:$C,2,FALSE),"")</f>
        <v/>
      </c>
      <c r="D883" s="11">
        <f>IFERROR(VLOOKUP($B883,Members!$A:$C,3,FALSE),"")</f>
        <v/>
      </c>
      <c r="E883" s="11">
        <f>IF($F883="","",IFERROR(VLOOKUP($F883,ActionMap!$A:$B,2,FALSE),"INVALID ACTION"))</f>
        <v/>
      </c>
      <c r="F883" s="4" t="n"/>
      <c r="G883" s="11">
        <f>IFERROR(VLOOKUP($E883,ActionsCatalog!$A:$B,2,FALSE),"")</f>
        <v/>
      </c>
      <c r="H883" s="4" t="n"/>
      <c r="I883" s="4">
        <f>IFERROR(VLOOKUP($E883,ActionsCatalog!$A:$D,3,FALSE),0)</f>
        <v/>
      </c>
      <c r="J883" s="4">
        <f>IFERROR(VLOOKUP($E883,ActionsCatalog!$A:$D,4,FALSE),0)</f>
        <v/>
      </c>
      <c r="K883" s="4">
        <f>IF($M883&lt;&gt;"Yes",0,IF($H883="",0,$H883*$I883))</f>
        <v/>
      </c>
      <c r="L883" s="4">
        <f>IF($M883&lt;&gt;"Yes",0,IF($H883="",0,$H883*$J883))</f>
        <v/>
      </c>
      <c r="M883" s="4" t="n"/>
      <c r="N883" s="4" t="n"/>
      <c r="O883" s="4">
        <f>IF($A883="","",TEXT($A883,"yyyy")&amp;"-W"&amp;TEXT(ISOWEEKNUM($A883),"00"))</f>
        <v/>
      </c>
      <c r="P883" s="4" t="n"/>
      <c r="Q883" s="14">
        <f>IF($A883="","",TEXT($A883,"yyyy-mm"))</f>
        <v/>
      </c>
    </row>
    <row r="884">
      <c r="A884" s="66" t="n"/>
      <c r="B884" s="4" t="n"/>
      <c r="C884" s="11">
        <f>IFERROR(VLOOKUP($B884,Members!$A:$C,2,FALSE),"")</f>
        <v/>
      </c>
      <c r="D884" s="11">
        <f>IFERROR(VLOOKUP($B884,Members!$A:$C,3,FALSE),"")</f>
        <v/>
      </c>
      <c r="E884" s="11">
        <f>IF($F884="","",IFERROR(VLOOKUP($F884,ActionMap!$A:$B,2,FALSE),"INVALID ACTION"))</f>
        <v/>
      </c>
      <c r="F884" s="4" t="n"/>
      <c r="G884" s="11">
        <f>IFERROR(VLOOKUP($E884,ActionsCatalog!$A:$B,2,FALSE),"")</f>
        <v/>
      </c>
      <c r="H884" s="4" t="n"/>
      <c r="I884" s="4">
        <f>IFERROR(VLOOKUP($E884,ActionsCatalog!$A:$D,3,FALSE),0)</f>
        <v/>
      </c>
      <c r="J884" s="4">
        <f>IFERROR(VLOOKUP($E884,ActionsCatalog!$A:$D,4,FALSE),0)</f>
        <v/>
      </c>
      <c r="K884" s="4">
        <f>IF($M884&lt;&gt;"Yes",0,IF($H884="",0,$H884*$I884))</f>
        <v/>
      </c>
      <c r="L884" s="4">
        <f>IF($M884&lt;&gt;"Yes",0,IF($H884="",0,$H884*$J884))</f>
        <v/>
      </c>
      <c r="M884" s="4" t="n"/>
      <c r="N884" s="4" t="n"/>
      <c r="O884" s="4">
        <f>IF($A884="","",TEXT($A884,"yyyy")&amp;"-W"&amp;TEXT(ISOWEEKNUM($A884),"00"))</f>
        <v/>
      </c>
      <c r="P884" s="4" t="n"/>
      <c r="Q884" s="14">
        <f>IF($A884="","",TEXT($A884,"yyyy-mm"))</f>
        <v/>
      </c>
    </row>
    <row r="885">
      <c r="A885" s="66" t="n"/>
      <c r="B885" s="4" t="n"/>
      <c r="C885" s="11">
        <f>IFERROR(VLOOKUP($B885,Members!$A:$C,2,FALSE),"")</f>
        <v/>
      </c>
      <c r="D885" s="11">
        <f>IFERROR(VLOOKUP($B885,Members!$A:$C,3,FALSE),"")</f>
        <v/>
      </c>
      <c r="E885" s="11">
        <f>IF($F885="","",IFERROR(VLOOKUP($F885,ActionMap!$A:$B,2,FALSE),"INVALID ACTION"))</f>
        <v/>
      </c>
      <c r="F885" s="4" t="n"/>
      <c r="G885" s="11">
        <f>IFERROR(VLOOKUP($E885,ActionsCatalog!$A:$B,2,FALSE),"")</f>
        <v/>
      </c>
      <c r="H885" s="4" t="n"/>
      <c r="I885" s="4">
        <f>IFERROR(VLOOKUP($E885,ActionsCatalog!$A:$D,3,FALSE),0)</f>
        <v/>
      </c>
      <c r="J885" s="4">
        <f>IFERROR(VLOOKUP($E885,ActionsCatalog!$A:$D,4,FALSE),0)</f>
        <v/>
      </c>
      <c r="K885" s="4">
        <f>IF($M885&lt;&gt;"Yes",0,IF($H885="",0,$H885*$I885))</f>
        <v/>
      </c>
      <c r="L885" s="4">
        <f>IF($M885&lt;&gt;"Yes",0,IF($H885="",0,$H885*$J885))</f>
        <v/>
      </c>
      <c r="M885" s="4" t="n"/>
      <c r="N885" s="4" t="n"/>
      <c r="O885" s="4">
        <f>IF($A885="","",TEXT($A885,"yyyy")&amp;"-W"&amp;TEXT(ISOWEEKNUM($A885),"00"))</f>
        <v/>
      </c>
      <c r="P885" s="4" t="n"/>
      <c r="Q885" s="14">
        <f>IF($A885="","",TEXT($A885,"yyyy-mm"))</f>
        <v/>
      </c>
    </row>
    <row r="886">
      <c r="A886" s="66" t="n"/>
      <c r="B886" s="4" t="n"/>
      <c r="C886" s="11">
        <f>IFERROR(VLOOKUP($B886,Members!$A:$C,2,FALSE),"")</f>
        <v/>
      </c>
      <c r="D886" s="11">
        <f>IFERROR(VLOOKUP($B886,Members!$A:$C,3,FALSE),"")</f>
        <v/>
      </c>
      <c r="E886" s="11">
        <f>IF($F886="","",IFERROR(VLOOKUP($F886,ActionMap!$A:$B,2,FALSE),"INVALID ACTION"))</f>
        <v/>
      </c>
      <c r="F886" s="4" t="n"/>
      <c r="G886" s="11">
        <f>IFERROR(VLOOKUP($E886,ActionsCatalog!$A:$B,2,FALSE),"")</f>
        <v/>
      </c>
      <c r="H886" s="4" t="n"/>
      <c r="I886" s="4">
        <f>IFERROR(VLOOKUP($E886,ActionsCatalog!$A:$D,3,FALSE),0)</f>
        <v/>
      </c>
      <c r="J886" s="4">
        <f>IFERROR(VLOOKUP($E886,ActionsCatalog!$A:$D,4,FALSE),0)</f>
        <v/>
      </c>
      <c r="K886" s="4">
        <f>IF($M886&lt;&gt;"Yes",0,IF($H886="",0,$H886*$I886))</f>
        <v/>
      </c>
      <c r="L886" s="4">
        <f>IF($M886&lt;&gt;"Yes",0,IF($H886="",0,$H886*$J886))</f>
        <v/>
      </c>
      <c r="M886" s="4" t="n"/>
      <c r="N886" s="4" t="n"/>
      <c r="O886" s="4">
        <f>IF($A886="","",TEXT($A886,"yyyy")&amp;"-W"&amp;TEXT(ISOWEEKNUM($A886),"00"))</f>
        <v/>
      </c>
      <c r="P886" s="4" t="n"/>
      <c r="Q886" s="14">
        <f>IF($A886="","",TEXT($A886,"yyyy-mm"))</f>
        <v/>
      </c>
    </row>
    <row r="887">
      <c r="A887" s="66" t="n"/>
      <c r="B887" s="4" t="n"/>
      <c r="C887" s="11">
        <f>IFERROR(VLOOKUP($B887,Members!$A:$C,2,FALSE),"")</f>
        <v/>
      </c>
      <c r="D887" s="11">
        <f>IFERROR(VLOOKUP($B887,Members!$A:$C,3,FALSE),"")</f>
        <v/>
      </c>
      <c r="E887" s="11">
        <f>IF($F887="","",IFERROR(VLOOKUP($F887,ActionMap!$A:$B,2,FALSE),"INVALID ACTION"))</f>
        <v/>
      </c>
      <c r="F887" s="4" t="n"/>
      <c r="G887" s="11">
        <f>IFERROR(VLOOKUP($E887,ActionsCatalog!$A:$B,2,FALSE),"")</f>
        <v/>
      </c>
      <c r="H887" s="4" t="n"/>
      <c r="I887" s="4">
        <f>IFERROR(VLOOKUP($E887,ActionsCatalog!$A:$D,3,FALSE),0)</f>
        <v/>
      </c>
      <c r="J887" s="4">
        <f>IFERROR(VLOOKUP($E887,ActionsCatalog!$A:$D,4,FALSE),0)</f>
        <v/>
      </c>
      <c r="K887" s="4">
        <f>IF($M887&lt;&gt;"Yes",0,IF($H887="",0,$H887*$I887))</f>
        <v/>
      </c>
      <c r="L887" s="4">
        <f>IF($M887&lt;&gt;"Yes",0,IF($H887="",0,$H887*$J887))</f>
        <v/>
      </c>
      <c r="M887" s="4" t="n"/>
      <c r="N887" s="4" t="n"/>
      <c r="O887" s="4">
        <f>IF($A887="","",TEXT($A887,"yyyy")&amp;"-W"&amp;TEXT(ISOWEEKNUM($A887),"00"))</f>
        <v/>
      </c>
      <c r="P887" s="4" t="n"/>
      <c r="Q887" s="14">
        <f>IF($A887="","",TEXT($A887,"yyyy-mm"))</f>
        <v/>
      </c>
    </row>
    <row r="888">
      <c r="A888" s="66" t="n"/>
      <c r="B888" s="4" t="n"/>
      <c r="C888" s="11">
        <f>IFERROR(VLOOKUP($B888,Members!$A:$C,2,FALSE),"")</f>
        <v/>
      </c>
      <c r="D888" s="11">
        <f>IFERROR(VLOOKUP($B888,Members!$A:$C,3,FALSE),"")</f>
        <v/>
      </c>
      <c r="E888" s="11">
        <f>IF($F888="","",IFERROR(VLOOKUP($F888,ActionMap!$A:$B,2,FALSE),"INVALID ACTION"))</f>
        <v/>
      </c>
      <c r="F888" s="4" t="n"/>
      <c r="G888" s="11">
        <f>IFERROR(VLOOKUP($E888,ActionsCatalog!$A:$B,2,FALSE),"")</f>
        <v/>
      </c>
      <c r="H888" s="4" t="n"/>
      <c r="I888" s="4">
        <f>IFERROR(VLOOKUP($E888,ActionsCatalog!$A:$D,3,FALSE),0)</f>
        <v/>
      </c>
      <c r="J888" s="4">
        <f>IFERROR(VLOOKUP($E888,ActionsCatalog!$A:$D,4,FALSE),0)</f>
        <v/>
      </c>
      <c r="K888" s="4">
        <f>IF($M888&lt;&gt;"Yes",0,IF($H888="",0,$H888*$I888))</f>
        <v/>
      </c>
      <c r="L888" s="4">
        <f>IF($M888&lt;&gt;"Yes",0,IF($H888="",0,$H888*$J888))</f>
        <v/>
      </c>
      <c r="M888" s="4" t="n"/>
      <c r="N888" s="4" t="n"/>
      <c r="O888" s="4">
        <f>IF($A888="","",TEXT($A888,"yyyy")&amp;"-W"&amp;TEXT(ISOWEEKNUM($A888),"00"))</f>
        <v/>
      </c>
      <c r="P888" s="4" t="n"/>
      <c r="Q888" s="14">
        <f>IF($A888="","",TEXT($A888,"yyyy-mm"))</f>
        <v/>
      </c>
    </row>
    <row r="889">
      <c r="A889" s="66" t="n"/>
      <c r="B889" s="4" t="n"/>
      <c r="C889" s="11">
        <f>IFERROR(VLOOKUP($B889,Members!$A:$C,2,FALSE),"")</f>
        <v/>
      </c>
      <c r="D889" s="11">
        <f>IFERROR(VLOOKUP($B889,Members!$A:$C,3,FALSE),"")</f>
        <v/>
      </c>
      <c r="E889" s="11">
        <f>IF($F889="","",IFERROR(VLOOKUP($F889,ActionMap!$A:$B,2,FALSE),"INVALID ACTION"))</f>
        <v/>
      </c>
      <c r="F889" s="4" t="n"/>
      <c r="G889" s="11">
        <f>IFERROR(VLOOKUP($E889,ActionsCatalog!$A:$B,2,FALSE),"")</f>
        <v/>
      </c>
      <c r="H889" s="4" t="n"/>
      <c r="I889" s="4">
        <f>IFERROR(VLOOKUP($E889,ActionsCatalog!$A:$D,3,FALSE),0)</f>
        <v/>
      </c>
      <c r="J889" s="4">
        <f>IFERROR(VLOOKUP($E889,ActionsCatalog!$A:$D,4,FALSE),0)</f>
        <v/>
      </c>
      <c r="K889" s="4">
        <f>IF($M889&lt;&gt;"Yes",0,IF($H889="",0,$H889*$I889))</f>
        <v/>
      </c>
      <c r="L889" s="4">
        <f>IF($M889&lt;&gt;"Yes",0,IF($H889="",0,$H889*$J889))</f>
        <v/>
      </c>
      <c r="M889" s="4" t="n"/>
      <c r="N889" s="4" t="n"/>
      <c r="O889" s="4">
        <f>IF($A889="","",TEXT($A889,"yyyy")&amp;"-W"&amp;TEXT(ISOWEEKNUM($A889),"00"))</f>
        <v/>
      </c>
      <c r="P889" s="4" t="n"/>
      <c r="Q889" s="14">
        <f>IF($A889="","",TEXT($A889,"yyyy-mm"))</f>
        <v/>
      </c>
    </row>
    <row r="890">
      <c r="A890" s="66" t="n"/>
      <c r="B890" s="4" t="n"/>
      <c r="C890" s="11">
        <f>IFERROR(VLOOKUP($B890,Members!$A:$C,2,FALSE),"")</f>
        <v/>
      </c>
      <c r="D890" s="11">
        <f>IFERROR(VLOOKUP($B890,Members!$A:$C,3,FALSE),"")</f>
        <v/>
      </c>
      <c r="E890" s="11">
        <f>IF($F890="","",IFERROR(VLOOKUP($F890,ActionMap!$A:$B,2,FALSE),"INVALID ACTION"))</f>
        <v/>
      </c>
      <c r="F890" s="4" t="n"/>
      <c r="G890" s="11">
        <f>IFERROR(VLOOKUP($E890,ActionsCatalog!$A:$B,2,FALSE),"")</f>
        <v/>
      </c>
      <c r="H890" s="4" t="n"/>
      <c r="I890" s="4">
        <f>IFERROR(VLOOKUP($E890,ActionsCatalog!$A:$D,3,FALSE),0)</f>
        <v/>
      </c>
      <c r="J890" s="4">
        <f>IFERROR(VLOOKUP($E890,ActionsCatalog!$A:$D,4,FALSE),0)</f>
        <v/>
      </c>
      <c r="K890" s="4">
        <f>IF($M890&lt;&gt;"Yes",0,IF($H890="",0,$H890*$I890))</f>
        <v/>
      </c>
      <c r="L890" s="4">
        <f>IF($M890&lt;&gt;"Yes",0,IF($H890="",0,$H890*$J890))</f>
        <v/>
      </c>
      <c r="M890" s="4" t="n"/>
      <c r="N890" s="4" t="n"/>
      <c r="O890" s="4">
        <f>IF($A890="","",TEXT($A890,"yyyy")&amp;"-W"&amp;TEXT(ISOWEEKNUM($A890),"00"))</f>
        <v/>
      </c>
      <c r="P890" s="4" t="n"/>
      <c r="Q890" s="14">
        <f>IF($A890="","",TEXT($A890,"yyyy-mm"))</f>
        <v/>
      </c>
    </row>
    <row r="891">
      <c r="A891" s="66" t="n"/>
      <c r="B891" s="4" t="n"/>
      <c r="C891" s="11">
        <f>IFERROR(VLOOKUP($B891,Members!$A:$C,2,FALSE),"")</f>
        <v/>
      </c>
      <c r="D891" s="11">
        <f>IFERROR(VLOOKUP($B891,Members!$A:$C,3,FALSE),"")</f>
        <v/>
      </c>
      <c r="E891" s="11">
        <f>IF($F891="","",IFERROR(VLOOKUP($F891,ActionMap!$A:$B,2,FALSE),"INVALID ACTION"))</f>
        <v/>
      </c>
      <c r="F891" s="4" t="n"/>
      <c r="G891" s="11">
        <f>IFERROR(VLOOKUP($E891,ActionsCatalog!$A:$B,2,FALSE),"")</f>
        <v/>
      </c>
      <c r="H891" s="4" t="n"/>
      <c r="I891" s="4">
        <f>IFERROR(VLOOKUP($E891,ActionsCatalog!$A:$D,3,FALSE),0)</f>
        <v/>
      </c>
      <c r="J891" s="4">
        <f>IFERROR(VLOOKUP($E891,ActionsCatalog!$A:$D,4,FALSE),0)</f>
        <v/>
      </c>
      <c r="K891" s="4">
        <f>IF($M891&lt;&gt;"Yes",0,IF($H891="",0,$H891*$I891))</f>
        <v/>
      </c>
      <c r="L891" s="4">
        <f>IF($M891&lt;&gt;"Yes",0,IF($H891="",0,$H891*$J891))</f>
        <v/>
      </c>
      <c r="M891" s="4" t="n"/>
      <c r="N891" s="4" t="n"/>
      <c r="O891" s="4">
        <f>IF($A891="","",TEXT($A891,"yyyy")&amp;"-W"&amp;TEXT(ISOWEEKNUM($A891),"00"))</f>
        <v/>
      </c>
      <c r="P891" s="4" t="n"/>
      <c r="Q891" s="14">
        <f>IF($A891="","",TEXT($A891,"yyyy-mm"))</f>
        <v/>
      </c>
    </row>
    <row r="892">
      <c r="A892" s="66" t="n"/>
      <c r="B892" s="4" t="n"/>
      <c r="C892" s="11">
        <f>IFERROR(VLOOKUP($B892,Members!$A:$C,2,FALSE),"")</f>
        <v/>
      </c>
      <c r="D892" s="11">
        <f>IFERROR(VLOOKUP($B892,Members!$A:$C,3,FALSE),"")</f>
        <v/>
      </c>
      <c r="E892" s="11">
        <f>IF($F892="","",IFERROR(VLOOKUP($F892,ActionMap!$A:$B,2,FALSE),"INVALID ACTION"))</f>
        <v/>
      </c>
      <c r="F892" s="4" t="n"/>
      <c r="G892" s="11">
        <f>IFERROR(VLOOKUP($E892,ActionsCatalog!$A:$B,2,FALSE),"")</f>
        <v/>
      </c>
      <c r="H892" s="4" t="n"/>
      <c r="I892" s="4">
        <f>IFERROR(VLOOKUP($E892,ActionsCatalog!$A:$D,3,FALSE),0)</f>
        <v/>
      </c>
      <c r="J892" s="4">
        <f>IFERROR(VLOOKUP($E892,ActionsCatalog!$A:$D,4,FALSE),0)</f>
        <v/>
      </c>
      <c r="K892" s="4">
        <f>IF($M892&lt;&gt;"Yes",0,IF($H892="",0,$H892*$I892))</f>
        <v/>
      </c>
      <c r="L892" s="4">
        <f>IF($M892&lt;&gt;"Yes",0,IF($H892="",0,$H892*$J892))</f>
        <v/>
      </c>
      <c r="M892" s="4" t="n"/>
      <c r="N892" s="4" t="n"/>
      <c r="O892" s="4">
        <f>IF($A892="","",TEXT($A892,"yyyy")&amp;"-W"&amp;TEXT(ISOWEEKNUM($A892),"00"))</f>
        <v/>
      </c>
      <c r="P892" s="4" t="n"/>
      <c r="Q892" s="14">
        <f>IF($A892="","",TEXT($A892,"yyyy-mm"))</f>
        <v/>
      </c>
    </row>
    <row r="893">
      <c r="A893" s="66" t="n"/>
      <c r="B893" s="4" t="n"/>
      <c r="C893" s="11">
        <f>IFERROR(VLOOKUP($B893,Members!$A:$C,2,FALSE),"")</f>
        <v/>
      </c>
      <c r="D893" s="11">
        <f>IFERROR(VLOOKUP($B893,Members!$A:$C,3,FALSE),"")</f>
        <v/>
      </c>
      <c r="E893" s="11">
        <f>IF($F893="","",IFERROR(VLOOKUP($F893,ActionMap!$A:$B,2,FALSE),"INVALID ACTION"))</f>
        <v/>
      </c>
      <c r="F893" s="4" t="n"/>
      <c r="G893" s="11">
        <f>IFERROR(VLOOKUP($E893,ActionsCatalog!$A:$B,2,FALSE),"")</f>
        <v/>
      </c>
      <c r="H893" s="4" t="n"/>
      <c r="I893" s="4">
        <f>IFERROR(VLOOKUP($E893,ActionsCatalog!$A:$D,3,FALSE),0)</f>
        <v/>
      </c>
      <c r="J893" s="4">
        <f>IFERROR(VLOOKUP($E893,ActionsCatalog!$A:$D,4,FALSE),0)</f>
        <v/>
      </c>
      <c r="K893" s="4">
        <f>IF($M893&lt;&gt;"Yes",0,IF($H893="",0,$H893*$I893))</f>
        <v/>
      </c>
      <c r="L893" s="4">
        <f>IF($M893&lt;&gt;"Yes",0,IF($H893="",0,$H893*$J893))</f>
        <v/>
      </c>
      <c r="M893" s="4" t="n"/>
      <c r="N893" s="4" t="n"/>
      <c r="O893" s="4">
        <f>IF($A893="","",TEXT($A893,"yyyy")&amp;"-W"&amp;TEXT(ISOWEEKNUM($A893),"00"))</f>
        <v/>
      </c>
      <c r="P893" s="4" t="n"/>
      <c r="Q893" s="14">
        <f>IF($A893="","",TEXT($A893,"yyyy-mm"))</f>
        <v/>
      </c>
    </row>
    <row r="894">
      <c r="A894" s="66" t="n"/>
      <c r="B894" s="4" t="n"/>
      <c r="C894" s="11">
        <f>IFERROR(VLOOKUP($B894,Members!$A:$C,2,FALSE),"")</f>
        <v/>
      </c>
      <c r="D894" s="11">
        <f>IFERROR(VLOOKUP($B894,Members!$A:$C,3,FALSE),"")</f>
        <v/>
      </c>
      <c r="E894" s="11">
        <f>IF($F894="","",IFERROR(VLOOKUP($F894,ActionMap!$A:$B,2,FALSE),"INVALID ACTION"))</f>
        <v/>
      </c>
      <c r="F894" s="4" t="n"/>
      <c r="G894" s="11">
        <f>IFERROR(VLOOKUP($E894,ActionsCatalog!$A:$B,2,FALSE),"")</f>
        <v/>
      </c>
      <c r="H894" s="4" t="n"/>
      <c r="I894" s="4">
        <f>IFERROR(VLOOKUP($E894,ActionsCatalog!$A:$D,3,FALSE),0)</f>
        <v/>
      </c>
      <c r="J894" s="4">
        <f>IFERROR(VLOOKUP($E894,ActionsCatalog!$A:$D,4,FALSE),0)</f>
        <v/>
      </c>
      <c r="K894" s="4">
        <f>IF($M894&lt;&gt;"Yes",0,IF($H894="",0,$H894*$I894))</f>
        <v/>
      </c>
      <c r="L894" s="4">
        <f>IF($M894&lt;&gt;"Yes",0,IF($H894="",0,$H894*$J894))</f>
        <v/>
      </c>
      <c r="M894" s="4" t="n"/>
      <c r="N894" s="4" t="n"/>
      <c r="O894" s="4">
        <f>IF($A894="","",TEXT($A894,"yyyy")&amp;"-W"&amp;TEXT(ISOWEEKNUM($A894),"00"))</f>
        <v/>
      </c>
      <c r="P894" s="4" t="n"/>
      <c r="Q894" s="14">
        <f>IF($A894="","",TEXT($A894,"yyyy-mm"))</f>
        <v/>
      </c>
    </row>
    <row r="895">
      <c r="A895" s="66" t="n"/>
      <c r="B895" s="4" t="n"/>
      <c r="C895" s="11">
        <f>IFERROR(VLOOKUP($B895,Members!$A:$C,2,FALSE),"")</f>
        <v/>
      </c>
      <c r="D895" s="11">
        <f>IFERROR(VLOOKUP($B895,Members!$A:$C,3,FALSE),"")</f>
        <v/>
      </c>
      <c r="E895" s="11">
        <f>IF($F895="","",IFERROR(VLOOKUP($F895,ActionMap!$A:$B,2,FALSE),"INVALID ACTION"))</f>
        <v/>
      </c>
      <c r="F895" s="4" t="n"/>
      <c r="G895" s="11">
        <f>IFERROR(VLOOKUP($E895,ActionsCatalog!$A:$B,2,FALSE),"")</f>
        <v/>
      </c>
      <c r="H895" s="4" t="n"/>
      <c r="I895" s="4">
        <f>IFERROR(VLOOKUP($E895,ActionsCatalog!$A:$D,3,FALSE),0)</f>
        <v/>
      </c>
      <c r="J895" s="4">
        <f>IFERROR(VLOOKUP($E895,ActionsCatalog!$A:$D,4,FALSE),0)</f>
        <v/>
      </c>
      <c r="K895" s="4">
        <f>IF($M895&lt;&gt;"Yes",0,IF($H895="",0,$H895*$I895))</f>
        <v/>
      </c>
      <c r="L895" s="4">
        <f>IF($M895&lt;&gt;"Yes",0,IF($H895="",0,$H895*$J895))</f>
        <v/>
      </c>
      <c r="M895" s="4" t="n"/>
      <c r="N895" s="4" t="n"/>
      <c r="O895" s="4">
        <f>IF($A895="","",TEXT($A895,"yyyy")&amp;"-W"&amp;TEXT(ISOWEEKNUM($A895),"00"))</f>
        <v/>
      </c>
      <c r="P895" s="4" t="n"/>
      <c r="Q895" s="14">
        <f>IF($A895="","",TEXT($A895,"yyyy-mm"))</f>
        <v/>
      </c>
    </row>
    <row r="896">
      <c r="A896" s="66" t="n"/>
      <c r="B896" s="4" t="n"/>
      <c r="C896" s="11">
        <f>IFERROR(VLOOKUP($B896,Members!$A:$C,2,FALSE),"")</f>
        <v/>
      </c>
      <c r="D896" s="11">
        <f>IFERROR(VLOOKUP($B896,Members!$A:$C,3,FALSE),"")</f>
        <v/>
      </c>
      <c r="E896" s="11">
        <f>IF($F896="","",IFERROR(VLOOKUP($F896,ActionMap!$A:$B,2,FALSE),"INVALID ACTION"))</f>
        <v/>
      </c>
      <c r="F896" s="4" t="n"/>
      <c r="G896" s="11">
        <f>IFERROR(VLOOKUP($E896,ActionsCatalog!$A:$B,2,FALSE),"")</f>
        <v/>
      </c>
      <c r="H896" s="4" t="n"/>
      <c r="I896" s="4">
        <f>IFERROR(VLOOKUP($E896,ActionsCatalog!$A:$D,3,FALSE),0)</f>
        <v/>
      </c>
      <c r="J896" s="4">
        <f>IFERROR(VLOOKUP($E896,ActionsCatalog!$A:$D,4,FALSE),0)</f>
        <v/>
      </c>
      <c r="K896" s="4">
        <f>IF($M896&lt;&gt;"Yes",0,IF($H896="",0,$H896*$I896))</f>
        <v/>
      </c>
      <c r="L896" s="4">
        <f>IF($M896&lt;&gt;"Yes",0,IF($H896="",0,$H896*$J896))</f>
        <v/>
      </c>
      <c r="M896" s="4" t="n"/>
      <c r="N896" s="4" t="n"/>
      <c r="O896" s="4">
        <f>IF($A896="","",TEXT($A896,"yyyy")&amp;"-W"&amp;TEXT(ISOWEEKNUM($A896),"00"))</f>
        <v/>
      </c>
      <c r="P896" s="4" t="n"/>
      <c r="Q896" s="14">
        <f>IF($A896="","",TEXT($A896,"yyyy-mm"))</f>
        <v/>
      </c>
    </row>
    <row r="897">
      <c r="A897" s="66" t="n"/>
      <c r="B897" s="4" t="n"/>
      <c r="C897" s="11">
        <f>IFERROR(VLOOKUP($B897,Members!$A:$C,2,FALSE),"")</f>
        <v/>
      </c>
      <c r="D897" s="11">
        <f>IFERROR(VLOOKUP($B897,Members!$A:$C,3,FALSE),"")</f>
        <v/>
      </c>
      <c r="E897" s="11">
        <f>IF($F897="","",IFERROR(VLOOKUP($F897,ActionMap!$A:$B,2,FALSE),"INVALID ACTION"))</f>
        <v/>
      </c>
      <c r="F897" s="4" t="n"/>
      <c r="G897" s="11">
        <f>IFERROR(VLOOKUP($E897,ActionsCatalog!$A:$B,2,FALSE),"")</f>
        <v/>
      </c>
      <c r="H897" s="4" t="n"/>
      <c r="I897" s="4">
        <f>IFERROR(VLOOKUP($E897,ActionsCatalog!$A:$D,3,FALSE),0)</f>
        <v/>
      </c>
      <c r="J897" s="4">
        <f>IFERROR(VLOOKUP($E897,ActionsCatalog!$A:$D,4,FALSE),0)</f>
        <v/>
      </c>
      <c r="K897" s="4">
        <f>IF($M897&lt;&gt;"Yes",0,IF($H897="",0,$H897*$I897))</f>
        <v/>
      </c>
      <c r="L897" s="4">
        <f>IF($M897&lt;&gt;"Yes",0,IF($H897="",0,$H897*$J897))</f>
        <v/>
      </c>
      <c r="M897" s="4" t="n"/>
      <c r="N897" s="4" t="n"/>
      <c r="O897" s="4">
        <f>IF($A897="","",TEXT($A897,"yyyy")&amp;"-W"&amp;TEXT(ISOWEEKNUM($A897),"00"))</f>
        <v/>
      </c>
      <c r="P897" s="4" t="n"/>
      <c r="Q897" s="14">
        <f>IF($A897="","",TEXT($A897,"yyyy-mm"))</f>
        <v/>
      </c>
    </row>
    <row r="898">
      <c r="A898" s="66" t="n"/>
      <c r="B898" s="4" t="n"/>
      <c r="C898" s="11">
        <f>IFERROR(VLOOKUP($B898,Members!$A:$C,2,FALSE),"")</f>
        <v/>
      </c>
      <c r="D898" s="11">
        <f>IFERROR(VLOOKUP($B898,Members!$A:$C,3,FALSE),"")</f>
        <v/>
      </c>
      <c r="E898" s="11">
        <f>IF($F898="","",IFERROR(VLOOKUP($F898,ActionMap!$A:$B,2,FALSE),"INVALID ACTION"))</f>
        <v/>
      </c>
      <c r="F898" s="4" t="n"/>
      <c r="G898" s="11">
        <f>IFERROR(VLOOKUP($E898,ActionsCatalog!$A:$B,2,FALSE),"")</f>
        <v/>
      </c>
      <c r="H898" s="4" t="n"/>
      <c r="I898" s="4">
        <f>IFERROR(VLOOKUP($E898,ActionsCatalog!$A:$D,3,FALSE),0)</f>
        <v/>
      </c>
      <c r="J898" s="4">
        <f>IFERROR(VLOOKUP($E898,ActionsCatalog!$A:$D,4,FALSE),0)</f>
        <v/>
      </c>
      <c r="K898" s="4">
        <f>IF($M898&lt;&gt;"Yes",0,IF($H898="",0,$H898*$I898))</f>
        <v/>
      </c>
      <c r="L898" s="4">
        <f>IF($M898&lt;&gt;"Yes",0,IF($H898="",0,$H898*$J898))</f>
        <v/>
      </c>
      <c r="M898" s="4" t="n"/>
      <c r="N898" s="4" t="n"/>
      <c r="O898" s="4">
        <f>IF($A898="","",TEXT($A898,"yyyy")&amp;"-W"&amp;TEXT(ISOWEEKNUM($A898),"00"))</f>
        <v/>
      </c>
      <c r="P898" s="4" t="n"/>
      <c r="Q898" s="14">
        <f>IF($A898="","",TEXT($A898,"yyyy-mm"))</f>
        <v/>
      </c>
    </row>
    <row r="899">
      <c r="A899" s="66" t="n"/>
      <c r="B899" s="4" t="n"/>
      <c r="C899" s="11">
        <f>IFERROR(VLOOKUP($B899,Members!$A:$C,2,FALSE),"")</f>
        <v/>
      </c>
      <c r="D899" s="11">
        <f>IFERROR(VLOOKUP($B899,Members!$A:$C,3,FALSE),"")</f>
        <v/>
      </c>
      <c r="E899" s="11">
        <f>IF($F899="","",IFERROR(VLOOKUP($F899,ActionMap!$A:$B,2,FALSE),"INVALID ACTION"))</f>
        <v/>
      </c>
      <c r="F899" s="4" t="n"/>
      <c r="G899" s="11">
        <f>IFERROR(VLOOKUP($E899,ActionsCatalog!$A:$B,2,FALSE),"")</f>
        <v/>
      </c>
      <c r="H899" s="4" t="n"/>
      <c r="I899" s="4">
        <f>IFERROR(VLOOKUP($E899,ActionsCatalog!$A:$D,3,FALSE),0)</f>
        <v/>
      </c>
      <c r="J899" s="4">
        <f>IFERROR(VLOOKUP($E899,ActionsCatalog!$A:$D,4,FALSE),0)</f>
        <v/>
      </c>
      <c r="K899" s="4">
        <f>IF($M899&lt;&gt;"Yes",0,IF($H899="",0,$H899*$I899))</f>
        <v/>
      </c>
      <c r="L899" s="4">
        <f>IF($M899&lt;&gt;"Yes",0,IF($H899="",0,$H899*$J899))</f>
        <v/>
      </c>
      <c r="M899" s="4" t="n"/>
      <c r="N899" s="4" t="n"/>
      <c r="O899" s="4">
        <f>IF($A899="","",TEXT($A899,"yyyy")&amp;"-W"&amp;TEXT(ISOWEEKNUM($A899),"00"))</f>
        <v/>
      </c>
      <c r="P899" s="4" t="n"/>
      <c r="Q899" s="14">
        <f>IF($A899="","",TEXT($A899,"yyyy-mm"))</f>
        <v/>
      </c>
    </row>
    <row r="900">
      <c r="A900" s="66" t="n"/>
      <c r="B900" s="4" t="n"/>
      <c r="C900" s="11">
        <f>IFERROR(VLOOKUP($B900,Members!$A:$C,2,FALSE),"")</f>
        <v/>
      </c>
      <c r="D900" s="11">
        <f>IFERROR(VLOOKUP($B900,Members!$A:$C,3,FALSE),"")</f>
        <v/>
      </c>
      <c r="E900" s="11">
        <f>IF($F900="","",IFERROR(VLOOKUP($F900,ActionMap!$A:$B,2,FALSE),"INVALID ACTION"))</f>
        <v/>
      </c>
      <c r="F900" s="4" t="n"/>
      <c r="G900" s="11">
        <f>IFERROR(VLOOKUP($E900,ActionsCatalog!$A:$B,2,FALSE),"")</f>
        <v/>
      </c>
      <c r="H900" s="4" t="n"/>
      <c r="I900" s="4">
        <f>IFERROR(VLOOKUP($E900,ActionsCatalog!$A:$D,3,FALSE),0)</f>
        <v/>
      </c>
      <c r="J900" s="4">
        <f>IFERROR(VLOOKUP($E900,ActionsCatalog!$A:$D,4,FALSE),0)</f>
        <v/>
      </c>
      <c r="K900" s="4">
        <f>IF($M900&lt;&gt;"Yes",0,IF($H900="",0,$H900*$I900))</f>
        <v/>
      </c>
      <c r="L900" s="4">
        <f>IF($M900&lt;&gt;"Yes",0,IF($H900="",0,$H900*$J900))</f>
        <v/>
      </c>
      <c r="M900" s="4" t="n"/>
      <c r="N900" s="4" t="n"/>
      <c r="O900" s="4">
        <f>IF($A900="","",TEXT($A900,"yyyy")&amp;"-W"&amp;TEXT(ISOWEEKNUM($A900),"00"))</f>
        <v/>
      </c>
      <c r="P900" s="4" t="n"/>
      <c r="Q900" s="14">
        <f>IF($A900="","",TEXT($A900,"yyyy-mm"))</f>
        <v/>
      </c>
    </row>
    <row r="901">
      <c r="A901" s="66" t="n"/>
      <c r="B901" s="4" t="n"/>
      <c r="C901" s="11">
        <f>IFERROR(VLOOKUP($B901,Members!$A:$C,2,FALSE),"")</f>
        <v/>
      </c>
      <c r="D901" s="11">
        <f>IFERROR(VLOOKUP($B901,Members!$A:$C,3,FALSE),"")</f>
        <v/>
      </c>
      <c r="E901" s="11">
        <f>IF($F901="","",IFERROR(VLOOKUP($F901,ActionMap!$A:$B,2,FALSE),"INVALID ACTION"))</f>
        <v/>
      </c>
      <c r="F901" s="4" t="n"/>
      <c r="G901" s="11">
        <f>IFERROR(VLOOKUP($E901,ActionsCatalog!$A:$B,2,FALSE),"")</f>
        <v/>
      </c>
      <c r="H901" s="4" t="n"/>
      <c r="I901" s="4">
        <f>IFERROR(VLOOKUP($E901,ActionsCatalog!$A:$D,3,FALSE),0)</f>
        <v/>
      </c>
      <c r="J901" s="4">
        <f>IFERROR(VLOOKUP($E901,ActionsCatalog!$A:$D,4,FALSE),0)</f>
        <v/>
      </c>
      <c r="K901" s="4">
        <f>IF($M901&lt;&gt;"Yes",0,IF($H901="",0,$H901*$I901))</f>
        <v/>
      </c>
      <c r="L901" s="4">
        <f>IF($M901&lt;&gt;"Yes",0,IF($H901="",0,$H901*$J901))</f>
        <v/>
      </c>
      <c r="M901" s="4" t="n"/>
      <c r="N901" s="4" t="n"/>
      <c r="O901" s="4">
        <f>IF($A901="","",TEXT($A901,"yyyy")&amp;"-W"&amp;TEXT(ISOWEEKNUM($A901),"00"))</f>
        <v/>
      </c>
      <c r="P901" s="4" t="n"/>
      <c r="Q901" s="14">
        <f>IF($A901="","",TEXT($A901,"yyyy-mm"))</f>
        <v/>
      </c>
    </row>
    <row r="902">
      <c r="A902" s="66" t="n"/>
      <c r="B902" s="4" t="n"/>
      <c r="C902" s="11">
        <f>IFERROR(VLOOKUP($B902,Members!$A:$C,2,FALSE),"")</f>
        <v/>
      </c>
      <c r="D902" s="11">
        <f>IFERROR(VLOOKUP($B902,Members!$A:$C,3,FALSE),"")</f>
        <v/>
      </c>
      <c r="E902" s="11">
        <f>IF($F902="","",IFERROR(VLOOKUP($F902,ActionMap!$A:$B,2,FALSE),"INVALID ACTION"))</f>
        <v/>
      </c>
      <c r="F902" s="4" t="n"/>
      <c r="G902" s="11">
        <f>IFERROR(VLOOKUP($E902,ActionsCatalog!$A:$B,2,FALSE),"")</f>
        <v/>
      </c>
      <c r="H902" s="4" t="n"/>
      <c r="I902" s="4">
        <f>IFERROR(VLOOKUP($E902,ActionsCatalog!$A:$D,3,FALSE),0)</f>
        <v/>
      </c>
      <c r="J902" s="4">
        <f>IFERROR(VLOOKUP($E902,ActionsCatalog!$A:$D,4,FALSE),0)</f>
        <v/>
      </c>
      <c r="K902" s="4">
        <f>IF($M902&lt;&gt;"Yes",0,IF($H902="",0,$H902*$I902))</f>
        <v/>
      </c>
      <c r="L902" s="4">
        <f>IF($M902&lt;&gt;"Yes",0,IF($H902="",0,$H902*$J902))</f>
        <v/>
      </c>
      <c r="M902" s="4" t="n"/>
      <c r="N902" s="4" t="n"/>
      <c r="O902" s="4">
        <f>IF($A902="","",TEXT($A902,"yyyy")&amp;"-W"&amp;TEXT(ISOWEEKNUM($A902),"00"))</f>
        <v/>
      </c>
      <c r="P902" s="4" t="n"/>
      <c r="Q902" s="14">
        <f>IF($A902="","",TEXT($A902,"yyyy-mm"))</f>
        <v/>
      </c>
    </row>
    <row r="903">
      <c r="A903" s="66" t="n"/>
      <c r="B903" s="4" t="n"/>
      <c r="C903" s="11">
        <f>IFERROR(VLOOKUP($B903,Members!$A:$C,2,FALSE),"")</f>
        <v/>
      </c>
      <c r="D903" s="11">
        <f>IFERROR(VLOOKUP($B903,Members!$A:$C,3,FALSE),"")</f>
        <v/>
      </c>
      <c r="E903" s="11">
        <f>IF($F903="","",IFERROR(VLOOKUP($F903,ActionMap!$A:$B,2,FALSE),"INVALID ACTION"))</f>
        <v/>
      </c>
      <c r="F903" s="4" t="n"/>
      <c r="G903" s="11">
        <f>IFERROR(VLOOKUP($E903,ActionsCatalog!$A:$B,2,FALSE),"")</f>
        <v/>
      </c>
      <c r="H903" s="4" t="n"/>
      <c r="I903" s="4">
        <f>IFERROR(VLOOKUP($E903,ActionsCatalog!$A:$D,3,FALSE),0)</f>
        <v/>
      </c>
      <c r="J903" s="4">
        <f>IFERROR(VLOOKUP($E903,ActionsCatalog!$A:$D,4,FALSE),0)</f>
        <v/>
      </c>
      <c r="K903" s="4">
        <f>IF($M903&lt;&gt;"Yes",0,IF($H903="",0,$H903*$I903))</f>
        <v/>
      </c>
      <c r="L903" s="4">
        <f>IF($M903&lt;&gt;"Yes",0,IF($H903="",0,$H903*$J903))</f>
        <v/>
      </c>
      <c r="M903" s="4" t="n"/>
      <c r="N903" s="4" t="n"/>
      <c r="O903" s="4">
        <f>IF($A903="","",TEXT($A903,"yyyy")&amp;"-W"&amp;TEXT(ISOWEEKNUM($A903),"00"))</f>
        <v/>
      </c>
      <c r="P903" s="4" t="n"/>
      <c r="Q903" s="14">
        <f>IF($A903="","",TEXT($A903,"yyyy-mm"))</f>
        <v/>
      </c>
    </row>
    <row r="904">
      <c r="A904" s="66" t="n"/>
      <c r="B904" s="4" t="n"/>
      <c r="C904" s="11">
        <f>IFERROR(VLOOKUP($B904,Members!$A:$C,2,FALSE),"")</f>
        <v/>
      </c>
      <c r="D904" s="11">
        <f>IFERROR(VLOOKUP($B904,Members!$A:$C,3,FALSE),"")</f>
        <v/>
      </c>
      <c r="E904" s="11">
        <f>IF($F904="","",IFERROR(VLOOKUP($F904,ActionMap!$A:$B,2,FALSE),"INVALID ACTION"))</f>
        <v/>
      </c>
      <c r="F904" s="4" t="n"/>
      <c r="G904" s="11">
        <f>IFERROR(VLOOKUP($E904,ActionsCatalog!$A:$B,2,FALSE),"")</f>
        <v/>
      </c>
      <c r="H904" s="4" t="n"/>
      <c r="I904" s="4">
        <f>IFERROR(VLOOKUP($E904,ActionsCatalog!$A:$D,3,FALSE),0)</f>
        <v/>
      </c>
      <c r="J904" s="4">
        <f>IFERROR(VLOOKUP($E904,ActionsCatalog!$A:$D,4,FALSE),0)</f>
        <v/>
      </c>
      <c r="K904" s="4">
        <f>IF($M904&lt;&gt;"Yes",0,IF($H904="",0,$H904*$I904))</f>
        <v/>
      </c>
      <c r="L904" s="4">
        <f>IF($M904&lt;&gt;"Yes",0,IF($H904="",0,$H904*$J904))</f>
        <v/>
      </c>
      <c r="M904" s="4" t="n"/>
      <c r="N904" s="4" t="n"/>
      <c r="O904" s="4">
        <f>IF($A904="","",TEXT($A904,"yyyy")&amp;"-W"&amp;TEXT(ISOWEEKNUM($A904),"00"))</f>
        <v/>
      </c>
      <c r="P904" s="4" t="n"/>
      <c r="Q904" s="14">
        <f>IF($A904="","",TEXT($A904,"yyyy-mm"))</f>
        <v/>
      </c>
    </row>
    <row r="905">
      <c r="A905" s="66" t="n"/>
      <c r="B905" s="4" t="n"/>
      <c r="C905" s="11">
        <f>IFERROR(VLOOKUP($B905,Members!$A:$C,2,FALSE),"")</f>
        <v/>
      </c>
      <c r="D905" s="11">
        <f>IFERROR(VLOOKUP($B905,Members!$A:$C,3,FALSE),"")</f>
        <v/>
      </c>
      <c r="E905" s="11">
        <f>IF($F905="","",IFERROR(VLOOKUP($F905,ActionMap!$A:$B,2,FALSE),"INVALID ACTION"))</f>
        <v/>
      </c>
      <c r="F905" s="4" t="n"/>
      <c r="G905" s="11">
        <f>IFERROR(VLOOKUP($E905,ActionsCatalog!$A:$B,2,FALSE),"")</f>
        <v/>
      </c>
      <c r="H905" s="4" t="n"/>
      <c r="I905" s="4">
        <f>IFERROR(VLOOKUP($E905,ActionsCatalog!$A:$D,3,FALSE),0)</f>
        <v/>
      </c>
      <c r="J905" s="4">
        <f>IFERROR(VLOOKUP($E905,ActionsCatalog!$A:$D,4,FALSE),0)</f>
        <v/>
      </c>
      <c r="K905" s="4">
        <f>IF($M905&lt;&gt;"Yes",0,IF($H905="",0,$H905*$I905))</f>
        <v/>
      </c>
      <c r="L905" s="4">
        <f>IF($M905&lt;&gt;"Yes",0,IF($H905="",0,$H905*$J905))</f>
        <v/>
      </c>
      <c r="M905" s="4" t="n"/>
      <c r="N905" s="4" t="n"/>
      <c r="O905" s="4">
        <f>IF($A905="","",TEXT($A905,"yyyy")&amp;"-W"&amp;TEXT(ISOWEEKNUM($A905),"00"))</f>
        <v/>
      </c>
      <c r="P905" s="4" t="n"/>
      <c r="Q905" s="14">
        <f>IF($A905="","",TEXT($A905,"yyyy-mm"))</f>
        <v/>
      </c>
    </row>
    <row r="906">
      <c r="A906" s="66" t="n"/>
      <c r="B906" s="4" t="n"/>
      <c r="C906" s="11">
        <f>IFERROR(VLOOKUP($B906,Members!$A:$C,2,FALSE),"")</f>
        <v/>
      </c>
      <c r="D906" s="11">
        <f>IFERROR(VLOOKUP($B906,Members!$A:$C,3,FALSE),"")</f>
        <v/>
      </c>
      <c r="E906" s="11">
        <f>IF($F906="","",IFERROR(VLOOKUP($F906,ActionMap!$A:$B,2,FALSE),"INVALID ACTION"))</f>
        <v/>
      </c>
      <c r="F906" s="4" t="n"/>
      <c r="G906" s="11">
        <f>IFERROR(VLOOKUP($E906,ActionsCatalog!$A:$B,2,FALSE),"")</f>
        <v/>
      </c>
      <c r="H906" s="4" t="n"/>
      <c r="I906" s="4">
        <f>IFERROR(VLOOKUP($E906,ActionsCatalog!$A:$D,3,FALSE),0)</f>
        <v/>
      </c>
      <c r="J906" s="4">
        <f>IFERROR(VLOOKUP($E906,ActionsCatalog!$A:$D,4,FALSE),0)</f>
        <v/>
      </c>
      <c r="K906" s="4">
        <f>IF($M906&lt;&gt;"Yes",0,IF($H906="",0,$H906*$I906))</f>
        <v/>
      </c>
      <c r="L906" s="4">
        <f>IF($M906&lt;&gt;"Yes",0,IF($H906="",0,$H906*$J906))</f>
        <v/>
      </c>
      <c r="M906" s="4" t="n"/>
      <c r="N906" s="4" t="n"/>
      <c r="O906" s="4">
        <f>IF($A906="","",TEXT($A906,"yyyy")&amp;"-W"&amp;TEXT(ISOWEEKNUM($A906),"00"))</f>
        <v/>
      </c>
      <c r="P906" s="4" t="n"/>
      <c r="Q906" s="14">
        <f>IF($A906="","",TEXT($A906,"yyyy-mm"))</f>
        <v/>
      </c>
    </row>
    <row r="907">
      <c r="A907" s="66" t="n"/>
      <c r="B907" s="4" t="n"/>
      <c r="C907" s="11">
        <f>IFERROR(VLOOKUP($B907,Members!$A:$C,2,FALSE),"")</f>
        <v/>
      </c>
      <c r="D907" s="11">
        <f>IFERROR(VLOOKUP($B907,Members!$A:$C,3,FALSE),"")</f>
        <v/>
      </c>
      <c r="E907" s="11">
        <f>IF($F907="","",IFERROR(VLOOKUP($F907,ActionMap!$A:$B,2,FALSE),"INVALID ACTION"))</f>
        <v/>
      </c>
      <c r="F907" s="4" t="n"/>
      <c r="G907" s="11">
        <f>IFERROR(VLOOKUP($E907,ActionsCatalog!$A:$B,2,FALSE),"")</f>
        <v/>
      </c>
      <c r="H907" s="4" t="n"/>
      <c r="I907" s="4">
        <f>IFERROR(VLOOKUP($E907,ActionsCatalog!$A:$D,3,FALSE),0)</f>
        <v/>
      </c>
      <c r="J907" s="4">
        <f>IFERROR(VLOOKUP($E907,ActionsCatalog!$A:$D,4,FALSE),0)</f>
        <v/>
      </c>
      <c r="K907" s="4">
        <f>IF($M907&lt;&gt;"Yes",0,IF($H907="",0,$H907*$I907))</f>
        <v/>
      </c>
      <c r="L907" s="4">
        <f>IF($M907&lt;&gt;"Yes",0,IF($H907="",0,$H907*$J907))</f>
        <v/>
      </c>
      <c r="M907" s="4" t="n"/>
      <c r="N907" s="4" t="n"/>
      <c r="O907" s="4">
        <f>IF($A907="","",TEXT($A907,"yyyy")&amp;"-W"&amp;TEXT(ISOWEEKNUM($A907),"00"))</f>
        <v/>
      </c>
      <c r="P907" s="4" t="n"/>
      <c r="Q907" s="14">
        <f>IF($A907="","",TEXT($A907,"yyyy-mm"))</f>
        <v/>
      </c>
    </row>
    <row r="908">
      <c r="A908" s="66" t="n"/>
      <c r="B908" s="4" t="n"/>
      <c r="C908" s="11">
        <f>IFERROR(VLOOKUP($B908,Members!$A:$C,2,FALSE),"")</f>
        <v/>
      </c>
      <c r="D908" s="11">
        <f>IFERROR(VLOOKUP($B908,Members!$A:$C,3,FALSE),"")</f>
        <v/>
      </c>
      <c r="E908" s="11">
        <f>IF($F908="","",IFERROR(VLOOKUP($F908,ActionMap!$A:$B,2,FALSE),"INVALID ACTION"))</f>
        <v/>
      </c>
      <c r="F908" s="4" t="n"/>
      <c r="G908" s="11">
        <f>IFERROR(VLOOKUP($E908,ActionsCatalog!$A:$B,2,FALSE),"")</f>
        <v/>
      </c>
      <c r="H908" s="4" t="n"/>
      <c r="I908" s="4">
        <f>IFERROR(VLOOKUP($E908,ActionsCatalog!$A:$D,3,FALSE),0)</f>
        <v/>
      </c>
      <c r="J908" s="4">
        <f>IFERROR(VLOOKUP($E908,ActionsCatalog!$A:$D,4,FALSE),0)</f>
        <v/>
      </c>
      <c r="K908" s="4">
        <f>IF($M908&lt;&gt;"Yes",0,IF($H908="",0,$H908*$I908))</f>
        <v/>
      </c>
      <c r="L908" s="4">
        <f>IF($M908&lt;&gt;"Yes",0,IF($H908="",0,$H908*$J908))</f>
        <v/>
      </c>
      <c r="M908" s="4" t="n"/>
      <c r="N908" s="4" t="n"/>
      <c r="O908" s="4">
        <f>IF($A908="","",TEXT($A908,"yyyy")&amp;"-W"&amp;TEXT(ISOWEEKNUM($A908),"00"))</f>
        <v/>
      </c>
      <c r="P908" s="4" t="n"/>
      <c r="Q908" s="14">
        <f>IF($A908="","",TEXT($A908,"yyyy-mm"))</f>
        <v/>
      </c>
    </row>
    <row r="909">
      <c r="A909" s="66" t="n"/>
      <c r="B909" s="4" t="n"/>
      <c r="C909" s="11">
        <f>IFERROR(VLOOKUP($B909,Members!$A:$C,2,FALSE),"")</f>
        <v/>
      </c>
      <c r="D909" s="11">
        <f>IFERROR(VLOOKUP($B909,Members!$A:$C,3,FALSE),"")</f>
        <v/>
      </c>
      <c r="E909" s="11">
        <f>IF($F909="","",IFERROR(VLOOKUP($F909,ActionMap!$A:$B,2,FALSE),"INVALID ACTION"))</f>
        <v/>
      </c>
      <c r="F909" s="4" t="n"/>
      <c r="G909" s="11">
        <f>IFERROR(VLOOKUP($E909,ActionsCatalog!$A:$B,2,FALSE),"")</f>
        <v/>
      </c>
      <c r="H909" s="4" t="n"/>
      <c r="I909" s="4">
        <f>IFERROR(VLOOKUP($E909,ActionsCatalog!$A:$D,3,FALSE),0)</f>
        <v/>
      </c>
      <c r="J909" s="4">
        <f>IFERROR(VLOOKUP($E909,ActionsCatalog!$A:$D,4,FALSE),0)</f>
        <v/>
      </c>
      <c r="K909" s="4">
        <f>IF($M909&lt;&gt;"Yes",0,IF($H909="",0,$H909*$I909))</f>
        <v/>
      </c>
      <c r="L909" s="4">
        <f>IF($M909&lt;&gt;"Yes",0,IF($H909="",0,$H909*$J909))</f>
        <v/>
      </c>
      <c r="M909" s="4" t="n"/>
      <c r="N909" s="4" t="n"/>
      <c r="O909" s="4">
        <f>IF($A909="","",TEXT($A909,"yyyy")&amp;"-W"&amp;TEXT(ISOWEEKNUM($A909),"00"))</f>
        <v/>
      </c>
      <c r="P909" s="4" t="n"/>
      <c r="Q909" s="14">
        <f>IF($A909="","",TEXT($A909,"yyyy-mm"))</f>
        <v/>
      </c>
    </row>
    <row r="910">
      <c r="A910" s="66" t="n"/>
      <c r="B910" s="4" t="n"/>
      <c r="C910" s="11">
        <f>IFERROR(VLOOKUP($B910,Members!$A:$C,2,FALSE),"")</f>
        <v/>
      </c>
      <c r="D910" s="11">
        <f>IFERROR(VLOOKUP($B910,Members!$A:$C,3,FALSE),"")</f>
        <v/>
      </c>
      <c r="E910" s="11">
        <f>IF($F910="","",IFERROR(VLOOKUP($F910,ActionMap!$A:$B,2,FALSE),"INVALID ACTION"))</f>
        <v/>
      </c>
      <c r="F910" s="4" t="n"/>
      <c r="G910" s="11">
        <f>IFERROR(VLOOKUP($E910,ActionsCatalog!$A:$B,2,FALSE),"")</f>
        <v/>
      </c>
      <c r="H910" s="4" t="n"/>
      <c r="I910" s="4">
        <f>IFERROR(VLOOKUP($E910,ActionsCatalog!$A:$D,3,FALSE),0)</f>
        <v/>
      </c>
      <c r="J910" s="4">
        <f>IFERROR(VLOOKUP($E910,ActionsCatalog!$A:$D,4,FALSE),0)</f>
        <v/>
      </c>
      <c r="K910" s="4">
        <f>IF($M910&lt;&gt;"Yes",0,IF($H910="",0,$H910*$I910))</f>
        <v/>
      </c>
      <c r="L910" s="4">
        <f>IF($M910&lt;&gt;"Yes",0,IF($H910="",0,$H910*$J910))</f>
        <v/>
      </c>
      <c r="M910" s="4" t="n"/>
      <c r="N910" s="4" t="n"/>
      <c r="O910" s="4">
        <f>IF($A910="","",TEXT($A910,"yyyy")&amp;"-W"&amp;TEXT(ISOWEEKNUM($A910),"00"))</f>
        <v/>
      </c>
      <c r="P910" s="4" t="n"/>
      <c r="Q910" s="14">
        <f>IF($A910="","",TEXT($A910,"yyyy-mm"))</f>
        <v/>
      </c>
    </row>
    <row r="911">
      <c r="A911" s="66" t="n"/>
      <c r="B911" s="4" t="n"/>
      <c r="C911" s="11">
        <f>IFERROR(VLOOKUP($B911,Members!$A:$C,2,FALSE),"")</f>
        <v/>
      </c>
      <c r="D911" s="11">
        <f>IFERROR(VLOOKUP($B911,Members!$A:$C,3,FALSE),"")</f>
        <v/>
      </c>
      <c r="E911" s="11">
        <f>IF($F911="","",IFERROR(VLOOKUP($F911,ActionMap!$A:$B,2,FALSE),"INVALID ACTION"))</f>
        <v/>
      </c>
      <c r="F911" s="4" t="n"/>
      <c r="G911" s="11">
        <f>IFERROR(VLOOKUP($E911,ActionsCatalog!$A:$B,2,FALSE),"")</f>
        <v/>
      </c>
      <c r="H911" s="4" t="n"/>
      <c r="I911" s="4">
        <f>IFERROR(VLOOKUP($E911,ActionsCatalog!$A:$D,3,FALSE),0)</f>
        <v/>
      </c>
      <c r="J911" s="4">
        <f>IFERROR(VLOOKUP($E911,ActionsCatalog!$A:$D,4,FALSE),0)</f>
        <v/>
      </c>
      <c r="K911" s="4">
        <f>IF($M911&lt;&gt;"Yes",0,IF($H911="",0,$H911*$I911))</f>
        <v/>
      </c>
      <c r="L911" s="4">
        <f>IF($M911&lt;&gt;"Yes",0,IF($H911="",0,$H911*$J911))</f>
        <v/>
      </c>
      <c r="M911" s="4" t="n"/>
      <c r="N911" s="4" t="n"/>
      <c r="O911" s="4">
        <f>IF($A911="","",TEXT($A911,"yyyy")&amp;"-W"&amp;TEXT(ISOWEEKNUM($A911),"00"))</f>
        <v/>
      </c>
      <c r="P911" s="4" t="n"/>
      <c r="Q911" s="14">
        <f>IF($A911="","",TEXT($A911,"yyyy-mm"))</f>
        <v/>
      </c>
    </row>
    <row r="912">
      <c r="A912" s="66" t="n"/>
      <c r="B912" s="4" t="n"/>
      <c r="C912" s="11">
        <f>IFERROR(VLOOKUP($B912,Members!$A:$C,2,FALSE),"")</f>
        <v/>
      </c>
      <c r="D912" s="11">
        <f>IFERROR(VLOOKUP($B912,Members!$A:$C,3,FALSE),"")</f>
        <v/>
      </c>
      <c r="E912" s="11">
        <f>IF($F912="","",IFERROR(VLOOKUP($F912,ActionMap!$A:$B,2,FALSE),"INVALID ACTION"))</f>
        <v/>
      </c>
      <c r="F912" s="4" t="n"/>
      <c r="G912" s="11">
        <f>IFERROR(VLOOKUP($E912,ActionsCatalog!$A:$B,2,FALSE),"")</f>
        <v/>
      </c>
      <c r="H912" s="4" t="n"/>
      <c r="I912" s="4">
        <f>IFERROR(VLOOKUP($E912,ActionsCatalog!$A:$D,3,FALSE),0)</f>
        <v/>
      </c>
      <c r="J912" s="4">
        <f>IFERROR(VLOOKUP($E912,ActionsCatalog!$A:$D,4,FALSE),0)</f>
        <v/>
      </c>
      <c r="K912" s="4">
        <f>IF($M912&lt;&gt;"Yes",0,IF($H912="",0,$H912*$I912))</f>
        <v/>
      </c>
      <c r="L912" s="4">
        <f>IF($M912&lt;&gt;"Yes",0,IF($H912="",0,$H912*$J912))</f>
        <v/>
      </c>
      <c r="M912" s="4" t="n"/>
      <c r="N912" s="4" t="n"/>
      <c r="O912" s="4">
        <f>IF($A912="","",TEXT($A912,"yyyy")&amp;"-W"&amp;TEXT(ISOWEEKNUM($A912),"00"))</f>
        <v/>
      </c>
      <c r="P912" s="4" t="n"/>
      <c r="Q912" s="14">
        <f>IF($A912="","",TEXT($A912,"yyyy-mm"))</f>
        <v/>
      </c>
    </row>
    <row r="913">
      <c r="A913" s="66" t="n"/>
      <c r="B913" s="4" t="n"/>
      <c r="C913" s="11">
        <f>IFERROR(VLOOKUP($B913,Members!$A:$C,2,FALSE),"")</f>
        <v/>
      </c>
      <c r="D913" s="11">
        <f>IFERROR(VLOOKUP($B913,Members!$A:$C,3,FALSE),"")</f>
        <v/>
      </c>
      <c r="E913" s="11">
        <f>IF($F913="","",IFERROR(VLOOKUP($F913,ActionMap!$A:$B,2,FALSE),"INVALID ACTION"))</f>
        <v/>
      </c>
      <c r="F913" s="4" t="n"/>
      <c r="G913" s="11">
        <f>IFERROR(VLOOKUP($E913,ActionsCatalog!$A:$B,2,FALSE),"")</f>
        <v/>
      </c>
      <c r="H913" s="4" t="n"/>
      <c r="I913" s="4">
        <f>IFERROR(VLOOKUP($E913,ActionsCatalog!$A:$D,3,FALSE),0)</f>
        <v/>
      </c>
      <c r="J913" s="4">
        <f>IFERROR(VLOOKUP($E913,ActionsCatalog!$A:$D,4,FALSE),0)</f>
        <v/>
      </c>
      <c r="K913" s="4">
        <f>IF($M913&lt;&gt;"Yes",0,IF($H913="",0,$H913*$I913))</f>
        <v/>
      </c>
      <c r="L913" s="4">
        <f>IF($M913&lt;&gt;"Yes",0,IF($H913="",0,$H913*$J913))</f>
        <v/>
      </c>
      <c r="M913" s="4" t="n"/>
      <c r="N913" s="4" t="n"/>
      <c r="O913" s="4">
        <f>IF($A913="","",TEXT($A913,"yyyy")&amp;"-W"&amp;TEXT(ISOWEEKNUM($A913),"00"))</f>
        <v/>
      </c>
      <c r="P913" s="4" t="n"/>
      <c r="Q913" s="14">
        <f>IF($A913="","",TEXT($A913,"yyyy-mm"))</f>
        <v/>
      </c>
    </row>
    <row r="914">
      <c r="A914" s="66" t="n"/>
      <c r="B914" s="4" t="n"/>
      <c r="C914" s="11">
        <f>IFERROR(VLOOKUP($B914,Members!$A:$C,2,FALSE),"")</f>
        <v/>
      </c>
      <c r="D914" s="11">
        <f>IFERROR(VLOOKUP($B914,Members!$A:$C,3,FALSE),"")</f>
        <v/>
      </c>
      <c r="E914" s="11">
        <f>IF($F914="","",IFERROR(VLOOKUP($F914,ActionMap!$A:$B,2,FALSE),"INVALID ACTION"))</f>
        <v/>
      </c>
      <c r="F914" s="4" t="n"/>
      <c r="G914" s="11">
        <f>IFERROR(VLOOKUP($E914,ActionsCatalog!$A:$B,2,FALSE),"")</f>
        <v/>
      </c>
      <c r="H914" s="4" t="n"/>
      <c r="I914" s="4">
        <f>IFERROR(VLOOKUP($E914,ActionsCatalog!$A:$D,3,FALSE),0)</f>
        <v/>
      </c>
      <c r="J914" s="4">
        <f>IFERROR(VLOOKUP($E914,ActionsCatalog!$A:$D,4,FALSE),0)</f>
        <v/>
      </c>
      <c r="K914" s="4">
        <f>IF($M914&lt;&gt;"Yes",0,IF($H914="",0,$H914*$I914))</f>
        <v/>
      </c>
      <c r="L914" s="4">
        <f>IF($M914&lt;&gt;"Yes",0,IF($H914="",0,$H914*$J914))</f>
        <v/>
      </c>
      <c r="M914" s="4" t="n"/>
      <c r="N914" s="4" t="n"/>
      <c r="O914" s="4">
        <f>IF($A914="","",TEXT($A914,"yyyy")&amp;"-W"&amp;TEXT(ISOWEEKNUM($A914),"00"))</f>
        <v/>
      </c>
      <c r="P914" s="4" t="n"/>
      <c r="Q914" s="14">
        <f>IF($A914="","",TEXT($A914,"yyyy-mm"))</f>
        <v/>
      </c>
    </row>
    <row r="915">
      <c r="A915" s="66" t="n"/>
      <c r="B915" s="4" t="n"/>
      <c r="C915" s="11">
        <f>IFERROR(VLOOKUP($B915,Members!$A:$C,2,FALSE),"")</f>
        <v/>
      </c>
      <c r="D915" s="11">
        <f>IFERROR(VLOOKUP($B915,Members!$A:$C,3,FALSE),"")</f>
        <v/>
      </c>
      <c r="E915" s="11">
        <f>IF($F915="","",IFERROR(VLOOKUP($F915,ActionMap!$A:$B,2,FALSE),"INVALID ACTION"))</f>
        <v/>
      </c>
      <c r="F915" s="4" t="n"/>
      <c r="G915" s="11">
        <f>IFERROR(VLOOKUP($E915,ActionsCatalog!$A:$B,2,FALSE),"")</f>
        <v/>
      </c>
      <c r="H915" s="4" t="n"/>
      <c r="I915" s="4">
        <f>IFERROR(VLOOKUP($E915,ActionsCatalog!$A:$D,3,FALSE),0)</f>
        <v/>
      </c>
      <c r="J915" s="4">
        <f>IFERROR(VLOOKUP($E915,ActionsCatalog!$A:$D,4,FALSE),0)</f>
        <v/>
      </c>
      <c r="K915" s="4">
        <f>IF($M915&lt;&gt;"Yes",0,IF($H915="",0,$H915*$I915))</f>
        <v/>
      </c>
      <c r="L915" s="4">
        <f>IF($M915&lt;&gt;"Yes",0,IF($H915="",0,$H915*$J915))</f>
        <v/>
      </c>
      <c r="M915" s="4" t="n"/>
      <c r="N915" s="4" t="n"/>
      <c r="O915" s="4">
        <f>IF($A915="","",TEXT($A915,"yyyy")&amp;"-W"&amp;TEXT(ISOWEEKNUM($A915),"00"))</f>
        <v/>
      </c>
      <c r="P915" s="4" t="n"/>
      <c r="Q915" s="14">
        <f>IF($A915="","",TEXT($A915,"yyyy-mm"))</f>
        <v/>
      </c>
    </row>
    <row r="916">
      <c r="A916" s="66" t="n"/>
      <c r="B916" s="4" t="n"/>
      <c r="C916" s="11">
        <f>IFERROR(VLOOKUP($B916,Members!$A:$C,2,FALSE),"")</f>
        <v/>
      </c>
      <c r="D916" s="11">
        <f>IFERROR(VLOOKUP($B916,Members!$A:$C,3,FALSE),"")</f>
        <v/>
      </c>
      <c r="E916" s="11">
        <f>IF($F916="","",IFERROR(VLOOKUP($F916,ActionMap!$A:$B,2,FALSE),"INVALID ACTION"))</f>
        <v/>
      </c>
      <c r="F916" s="4" t="n"/>
      <c r="G916" s="11">
        <f>IFERROR(VLOOKUP($E916,ActionsCatalog!$A:$B,2,FALSE),"")</f>
        <v/>
      </c>
      <c r="H916" s="4" t="n"/>
      <c r="I916" s="4">
        <f>IFERROR(VLOOKUP($E916,ActionsCatalog!$A:$D,3,FALSE),0)</f>
        <v/>
      </c>
      <c r="J916" s="4">
        <f>IFERROR(VLOOKUP($E916,ActionsCatalog!$A:$D,4,FALSE),0)</f>
        <v/>
      </c>
      <c r="K916" s="4">
        <f>IF($M916&lt;&gt;"Yes",0,IF($H916="",0,$H916*$I916))</f>
        <v/>
      </c>
      <c r="L916" s="4">
        <f>IF($M916&lt;&gt;"Yes",0,IF($H916="",0,$H916*$J916))</f>
        <v/>
      </c>
      <c r="M916" s="4" t="n"/>
      <c r="N916" s="4" t="n"/>
      <c r="O916" s="4">
        <f>IF($A916="","",TEXT($A916,"yyyy")&amp;"-W"&amp;TEXT(ISOWEEKNUM($A916),"00"))</f>
        <v/>
      </c>
      <c r="P916" s="4" t="n"/>
      <c r="Q916" s="14">
        <f>IF($A916="","",TEXT($A916,"yyyy-mm"))</f>
        <v/>
      </c>
    </row>
    <row r="917">
      <c r="A917" s="66" t="n"/>
      <c r="B917" s="4" t="n"/>
      <c r="C917" s="11">
        <f>IFERROR(VLOOKUP($B917,Members!$A:$C,2,FALSE),"")</f>
        <v/>
      </c>
      <c r="D917" s="11">
        <f>IFERROR(VLOOKUP($B917,Members!$A:$C,3,FALSE),"")</f>
        <v/>
      </c>
      <c r="E917" s="11">
        <f>IF($F917="","",IFERROR(VLOOKUP($F917,ActionMap!$A:$B,2,FALSE),"INVALID ACTION"))</f>
        <v/>
      </c>
      <c r="F917" s="4" t="n"/>
      <c r="G917" s="11">
        <f>IFERROR(VLOOKUP($E917,ActionsCatalog!$A:$B,2,FALSE),"")</f>
        <v/>
      </c>
      <c r="H917" s="4" t="n"/>
      <c r="I917" s="4">
        <f>IFERROR(VLOOKUP($E917,ActionsCatalog!$A:$D,3,FALSE),0)</f>
        <v/>
      </c>
      <c r="J917" s="4">
        <f>IFERROR(VLOOKUP($E917,ActionsCatalog!$A:$D,4,FALSE),0)</f>
        <v/>
      </c>
      <c r="K917" s="4">
        <f>IF($M917&lt;&gt;"Yes",0,IF($H917="",0,$H917*$I917))</f>
        <v/>
      </c>
      <c r="L917" s="4">
        <f>IF($M917&lt;&gt;"Yes",0,IF($H917="",0,$H917*$J917))</f>
        <v/>
      </c>
      <c r="M917" s="4" t="n"/>
      <c r="N917" s="4" t="n"/>
      <c r="O917" s="4">
        <f>IF($A917="","",TEXT($A917,"yyyy")&amp;"-W"&amp;TEXT(ISOWEEKNUM($A917),"00"))</f>
        <v/>
      </c>
      <c r="P917" s="4" t="n"/>
      <c r="Q917" s="14">
        <f>IF($A917="","",TEXT($A917,"yyyy-mm"))</f>
        <v/>
      </c>
    </row>
    <row r="918">
      <c r="A918" s="66" t="n"/>
      <c r="B918" s="4" t="n"/>
      <c r="C918" s="11">
        <f>IFERROR(VLOOKUP($B918,Members!$A:$C,2,FALSE),"")</f>
        <v/>
      </c>
      <c r="D918" s="11">
        <f>IFERROR(VLOOKUP($B918,Members!$A:$C,3,FALSE),"")</f>
        <v/>
      </c>
      <c r="E918" s="11">
        <f>IF($F918="","",IFERROR(VLOOKUP($F918,ActionMap!$A:$B,2,FALSE),"INVALID ACTION"))</f>
        <v/>
      </c>
      <c r="F918" s="4" t="n"/>
      <c r="G918" s="11">
        <f>IFERROR(VLOOKUP($E918,ActionsCatalog!$A:$B,2,FALSE),"")</f>
        <v/>
      </c>
      <c r="H918" s="4" t="n"/>
      <c r="I918" s="4">
        <f>IFERROR(VLOOKUP($E918,ActionsCatalog!$A:$D,3,FALSE),0)</f>
        <v/>
      </c>
      <c r="J918" s="4">
        <f>IFERROR(VLOOKUP($E918,ActionsCatalog!$A:$D,4,FALSE),0)</f>
        <v/>
      </c>
      <c r="K918" s="4">
        <f>IF($M918&lt;&gt;"Yes",0,IF($H918="",0,$H918*$I918))</f>
        <v/>
      </c>
      <c r="L918" s="4">
        <f>IF($M918&lt;&gt;"Yes",0,IF($H918="",0,$H918*$J918))</f>
        <v/>
      </c>
      <c r="M918" s="4" t="n"/>
      <c r="N918" s="4" t="n"/>
      <c r="O918" s="4">
        <f>IF($A918="","",TEXT($A918,"yyyy")&amp;"-W"&amp;TEXT(ISOWEEKNUM($A918),"00"))</f>
        <v/>
      </c>
      <c r="P918" s="4" t="n"/>
      <c r="Q918" s="14">
        <f>IF($A918="","",TEXT($A918,"yyyy-mm"))</f>
        <v/>
      </c>
    </row>
    <row r="919">
      <c r="A919" s="66" t="n"/>
      <c r="B919" s="4" t="n"/>
      <c r="C919" s="11">
        <f>IFERROR(VLOOKUP($B919,Members!$A:$C,2,FALSE),"")</f>
        <v/>
      </c>
      <c r="D919" s="11">
        <f>IFERROR(VLOOKUP($B919,Members!$A:$C,3,FALSE),"")</f>
        <v/>
      </c>
      <c r="E919" s="11">
        <f>IF($F919="","",IFERROR(VLOOKUP($F919,ActionMap!$A:$B,2,FALSE),"INVALID ACTION"))</f>
        <v/>
      </c>
      <c r="F919" s="4" t="n"/>
      <c r="G919" s="11">
        <f>IFERROR(VLOOKUP($E919,ActionsCatalog!$A:$B,2,FALSE),"")</f>
        <v/>
      </c>
      <c r="H919" s="4" t="n"/>
      <c r="I919" s="4">
        <f>IFERROR(VLOOKUP($E919,ActionsCatalog!$A:$D,3,FALSE),0)</f>
        <v/>
      </c>
      <c r="J919" s="4">
        <f>IFERROR(VLOOKUP($E919,ActionsCatalog!$A:$D,4,FALSE),0)</f>
        <v/>
      </c>
      <c r="K919" s="4">
        <f>IF($M919&lt;&gt;"Yes",0,IF($H919="",0,$H919*$I919))</f>
        <v/>
      </c>
      <c r="L919" s="4">
        <f>IF($M919&lt;&gt;"Yes",0,IF($H919="",0,$H919*$J919))</f>
        <v/>
      </c>
      <c r="M919" s="4" t="n"/>
      <c r="N919" s="4" t="n"/>
      <c r="O919" s="4">
        <f>IF($A919="","",TEXT($A919,"yyyy")&amp;"-W"&amp;TEXT(ISOWEEKNUM($A919),"00"))</f>
        <v/>
      </c>
      <c r="P919" s="4" t="n"/>
      <c r="Q919" s="14">
        <f>IF($A919="","",TEXT($A919,"yyyy-mm"))</f>
        <v/>
      </c>
    </row>
    <row r="920">
      <c r="A920" s="66" t="n"/>
      <c r="B920" s="4" t="n"/>
      <c r="C920" s="11">
        <f>IFERROR(VLOOKUP($B920,Members!$A:$C,2,FALSE),"")</f>
        <v/>
      </c>
      <c r="D920" s="11">
        <f>IFERROR(VLOOKUP($B920,Members!$A:$C,3,FALSE),"")</f>
        <v/>
      </c>
      <c r="E920" s="11">
        <f>IF($F920="","",IFERROR(VLOOKUP($F920,ActionMap!$A:$B,2,FALSE),"INVALID ACTION"))</f>
        <v/>
      </c>
      <c r="F920" s="4" t="n"/>
      <c r="G920" s="11">
        <f>IFERROR(VLOOKUP($E920,ActionsCatalog!$A:$B,2,FALSE),"")</f>
        <v/>
      </c>
      <c r="H920" s="4" t="n"/>
      <c r="I920" s="4">
        <f>IFERROR(VLOOKUP($E920,ActionsCatalog!$A:$D,3,FALSE),0)</f>
        <v/>
      </c>
      <c r="J920" s="4">
        <f>IFERROR(VLOOKUP($E920,ActionsCatalog!$A:$D,4,FALSE),0)</f>
        <v/>
      </c>
      <c r="K920" s="4">
        <f>IF($M920&lt;&gt;"Yes",0,IF($H920="",0,$H920*$I920))</f>
        <v/>
      </c>
      <c r="L920" s="4">
        <f>IF($M920&lt;&gt;"Yes",0,IF($H920="",0,$H920*$J920))</f>
        <v/>
      </c>
      <c r="M920" s="4" t="n"/>
      <c r="N920" s="4" t="n"/>
      <c r="O920" s="4">
        <f>IF($A920="","",TEXT($A920,"yyyy")&amp;"-W"&amp;TEXT(ISOWEEKNUM($A920),"00"))</f>
        <v/>
      </c>
      <c r="P920" s="4" t="n"/>
      <c r="Q920" s="14">
        <f>IF($A920="","",TEXT($A920,"yyyy-mm"))</f>
        <v/>
      </c>
    </row>
    <row r="921">
      <c r="A921" s="66" t="n"/>
      <c r="B921" s="4" t="n"/>
      <c r="C921" s="11">
        <f>IFERROR(VLOOKUP($B921,Members!$A:$C,2,FALSE),"")</f>
        <v/>
      </c>
      <c r="D921" s="11">
        <f>IFERROR(VLOOKUP($B921,Members!$A:$C,3,FALSE),"")</f>
        <v/>
      </c>
      <c r="E921" s="11">
        <f>IF($F921="","",IFERROR(VLOOKUP($F921,ActionMap!$A:$B,2,FALSE),"INVALID ACTION"))</f>
        <v/>
      </c>
      <c r="F921" s="4" t="n"/>
      <c r="G921" s="11">
        <f>IFERROR(VLOOKUP($E921,ActionsCatalog!$A:$B,2,FALSE),"")</f>
        <v/>
      </c>
      <c r="H921" s="4" t="n"/>
      <c r="I921" s="4">
        <f>IFERROR(VLOOKUP($E921,ActionsCatalog!$A:$D,3,FALSE),0)</f>
        <v/>
      </c>
      <c r="J921" s="4">
        <f>IFERROR(VLOOKUP($E921,ActionsCatalog!$A:$D,4,FALSE),0)</f>
        <v/>
      </c>
      <c r="K921" s="4">
        <f>IF($M921&lt;&gt;"Yes",0,IF($H921="",0,$H921*$I921))</f>
        <v/>
      </c>
      <c r="L921" s="4">
        <f>IF($M921&lt;&gt;"Yes",0,IF($H921="",0,$H921*$J921))</f>
        <v/>
      </c>
      <c r="M921" s="4" t="n"/>
      <c r="N921" s="4" t="n"/>
      <c r="O921" s="4">
        <f>IF($A921="","",TEXT($A921,"yyyy")&amp;"-W"&amp;TEXT(ISOWEEKNUM($A921),"00"))</f>
        <v/>
      </c>
      <c r="P921" s="4" t="n"/>
      <c r="Q921" s="14">
        <f>IF($A921="","",TEXT($A921,"yyyy-mm"))</f>
        <v/>
      </c>
    </row>
    <row r="922">
      <c r="A922" s="66" t="n"/>
      <c r="B922" s="4" t="n"/>
      <c r="C922" s="11">
        <f>IFERROR(VLOOKUP($B922,Members!$A:$C,2,FALSE),"")</f>
        <v/>
      </c>
      <c r="D922" s="11">
        <f>IFERROR(VLOOKUP($B922,Members!$A:$C,3,FALSE),"")</f>
        <v/>
      </c>
      <c r="E922" s="11">
        <f>IF($F922="","",IFERROR(VLOOKUP($F922,ActionMap!$A:$B,2,FALSE),"INVALID ACTION"))</f>
        <v/>
      </c>
      <c r="F922" s="4" t="n"/>
      <c r="G922" s="11">
        <f>IFERROR(VLOOKUP($E922,ActionsCatalog!$A:$B,2,FALSE),"")</f>
        <v/>
      </c>
      <c r="H922" s="4" t="n"/>
      <c r="I922" s="4">
        <f>IFERROR(VLOOKUP($E922,ActionsCatalog!$A:$D,3,FALSE),0)</f>
        <v/>
      </c>
      <c r="J922" s="4">
        <f>IFERROR(VLOOKUP($E922,ActionsCatalog!$A:$D,4,FALSE),0)</f>
        <v/>
      </c>
      <c r="K922" s="4">
        <f>IF($M922&lt;&gt;"Yes",0,IF($H922="",0,$H922*$I922))</f>
        <v/>
      </c>
      <c r="L922" s="4">
        <f>IF($M922&lt;&gt;"Yes",0,IF($H922="",0,$H922*$J922))</f>
        <v/>
      </c>
      <c r="M922" s="4" t="n"/>
      <c r="N922" s="4" t="n"/>
      <c r="O922" s="4">
        <f>IF($A922="","",TEXT($A922,"yyyy")&amp;"-W"&amp;TEXT(ISOWEEKNUM($A922),"00"))</f>
        <v/>
      </c>
      <c r="P922" s="4" t="n"/>
      <c r="Q922" s="14">
        <f>IF($A922="","",TEXT($A922,"yyyy-mm"))</f>
        <v/>
      </c>
    </row>
    <row r="923">
      <c r="A923" s="66" t="n"/>
      <c r="B923" s="4" t="n"/>
      <c r="C923" s="11">
        <f>IFERROR(VLOOKUP($B923,Members!$A:$C,2,FALSE),"")</f>
        <v/>
      </c>
      <c r="D923" s="11">
        <f>IFERROR(VLOOKUP($B923,Members!$A:$C,3,FALSE),"")</f>
        <v/>
      </c>
      <c r="E923" s="11">
        <f>IF($F923="","",IFERROR(VLOOKUP($F923,ActionMap!$A:$B,2,FALSE),"INVALID ACTION"))</f>
        <v/>
      </c>
      <c r="F923" s="4" t="n"/>
      <c r="G923" s="11">
        <f>IFERROR(VLOOKUP($E923,ActionsCatalog!$A:$B,2,FALSE),"")</f>
        <v/>
      </c>
      <c r="H923" s="4" t="n"/>
      <c r="I923" s="4">
        <f>IFERROR(VLOOKUP($E923,ActionsCatalog!$A:$D,3,FALSE),0)</f>
        <v/>
      </c>
      <c r="J923" s="4">
        <f>IFERROR(VLOOKUP($E923,ActionsCatalog!$A:$D,4,FALSE),0)</f>
        <v/>
      </c>
      <c r="K923" s="4">
        <f>IF($M923&lt;&gt;"Yes",0,IF($H923="",0,$H923*$I923))</f>
        <v/>
      </c>
      <c r="L923" s="4">
        <f>IF($M923&lt;&gt;"Yes",0,IF($H923="",0,$H923*$J923))</f>
        <v/>
      </c>
      <c r="M923" s="4" t="n"/>
      <c r="N923" s="4" t="n"/>
      <c r="O923" s="4">
        <f>IF($A923="","",TEXT($A923,"yyyy")&amp;"-W"&amp;TEXT(ISOWEEKNUM($A923),"00"))</f>
        <v/>
      </c>
      <c r="P923" s="4" t="n"/>
      <c r="Q923" s="14">
        <f>IF($A923="","",TEXT($A923,"yyyy-mm"))</f>
        <v/>
      </c>
    </row>
    <row r="924">
      <c r="A924" s="66" t="n"/>
      <c r="B924" s="4" t="n"/>
      <c r="C924" s="11">
        <f>IFERROR(VLOOKUP($B924,Members!$A:$C,2,FALSE),"")</f>
        <v/>
      </c>
      <c r="D924" s="11">
        <f>IFERROR(VLOOKUP($B924,Members!$A:$C,3,FALSE),"")</f>
        <v/>
      </c>
      <c r="E924" s="11">
        <f>IF($F924="","",IFERROR(VLOOKUP($F924,ActionMap!$A:$B,2,FALSE),"INVALID ACTION"))</f>
        <v/>
      </c>
      <c r="F924" s="4" t="n"/>
      <c r="G924" s="11">
        <f>IFERROR(VLOOKUP($E924,ActionsCatalog!$A:$B,2,FALSE),"")</f>
        <v/>
      </c>
      <c r="H924" s="4" t="n"/>
      <c r="I924" s="4">
        <f>IFERROR(VLOOKUP($E924,ActionsCatalog!$A:$D,3,FALSE),0)</f>
        <v/>
      </c>
      <c r="J924" s="4">
        <f>IFERROR(VLOOKUP($E924,ActionsCatalog!$A:$D,4,FALSE),0)</f>
        <v/>
      </c>
      <c r="K924" s="4">
        <f>IF($M924&lt;&gt;"Yes",0,IF($H924="",0,$H924*$I924))</f>
        <v/>
      </c>
      <c r="L924" s="4">
        <f>IF($M924&lt;&gt;"Yes",0,IF($H924="",0,$H924*$J924))</f>
        <v/>
      </c>
      <c r="M924" s="4" t="n"/>
      <c r="N924" s="4" t="n"/>
      <c r="O924" s="4">
        <f>IF($A924="","",TEXT($A924,"yyyy")&amp;"-W"&amp;TEXT(ISOWEEKNUM($A924),"00"))</f>
        <v/>
      </c>
      <c r="P924" s="4" t="n"/>
      <c r="Q924" s="14">
        <f>IF($A924="","",TEXT($A924,"yyyy-mm"))</f>
        <v/>
      </c>
    </row>
    <row r="925">
      <c r="A925" s="66" t="n"/>
      <c r="B925" s="4" t="n"/>
      <c r="C925" s="11">
        <f>IFERROR(VLOOKUP($B925,Members!$A:$C,2,FALSE),"")</f>
        <v/>
      </c>
      <c r="D925" s="11">
        <f>IFERROR(VLOOKUP($B925,Members!$A:$C,3,FALSE),"")</f>
        <v/>
      </c>
      <c r="E925" s="11">
        <f>IF($F925="","",IFERROR(VLOOKUP($F925,ActionMap!$A:$B,2,FALSE),"INVALID ACTION"))</f>
        <v/>
      </c>
      <c r="F925" s="4" t="n"/>
      <c r="G925" s="11">
        <f>IFERROR(VLOOKUP($E925,ActionsCatalog!$A:$B,2,FALSE),"")</f>
        <v/>
      </c>
      <c r="H925" s="4" t="n"/>
      <c r="I925" s="4">
        <f>IFERROR(VLOOKUP($E925,ActionsCatalog!$A:$D,3,FALSE),0)</f>
        <v/>
      </c>
      <c r="J925" s="4">
        <f>IFERROR(VLOOKUP($E925,ActionsCatalog!$A:$D,4,FALSE),0)</f>
        <v/>
      </c>
      <c r="K925" s="4">
        <f>IF($M925&lt;&gt;"Yes",0,IF($H925="",0,$H925*$I925))</f>
        <v/>
      </c>
      <c r="L925" s="4">
        <f>IF($M925&lt;&gt;"Yes",0,IF($H925="",0,$H925*$J925))</f>
        <v/>
      </c>
      <c r="M925" s="4" t="n"/>
      <c r="N925" s="4" t="n"/>
      <c r="O925" s="4">
        <f>IF($A925="","",TEXT($A925,"yyyy")&amp;"-W"&amp;TEXT(ISOWEEKNUM($A925),"00"))</f>
        <v/>
      </c>
      <c r="P925" s="4" t="n"/>
      <c r="Q925" s="14">
        <f>IF($A925="","",TEXT($A925,"yyyy-mm"))</f>
        <v/>
      </c>
    </row>
    <row r="926">
      <c r="A926" s="66" t="n"/>
      <c r="B926" s="4" t="n"/>
      <c r="C926" s="11">
        <f>IFERROR(VLOOKUP($B926,Members!$A:$C,2,FALSE),"")</f>
        <v/>
      </c>
      <c r="D926" s="11">
        <f>IFERROR(VLOOKUP($B926,Members!$A:$C,3,FALSE),"")</f>
        <v/>
      </c>
      <c r="E926" s="11">
        <f>IF($F926="","",IFERROR(VLOOKUP($F926,ActionMap!$A:$B,2,FALSE),"INVALID ACTION"))</f>
        <v/>
      </c>
      <c r="F926" s="4" t="n"/>
      <c r="G926" s="11">
        <f>IFERROR(VLOOKUP($E926,ActionsCatalog!$A:$B,2,FALSE),"")</f>
        <v/>
      </c>
      <c r="H926" s="4" t="n"/>
      <c r="I926" s="4">
        <f>IFERROR(VLOOKUP($E926,ActionsCatalog!$A:$D,3,FALSE),0)</f>
        <v/>
      </c>
      <c r="J926" s="4">
        <f>IFERROR(VLOOKUP($E926,ActionsCatalog!$A:$D,4,FALSE),0)</f>
        <v/>
      </c>
      <c r="K926" s="4">
        <f>IF($M926&lt;&gt;"Yes",0,IF($H926="",0,$H926*$I926))</f>
        <v/>
      </c>
      <c r="L926" s="4">
        <f>IF($M926&lt;&gt;"Yes",0,IF($H926="",0,$H926*$J926))</f>
        <v/>
      </c>
      <c r="M926" s="4" t="n"/>
      <c r="N926" s="4" t="n"/>
      <c r="O926" s="4">
        <f>IF($A926="","",TEXT($A926,"yyyy")&amp;"-W"&amp;TEXT(ISOWEEKNUM($A926),"00"))</f>
        <v/>
      </c>
      <c r="P926" s="4" t="n"/>
      <c r="Q926" s="14">
        <f>IF($A926="","",TEXT($A926,"yyyy-mm"))</f>
        <v/>
      </c>
    </row>
    <row r="927">
      <c r="A927" s="66" t="n"/>
      <c r="B927" s="4" t="n"/>
      <c r="C927" s="11">
        <f>IFERROR(VLOOKUP($B927,Members!$A:$C,2,FALSE),"")</f>
        <v/>
      </c>
      <c r="D927" s="11">
        <f>IFERROR(VLOOKUP($B927,Members!$A:$C,3,FALSE),"")</f>
        <v/>
      </c>
      <c r="E927" s="11">
        <f>IF($F927="","",IFERROR(VLOOKUP($F927,ActionMap!$A:$B,2,FALSE),"INVALID ACTION"))</f>
        <v/>
      </c>
      <c r="F927" s="4" t="n"/>
      <c r="G927" s="11">
        <f>IFERROR(VLOOKUP($E927,ActionsCatalog!$A:$B,2,FALSE),"")</f>
        <v/>
      </c>
      <c r="H927" s="4" t="n"/>
      <c r="I927" s="4">
        <f>IFERROR(VLOOKUP($E927,ActionsCatalog!$A:$D,3,FALSE),0)</f>
        <v/>
      </c>
      <c r="J927" s="4">
        <f>IFERROR(VLOOKUP($E927,ActionsCatalog!$A:$D,4,FALSE),0)</f>
        <v/>
      </c>
      <c r="K927" s="4">
        <f>IF($M927&lt;&gt;"Yes",0,IF($H927="",0,$H927*$I927))</f>
        <v/>
      </c>
      <c r="L927" s="4">
        <f>IF($M927&lt;&gt;"Yes",0,IF($H927="",0,$H927*$J927))</f>
        <v/>
      </c>
      <c r="M927" s="4" t="n"/>
      <c r="N927" s="4" t="n"/>
      <c r="O927" s="4">
        <f>IF($A927="","",TEXT($A927,"yyyy")&amp;"-W"&amp;TEXT(ISOWEEKNUM($A927),"00"))</f>
        <v/>
      </c>
      <c r="P927" s="4" t="n"/>
      <c r="Q927" s="14">
        <f>IF($A927="","",TEXT($A927,"yyyy-mm"))</f>
        <v/>
      </c>
    </row>
    <row r="928">
      <c r="A928" s="66" t="n"/>
      <c r="B928" s="4" t="n"/>
      <c r="C928" s="11">
        <f>IFERROR(VLOOKUP($B928,Members!$A:$C,2,FALSE),"")</f>
        <v/>
      </c>
      <c r="D928" s="11">
        <f>IFERROR(VLOOKUP($B928,Members!$A:$C,3,FALSE),"")</f>
        <v/>
      </c>
      <c r="E928" s="11">
        <f>IF($F928="","",IFERROR(VLOOKUP($F928,ActionMap!$A:$B,2,FALSE),"INVALID ACTION"))</f>
        <v/>
      </c>
      <c r="F928" s="4" t="n"/>
      <c r="G928" s="11">
        <f>IFERROR(VLOOKUP($E928,ActionsCatalog!$A:$B,2,FALSE),"")</f>
        <v/>
      </c>
      <c r="H928" s="4" t="n"/>
      <c r="I928" s="4">
        <f>IFERROR(VLOOKUP($E928,ActionsCatalog!$A:$D,3,FALSE),0)</f>
        <v/>
      </c>
      <c r="J928" s="4">
        <f>IFERROR(VLOOKUP($E928,ActionsCatalog!$A:$D,4,FALSE),0)</f>
        <v/>
      </c>
      <c r="K928" s="4">
        <f>IF($M928&lt;&gt;"Yes",0,IF($H928="",0,$H928*$I928))</f>
        <v/>
      </c>
      <c r="L928" s="4">
        <f>IF($M928&lt;&gt;"Yes",0,IF($H928="",0,$H928*$J928))</f>
        <v/>
      </c>
      <c r="M928" s="4" t="n"/>
      <c r="N928" s="4" t="n"/>
      <c r="O928" s="4">
        <f>IF($A928="","",TEXT($A928,"yyyy")&amp;"-W"&amp;TEXT(ISOWEEKNUM($A928),"00"))</f>
        <v/>
      </c>
      <c r="P928" s="4" t="n"/>
      <c r="Q928" s="14">
        <f>IF($A928="","",TEXT($A928,"yyyy-mm"))</f>
        <v/>
      </c>
    </row>
    <row r="929">
      <c r="A929" s="66" t="n"/>
      <c r="B929" s="4" t="n"/>
      <c r="C929" s="11">
        <f>IFERROR(VLOOKUP($B929,Members!$A:$C,2,FALSE),"")</f>
        <v/>
      </c>
      <c r="D929" s="11">
        <f>IFERROR(VLOOKUP($B929,Members!$A:$C,3,FALSE),"")</f>
        <v/>
      </c>
      <c r="E929" s="11">
        <f>IF($F929="","",IFERROR(VLOOKUP($F929,ActionMap!$A:$B,2,FALSE),"INVALID ACTION"))</f>
        <v/>
      </c>
      <c r="F929" s="4" t="n"/>
      <c r="G929" s="11">
        <f>IFERROR(VLOOKUP($E929,ActionsCatalog!$A:$B,2,FALSE),"")</f>
        <v/>
      </c>
      <c r="H929" s="4" t="n"/>
      <c r="I929" s="4">
        <f>IFERROR(VLOOKUP($E929,ActionsCatalog!$A:$D,3,FALSE),0)</f>
        <v/>
      </c>
      <c r="J929" s="4">
        <f>IFERROR(VLOOKUP($E929,ActionsCatalog!$A:$D,4,FALSE),0)</f>
        <v/>
      </c>
      <c r="K929" s="4">
        <f>IF($M929&lt;&gt;"Yes",0,IF($H929="",0,$H929*$I929))</f>
        <v/>
      </c>
      <c r="L929" s="4">
        <f>IF($M929&lt;&gt;"Yes",0,IF($H929="",0,$H929*$J929))</f>
        <v/>
      </c>
      <c r="M929" s="4" t="n"/>
      <c r="N929" s="4" t="n"/>
      <c r="O929" s="4">
        <f>IF($A929="","",TEXT($A929,"yyyy")&amp;"-W"&amp;TEXT(ISOWEEKNUM($A929),"00"))</f>
        <v/>
      </c>
      <c r="P929" s="4" t="n"/>
      <c r="Q929" s="14">
        <f>IF($A929="","",TEXT($A929,"yyyy-mm"))</f>
        <v/>
      </c>
    </row>
    <row r="930">
      <c r="A930" s="66" t="n"/>
      <c r="B930" s="4" t="n"/>
      <c r="C930" s="11">
        <f>IFERROR(VLOOKUP($B930,Members!$A:$C,2,FALSE),"")</f>
        <v/>
      </c>
      <c r="D930" s="11">
        <f>IFERROR(VLOOKUP($B930,Members!$A:$C,3,FALSE),"")</f>
        <v/>
      </c>
      <c r="E930" s="11">
        <f>IF($F930="","",IFERROR(VLOOKUP($F930,ActionMap!$A:$B,2,FALSE),"INVALID ACTION"))</f>
        <v/>
      </c>
      <c r="F930" s="4" t="n"/>
      <c r="G930" s="11">
        <f>IFERROR(VLOOKUP($E930,ActionsCatalog!$A:$B,2,FALSE),"")</f>
        <v/>
      </c>
      <c r="H930" s="4" t="n"/>
      <c r="I930" s="4">
        <f>IFERROR(VLOOKUP($E930,ActionsCatalog!$A:$D,3,FALSE),0)</f>
        <v/>
      </c>
      <c r="J930" s="4">
        <f>IFERROR(VLOOKUP($E930,ActionsCatalog!$A:$D,4,FALSE),0)</f>
        <v/>
      </c>
      <c r="K930" s="4">
        <f>IF($M930&lt;&gt;"Yes",0,IF($H930="",0,$H930*$I930))</f>
        <v/>
      </c>
      <c r="L930" s="4">
        <f>IF($M930&lt;&gt;"Yes",0,IF($H930="",0,$H930*$J930))</f>
        <v/>
      </c>
      <c r="M930" s="4" t="n"/>
      <c r="N930" s="4" t="n"/>
      <c r="O930" s="4">
        <f>IF($A930="","",TEXT($A930,"yyyy")&amp;"-W"&amp;TEXT(ISOWEEKNUM($A930),"00"))</f>
        <v/>
      </c>
      <c r="P930" s="4" t="n"/>
      <c r="Q930" s="14">
        <f>IF($A930="","",TEXT($A930,"yyyy-mm"))</f>
        <v/>
      </c>
    </row>
    <row r="931">
      <c r="A931" s="66" t="n"/>
      <c r="B931" s="4" t="n"/>
      <c r="C931" s="11">
        <f>IFERROR(VLOOKUP($B931,Members!$A:$C,2,FALSE),"")</f>
        <v/>
      </c>
      <c r="D931" s="11">
        <f>IFERROR(VLOOKUP($B931,Members!$A:$C,3,FALSE),"")</f>
        <v/>
      </c>
      <c r="E931" s="11">
        <f>IF($F931="","",IFERROR(VLOOKUP($F931,ActionMap!$A:$B,2,FALSE),"INVALID ACTION"))</f>
        <v/>
      </c>
      <c r="F931" s="4" t="n"/>
      <c r="G931" s="11">
        <f>IFERROR(VLOOKUP($E931,ActionsCatalog!$A:$B,2,FALSE),"")</f>
        <v/>
      </c>
      <c r="H931" s="4" t="n"/>
      <c r="I931" s="4">
        <f>IFERROR(VLOOKUP($E931,ActionsCatalog!$A:$D,3,FALSE),0)</f>
        <v/>
      </c>
      <c r="J931" s="4">
        <f>IFERROR(VLOOKUP($E931,ActionsCatalog!$A:$D,4,FALSE),0)</f>
        <v/>
      </c>
      <c r="K931" s="4">
        <f>IF($M931&lt;&gt;"Yes",0,IF($H931="",0,$H931*$I931))</f>
        <v/>
      </c>
      <c r="L931" s="4">
        <f>IF($M931&lt;&gt;"Yes",0,IF($H931="",0,$H931*$J931))</f>
        <v/>
      </c>
      <c r="M931" s="4" t="n"/>
      <c r="N931" s="4" t="n"/>
      <c r="O931" s="4">
        <f>IF($A931="","",TEXT($A931,"yyyy")&amp;"-W"&amp;TEXT(ISOWEEKNUM($A931),"00"))</f>
        <v/>
      </c>
      <c r="P931" s="4" t="n"/>
      <c r="Q931" s="14">
        <f>IF($A931="","",TEXT($A931,"yyyy-mm"))</f>
        <v/>
      </c>
    </row>
    <row r="932">
      <c r="A932" s="66" t="n"/>
      <c r="B932" s="4" t="n"/>
      <c r="C932" s="11">
        <f>IFERROR(VLOOKUP($B932,Members!$A:$C,2,FALSE),"")</f>
        <v/>
      </c>
      <c r="D932" s="11">
        <f>IFERROR(VLOOKUP($B932,Members!$A:$C,3,FALSE),"")</f>
        <v/>
      </c>
      <c r="E932" s="11">
        <f>IF($F932="","",IFERROR(VLOOKUP($F932,ActionMap!$A:$B,2,FALSE),"INVALID ACTION"))</f>
        <v/>
      </c>
      <c r="F932" s="4" t="n"/>
      <c r="G932" s="11">
        <f>IFERROR(VLOOKUP($E932,ActionsCatalog!$A:$B,2,FALSE),"")</f>
        <v/>
      </c>
      <c r="H932" s="4" t="n"/>
      <c r="I932" s="4">
        <f>IFERROR(VLOOKUP($E932,ActionsCatalog!$A:$D,3,FALSE),0)</f>
        <v/>
      </c>
      <c r="J932" s="4">
        <f>IFERROR(VLOOKUP($E932,ActionsCatalog!$A:$D,4,FALSE),0)</f>
        <v/>
      </c>
      <c r="K932" s="4">
        <f>IF($M932&lt;&gt;"Yes",0,IF($H932="",0,$H932*$I932))</f>
        <v/>
      </c>
      <c r="L932" s="4">
        <f>IF($M932&lt;&gt;"Yes",0,IF($H932="",0,$H932*$J932))</f>
        <v/>
      </c>
      <c r="M932" s="4" t="n"/>
      <c r="N932" s="4" t="n"/>
      <c r="O932" s="4">
        <f>IF($A932="","",TEXT($A932,"yyyy")&amp;"-W"&amp;TEXT(ISOWEEKNUM($A932),"00"))</f>
        <v/>
      </c>
      <c r="P932" s="4" t="n"/>
      <c r="Q932" s="14">
        <f>IF($A932="","",TEXT($A932,"yyyy-mm"))</f>
        <v/>
      </c>
    </row>
    <row r="933">
      <c r="A933" s="66" t="n"/>
      <c r="B933" s="4" t="n"/>
      <c r="C933" s="11">
        <f>IFERROR(VLOOKUP($B933,Members!$A:$C,2,FALSE),"")</f>
        <v/>
      </c>
      <c r="D933" s="11">
        <f>IFERROR(VLOOKUP($B933,Members!$A:$C,3,FALSE),"")</f>
        <v/>
      </c>
      <c r="E933" s="11">
        <f>IF($F933="","",IFERROR(VLOOKUP($F933,ActionMap!$A:$B,2,FALSE),"INVALID ACTION"))</f>
        <v/>
      </c>
      <c r="F933" s="4" t="n"/>
      <c r="G933" s="11">
        <f>IFERROR(VLOOKUP($E933,ActionsCatalog!$A:$B,2,FALSE),"")</f>
        <v/>
      </c>
      <c r="H933" s="4" t="n"/>
      <c r="I933" s="4">
        <f>IFERROR(VLOOKUP($E933,ActionsCatalog!$A:$D,3,FALSE),0)</f>
        <v/>
      </c>
      <c r="J933" s="4">
        <f>IFERROR(VLOOKUP($E933,ActionsCatalog!$A:$D,4,FALSE),0)</f>
        <v/>
      </c>
      <c r="K933" s="4">
        <f>IF($M933&lt;&gt;"Yes",0,IF($H933="",0,$H933*$I933))</f>
        <v/>
      </c>
      <c r="L933" s="4">
        <f>IF($M933&lt;&gt;"Yes",0,IF($H933="",0,$H933*$J933))</f>
        <v/>
      </c>
      <c r="M933" s="4" t="n"/>
      <c r="N933" s="4" t="n"/>
      <c r="O933" s="4">
        <f>IF($A933="","",TEXT($A933,"yyyy")&amp;"-W"&amp;TEXT(ISOWEEKNUM($A933),"00"))</f>
        <v/>
      </c>
      <c r="P933" s="4" t="n"/>
      <c r="Q933" s="14">
        <f>IF($A933="","",TEXT($A933,"yyyy-mm"))</f>
        <v/>
      </c>
    </row>
    <row r="934">
      <c r="A934" s="66" t="n"/>
      <c r="B934" s="4" t="n"/>
      <c r="C934" s="11">
        <f>IFERROR(VLOOKUP($B934,Members!$A:$C,2,FALSE),"")</f>
        <v/>
      </c>
      <c r="D934" s="11">
        <f>IFERROR(VLOOKUP($B934,Members!$A:$C,3,FALSE),"")</f>
        <v/>
      </c>
      <c r="E934" s="11">
        <f>IF($F934="","",IFERROR(VLOOKUP($F934,ActionMap!$A:$B,2,FALSE),"INVALID ACTION"))</f>
        <v/>
      </c>
      <c r="F934" s="4" t="n"/>
      <c r="G934" s="11">
        <f>IFERROR(VLOOKUP($E934,ActionsCatalog!$A:$B,2,FALSE),"")</f>
        <v/>
      </c>
      <c r="H934" s="4" t="n"/>
      <c r="I934" s="4">
        <f>IFERROR(VLOOKUP($E934,ActionsCatalog!$A:$D,3,FALSE),0)</f>
        <v/>
      </c>
      <c r="J934" s="4">
        <f>IFERROR(VLOOKUP($E934,ActionsCatalog!$A:$D,4,FALSE),0)</f>
        <v/>
      </c>
      <c r="K934" s="4">
        <f>IF($M934&lt;&gt;"Yes",0,IF($H934="",0,$H934*$I934))</f>
        <v/>
      </c>
      <c r="L934" s="4">
        <f>IF($M934&lt;&gt;"Yes",0,IF($H934="",0,$H934*$J934))</f>
        <v/>
      </c>
      <c r="M934" s="4" t="n"/>
      <c r="N934" s="4" t="n"/>
      <c r="O934" s="4">
        <f>IF($A934="","",TEXT($A934,"yyyy")&amp;"-W"&amp;TEXT(ISOWEEKNUM($A934),"00"))</f>
        <v/>
      </c>
      <c r="P934" s="4" t="n"/>
      <c r="Q934" s="14">
        <f>IF($A934="","",TEXT($A934,"yyyy-mm"))</f>
        <v/>
      </c>
    </row>
    <row r="935">
      <c r="A935" s="66" t="n"/>
      <c r="B935" s="4" t="n"/>
      <c r="C935" s="11">
        <f>IFERROR(VLOOKUP($B935,Members!$A:$C,2,FALSE),"")</f>
        <v/>
      </c>
      <c r="D935" s="11">
        <f>IFERROR(VLOOKUP($B935,Members!$A:$C,3,FALSE),"")</f>
        <v/>
      </c>
      <c r="E935" s="11">
        <f>IF($F935="","",IFERROR(VLOOKUP($F935,ActionMap!$A:$B,2,FALSE),"INVALID ACTION"))</f>
        <v/>
      </c>
      <c r="F935" s="4" t="n"/>
      <c r="G935" s="11">
        <f>IFERROR(VLOOKUP($E935,ActionsCatalog!$A:$B,2,FALSE),"")</f>
        <v/>
      </c>
      <c r="H935" s="4" t="n"/>
      <c r="I935" s="4">
        <f>IFERROR(VLOOKUP($E935,ActionsCatalog!$A:$D,3,FALSE),0)</f>
        <v/>
      </c>
      <c r="J935" s="4">
        <f>IFERROR(VLOOKUP($E935,ActionsCatalog!$A:$D,4,FALSE),0)</f>
        <v/>
      </c>
      <c r="K935" s="4">
        <f>IF($M935&lt;&gt;"Yes",0,IF($H935="",0,$H935*$I935))</f>
        <v/>
      </c>
      <c r="L935" s="4">
        <f>IF($M935&lt;&gt;"Yes",0,IF($H935="",0,$H935*$J935))</f>
        <v/>
      </c>
      <c r="M935" s="4" t="n"/>
      <c r="N935" s="4" t="n"/>
      <c r="O935" s="4">
        <f>IF($A935="","",TEXT($A935,"yyyy")&amp;"-W"&amp;TEXT(ISOWEEKNUM($A935),"00"))</f>
        <v/>
      </c>
      <c r="P935" s="4" t="n"/>
      <c r="Q935" s="14">
        <f>IF($A935="","",TEXT($A935,"yyyy-mm"))</f>
        <v/>
      </c>
    </row>
    <row r="936">
      <c r="A936" s="66" t="n"/>
      <c r="B936" s="4" t="n"/>
      <c r="C936" s="11">
        <f>IFERROR(VLOOKUP($B936,Members!$A:$C,2,FALSE),"")</f>
        <v/>
      </c>
      <c r="D936" s="11">
        <f>IFERROR(VLOOKUP($B936,Members!$A:$C,3,FALSE),"")</f>
        <v/>
      </c>
      <c r="E936" s="11">
        <f>IF($F936="","",IFERROR(VLOOKUP($F936,ActionMap!$A:$B,2,FALSE),"INVALID ACTION"))</f>
        <v/>
      </c>
      <c r="F936" s="4" t="n"/>
      <c r="G936" s="11">
        <f>IFERROR(VLOOKUP($E936,ActionsCatalog!$A:$B,2,FALSE),"")</f>
        <v/>
      </c>
      <c r="H936" s="4" t="n"/>
      <c r="I936" s="4">
        <f>IFERROR(VLOOKUP($E936,ActionsCatalog!$A:$D,3,FALSE),0)</f>
        <v/>
      </c>
      <c r="J936" s="4">
        <f>IFERROR(VLOOKUP($E936,ActionsCatalog!$A:$D,4,FALSE),0)</f>
        <v/>
      </c>
      <c r="K936" s="4">
        <f>IF($M936&lt;&gt;"Yes",0,IF($H936="",0,$H936*$I936))</f>
        <v/>
      </c>
      <c r="L936" s="4">
        <f>IF($M936&lt;&gt;"Yes",0,IF($H936="",0,$H936*$J936))</f>
        <v/>
      </c>
      <c r="M936" s="4" t="n"/>
      <c r="N936" s="4" t="n"/>
      <c r="O936" s="4">
        <f>IF($A936="","",TEXT($A936,"yyyy")&amp;"-W"&amp;TEXT(ISOWEEKNUM($A936),"00"))</f>
        <v/>
      </c>
      <c r="P936" s="4" t="n"/>
      <c r="Q936" s="14">
        <f>IF($A936="","",TEXT($A936,"yyyy-mm"))</f>
        <v/>
      </c>
    </row>
    <row r="937">
      <c r="A937" s="66" t="n"/>
      <c r="B937" s="4" t="n"/>
      <c r="C937" s="11">
        <f>IFERROR(VLOOKUP($B937,Members!$A:$C,2,FALSE),"")</f>
        <v/>
      </c>
      <c r="D937" s="11">
        <f>IFERROR(VLOOKUP($B937,Members!$A:$C,3,FALSE),"")</f>
        <v/>
      </c>
      <c r="E937" s="11">
        <f>IF($F937="","",IFERROR(VLOOKUP($F937,ActionMap!$A:$B,2,FALSE),"INVALID ACTION"))</f>
        <v/>
      </c>
      <c r="F937" s="4" t="n"/>
      <c r="G937" s="11">
        <f>IFERROR(VLOOKUP($E937,ActionsCatalog!$A:$B,2,FALSE),"")</f>
        <v/>
      </c>
      <c r="H937" s="4" t="n"/>
      <c r="I937" s="4">
        <f>IFERROR(VLOOKUP($E937,ActionsCatalog!$A:$D,3,FALSE),0)</f>
        <v/>
      </c>
      <c r="J937" s="4">
        <f>IFERROR(VLOOKUP($E937,ActionsCatalog!$A:$D,4,FALSE),0)</f>
        <v/>
      </c>
      <c r="K937" s="4">
        <f>IF($M937&lt;&gt;"Yes",0,IF($H937="",0,$H937*$I937))</f>
        <v/>
      </c>
      <c r="L937" s="4">
        <f>IF($M937&lt;&gt;"Yes",0,IF($H937="",0,$H937*$J937))</f>
        <v/>
      </c>
      <c r="M937" s="4" t="n"/>
      <c r="N937" s="4" t="n"/>
      <c r="O937" s="4">
        <f>IF($A937="","",TEXT($A937,"yyyy")&amp;"-W"&amp;TEXT(ISOWEEKNUM($A937),"00"))</f>
        <v/>
      </c>
      <c r="P937" s="4" t="n"/>
      <c r="Q937" s="14">
        <f>IF($A937="","",TEXT($A937,"yyyy-mm"))</f>
        <v/>
      </c>
    </row>
    <row r="938">
      <c r="A938" s="66" t="n"/>
      <c r="B938" s="4" t="n"/>
      <c r="C938" s="11">
        <f>IFERROR(VLOOKUP($B938,Members!$A:$C,2,FALSE),"")</f>
        <v/>
      </c>
      <c r="D938" s="11">
        <f>IFERROR(VLOOKUP($B938,Members!$A:$C,3,FALSE),"")</f>
        <v/>
      </c>
      <c r="E938" s="11">
        <f>IF($F938="","",IFERROR(VLOOKUP($F938,ActionMap!$A:$B,2,FALSE),"INVALID ACTION"))</f>
        <v/>
      </c>
      <c r="F938" s="4" t="n"/>
      <c r="G938" s="11">
        <f>IFERROR(VLOOKUP($E938,ActionsCatalog!$A:$B,2,FALSE),"")</f>
        <v/>
      </c>
      <c r="H938" s="4" t="n"/>
      <c r="I938" s="4">
        <f>IFERROR(VLOOKUP($E938,ActionsCatalog!$A:$D,3,FALSE),0)</f>
        <v/>
      </c>
      <c r="J938" s="4">
        <f>IFERROR(VLOOKUP($E938,ActionsCatalog!$A:$D,4,FALSE),0)</f>
        <v/>
      </c>
      <c r="K938" s="4">
        <f>IF($M938&lt;&gt;"Yes",0,IF($H938="",0,$H938*$I938))</f>
        <v/>
      </c>
      <c r="L938" s="4">
        <f>IF($M938&lt;&gt;"Yes",0,IF($H938="",0,$H938*$J938))</f>
        <v/>
      </c>
      <c r="M938" s="4" t="n"/>
      <c r="N938" s="4" t="n"/>
      <c r="O938" s="4">
        <f>IF($A938="","",TEXT($A938,"yyyy")&amp;"-W"&amp;TEXT(ISOWEEKNUM($A938),"00"))</f>
        <v/>
      </c>
      <c r="P938" s="4" t="n"/>
      <c r="Q938" s="14">
        <f>IF($A938="","",TEXT($A938,"yyyy-mm"))</f>
        <v/>
      </c>
    </row>
    <row r="939">
      <c r="A939" s="66" t="n"/>
      <c r="B939" s="4" t="n"/>
      <c r="C939" s="11">
        <f>IFERROR(VLOOKUP($B939,Members!$A:$C,2,FALSE),"")</f>
        <v/>
      </c>
      <c r="D939" s="11">
        <f>IFERROR(VLOOKUP($B939,Members!$A:$C,3,FALSE),"")</f>
        <v/>
      </c>
      <c r="E939" s="11">
        <f>IF($F939="","",IFERROR(VLOOKUP($F939,ActionMap!$A:$B,2,FALSE),"INVALID ACTION"))</f>
        <v/>
      </c>
      <c r="F939" s="4" t="n"/>
      <c r="G939" s="11">
        <f>IFERROR(VLOOKUP($E939,ActionsCatalog!$A:$B,2,FALSE),"")</f>
        <v/>
      </c>
      <c r="H939" s="4" t="n"/>
      <c r="I939" s="4">
        <f>IFERROR(VLOOKUP($E939,ActionsCatalog!$A:$D,3,FALSE),0)</f>
        <v/>
      </c>
      <c r="J939" s="4">
        <f>IFERROR(VLOOKUP($E939,ActionsCatalog!$A:$D,4,FALSE),0)</f>
        <v/>
      </c>
      <c r="K939" s="4">
        <f>IF($M939&lt;&gt;"Yes",0,IF($H939="",0,$H939*$I939))</f>
        <v/>
      </c>
      <c r="L939" s="4">
        <f>IF($M939&lt;&gt;"Yes",0,IF($H939="",0,$H939*$J939))</f>
        <v/>
      </c>
      <c r="M939" s="4" t="n"/>
      <c r="N939" s="4" t="n"/>
      <c r="O939" s="4">
        <f>IF($A939="","",TEXT($A939,"yyyy")&amp;"-W"&amp;TEXT(ISOWEEKNUM($A939),"00"))</f>
        <v/>
      </c>
      <c r="P939" s="4" t="n"/>
      <c r="Q939" s="14">
        <f>IF($A939="","",TEXT($A939,"yyyy-mm"))</f>
        <v/>
      </c>
    </row>
    <row r="940">
      <c r="A940" s="66" t="n"/>
      <c r="B940" s="4" t="n"/>
      <c r="C940" s="11">
        <f>IFERROR(VLOOKUP($B940,Members!$A:$C,2,FALSE),"")</f>
        <v/>
      </c>
      <c r="D940" s="11">
        <f>IFERROR(VLOOKUP($B940,Members!$A:$C,3,FALSE),"")</f>
        <v/>
      </c>
      <c r="E940" s="11">
        <f>IF($F940="","",IFERROR(VLOOKUP($F940,ActionMap!$A:$B,2,FALSE),"INVALID ACTION"))</f>
        <v/>
      </c>
      <c r="F940" s="4" t="n"/>
      <c r="G940" s="11">
        <f>IFERROR(VLOOKUP($E940,ActionsCatalog!$A:$B,2,FALSE),"")</f>
        <v/>
      </c>
      <c r="H940" s="4" t="n"/>
      <c r="I940" s="4">
        <f>IFERROR(VLOOKUP($E940,ActionsCatalog!$A:$D,3,FALSE),0)</f>
        <v/>
      </c>
      <c r="J940" s="4">
        <f>IFERROR(VLOOKUP($E940,ActionsCatalog!$A:$D,4,FALSE),0)</f>
        <v/>
      </c>
      <c r="K940" s="4">
        <f>IF($M940&lt;&gt;"Yes",0,IF($H940="",0,$H940*$I940))</f>
        <v/>
      </c>
      <c r="L940" s="4">
        <f>IF($M940&lt;&gt;"Yes",0,IF($H940="",0,$H940*$J940))</f>
        <v/>
      </c>
      <c r="M940" s="4" t="n"/>
      <c r="N940" s="4" t="n"/>
      <c r="O940" s="4">
        <f>IF($A940="","",TEXT($A940,"yyyy")&amp;"-W"&amp;TEXT(ISOWEEKNUM($A940),"00"))</f>
        <v/>
      </c>
      <c r="P940" s="4" t="n"/>
      <c r="Q940" s="14">
        <f>IF($A940="","",TEXT($A940,"yyyy-mm"))</f>
        <v/>
      </c>
    </row>
    <row r="941">
      <c r="A941" s="66" t="n"/>
      <c r="B941" s="4" t="n"/>
      <c r="C941" s="11">
        <f>IFERROR(VLOOKUP($B941,Members!$A:$C,2,FALSE),"")</f>
        <v/>
      </c>
      <c r="D941" s="11">
        <f>IFERROR(VLOOKUP($B941,Members!$A:$C,3,FALSE),"")</f>
        <v/>
      </c>
      <c r="E941" s="11">
        <f>IF($F941="","",IFERROR(VLOOKUP($F941,ActionMap!$A:$B,2,FALSE),"INVALID ACTION"))</f>
        <v/>
      </c>
      <c r="F941" s="4" t="n"/>
      <c r="G941" s="11">
        <f>IFERROR(VLOOKUP($E941,ActionsCatalog!$A:$B,2,FALSE),"")</f>
        <v/>
      </c>
      <c r="H941" s="4" t="n"/>
      <c r="I941" s="4">
        <f>IFERROR(VLOOKUP($E941,ActionsCatalog!$A:$D,3,FALSE),0)</f>
        <v/>
      </c>
      <c r="J941" s="4">
        <f>IFERROR(VLOOKUP($E941,ActionsCatalog!$A:$D,4,FALSE),0)</f>
        <v/>
      </c>
      <c r="K941" s="4">
        <f>IF($M941&lt;&gt;"Yes",0,IF($H941="",0,$H941*$I941))</f>
        <v/>
      </c>
      <c r="L941" s="4">
        <f>IF($M941&lt;&gt;"Yes",0,IF($H941="",0,$H941*$J941))</f>
        <v/>
      </c>
      <c r="M941" s="4" t="n"/>
      <c r="N941" s="4" t="n"/>
      <c r="O941" s="4">
        <f>IF($A941="","",TEXT($A941,"yyyy")&amp;"-W"&amp;TEXT(ISOWEEKNUM($A941),"00"))</f>
        <v/>
      </c>
      <c r="P941" s="4" t="n"/>
      <c r="Q941" s="14">
        <f>IF($A941="","",TEXT($A941,"yyyy-mm"))</f>
        <v/>
      </c>
    </row>
    <row r="942">
      <c r="A942" s="66" t="n"/>
      <c r="B942" s="4" t="n"/>
      <c r="C942" s="11">
        <f>IFERROR(VLOOKUP($B942,Members!$A:$C,2,FALSE),"")</f>
        <v/>
      </c>
      <c r="D942" s="11">
        <f>IFERROR(VLOOKUP($B942,Members!$A:$C,3,FALSE),"")</f>
        <v/>
      </c>
      <c r="E942" s="11">
        <f>IF($F942="","",IFERROR(VLOOKUP($F942,ActionMap!$A:$B,2,FALSE),"INVALID ACTION"))</f>
        <v/>
      </c>
      <c r="F942" s="4" t="n"/>
      <c r="G942" s="11">
        <f>IFERROR(VLOOKUP($E942,ActionsCatalog!$A:$B,2,FALSE),"")</f>
        <v/>
      </c>
      <c r="H942" s="4" t="n"/>
      <c r="I942" s="4">
        <f>IFERROR(VLOOKUP($E942,ActionsCatalog!$A:$D,3,FALSE),0)</f>
        <v/>
      </c>
      <c r="J942" s="4">
        <f>IFERROR(VLOOKUP($E942,ActionsCatalog!$A:$D,4,FALSE),0)</f>
        <v/>
      </c>
      <c r="K942" s="4">
        <f>IF($M942&lt;&gt;"Yes",0,IF($H942="",0,$H942*$I942))</f>
        <v/>
      </c>
      <c r="L942" s="4">
        <f>IF($M942&lt;&gt;"Yes",0,IF($H942="",0,$H942*$J942))</f>
        <v/>
      </c>
      <c r="M942" s="4" t="n"/>
      <c r="N942" s="4" t="n"/>
      <c r="O942" s="4">
        <f>IF($A942="","",TEXT($A942,"yyyy")&amp;"-W"&amp;TEXT(ISOWEEKNUM($A942),"00"))</f>
        <v/>
      </c>
      <c r="P942" s="4" t="n"/>
      <c r="Q942" s="14">
        <f>IF($A942="","",TEXT($A942,"yyyy-mm"))</f>
        <v/>
      </c>
    </row>
    <row r="943">
      <c r="A943" s="66" t="n"/>
      <c r="B943" s="4" t="n"/>
      <c r="C943" s="11">
        <f>IFERROR(VLOOKUP($B943,Members!$A:$C,2,FALSE),"")</f>
        <v/>
      </c>
      <c r="D943" s="11">
        <f>IFERROR(VLOOKUP($B943,Members!$A:$C,3,FALSE),"")</f>
        <v/>
      </c>
      <c r="E943" s="11">
        <f>IF($F943="","",IFERROR(VLOOKUP($F943,ActionMap!$A:$B,2,FALSE),"INVALID ACTION"))</f>
        <v/>
      </c>
      <c r="F943" s="4" t="n"/>
      <c r="G943" s="11">
        <f>IFERROR(VLOOKUP($E943,ActionsCatalog!$A:$B,2,FALSE),"")</f>
        <v/>
      </c>
      <c r="H943" s="4" t="n"/>
      <c r="I943" s="4">
        <f>IFERROR(VLOOKUP($E943,ActionsCatalog!$A:$D,3,FALSE),0)</f>
        <v/>
      </c>
      <c r="J943" s="4">
        <f>IFERROR(VLOOKUP($E943,ActionsCatalog!$A:$D,4,FALSE),0)</f>
        <v/>
      </c>
      <c r="K943" s="4">
        <f>IF($M943&lt;&gt;"Yes",0,IF($H943="",0,$H943*$I943))</f>
        <v/>
      </c>
      <c r="L943" s="4">
        <f>IF($M943&lt;&gt;"Yes",0,IF($H943="",0,$H943*$J943))</f>
        <v/>
      </c>
      <c r="M943" s="4" t="n"/>
      <c r="N943" s="4" t="n"/>
      <c r="O943" s="4">
        <f>IF($A943="","",TEXT($A943,"yyyy")&amp;"-W"&amp;TEXT(ISOWEEKNUM($A943),"00"))</f>
        <v/>
      </c>
      <c r="P943" s="4" t="n"/>
      <c r="Q943" s="14">
        <f>IF($A943="","",TEXT($A943,"yyyy-mm"))</f>
        <v/>
      </c>
    </row>
    <row r="944">
      <c r="A944" s="66" t="n"/>
      <c r="B944" s="4" t="n"/>
      <c r="C944" s="11">
        <f>IFERROR(VLOOKUP($B944,Members!$A:$C,2,FALSE),"")</f>
        <v/>
      </c>
      <c r="D944" s="11">
        <f>IFERROR(VLOOKUP($B944,Members!$A:$C,3,FALSE),"")</f>
        <v/>
      </c>
      <c r="E944" s="11">
        <f>IF($F944="","",IFERROR(VLOOKUP($F944,ActionMap!$A:$B,2,FALSE),"INVALID ACTION"))</f>
        <v/>
      </c>
      <c r="F944" s="4" t="n"/>
      <c r="G944" s="11">
        <f>IFERROR(VLOOKUP($E944,ActionsCatalog!$A:$B,2,FALSE),"")</f>
        <v/>
      </c>
      <c r="H944" s="4" t="n"/>
      <c r="I944" s="4">
        <f>IFERROR(VLOOKUP($E944,ActionsCatalog!$A:$D,3,FALSE),0)</f>
        <v/>
      </c>
      <c r="J944" s="4">
        <f>IFERROR(VLOOKUP($E944,ActionsCatalog!$A:$D,4,FALSE),0)</f>
        <v/>
      </c>
      <c r="K944" s="4">
        <f>IF($M944&lt;&gt;"Yes",0,IF($H944="",0,$H944*$I944))</f>
        <v/>
      </c>
      <c r="L944" s="4">
        <f>IF($M944&lt;&gt;"Yes",0,IF($H944="",0,$H944*$J944))</f>
        <v/>
      </c>
      <c r="M944" s="4" t="n"/>
      <c r="N944" s="4" t="n"/>
      <c r="O944" s="4">
        <f>IF($A944="","",TEXT($A944,"yyyy")&amp;"-W"&amp;TEXT(ISOWEEKNUM($A944),"00"))</f>
        <v/>
      </c>
      <c r="P944" s="4" t="n"/>
      <c r="Q944" s="14">
        <f>IF($A944="","",TEXT($A944,"yyyy-mm"))</f>
        <v/>
      </c>
    </row>
    <row r="945">
      <c r="A945" s="66" t="n"/>
      <c r="B945" s="4" t="n"/>
      <c r="C945" s="11">
        <f>IFERROR(VLOOKUP($B945,Members!$A:$C,2,FALSE),"")</f>
        <v/>
      </c>
      <c r="D945" s="11">
        <f>IFERROR(VLOOKUP($B945,Members!$A:$C,3,FALSE),"")</f>
        <v/>
      </c>
      <c r="E945" s="11">
        <f>IF($F945="","",IFERROR(VLOOKUP($F945,ActionMap!$A:$B,2,FALSE),"INVALID ACTION"))</f>
        <v/>
      </c>
      <c r="F945" s="4" t="n"/>
      <c r="G945" s="11">
        <f>IFERROR(VLOOKUP($E945,ActionsCatalog!$A:$B,2,FALSE),"")</f>
        <v/>
      </c>
      <c r="H945" s="4" t="n"/>
      <c r="I945" s="4">
        <f>IFERROR(VLOOKUP($E945,ActionsCatalog!$A:$D,3,FALSE),0)</f>
        <v/>
      </c>
      <c r="J945" s="4">
        <f>IFERROR(VLOOKUP($E945,ActionsCatalog!$A:$D,4,FALSE),0)</f>
        <v/>
      </c>
      <c r="K945" s="4">
        <f>IF($M945&lt;&gt;"Yes",0,IF($H945="",0,$H945*$I945))</f>
        <v/>
      </c>
      <c r="L945" s="4">
        <f>IF($M945&lt;&gt;"Yes",0,IF($H945="",0,$H945*$J945))</f>
        <v/>
      </c>
      <c r="M945" s="4" t="n"/>
      <c r="N945" s="4" t="n"/>
      <c r="O945" s="4">
        <f>IF($A945="","",TEXT($A945,"yyyy")&amp;"-W"&amp;TEXT(ISOWEEKNUM($A945),"00"))</f>
        <v/>
      </c>
      <c r="P945" s="4" t="n"/>
      <c r="Q945" s="14">
        <f>IF($A945="","",TEXT($A945,"yyyy-mm"))</f>
        <v/>
      </c>
    </row>
    <row r="946">
      <c r="A946" s="66" t="n"/>
      <c r="B946" s="4" t="n"/>
      <c r="C946" s="11">
        <f>IFERROR(VLOOKUP($B946,Members!$A:$C,2,FALSE),"")</f>
        <v/>
      </c>
      <c r="D946" s="11">
        <f>IFERROR(VLOOKUP($B946,Members!$A:$C,3,FALSE),"")</f>
        <v/>
      </c>
      <c r="E946" s="11">
        <f>IF($F946="","",IFERROR(VLOOKUP($F946,ActionMap!$A:$B,2,FALSE),"INVALID ACTION"))</f>
        <v/>
      </c>
      <c r="F946" s="4" t="n"/>
      <c r="G946" s="11">
        <f>IFERROR(VLOOKUP($E946,ActionsCatalog!$A:$B,2,FALSE),"")</f>
        <v/>
      </c>
      <c r="H946" s="4" t="n"/>
      <c r="I946" s="4">
        <f>IFERROR(VLOOKUP($E946,ActionsCatalog!$A:$D,3,FALSE),0)</f>
        <v/>
      </c>
      <c r="J946" s="4">
        <f>IFERROR(VLOOKUP($E946,ActionsCatalog!$A:$D,4,FALSE),0)</f>
        <v/>
      </c>
      <c r="K946" s="4">
        <f>IF($M946&lt;&gt;"Yes",0,IF($H946="",0,$H946*$I946))</f>
        <v/>
      </c>
      <c r="L946" s="4">
        <f>IF($M946&lt;&gt;"Yes",0,IF($H946="",0,$H946*$J946))</f>
        <v/>
      </c>
      <c r="M946" s="4" t="n"/>
      <c r="N946" s="4" t="n"/>
      <c r="O946" s="4">
        <f>IF($A946="","",TEXT($A946,"yyyy")&amp;"-W"&amp;TEXT(ISOWEEKNUM($A946),"00"))</f>
        <v/>
      </c>
      <c r="P946" s="4" t="n"/>
      <c r="Q946" s="14">
        <f>IF($A946="","",TEXT($A946,"yyyy-mm"))</f>
        <v/>
      </c>
    </row>
    <row r="947">
      <c r="A947" s="66" t="n"/>
      <c r="B947" s="4" t="n"/>
      <c r="C947" s="11">
        <f>IFERROR(VLOOKUP($B947,Members!$A:$C,2,FALSE),"")</f>
        <v/>
      </c>
      <c r="D947" s="11">
        <f>IFERROR(VLOOKUP($B947,Members!$A:$C,3,FALSE),"")</f>
        <v/>
      </c>
      <c r="E947" s="11">
        <f>IF($F947="","",IFERROR(VLOOKUP($F947,ActionMap!$A:$B,2,FALSE),"INVALID ACTION"))</f>
        <v/>
      </c>
      <c r="F947" s="4" t="n"/>
      <c r="G947" s="11">
        <f>IFERROR(VLOOKUP($E947,ActionsCatalog!$A:$B,2,FALSE),"")</f>
        <v/>
      </c>
      <c r="H947" s="4" t="n"/>
      <c r="I947" s="4">
        <f>IFERROR(VLOOKUP($E947,ActionsCatalog!$A:$D,3,FALSE),0)</f>
        <v/>
      </c>
      <c r="J947" s="4">
        <f>IFERROR(VLOOKUP($E947,ActionsCatalog!$A:$D,4,FALSE),0)</f>
        <v/>
      </c>
      <c r="K947" s="4">
        <f>IF($M947&lt;&gt;"Yes",0,IF($H947="",0,$H947*$I947))</f>
        <v/>
      </c>
      <c r="L947" s="4">
        <f>IF($M947&lt;&gt;"Yes",0,IF($H947="",0,$H947*$J947))</f>
        <v/>
      </c>
      <c r="M947" s="4" t="n"/>
      <c r="N947" s="4" t="n"/>
      <c r="O947" s="4">
        <f>IF($A947="","",TEXT($A947,"yyyy")&amp;"-W"&amp;TEXT(ISOWEEKNUM($A947),"00"))</f>
        <v/>
      </c>
      <c r="P947" s="4" t="n"/>
      <c r="Q947" s="14">
        <f>IF($A947="","",TEXT($A947,"yyyy-mm"))</f>
        <v/>
      </c>
    </row>
    <row r="948">
      <c r="A948" s="66" t="n"/>
      <c r="B948" s="4" t="n"/>
      <c r="C948" s="11">
        <f>IFERROR(VLOOKUP($B948,Members!$A:$C,2,FALSE),"")</f>
        <v/>
      </c>
      <c r="D948" s="11">
        <f>IFERROR(VLOOKUP($B948,Members!$A:$C,3,FALSE),"")</f>
        <v/>
      </c>
      <c r="E948" s="11">
        <f>IF($F948="","",IFERROR(VLOOKUP($F948,ActionMap!$A:$B,2,FALSE),"INVALID ACTION"))</f>
        <v/>
      </c>
      <c r="F948" s="4" t="n"/>
      <c r="G948" s="11">
        <f>IFERROR(VLOOKUP($E948,ActionsCatalog!$A:$B,2,FALSE),"")</f>
        <v/>
      </c>
      <c r="H948" s="4" t="n"/>
      <c r="I948" s="4">
        <f>IFERROR(VLOOKUP($E948,ActionsCatalog!$A:$D,3,FALSE),0)</f>
        <v/>
      </c>
      <c r="J948" s="4">
        <f>IFERROR(VLOOKUP($E948,ActionsCatalog!$A:$D,4,FALSE),0)</f>
        <v/>
      </c>
      <c r="K948" s="4">
        <f>IF($M948&lt;&gt;"Yes",0,IF($H948="",0,$H948*$I948))</f>
        <v/>
      </c>
      <c r="L948" s="4">
        <f>IF($M948&lt;&gt;"Yes",0,IF($H948="",0,$H948*$J948))</f>
        <v/>
      </c>
      <c r="M948" s="4" t="n"/>
      <c r="N948" s="4" t="n"/>
      <c r="O948" s="4">
        <f>IF($A948="","",TEXT($A948,"yyyy")&amp;"-W"&amp;TEXT(ISOWEEKNUM($A948),"00"))</f>
        <v/>
      </c>
      <c r="P948" s="4" t="n"/>
      <c r="Q948" s="14">
        <f>IF($A948="","",TEXT($A948,"yyyy-mm"))</f>
        <v/>
      </c>
    </row>
    <row r="949">
      <c r="A949" s="66" t="n"/>
      <c r="B949" s="4" t="n"/>
      <c r="C949" s="11">
        <f>IFERROR(VLOOKUP($B949,Members!$A:$C,2,FALSE),"")</f>
        <v/>
      </c>
      <c r="D949" s="11">
        <f>IFERROR(VLOOKUP($B949,Members!$A:$C,3,FALSE),"")</f>
        <v/>
      </c>
      <c r="E949" s="11">
        <f>IF($F949="","",IFERROR(VLOOKUP($F949,ActionMap!$A:$B,2,FALSE),"INVALID ACTION"))</f>
        <v/>
      </c>
      <c r="F949" s="4" t="n"/>
      <c r="G949" s="11">
        <f>IFERROR(VLOOKUP($E949,ActionsCatalog!$A:$B,2,FALSE),"")</f>
        <v/>
      </c>
      <c r="H949" s="4" t="n"/>
      <c r="I949" s="4">
        <f>IFERROR(VLOOKUP($E949,ActionsCatalog!$A:$D,3,FALSE),0)</f>
        <v/>
      </c>
      <c r="J949" s="4">
        <f>IFERROR(VLOOKUP($E949,ActionsCatalog!$A:$D,4,FALSE),0)</f>
        <v/>
      </c>
      <c r="K949" s="4">
        <f>IF($M949&lt;&gt;"Yes",0,IF($H949="",0,$H949*$I949))</f>
        <v/>
      </c>
      <c r="L949" s="4">
        <f>IF($M949&lt;&gt;"Yes",0,IF($H949="",0,$H949*$J949))</f>
        <v/>
      </c>
      <c r="M949" s="4" t="n"/>
      <c r="N949" s="4" t="n"/>
      <c r="O949" s="4">
        <f>IF($A949="","",TEXT($A949,"yyyy")&amp;"-W"&amp;TEXT(ISOWEEKNUM($A949),"00"))</f>
        <v/>
      </c>
      <c r="P949" s="4" t="n"/>
      <c r="Q949" s="14">
        <f>IF($A949="","",TEXT($A949,"yyyy-mm"))</f>
        <v/>
      </c>
    </row>
    <row r="950">
      <c r="A950" s="66" t="n"/>
      <c r="B950" s="4" t="n"/>
      <c r="C950" s="11">
        <f>IFERROR(VLOOKUP($B950,Members!$A:$C,2,FALSE),"")</f>
        <v/>
      </c>
      <c r="D950" s="11">
        <f>IFERROR(VLOOKUP($B950,Members!$A:$C,3,FALSE),"")</f>
        <v/>
      </c>
      <c r="E950" s="11">
        <f>IF($F950="","",IFERROR(VLOOKUP($F950,ActionMap!$A:$B,2,FALSE),"INVALID ACTION"))</f>
        <v/>
      </c>
      <c r="F950" s="4" t="n"/>
      <c r="G950" s="11">
        <f>IFERROR(VLOOKUP($E950,ActionsCatalog!$A:$B,2,FALSE),"")</f>
        <v/>
      </c>
      <c r="H950" s="4" t="n"/>
      <c r="I950" s="4">
        <f>IFERROR(VLOOKUP($E950,ActionsCatalog!$A:$D,3,FALSE),0)</f>
        <v/>
      </c>
      <c r="J950" s="4">
        <f>IFERROR(VLOOKUP($E950,ActionsCatalog!$A:$D,4,FALSE),0)</f>
        <v/>
      </c>
      <c r="K950" s="4">
        <f>IF($M950&lt;&gt;"Yes",0,IF($H950="",0,$H950*$I950))</f>
        <v/>
      </c>
      <c r="L950" s="4">
        <f>IF($M950&lt;&gt;"Yes",0,IF($H950="",0,$H950*$J950))</f>
        <v/>
      </c>
      <c r="M950" s="4" t="n"/>
      <c r="N950" s="4" t="n"/>
      <c r="O950" s="4">
        <f>IF($A950="","",TEXT($A950,"yyyy")&amp;"-W"&amp;TEXT(ISOWEEKNUM($A950),"00"))</f>
        <v/>
      </c>
      <c r="P950" s="4" t="n"/>
      <c r="Q950" s="14">
        <f>IF($A950="","",TEXT($A950,"yyyy-mm"))</f>
        <v/>
      </c>
    </row>
    <row r="951">
      <c r="A951" s="66" t="n"/>
      <c r="B951" s="4" t="n"/>
      <c r="C951" s="11">
        <f>IFERROR(VLOOKUP($B951,Members!$A:$C,2,FALSE),"")</f>
        <v/>
      </c>
      <c r="D951" s="11">
        <f>IFERROR(VLOOKUP($B951,Members!$A:$C,3,FALSE),"")</f>
        <v/>
      </c>
      <c r="E951" s="11">
        <f>IF($F951="","",IFERROR(VLOOKUP($F951,ActionMap!$A:$B,2,FALSE),"INVALID ACTION"))</f>
        <v/>
      </c>
      <c r="F951" s="4" t="n"/>
      <c r="G951" s="11">
        <f>IFERROR(VLOOKUP($E951,ActionsCatalog!$A:$B,2,FALSE),"")</f>
        <v/>
      </c>
      <c r="H951" s="4" t="n"/>
      <c r="I951" s="4">
        <f>IFERROR(VLOOKUP($E951,ActionsCatalog!$A:$D,3,FALSE),0)</f>
        <v/>
      </c>
      <c r="J951" s="4">
        <f>IFERROR(VLOOKUP($E951,ActionsCatalog!$A:$D,4,FALSE),0)</f>
        <v/>
      </c>
      <c r="K951" s="4">
        <f>IF($M951&lt;&gt;"Yes",0,IF($H951="",0,$H951*$I951))</f>
        <v/>
      </c>
      <c r="L951" s="4">
        <f>IF($M951&lt;&gt;"Yes",0,IF($H951="",0,$H951*$J951))</f>
        <v/>
      </c>
      <c r="M951" s="4" t="n"/>
      <c r="N951" s="4" t="n"/>
      <c r="O951" s="4">
        <f>IF($A951="","",TEXT($A951,"yyyy")&amp;"-W"&amp;TEXT(ISOWEEKNUM($A951),"00"))</f>
        <v/>
      </c>
      <c r="P951" s="4" t="n"/>
      <c r="Q951" s="14">
        <f>IF($A951="","",TEXT($A951,"yyyy-mm"))</f>
        <v/>
      </c>
    </row>
    <row r="952">
      <c r="A952" s="66" t="n"/>
      <c r="B952" s="4" t="n"/>
      <c r="C952" s="11">
        <f>IFERROR(VLOOKUP($B952,Members!$A:$C,2,FALSE),"")</f>
        <v/>
      </c>
      <c r="D952" s="11">
        <f>IFERROR(VLOOKUP($B952,Members!$A:$C,3,FALSE),"")</f>
        <v/>
      </c>
      <c r="E952" s="11">
        <f>IF($F952="","",IFERROR(VLOOKUP($F952,ActionMap!$A:$B,2,FALSE),"INVALID ACTION"))</f>
        <v/>
      </c>
      <c r="F952" s="4" t="n"/>
      <c r="G952" s="11">
        <f>IFERROR(VLOOKUP($E952,ActionsCatalog!$A:$B,2,FALSE),"")</f>
        <v/>
      </c>
      <c r="H952" s="4" t="n"/>
      <c r="I952" s="4">
        <f>IFERROR(VLOOKUP($E952,ActionsCatalog!$A:$D,3,FALSE),0)</f>
        <v/>
      </c>
      <c r="J952" s="4">
        <f>IFERROR(VLOOKUP($E952,ActionsCatalog!$A:$D,4,FALSE),0)</f>
        <v/>
      </c>
      <c r="K952" s="4">
        <f>IF($M952&lt;&gt;"Yes",0,IF($H952="",0,$H952*$I952))</f>
        <v/>
      </c>
      <c r="L952" s="4">
        <f>IF($M952&lt;&gt;"Yes",0,IF($H952="",0,$H952*$J952))</f>
        <v/>
      </c>
      <c r="M952" s="4" t="n"/>
      <c r="N952" s="4" t="n"/>
      <c r="O952" s="4">
        <f>IF($A952="","",TEXT($A952,"yyyy")&amp;"-W"&amp;TEXT(ISOWEEKNUM($A952),"00"))</f>
        <v/>
      </c>
      <c r="P952" s="4" t="n"/>
      <c r="Q952" s="14">
        <f>IF($A952="","",TEXT($A952,"yyyy-mm"))</f>
        <v/>
      </c>
    </row>
    <row r="953">
      <c r="A953" s="66" t="n"/>
      <c r="B953" s="4" t="n"/>
      <c r="C953" s="11">
        <f>IFERROR(VLOOKUP($B953,Members!$A:$C,2,FALSE),"")</f>
        <v/>
      </c>
      <c r="D953" s="11">
        <f>IFERROR(VLOOKUP($B953,Members!$A:$C,3,FALSE),"")</f>
        <v/>
      </c>
      <c r="E953" s="11">
        <f>IF($F953="","",IFERROR(VLOOKUP($F953,ActionMap!$A:$B,2,FALSE),"INVALID ACTION"))</f>
        <v/>
      </c>
      <c r="F953" s="4" t="n"/>
      <c r="G953" s="11">
        <f>IFERROR(VLOOKUP($E953,ActionsCatalog!$A:$B,2,FALSE),"")</f>
        <v/>
      </c>
      <c r="H953" s="4" t="n"/>
      <c r="I953" s="4">
        <f>IFERROR(VLOOKUP($E953,ActionsCatalog!$A:$D,3,FALSE),0)</f>
        <v/>
      </c>
      <c r="J953" s="4">
        <f>IFERROR(VLOOKUP($E953,ActionsCatalog!$A:$D,4,FALSE),0)</f>
        <v/>
      </c>
      <c r="K953" s="4">
        <f>IF($M953&lt;&gt;"Yes",0,IF($H953="",0,$H953*$I953))</f>
        <v/>
      </c>
      <c r="L953" s="4">
        <f>IF($M953&lt;&gt;"Yes",0,IF($H953="",0,$H953*$J953))</f>
        <v/>
      </c>
      <c r="M953" s="4" t="n"/>
      <c r="N953" s="4" t="n"/>
      <c r="O953" s="4">
        <f>IF($A953="","",TEXT($A953,"yyyy")&amp;"-W"&amp;TEXT(ISOWEEKNUM($A953),"00"))</f>
        <v/>
      </c>
      <c r="P953" s="4" t="n"/>
      <c r="Q953" s="14">
        <f>IF($A953="","",TEXT($A953,"yyyy-mm"))</f>
        <v/>
      </c>
    </row>
    <row r="954">
      <c r="A954" s="66" t="n"/>
      <c r="B954" s="4" t="n"/>
      <c r="C954" s="11">
        <f>IFERROR(VLOOKUP($B954,Members!$A:$C,2,FALSE),"")</f>
        <v/>
      </c>
      <c r="D954" s="11">
        <f>IFERROR(VLOOKUP($B954,Members!$A:$C,3,FALSE),"")</f>
        <v/>
      </c>
      <c r="E954" s="11">
        <f>IF($F954="","",IFERROR(VLOOKUP($F954,ActionMap!$A:$B,2,FALSE),"INVALID ACTION"))</f>
        <v/>
      </c>
      <c r="F954" s="4" t="n"/>
      <c r="G954" s="11">
        <f>IFERROR(VLOOKUP($E954,ActionsCatalog!$A:$B,2,FALSE),"")</f>
        <v/>
      </c>
      <c r="H954" s="4" t="n"/>
      <c r="I954" s="4">
        <f>IFERROR(VLOOKUP($E954,ActionsCatalog!$A:$D,3,FALSE),0)</f>
        <v/>
      </c>
      <c r="J954" s="4">
        <f>IFERROR(VLOOKUP($E954,ActionsCatalog!$A:$D,4,FALSE),0)</f>
        <v/>
      </c>
      <c r="K954" s="4">
        <f>IF($M954&lt;&gt;"Yes",0,IF($H954="",0,$H954*$I954))</f>
        <v/>
      </c>
      <c r="L954" s="4">
        <f>IF($M954&lt;&gt;"Yes",0,IF($H954="",0,$H954*$J954))</f>
        <v/>
      </c>
      <c r="M954" s="4" t="n"/>
      <c r="N954" s="4" t="n"/>
      <c r="O954" s="4">
        <f>IF($A954="","",TEXT($A954,"yyyy")&amp;"-W"&amp;TEXT(ISOWEEKNUM($A954),"00"))</f>
        <v/>
      </c>
      <c r="P954" s="4" t="n"/>
      <c r="Q954" s="14">
        <f>IF($A954="","",TEXT($A954,"yyyy-mm"))</f>
        <v/>
      </c>
    </row>
    <row r="955">
      <c r="A955" s="66" t="n"/>
      <c r="B955" s="4" t="n"/>
      <c r="C955" s="11">
        <f>IFERROR(VLOOKUP($B955,Members!$A:$C,2,FALSE),"")</f>
        <v/>
      </c>
      <c r="D955" s="11">
        <f>IFERROR(VLOOKUP($B955,Members!$A:$C,3,FALSE),"")</f>
        <v/>
      </c>
      <c r="E955" s="11">
        <f>IF($F955="","",IFERROR(VLOOKUP($F955,ActionMap!$A:$B,2,FALSE),"INVALID ACTION"))</f>
        <v/>
      </c>
      <c r="F955" s="4" t="n"/>
      <c r="G955" s="11">
        <f>IFERROR(VLOOKUP($E955,ActionsCatalog!$A:$B,2,FALSE),"")</f>
        <v/>
      </c>
      <c r="H955" s="4" t="n"/>
      <c r="I955" s="4">
        <f>IFERROR(VLOOKUP($E955,ActionsCatalog!$A:$D,3,FALSE),0)</f>
        <v/>
      </c>
      <c r="J955" s="4">
        <f>IFERROR(VLOOKUP($E955,ActionsCatalog!$A:$D,4,FALSE),0)</f>
        <v/>
      </c>
      <c r="K955" s="4">
        <f>IF($M955&lt;&gt;"Yes",0,IF($H955="",0,$H955*$I955))</f>
        <v/>
      </c>
      <c r="L955" s="4">
        <f>IF($M955&lt;&gt;"Yes",0,IF($H955="",0,$H955*$J955))</f>
        <v/>
      </c>
      <c r="M955" s="4" t="n"/>
      <c r="N955" s="4" t="n"/>
      <c r="O955" s="4">
        <f>IF($A955="","",TEXT($A955,"yyyy")&amp;"-W"&amp;TEXT(ISOWEEKNUM($A955),"00"))</f>
        <v/>
      </c>
      <c r="P955" s="4" t="n"/>
      <c r="Q955" s="14">
        <f>IF($A955="","",TEXT($A955,"yyyy-mm"))</f>
        <v/>
      </c>
    </row>
    <row r="956">
      <c r="A956" s="66" t="n"/>
      <c r="B956" s="4" t="n"/>
      <c r="C956" s="11">
        <f>IFERROR(VLOOKUP($B956,Members!$A:$C,2,FALSE),"")</f>
        <v/>
      </c>
      <c r="D956" s="11">
        <f>IFERROR(VLOOKUP($B956,Members!$A:$C,3,FALSE),"")</f>
        <v/>
      </c>
      <c r="E956" s="11">
        <f>IF($F956="","",IFERROR(VLOOKUP($F956,ActionMap!$A:$B,2,FALSE),"INVALID ACTION"))</f>
        <v/>
      </c>
      <c r="F956" s="4" t="n"/>
      <c r="G956" s="11">
        <f>IFERROR(VLOOKUP($E956,ActionsCatalog!$A:$B,2,FALSE),"")</f>
        <v/>
      </c>
      <c r="H956" s="4" t="n"/>
      <c r="I956" s="4">
        <f>IFERROR(VLOOKUP($E956,ActionsCatalog!$A:$D,3,FALSE),0)</f>
        <v/>
      </c>
      <c r="J956" s="4">
        <f>IFERROR(VLOOKUP($E956,ActionsCatalog!$A:$D,4,FALSE),0)</f>
        <v/>
      </c>
      <c r="K956" s="4">
        <f>IF($M956&lt;&gt;"Yes",0,IF($H956="",0,$H956*$I956))</f>
        <v/>
      </c>
      <c r="L956" s="4">
        <f>IF($M956&lt;&gt;"Yes",0,IF($H956="",0,$H956*$J956))</f>
        <v/>
      </c>
      <c r="M956" s="4" t="n"/>
      <c r="N956" s="4" t="n"/>
      <c r="O956" s="4">
        <f>IF($A956="","",TEXT($A956,"yyyy")&amp;"-W"&amp;TEXT(ISOWEEKNUM($A956),"00"))</f>
        <v/>
      </c>
      <c r="P956" s="4" t="n"/>
      <c r="Q956" s="14">
        <f>IF($A956="","",TEXT($A956,"yyyy-mm"))</f>
        <v/>
      </c>
    </row>
    <row r="957">
      <c r="A957" s="66" t="n"/>
      <c r="B957" s="4" t="n"/>
      <c r="C957" s="11">
        <f>IFERROR(VLOOKUP($B957,Members!$A:$C,2,FALSE),"")</f>
        <v/>
      </c>
      <c r="D957" s="11">
        <f>IFERROR(VLOOKUP($B957,Members!$A:$C,3,FALSE),"")</f>
        <v/>
      </c>
      <c r="E957" s="11">
        <f>IF($F957="","",IFERROR(VLOOKUP($F957,ActionMap!$A:$B,2,FALSE),"INVALID ACTION"))</f>
        <v/>
      </c>
      <c r="F957" s="4" t="n"/>
      <c r="G957" s="11">
        <f>IFERROR(VLOOKUP($E957,ActionsCatalog!$A:$B,2,FALSE),"")</f>
        <v/>
      </c>
      <c r="H957" s="4" t="n"/>
      <c r="I957" s="4">
        <f>IFERROR(VLOOKUP($E957,ActionsCatalog!$A:$D,3,FALSE),0)</f>
        <v/>
      </c>
      <c r="J957" s="4">
        <f>IFERROR(VLOOKUP($E957,ActionsCatalog!$A:$D,4,FALSE),0)</f>
        <v/>
      </c>
      <c r="K957" s="4">
        <f>IF($M957&lt;&gt;"Yes",0,IF($H957="",0,$H957*$I957))</f>
        <v/>
      </c>
      <c r="L957" s="4">
        <f>IF($M957&lt;&gt;"Yes",0,IF($H957="",0,$H957*$J957))</f>
        <v/>
      </c>
      <c r="M957" s="4" t="n"/>
      <c r="N957" s="4" t="n"/>
      <c r="O957" s="4">
        <f>IF($A957="","",TEXT($A957,"yyyy")&amp;"-W"&amp;TEXT(ISOWEEKNUM($A957),"00"))</f>
        <v/>
      </c>
      <c r="P957" s="4" t="n"/>
      <c r="Q957" s="14">
        <f>IF($A957="","",TEXT($A957,"yyyy-mm"))</f>
        <v/>
      </c>
    </row>
    <row r="958">
      <c r="A958" s="66" t="n"/>
      <c r="B958" s="4" t="n"/>
      <c r="C958" s="11">
        <f>IFERROR(VLOOKUP($B958,Members!$A:$C,2,FALSE),"")</f>
        <v/>
      </c>
      <c r="D958" s="11">
        <f>IFERROR(VLOOKUP($B958,Members!$A:$C,3,FALSE),"")</f>
        <v/>
      </c>
      <c r="E958" s="11">
        <f>IF($F958="","",IFERROR(VLOOKUP($F958,ActionMap!$A:$B,2,FALSE),"INVALID ACTION"))</f>
        <v/>
      </c>
      <c r="F958" s="4" t="n"/>
      <c r="G958" s="11">
        <f>IFERROR(VLOOKUP($E958,ActionsCatalog!$A:$B,2,FALSE),"")</f>
        <v/>
      </c>
      <c r="H958" s="4" t="n"/>
      <c r="I958" s="4">
        <f>IFERROR(VLOOKUP($E958,ActionsCatalog!$A:$D,3,FALSE),0)</f>
        <v/>
      </c>
      <c r="J958" s="4">
        <f>IFERROR(VLOOKUP($E958,ActionsCatalog!$A:$D,4,FALSE),0)</f>
        <v/>
      </c>
      <c r="K958" s="4">
        <f>IF($M958&lt;&gt;"Yes",0,IF($H958="",0,$H958*$I958))</f>
        <v/>
      </c>
      <c r="L958" s="4">
        <f>IF($M958&lt;&gt;"Yes",0,IF($H958="",0,$H958*$J958))</f>
        <v/>
      </c>
      <c r="M958" s="4" t="n"/>
      <c r="N958" s="4" t="n"/>
      <c r="O958" s="4">
        <f>IF($A958="","",TEXT($A958,"yyyy")&amp;"-W"&amp;TEXT(ISOWEEKNUM($A958),"00"))</f>
        <v/>
      </c>
      <c r="P958" s="4" t="n"/>
      <c r="Q958" s="14">
        <f>IF($A958="","",TEXT($A958,"yyyy-mm"))</f>
        <v/>
      </c>
    </row>
    <row r="959">
      <c r="A959" s="66" t="n"/>
      <c r="B959" s="4" t="n"/>
      <c r="C959" s="11">
        <f>IFERROR(VLOOKUP($B959,Members!$A:$C,2,FALSE),"")</f>
        <v/>
      </c>
      <c r="D959" s="11">
        <f>IFERROR(VLOOKUP($B959,Members!$A:$C,3,FALSE),"")</f>
        <v/>
      </c>
      <c r="E959" s="11">
        <f>IF($F959="","",IFERROR(VLOOKUP($F959,ActionMap!$A:$B,2,FALSE),"INVALID ACTION"))</f>
        <v/>
      </c>
      <c r="F959" s="4" t="n"/>
      <c r="G959" s="11">
        <f>IFERROR(VLOOKUP($E959,ActionsCatalog!$A:$B,2,FALSE),"")</f>
        <v/>
      </c>
      <c r="H959" s="4" t="n"/>
      <c r="I959" s="4">
        <f>IFERROR(VLOOKUP($E959,ActionsCatalog!$A:$D,3,FALSE),0)</f>
        <v/>
      </c>
      <c r="J959" s="4">
        <f>IFERROR(VLOOKUP($E959,ActionsCatalog!$A:$D,4,FALSE),0)</f>
        <v/>
      </c>
      <c r="K959" s="4">
        <f>IF($M959&lt;&gt;"Yes",0,IF($H959="",0,$H959*$I959))</f>
        <v/>
      </c>
      <c r="L959" s="4">
        <f>IF($M959&lt;&gt;"Yes",0,IF($H959="",0,$H959*$J959))</f>
        <v/>
      </c>
      <c r="M959" s="4" t="n"/>
      <c r="N959" s="4" t="n"/>
      <c r="O959" s="4">
        <f>IF($A959="","",TEXT($A959,"yyyy")&amp;"-W"&amp;TEXT(ISOWEEKNUM($A959),"00"))</f>
        <v/>
      </c>
      <c r="P959" s="4" t="n"/>
      <c r="Q959" s="14">
        <f>IF($A959="","",TEXT($A959,"yyyy-mm"))</f>
        <v/>
      </c>
    </row>
    <row r="960">
      <c r="A960" s="66" t="n"/>
      <c r="B960" s="4" t="n"/>
      <c r="C960" s="11">
        <f>IFERROR(VLOOKUP($B960,Members!$A:$C,2,FALSE),"")</f>
        <v/>
      </c>
      <c r="D960" s="11">
        <f>IFERROR(VLOOKUP($B960,Members!$A:$C,3,FALSE),"")</f>
        <v/>
      </c>
      <c r="E960" s="11">
        <f>IF($F960="","",IFERROR(VLOOKUP($F960,ActionMap!$A:$B,2,FALSE),"INVALID ACTION"))</f>
        <v/>
      </c>
      <c r="F960" s="4" t="n"/>
      <c r="G960" s="11">
        <f>IFERROR(VLOOKUP($E960,ActionsCatalog!$A:$B,2,FALSE),"")</f>
        <v/>
      </c>
      <c r="H960" s="4" t="n"/>
      <c r="I960" s="4">
        <f>IFERROR(VLOOKUP($E960,ActionsCatalog!$A:$D,3,FALSE),0)</f>
        <v/>
      </c>
      <c r="J960" s="4">
        <f>IFERROR(VLOOKUP($E960,ActionsCatalog!$A:$D,4,FALSE),0)</f>
        <v/>
      </c>
      <c r="K960" s="4">
        <f>IF($M960&lt;&gt;"Yes",0,IF($H960="",0,$H960*$I960))</f>
        <v/>
      </c>
      <c r="L960" s="4">
        <f>IF($M960&lt;&gt;"Yes",0,IF($H960="",0,$H960*$J960))</f>
        <v/>
      </c>
      <c r="M960" s="4" t="n"/>
      <c r="N960" s="4" t="n"/>
      <c r="O960" s="4">
        <f>IF($A960="","",TEXT($A960,"yyyy")&amp;"-W"&amp;TEXT(ISOWEEKNUM($A960),"00"))</f>
        <v/>
      </c>
      <c r="P960" s="4" t="n"/>
      <c r="Q960" s="14">
        <f>IF($A960="","",TEXT($A960,"yyyy-mm"))</f>
        <v/>
      </c>
    </row>
    <row r="961">
      <c r="A961" s="66" t="n"/>
      <c r="B961" s="4" t="n"/>
      <c r="C961" s="11">
        <f>IFERROR(VLOOKUP($B961,Members!$A:$C,2,FALSE),"")</f>
        <v/>
      </c>
      <c r="D961" s="11">
        <f>IFERROR(VLOOKUP($B961,Members!$A:$C,3,FALSE),"")</f>
        <v/>
      </c>
      <c r="E961" s="11">
        <f>IF($F961="","",IFERROR(VLOOKUP($F961,ActionMap!$A:$B,2,FALSE),"INVALID ACTION"))</f>
        <v/>
      </c>
      <c r="F961" s="4" t="n"/>
      <c r="G961" s="11">
        <f>IFERROR(VLOOKUP($E961,ActionsCatalog!$A:$B,2,FALSE),"")</f>
        <v/>
      </c>
      <c r="H961" s="4" t="n"/>
      <c r="I961" s="4">
        <f>IFERROR(VLOOKUP($E961,ActionsCatalog!$A:$D,3,FALSE),0)</f>
        <v/>
      </c>
      <c r="J961" s="4">
        <f>IFERROR(VLOOKUP($E961,ActionsCatalog!$A:$D,4,FALSE),0)</f>
        <v/>
      </c>
      <c r="K961" s="4">
        <f>IF($M961&lt;&gt;"Yes",0,IF($H961="",0,$H961*$I961))</f>
        <v/>
      </c>
      <c r="L961" s="4">
        <f>IF($M961&lt;&gt;"Yes",0,IF($H961="",0,$H961*$J961))</f>
        <v/>
      </c>
      <c r="M961" s="4" t="n"/>
      <c r="N961" s="4" t="n"/>
      <c r="O961" s="4">
        <f>IF($A961="","",TEXT($A961,"yyyy")&amp;"-W"&amp;TEXT(ISOWEEKNUM($A961),"00"))</f>
        <v/>
      </c>
      <c r="P961" s="4" t="n"/>
      <c r="Q961" s="14">
        <f>IF($A961="","",TEXT($A961,"yyyy-mm"))</f>
        <v/>
      </c>
    </row>
    <row r="962">
      <c r="A962" s="66" t="n"/>
      <c r="B962" s="4" t="n"/>
      <c r="C962" s="11">
        <f>IFERROR(VLOOKUP($B962,Members!$A:$C,2,FALSE),"")</f>
        <v/>
      </c>
      <c r="D962" s="11">
        <f>IFERROR(VLOOKUP($B962,Members!$A:$C,3,FALSE),"")</f>
        <v/>
      </c>
      <c r="E962" s="11">
        <f>IF($F962="","",IFERROR(VLOOKUP($F962,ActionMap!$A:$B,2,FALSE),"INVALID ACTION"))</f>
        <v/>
      </c>
      <c r="F962" s="4" t="n"/>
      <c r="G962" s="11">
        <f>IFERROR(VLOOKUP($E962,ActionsCatalog!$A:$B,2,FALSE),"")</f>
        <v/>
      </c>
      <c r="H962" s="4" t="n"/>
      <c r="I962" s="4">
        <f>IFERROR(VLOOKUP($E962,ActionsCatalog!$A:$D,3,FALSE),0)</f>
        <v/>
      </c>
      <c r="J962" s="4">
        <f>IFERROR(VLOOKUP($E962,ActionsCatalog!$A:$D,4,FALSE),0)</f>
        <v/>
      </c>
      <c r="K962" s="4">
        <f>IF($M962&lt;&gt;"Yes",0,IF($H962="",0,$H962*$I962))</f>
        <v/>
      </c>
      <c r="L962" s="4">
        <f>IF($M962&lt;&gt;"Yes",0,IF($H962="",0,$H962*$J962))</f>
        <v/>
      </c>
      <c r="M962" s="4" t="n"/>
      <c r="N962" s="4" t="n"/>
      <c r="O962" s="4">
        <f>IF($A962="","",TEXT($A962,"yyyy")&amp;"-W"&amp;TEXT(ISOWEEKNUM($A962),"00"))</f>
        <v/>
      </c>
      <c r="P962" s="4" t="n"/>
      <c r="Q962" s="14">
        <f>IF($A962="","",TEXT($A962,"yyyy-mm"))</f>
        <v/>
      </c>
    </row>
    <row r="963">
      <c r="A963" s="66" t="n"/>
      <c r="B963" s="4" t="n"/>
      <c r="C963" s="11">
        <f>IFERROR(VLOOKUP($B963,Members!$A:$C,2,FALSE),"")</f>
        <v/>
      </c>
      <c r="D963" s="11">
        <f>IFERROR(VLOOKUP($B963,Members!$A:$C,3,FALSE),"")</f>
        <v/>
      </c>
      <c r="E963" s="11">
        <f>IF($F963="","",IFERROR(VLOOKUP($F963,ActionMap!$A:$B,2,FALSE),"INVALID ACTION"))</f>
        <v/>
      </c>
      <c r="F963" s="4" t="n"/>
      <c r="G963" s="11">
        <f>IFERROR(VLOOKUP($E963,ActionsCatalog!$A:$B,2,FALSE),"")</f>
        <v/>
      </c>
      <c r="H963" s="4" t="n"/>
      <c r="I963" s="4">
        <f>IFERROR(VLOOKUP($E963,ActionsCatalog!$A:$D,3,FALSE),0)</f>
        <v/>
      </c>
      <c r="J963" s="4">
        <f>IFERROR(VLOOKUP($E963,ActionsCatalog!$A:$D,4,FALSE),0)</f>
        <v/>
      </c>
      <c r="K963" s="4">
        <f>IF($M963&lt;&gt;"Yes",0,IF($H963="",0,$H963*$I963))</f>
        <v/>
      </c>
      <c r="L963" s="4">
        <f>IF($M963&lt;&gt;"Yes",0,IF($H963="",0,$H963*$J963))</f>
        <v/>
      </c>
      <c r="M963" s="4" t="n"/>
      <c r="N963" s="4" t="n"/>
      <c r="O963" s="4">
        <f>IF($A963="","",TEXT($A963,"yyyy")&amp;"-W"&amp;TEXT(ISOWEEKNUM($A963),"00"))</f>
        <v/>
      </c>
      <c r="P963" s="4" t="n"/>
      <c r="Q963" s="14">
        <f>IF($A963="","",TEXT($A963,"yyyy-mm"))</f>
        <v/>
      </c>
    </row>
    <row r="964">
      <c r="A964" s="66" t="n"/>
      <c r="B964" s="4" t="n"/>
      <c r="C964" s="11">
        <f>IFERROR(VLOOKUP($B964,Members!$A:$C,2,FALSE),"")</f>
        <v/>
      </c>
      <c r="D964" s="11">
        <f>IFERROR(VLOOKUP($B964,Members!$A:$C,3,FALSE),"")</f>
        <v/>
      </c>
      <c r="E964" s="11">
        <f>IF($F964="","",IFERROR(VLOOKUP($F964,ActionMap!$A:$B,2,FALSE),"INVALID ACTION"))</f>
        <v/>
      </c>
      <c r="F964" s="4" t="n"/>
      <c r="G964" s="11">
        <f>IFERROR(VLOOKUP($E964,ActionsCatalog!$A:$B,2,FALSE),"")</f>
        <v/>
      </c>
      <c r="H964" s="4" t="n"/>
      <c r="I964" s="4">
        <f>IFERROR(VLOOKUP($E964,ActionsCatalog!$A:$D,3,FALSE),0)</f>
        <v/>
      </c>
      <c r="J964" s="4">
        <f>IFERROR(VLOOKUP($E964,ActionsCatalog!$A:$D,4,FALSE),0)</f>
        <v/>
      </c>
      <c r="K964" s="4">
        <f>IF($M964&lt;&gt;"Yes",0,IF($H964="",0,$H964*$I964))</f>
        <v/>
      </c>
      <c r="L964" s="4">
        <f>IF($M964&lt;&gt;"Yes",0,IF($H964="",0,$H964*$J964))</f>
        <v/>
      </c>
      <c r="M964" s="4" t="n"/>
      <c r="N964" s="4" t="n"/>
      <c r="O964" s="4">
        <f>IF($A964="","",TEXT($A964,"yyyy")&amp;"-W"&amp;TEXT(ISOWEEKNUM($A964),"00"))</f>
        <v/>
      </c>
      <c r="P964" s="4" t="n"/>
      <c r="Q964" s="14">
        <f>IF($A964="","",TEXT($A964,"yyyy-mm"))</f>
        <v/>
      </c>
    </row>
    <row r="965">
      <c r="A965" s="66" t="n"/>
      <c r="B965" s="4" t="n"/>
      <c r="C965" s="11">
        <f>IFERROR(VLOOKUP($B965,Members!$A:$C,2,FALSE),"")</f>
        <v/>
      </c>
      <c r="D965" s="11">
        <f>IFERROR(VLOOKUP($B965,Members!$A:$C,3,FALSE),"")</f>
        <v/>
      </c>
      <c r="E965" s="11">
        <f>IF($F965="","",IFERROR(VLOOKUP($F965,ActionMap!$A:$B,2,FALSE),"INVALID ACTION"))</f>
        <v/>
      </c>
      <c r="F965" s="4" t="n"/>
      <c r="G965" s="11">
        <f>IFERROR(VLOOKUP($E965,ActionsCatalog!$A:$B,2,FALSE),"")</f>
        <v/>
      </c>
      <c r="H965" s="4" t="n"/>
      <c r="I965" s="4">
        <f>IFERROR(VLOOKUP($E965,ActionsCatalog!$A:$D,3,FALSE),0)</f>
        <v/>
      </c>
      <c r="J965" s="4">
        <f>IFERROR(VLOOKUP($E965,ActionsCatalog!$A:$D,4,FALSE),0)</f>
        <v/>
      </c>
      <c r="K965" s="4">
        <f>IF($M965&lt;&gt;"Yes",0,IF($H965="",0,$H965*$I965))</f>
        <v/>
      </c>
      <c r="L965" s="4">
        <f>IF($M965&lt;&gt;"Yes",0,IF($H965="",0,$H965*$J965))</f>
        <v/>
      </c>
      <c r="M965" s="4" t="n"/>
      <c r="N965" s="4" t="n"/>
      <c r="O965" s="4">
        <f>IF($A965="","",TEXT($A965,"yyyy")&amp;"-W"&amp;TEXT(ISOWEEKNUM($A965),"00"))</f>
        <v/>
      </c>
      <c r="P965" s="4" t="n"/>
      <c r="Q965" s="14">
        <f>IF($A965="","",TEXT($A965,"yyyy-mm"))</f>
        <v/>
      </c>
    </row>
    <row r="966">
      <c r="A966" s="66" t="n"/>
      <c r="B966" s="4" t="n"/>
      <c r="C966" s="11">
        <f>IFERROR(VLOOKUP($B966,Members!$A:$C,2,FALSE),"")</f>
        <v/>
      </c>
      <c r="D966" s="11">
        <f>IFERROR(VLOOKUP($B966,Members!$A:$C,3,FALSE),"")</f>
        <v/>
      </c>
      <c r="E966" s="11">
        <f>IF($F966="","",IFERROR(VLOOKUP($F966,ActionMap!$A:$B,2,FALSE),"INVALID ACTION"))</f>
        <v/>
      </c>
      <c r="F966" s="4" t="n"/>
      <c r="G966" s="11">
        <f>IFERROR(VLOOKUP($E966,ActionsCatalog!$A:$B,2,FALSE),"")</f>
        <v/>
      </c>
      <c r="H966" s="4" t="n"/>
      <c r="I966" s="4">
        <f>IFERROR(VLOOKUP($E966,ActionsCatalog!$A:$D,3,FALSE),0)</f>
        <v/>
      </c>
      <c r="J966" s="4">
        <f>IFERROR(VLOOKUP($E966,ActionsCatalog!$A:$D,4,FALSE),0)</f>
        <v/>
      </c>
      <c r="K966" s="4">
        <f>IF($M966&lt;&gt;"Yes",0,IF($H966="",0,$H966*$I966))</f>
        <v/>
      </c>
      <c r="L966" s="4">
        <f>IF($M966&lt;&gt;"Yes",0,IF($H966="",0,$H966*$J966))</f>
        <v/>
      </c>
      <c r="M966" s="4" t="n"/>
      <c r="N966" s="4" t="n"/>
      <c r="O966" s="4">
        <f>IF($A966="","",TEXT($A966,"yyyy")&amp;"-W"&amp;TEXT(ISOWEEKNUM($A966),"00"))</f>
        <v/>
      </c>
      <c r="P966" s="4" t="n"/>
      <c r="Q966" s="14">
        <f>IF($A966="","",TEXT($A966,"yyyy-mm"))</f>
        <v/>
      </c>
    </row>
    <row r="967">
      <c r="A967" s="66" t="n"/>
      <c r="B967" s="4" t="n"/>
      <c r="C967" s="11">
        <f>IFERROR(VLOOKUP($B967,Members!$A:$C,2,FALSE),"")</f>
        <v/>
      </c>
      <c r="D967" s="11">
        <f>IFERROR(VLOOKUP($B967,Members!$A:$C,3,FALSE),"")</f>
        <v/>
      </c>
      <c r="E967" s="11">
        <f>IF($F967="","",IFERROR(VLOOKUP($F967,ActionMap!$A:$B,2,FALSE),"INVALID ACTION"))</f>
        <v/>
      </c>
      <c r="F967" s="4" t="n"/>
      <c r="G967" s="11">
        <f>IFERROR(VLOOKUP($E967,ActionsCatalog!$A:$B,2,FALSE),"")</f>
        <v/>
      </c>
      <c r="H967" s="4" t="n"/>
      <c r="I967" s="4">
        <f>IFERROR(VLOOKUP($E967,ActionsCatalog!$A:$D,3,FALSE),0)</f>
        <v/>
      </c>
      <c r="J967" s="4">
        <f>IFERROR(VLOOKUP($E967,ActionsCatalog!$A:$D,4,FALSE),0)</f>
        <v/>
      </c>
      <c r="K967" s="4">
        <f>IF($M967&lt;&gt;"Yes",0,IF($H967="",0,$H967*$I967))</f>
        <v/>
      </c>
      <c r="L967" s="4">
        <f>IF($M967&lt;&gt;"Yes",0,IF($H967="",0,$H967*$J967))</f>
        <v/>
      </c>
      <c r="M967" s="4" t="n"/>
      <c r="N967" s="4" t="n"/>
      <c r="O967" s="4">
        <f>IF($A967="","",TEXT($A967,"yyyy")&amp;"-W"&amp;TEXT(ISOWEEKNUM($A967),"00"))</f>
        <v/>
      </c>
      <c r="P967" s="4" t="n"/>
      <c r="Q967" s="14">
        <f>IF($A967="","",TEXT($A967,"yyyy-mm"))</f>
        <v/>
      </c>
    </row>
    <row r="968">
      <c r="A968" s="66" t="n"/>
      <c r="B968" s="4" t="n"/>
      <c r="C968" s="11">
        <f>IFERROR(VLOOKUP($B968,Members!$A:$C,2,FALSE),"")</f>
        <v/>
      </c>
      <c r="D968" s="11">
        <f>IFERROR(VLOOKUP($B968,Members!$A:$C,3,FALSE),"")</f>
        <v/>
      </c>
      <c r="E968" s="11">
        <f>IF($F968="","",IFERROR(VLOOKUP($F968,ActionMap!$A:$B,2,FALSE),"INVALID ACTION"))</f>
        <v/>
      </c>
      <c r="F968" s="4" t="n"/>
      <c r="G968" s="11">
        <f>IFERROR(VLOOKUP($E968,ActionsCatalog!$A:$B,2,FALSE),"")</f>
        <v/>
      </c>
      <c r="H968" s="4" t="n"/>
      <c r="I968" s="4">
        <f>IFERROR(VLOOKUP($E968,ActionsCatalog!$A:$D,3,FALSE),0)</f>
        <v/>
      </c>
      <c r="J968" s="4">
        <f>IFERROR(VLOOKUP($E968,ActionsCatalog!$A:$D,4,FALSE),0)</f>
        <v/>
      </c>
      <c r="K968" s="4">
        <f>IF($M968&lt;&gt;"Yes",0,IF($H968="",0,$H968*$I968))</f>
        <v/>
      </c>
      <c r="L968" s="4">
        <f>IF($M968&lt;&gt;"Yes",0,IF($H968="",0,$H968*$J968))</f>
        <v/>
      </c>
      <c r="M968" s="4" t="n"/>
      <c r="N968" s="4" t="n"/>
      <c r="O968" s="4">
        <f>IF($A968="","",TEXT($A968,"yyyy")&amp;"-W"&amp;TEXT(ISOWEEKNUM($A968),"00"))</f>
        <v/>
      </c>
      <c r="P968" s="4" t="n"/>
      <c r="Q968" s="14">
        <f>IF($A968="","",TEXT($A968,"yyyy-mm"))</f>
        <v/>
      </c>
    </row>
    <row r="969">
      <c r="A969" s="66" t="n"/>
      <c r="B969" s="4" t="n"/>
      <c r="C969" s="11">
        <f>IFERROR(VLOOKUP($B969,Members!$A:$C,2,FALSE),"")</f>
        <v/>
      </c>
      <c r="D969" s="11">
        <f>IFERROR(VLOOKUP($B969,Members!$A:$C,3,FALSE),"")</f>
        <v/>
      </c>
      <c r="E969" s="11">
        <f>IF($F969="","",IFERROR(VLOOKUP($F969,ActionMap!$A:$B,2,FALSE),"INVALID ACTION"))</f>
        <v/>
      </c>
      <c r="F969" s="4" t="n"/>
      <c r="G969" s="11">
        <f>IFERROR(VLOOKUP($E969,ActionsCatalog!$A:$B,2,FALSE),"")</f>
        <v/>
      </c>
      <c r="H969" s="4" t="n"/>
      <c r="I969" s="4">
        <f>IFERROR(VLOOKUP($E969,ActionsCatalog!$A:$D,3,FALSE),0)</f>
        <v/>
      </c>
      <c r="J969" s="4">
        <f>IFERROR(VLOOKUP($E969,ActionsCatalog!$A:$D,4,FALSE),0)</f>
        <v/>
      </c>
      <c r="K969" s="4">
        <f>IF($M969&lt;&gt;"Yes",0,IF($H969="",0,$H969*$I969))</f>
        <v/>
      </c>
      <c r="L969" s="4">
        <f>IF($M969&lt;&gt;"Yes",0,IF($H969="",0,$H969*$J969))</f>
        <v/>
      </c>
      <c r="M969" s="4" t="n"/>
      <c r="N969" s="4" t="n"/>
      <c r="O969" s="4">
        <f>IF($A969="","",TEXT($A969,"yyyy")&amp;"-W"&amp;TEXT(ISOWEEKNUM($A969),"00"))</f>
        <v/>
      </c>
      <c r="P969" s="4" t="n"/>
      <c r="Q969" s="14">
        <f>IF($A969="","",TEXT($A969,"yyyy-mm"))</f>
        <v/>
      </c>
    </row>
    <row r="970">
      <c r="A970" s="66" t="n"/>
      <c r="B970" s="4" t="n"/>
      <c r="C970" s="11">
        <f>IFERROR(VLOOKUP($B970,Members!$A:$C,2,FALSE),"")</f>
        <v/>
      </c>
      <c r="D970" s="11">
        <f>IFERROR(VLOOKUP($B970,Members!$A:$C,3,FALSE),"")</f>
        <v/>
      </c>
      <c r="E970" s="11">
        <f>IF($F970="","",IFERROR(VLOOKUP($F970,ActionMap!$A:$B,2,FALSE),"INVALID ACTION"))</f>
        <v/>
      </c>
      <c r="F970" s="4" t="n"/>
      <c r="G970" s="11">
        <f>IFERROR(VLOOKUP($E970,ActionsCatalog!$A:$B,2,FALSE),"")</f>
        <v/>
      </c>
      <c r="H970" s="4" t="n"/>
      <c r="I970" s="4">
        <f>IFERROR(VLOOKUP($E970,ActionsCatalog!$A:$D,3,FALSE),0)</f>
        <v/>
      </c>
      <c r="J970" s="4">
        <f>IFERROR(VLOOKUP($E970,ActionsCatalog!$A:$D,4,FALSE),0)</f>
        <v/>
      </c>
      <c r="K970" s="4">
        <f>IF($M970&lt;&gt;"Yes",0,IF($H970="",0,$H970*$I970))</f>
        <v/>
      </c>
      <c r="L970" s="4">
        <f>IF($M970&lt;&gt;"Yes",0,IF($H970="",0,$H970*$J970))</f>
        <v/>
      </c>
      <c r="M970" s="4" t="n"/>
      <c r="N970" s="4" t="n"/>
      <c r="O970" s="4">
        <f>IF($A970="","",TEXT($A970,"yyyy")&amp;"-W"&amp;TEXT(ISOWEEKNUM($A970),"00"))</f>
        <v/>
      </c>
      <c r="P970" s="4" t="n"/>
      <c r="Q970" s="14">
        <f>IF($A970="","",TEXT($A970,"yyyy-mm"))</f>
        <v/>
      </c>
    </row>
    <row r="971">
      <c r="A971" s="66" t="n"/>
      <c r="B971" s="4" t="n"/>
      <c r="C971" s="11">
        <f>IFERROR(VLOOKUP($B971,Members!$A:$C,2,FALSE),"")</f>
        <v/>
      </c>
      <c r="D971" s="11">
        <f>IFERROR(VLOOKUP($B971,Members!$A:$C,3,FALSE),"")</f>
        <v/>
      </c>
      <c r="E971" s="11">
        <f>IF($F971="","",IFERROR(VLOOKUP($F971,ActionMap!$A:$B,2,FALSE),"INVALID ACTION"))</f>
        <v/>
      </c>
      <c r="F971" s="4" t="n"/>
      <c r="G971" s="11">
        <f>IFERROR(VLOOKUP($E971,ActionsCatalog!$A:$B,2,FALSE),"")</f>
        <v/>
      </c>
      <c r="H971" s="4" t="n"/>
      <c r="I971" s="4">
        <f>IFERROR(VLOOKUP($E971,ActionsCatalog!$A:$D,3,FALSE),0)</f>
        <v/>
      </c>
      <c r="J971" s="4">
        <f>IFERROR(VLOOKUP($E971,ActionsCatalog!$A:$D,4,FALSE),0)</f>
        <v/>
      </c>
      <c r="K971" s="4">
        <f>IF($M971&lt;&gt;"Yes",0,IF($H971="",0,$H971*$I971))</f>
        <v/>
      </c>
      <c r="L971" s="4">
        <f>IF($M971&lt;&gt;"Yes",0,IF($H971="",0,$H971*$J971))</f>
        <v/>
      </c>
      <c r="M971" s="4" t="n"/>
      <c r="N971" s="4" t="n"/>
      <c r="O971" s="4">
        <f>IF($A971="","",TEXT($A971,"yyyy")&amp;"-W"&amp;TEXT(ISOWEEKNUM($A971),"00"))</f>
        <v/>
      </c>
      <c r="P971" s="4" t="n"/>
      <c r="Q971" s="14">
        <f>IF($A971="","",TEXT($A971,"yyyy-mm"))</f>
        <v/>
      </c>
    </row>
    <row r="972">
      <c r="A972" s="66" t="n"/>
      <c r="B972" s="4" t="n"/>
      <c r="C972" s="11">
        <f>IFERROR(VLOOKUP($B972,Members!$A:$C,2,FALSE),"")</f>
        <v/>
      </c>
      <c r="D972" s="11">
        <f>IFERROR(VLOOKUP($B972,Members!$A:$C,3,FALSE),"")</f>
        <v/>
      </c>
      <c r="E972" s="11">
        <f>IF($F972="","",IFERROR(VLOOKUP($F972,ActionMap!$A:$B,2,FALSE),"INVALID ACTION"))</f>
        <v/>
      </c>
      <c r="F972" s="4" t="n"/>
      <c r="G972" s="11">
        <f>IFERROR(VLOOKUP($E972,ActionsCatalog!$A:$B,2,FALSE),"")</f>
        <v/>
      </c>
      <c r="H972" s="4" t="n"/>
      <c r="I972" s="4">
        <f>IFERROR(VLOOKUP($E972,ActionsCatalog!$A:$D,3,FALSE),0)</f>
        <v/>
      </c>
      <c r="J972" s="4">
        <f>IFERROR(VLOOKUP($E972,ActionsCatalog!$A:$D,4,FALSE),0)</f>
        <v/>
      </c>
      <c r="K972" s="4">
        <f>IF($M972&lt;&gt;"Yes",0,IF($H972="",0,$H972*$I972))</f>
        <v/>
      </c>
      <c r="L972" s="4">
        <f>IF($M972&lt;&gt;"Yes",0,IF($H972="",0,$H972*$J972))</f>
        <v/>
      </c>
      <c r="M972" s="4" t="n"/>
      <c r="N972" s="4" t="n"/>
      <c r="O972" s="4">
        <f>IF($A972="","",TEXT($A972,"yyyy")&amp;"-W"&amp;TEXT(ISOWEEKNUM($A972),"00"))</f>
        <v/>
      </c>
      <c r="P972" s="4" t="n"/>
      <c r="Q972" s="14">
        <f>IF($A972="","",TEXT($A972,"yyyy-mm"))</f>
        <v/>
      </c>
    </row>
    <row r="973">
      <c r="A973" s="66" t="n"/>
      <c r="B973" s="4" t="n"/>
      <c r="C973" s="11">
        <f>IFERROR(VLOOKUP($B973,Members!$A:$C,2,FALSE),"")</f>
        <v/>
      </c>
      <c r="D973" s="11">
        <f>IFERROR(VLOOKUP($B973,Members!$A:$C,3,FALSE),"")</f>
        <v/>
      </c>
      <c r="E973" s="11">
        <f>IF($F973="","",IFERROR(VLOOKUP($F973,ActionMap!$A:$B,2,FALSE),"INVALID ACTION"))</f>
        <v/>
      </c>
      <c r="F973" s="4" t="n"/>
      <c r="G973" s="11">
        <f>IFERROR(VLOOKUP($E973,ActionsCatalog!$A:$B,2,FALSE),"")</f>
        <v/>
      </c>
      <c r="H973" s="4" t="n"/>
      <c r="I973" s="4">
        <f>IFERROR(VLOOKUP($E973,ActionsCatalog!$A:$D,3,FALSE),0)</f>
        <v/>
      </c>
      <c r="J973" s="4">
        <f>IFERROR(VLOOKUP($E973,ActionsCatalog!$A:$D,4,FALSE),0)</f>
        <v/>
      </c>
      <c r="K973" s="4">
        <f>IF($M973&lt;&gt;"Yes",0,IF($H973="",0,$H973*$I973))</f>
        <v/>
      </c>
      <c r="L973" s="4">
        <f>IF($M973&lt;&gt;"Yes",0,IF($H973="",0,$H973*$J973))</f>
        <v/>
      </c>
      <c r="M973" s="4" t="n"/>
      <c r="N973" s="4" t="n"/>
      <c r="O973" s="4">
        <f>IF($A973="","",TEXT($A973,"yyyy")&amp;"-W"&amp;TEXT(ISOWEEKNUM($A973),"00"))</f>
        <v/>
      </c>
      <c r="P973" s="4" t="n"/>
      <c r="Q973" s="14">
        <f>IF($A973="","",TEXT($A973,"yyyy-mm"))</f>
        <v/>
      </c>
    </row>
    <row r="974">
      <c r="A974" s="66" t="n"/>
      <c r="B974" s="4" t="n"/>
      <c r="C974" s="11">
        <f>IFERROR(VLOOKUP($B974,Members!$A:$C,2,FALSE),"")</f>
        <v/>
      </c>
      <c r="D974" s="11">
        <f>IFERROR(VLOOKUP($B974,Members!$A:$C,3,FALSE),"")</f>
        <v/>
      </c>
      <c r="E974" s="11">
        <f>IF($F974="","",IFERROR(VLOOKUP($F974,ActionMap!$A:$B,2,FALSE),"INVALID ACTION"))</f>
        <v/>
      </c>
      <c r="F974" s="4" t="n"/>
      <c r="G974" s="11">
        <f>IFERROR(VLOOKUP($E974,ActionsCatalog!$A:$B,2,FALSE),"")</f>
        <v/>
      </c>
      <c r="H974" s="4" t="n"/>
      <c r="I974" s="4">
        <f>IFERROR(VLOOKUP($E974,ActionsCatalog!$A:$D,3,FALSE),0)</f>
        <v/>
      </c>
      <c r="J974" s="4">
        <f>IFERROR(VLOOKUP($E974,ActionsCatalog!$A:$D,4,FALSE),0)</f>
        <v/>
      </c>
      <c r="K974" s="4">
        <f>IF($M974&lt;&gt;"Yes",0,IF($H974="",0,$H974*$I974))</f>
        <v/>
      </c>
      <c r="L974" s="4">
        <f>IF($M974&lt;&gt;"Yes",0,IF($H974="",0,$H974*$J974))</f>
        <v/>
      </c>
      <c r="M974" s="4" t="n"/>
      <c r="N974" s="4" t="n"/>
      <c r="O974" s="4">
        <f>IF($A974="","",TEXT($A974,"yyyy")&amp;"-W"&amp;TEXT(ISOWEEKNUM($A974),"00"))</f>
        <v/>
      </c>
      <c r="P974" s="4" t="n"/>
      <c r="Q974" s="14">
        <f>IF($A974="","",TEXT($A974,"yyyy-mm"))</f>
        <v/>
      </c>
    </row>
    <row r="975">
      <c r="A975" s="66" t="n"/>
      <c r="B975" s="4" t="n"/>
      <c r="C975" s="11">
        <f>IFERROR(VLOOKUP($B975,Members!$A:$C,2,FALSE),"")</f>
        <v/>
      </c>
      <c r="D975" s="11">
        <f>IFERROR(VLOOKUP($B975,Members!$A:$C,3,FALSE),"")</f>
        <v/>
      </c>
      <c r="E975" s="11">
        <f>IF($F975="","",IFERROR(VLOOKUP($F975,ActionMap!$A:$B,2,FALSE),"INVALID ACTION"))</f>
        <v/>
      </c>
      <c r="F975" s="4" t="n"/>
      <c r="G975" s="11">
        <f>IFERROR(VLOOKUP($E975,ActionsCatalog!$A:$B,2,FALSE),"")</f>
        <v/>
      </c>
      <c r="H975" s="4" t="n"/>
      <c r="I975" s="4">
        <f>IFERROR(VLOOKUP($E975,ActionsCatalog!$A:$D,3,FALSE),0)</f>
        <v/>
      </c>
      <c r="J975" s="4">
        <f>IFERROR(VLOOKUP($E975,ActionsCatalog!$A:$D,4,FALSE),0)</f>
        <v/>
      </c>
      <c r="K975" s="4">
        <f>IF($M975&lt;&gt;"Yes",0,IF($H975="",0,$H975*$I975))</f>
        <v/>
      </c>
      <c r="L975" s="4">
        <f>IF($M975&lt;&gt;"Yes",0,IF($H975="",0,$H975*$J975))</f>
        <v/>
      </c>
      <c r="M975" s="4" t="n"/>
      <c r="N975" s="4" t="n"/>
      <c r="O975" s="4">
        <f>IF($A975="","",TEXT($A975,"yyyy")&amp;"-W"&amp;TEXT(ISOWEEKNUM($A975),"00"))</f>
        <v/>
      </c>
      <c r="P975" s="4" t="n"/>
      <c r="Q975" s="14">
        <f>IF($A975="","",TEXT($A975,"yyyy-mm"))</f>
        <v/>
      </c>
    </row>
    <row r="976">
      <c r="A976" s="66" t="n"/>
      <c r="B976" s="4" t="n"/>
      <c r="C976" s="11">
        <f>IFERROR(VLOOKUP($B976,Members!$A:$C,2,FALSE),"")</f>
        <v/>
      </c>
      <c r="D976" s="11">
        <f>IFERROR(VLOOKUP($B976,Members!$A:$C,3,FALSE),"")</f>
        <v/>
      </c>
      <c r="E976" s="11">
        <f>IF($F976="","",IFERROR(VLOOKUP($F976,ActionMap!$A:$B,2,FALSE),"INVALID ACTION"))</f>
        <v/>
      </c>
      <c r="F976" s="4" t="n"/>
      <c r="G976" s="11">
        <f>IFERROR(VLOOKUP($E976,ActionsCatalog!$A:$B,2,FALSE),"")</f>
        <v/>
      </c>
      <c r="H976" s="4" t="n"/>
      <c r="I976" s="4">
        <f>IFERROR(VLOOKUP($E976,ActionsCatalog!$A:$D,3,FALSE),0)</f>
        <v/>
      </c>
      <c r="J976" s="4">
        <f>IFERROR(VLOOKUP($E976,ActionsCatalog!$A:$D,4,FALSE),0)</f>
        <v/>
      </c>
      <c r="K976" s="4">
        <f>IF($M976&lt;&gt;"Yes",0,IF($H976="",0,$H976*$I976))</f>
        <v/>
      </c>
      <c r="L976" s="4">
        <f>IF($M976&lt;&gt;"Yes",0,IF($H976="",0,$H976*$J976))</f>
        <v/>
      </c>
      <c r="M976" s="4" t="n"/>
      <c r="N976" s="4" t="n"/>
      <c r="O976" s="4">
        <f>IF($A976="","",TEXT($A976,"yyyy")&amp;"-W"&amp;TEXT(ISOWEEKNUM($A976),"00"))</f>
        <v/>
      </c>
      <c r="P976" s="4" t="n"/>
      <c r="Q976" s="14">
        <f>IF($A976="","",TEXT($A976,"yyyy-mm"))</f>
        <v/>
      </c>
    </row>
    <row r="977">
      <c r="A977" s="66" t="n"/>
      <c r="B977" s="4" t="n"/>
      <c r="C977" s="11">
        <f>IFERROR(VLOOKUP($B977,Members!$A:$C,2,FALSE),"")</f>
        <v/>
      </c>
      <c r="D977" s="11">
        <f>IFERROR(VLOOKUP($B977,Members!$A:$C,3,FALSE),"")</f>
        <v/>
      </c>
      <c r="E977" s="11">
        <f>IF($F977="","",IFERROR(VLOOKUP($F977,ActionMap!$A:$B,2,FALSE),"INVALID ACTION"))</f>
        <v/>
      </c>
      <c r="F977" s="4" t="n"/>
      <c r="G977" s="11">
        <f>IFERROR(VLOOKUP($E977,ActionsCatalog!$A:$B,2,FALSE),"")</f>
        <v/>
      </c>
      <c r="H977" s="4" t="n"/>
      <c r="I977" s="4">
        <f>IFERROR(VLOOKUP($E977,ActionsCatalog!$A:$D,3,FALSE),0)</f>
        <v/>
      </c>
      <c r="J977" s="4">
        <f>IFERROR(VLOOKUP($E977,ActionsCatalog!$A:$D,4,FALSE),0)</f>
        <v/>
      </c>
      <c r="K977" s="4">
        <f>IF($M977&lt;&gt;"Yes",0,IF($H977="",0,$H977*$I977))</f>
        <v/>
      </c>
      <c r="L977" s="4">
        <f>IF($M977&lt;&gt;"Yes",0,IF($H977="",0,$H977*$J977))</f>
        <v/>
      </c>
      <c r="M977" s="4" t="n"/>
      <c r="N977" s="4" t="n"/>
      <c r="O977" s="4">
        <f>IF($A977="","",TEXT($A977,"yyyy")&amp;"-W"&amp;TEXT(ISOWEEKNUM($A977),"00"))</f>
        <v/>
      </c>
      <c r="P977" s="4" t="n"/>
      <c r="Q977" s="14">
        <f>IF($A977="","",TEXT($A977,"yyyy-mm"))</f>
        <v/>
      </c>
    </row>
    <row r="978">
      <c r="A978" s="66" t="n"/>
      <c r="B978" s="4" t="n"/>
      <c r="C978" s="11">
        <f>IFERROR(VLOOKUP($B978,Members!$A:$C,2,FALSE),"")</f>
        <v/>
      </c>
      <c r="D978" s="11">
        <f>IFERROR(VLOOKUP($B978,Members!$A:$C,3,FALSE),"")</f>
        <v/>
      </c>
      <c r="E978" s="11">
        <f>IF($F978="","",IFERROR(VLOOKUP($F978,ActionMap!$A:$B,2,FALSE),"INVALID ACTION"))</f>
        <v/>
      </c>
      <c r="F978" s="4" t="n"/>
      <c r="G978" s="11">
        <f>IFERROR(VLOOKUP($E978,ActionsCatalog!$A:$B,2,FALSE),"")</f>
        <v/>
      </c>
      <c r="H978" s="4" t="n"/>
      <c r="I978" s="4">
        <f>IFERROR(VLOOKUP($E978,ActionsCatalog!$A:$D,3,FALSE),0)</f>
        <v/>
      </c>
      <c r="J978" s="4">
        <f>IFERROR(VLOOKUP($E978,ActionsCatalog!$A:$D,4,FALSE),0)</f>
        <v/>
      </c>
      <c r="K978" s="4">
        <f>IF($M978&lt;&gt;"Yes",0,IF($H978="",0,$H978*$I978))</f>
        <v/>
      </c>
      <c r="L978" s="4">
        <f>IF($M978&lt;&gt;"Yes",0,IF($H978="",0,$H978*$J978))</f>
        <v/>
      </c>
      <c r="M978" s="4" t="n"/>
      <c r="N978" s="4" t="n"/>
      <c r="O978" s="4">
        <f>IF($A978="","",TEXT($A978,"yyyy")&amp;"-W"&amp;TEXT(ISOWEEKNUM($A978),"00"))</f>
        <v/>
      </c>
      <c r="P978" s="4" t="n"/>
      <c r="Q978" s="14">
        <f>IF($A978="","",TEXT($A978,"yyyy-mm"))</f>
        <v/>
      </c>
    </row>
    <row r="979">
      <c r="A979" s="66" t="n"/>
      <c r="B979" s="4" t="n"/>
      <c r="C979" s="11">
        <f>IFERROR(VLOOKUP($B979,Members!$A:$C,2,FALSE),"")</f>
        <v/>
      </c>
      <c r="D979" s="11">
        <f>IFERROR(VLOOKUP($B979,Members!$A:$C,3,FALSE),"")</f>
        <v/>
      </c>
      <c r="E979" s="11">
        <f>IF($F979="","",IFERROR(VLOOKUP($F979,ActionMap!$A:$B,2,FALSE),"INVALID ACTION"))</f>
        <v/>
      </c>
      <c r="F979" s="4" t="n"/>
      <c r="G979" s="11">
        <f>IFERROR(VLOOKUP($E979,ActionsCatalog!$A:$B,2,FALSE),"")</f>
        <v/>
      </c>
      <c r="H979" s="4" t="n"/>
      <c r="I979" s="4">
        <f>IFERROR(VLOOKUP($E979,ActionsCatalog!$A:$D,3,FALSE),0)</f>
        <v/>
      </c>
      <c r="J979" s="4">
        <f>IFERROR(VLOOKUP($E979,ActionsCatalog!$A:$D,4,FALSE),0)</f>
        <v/>
      </c>
      <c r="K979" s="4">
        <f>IF($M979&lt;&gt;"Yes",0,IF($H979="",0,$H979*$I979))</f>
        <v/>
      </c>
      <c r="L979" s="4">
        <f>IF($M979&lt;&gt;"Yes",0,IF($H979="",0,$H979*$J979))</f>
        <v/>
      </c>
      <c r="M979" s="4" t="n"/>
      <c r="N979" s="4" t="n"/>
      <c r="O979" s="4">
        <f>IF($A979="","",TEXT($A979,"yyyy")&amp;"-W"&amp;TEXT(ISOWEEKNUM($A979),"00"))</f>
        <v/>
      </c>
      <c r="P979" s="4" t="n"/>
      <c r="Q979" s="14">
        <f>IF($A979="","",TEXT($A979,"yyyy-mm"))</f>
        <v/>
      </c>
    </row>
    <row r="980">
      <c r="A980" s="66" t="n"/>
      <c r="B980" s="4" t="n"/>
      <c r="C980" s="11">
        <f>IFERROR(VLOOKUP($B980,Members!$A:$C,2,FALSE),"")</f>
        <v/>
      </c>
      <c r="D980" s="11">
        <f>IFERROR(VLOOKUP($B980,Members!$A:$C,3,FALSE),"")</f>
        <v/>
      </c>
      <c r="E980" s="11">
        <f>IF($F980="","",IFERROR(VLOOKUP($F980,ActionMap!$A:$B,2,FALSE),"INVALID ACTION"))</f>
        <v/>
      </c>
      <c r="F980" s="4" t="n"/>
      <c r="G980" s="11">
        <f>IFERROR(VLOOKUP($E980,ActionsCatalog!$A:$B,2,FALSE),"")</f>
        <v/>
      </c>
      <c r="H980" s="4" t="n"/>
      <c r="I980" s="4">
        <f>IFERROR(VLOOKUP($E980,ActionsCatalog!$A:$D,3,FALSE),0)</f>
        <v/>
      </c>
      <c r="J980" s="4">
        <f>IFERROR(VLOOKUP($E980,ActionsCatalog!$A:$D,4,FALSE),0)</f>
        <v/>
      </c>
      <c r="K980" s="4">
        <f>IF($M980&lt;&gt;"Yes",0,IF($H980="",0,$H980*$I980))</f>
        <v/>
      </c>
      <c r="L980" s="4">
        <f>IF($M980&lt;&gt;"Yes",0,IF($H980="",0,$H980*$J980))</f>
        <v/>
      </c>
      <c r="M980" s="4" t="n"/>
      <c r="N980" s="4" t="n"/>
      <c r="O980" s="4">
        <f>IF($A980="","",TEXT($A980,"yyyy")&amp;"-W"&amp;TEXT(ISOWEEKNUM($A980),"00"))</f>
        <v/>
      </c>
      <c r="P980" s="4" t="n"/>
      <c r="Q980" s="14">
        <f>IF($A980="","",TEXT($A980,"yyyy-mm"))</f>
        <v/>
      </c>
    </row>
    <row r="981">
      <c r="A981" s="66" t="n"/>
      <c r="B981" s="4" t="n"/>
      <c r="C981" s="11">
        <f>IFERROR(VLOOKUP($B981,Members!$A:$C,2,FALSE),"")</f>
        <v/>
      </c>
      <c r="D981" s="11">
        <f>IFERROR(VLOOKUP($B981,Members!$A:$C,3,FALSE),"")</f>
        <v/>
      </c>
      <c r="E981" s="11">
        <f>IF($F981="","",IFERROR(VLOOKUP($F981,ActionMap!$A:$B,2,FALSE),"INVALID ACTION"))</f>
        <v/>
      </c>
      <c r="F981" s="4" t="n"/>
      <c r="G981" s="11">
        <f>IFERROR(VLOOKUP($E981,ActionsCatalog!$A:$B,2,FALSE),"")</f>
        <v/>
      </c>
      <c r="H981" s="4" t="n"/>
      <c r="I981" s="4">
        <f>IFERROR(VLOOKUP($E981,ActionsCatalog!$A:$D,3,FALSE),0)</f>
        <v/>
      </c>
      <c r="J981" s="4">
        <f>IFERROR(VLOOKUP($E981,ActionsCatalog!$A:$D,4,FALSE),0)</f>
        <v/>
      </c>
      <c r="K981" s="4">
        <f>IF($M981&lt;&gt;"Yes",0,IF($H981="",0,$H981*$I981))</f>
        <v/>
      </c>
      <c r="L981" s="4">
        <f>IF($M981&lt;&gt;"Yes",0,IF($H981="",0,$H981*$J981))</f>
        <v/>
      </c>
      <c r="M981" s="4" t="n"/>
      <c r="N981" s="4" t="n"/>
      <c r="O981" s="4">
        <f>IF($A981="","",TEXT($A981,"yyyy")&amp;"-W"&amp;TEXT(ISOWEEKNUM($A981),"00"))</f>
        <v/>
      </c>
      <c r="P981" s="4" t="n"/>
      <c r="Q981" s="14">
        <f>IF($A981="","",TEXT($A981,"yyyy-mm"))</f>
        <v/>
      </c>
    </row>
    <row r="982">
      <c r="A982" s="66" t="n"/>
      <c r="B982" s="4" t="n"/>
      <c r="C982" s="11">
        <f>IFERROR(VLOOKUP($B982,Members!$A:$C,2,FALSE),"")</f>
        <v/>
      </c>
      <c r="D982" s="11">
        <f>IFERROR(VLOOKUP($B982,Members!$A:$C,3,FALSE),"")</f>
        <v/>
      </c>
      <c r="E982" s="11">
        <f>IF($F982="","",IFERROR(VLOOKUP($F982,ActionMap!$A:$B,2,FALSE),"INVALID ACTION"))</f>
        <v/>
      </c>
      <c r="F982" s="4" t="n"/>
      <c r="G982" s="11">
        <f>IFERROR(VLOOKUP($E982,ActionsCatalog!$A:$B,2,FALSE),"")</f>
        <v/>
      </c>
      <c r="H982" s="4" t="n"/>
      <c r="I982" s="4">
        <f>IFERROR(VLOOKUP($E982,ActionsCatalog!$A:$D,3,FALSE),0)</f>
        <v/>
      </c>
      <c r="J982" s="4">
        <f>IFERROR(VLOOKUP($E982,ActionsCatalog!$A:$D,4,FALSE),0)</f>
        <v/>
      </c>
      <c r="K982" s="4">
        <f>IF($M982&lt;&gt;"Yes",0,IF($H982="",0,$H982*$I982))</f>
        <v/>
      </c>
      <c r="L982" s="4">
        <f>IF($M982&lt;&gt;"Yes",0,IF($H982="",0,$H982*$J982))</f>
        <v/>
      </c>
      <c r="M982" s="4" t="n"/>
      <c r="N982" s="4" t="n"/>
      <c r="O982" s="4">
        <f>IF($A982="","",TEXT($A982,"yyyy")&amp;"-W"&amp;TEXT(ISOWEEKNUM($A982),"00"))</f>
        <v/>
      </c>
      <c r="P982" s="4" t="n"/>
      <c r="Q982" s="14">
        <f>IF($A982="","",TEXT($A982,"yyyy-mm"))</f>
        <v/>
      </c>
    </row>
    <row r="983">
      <c r="A983" s="66" t="n"/>
      <c r="B983" s="4" t="n"/>
      <c r="C983" s="11">
        <f>IFERROR(VLOOKUP($B983,Members!$A:$C,2,FALSE),"")</f>
        <v/>
      </c>
      <c r="D983" s="11">
        <f>IFERROR(VLOOKUP($B983,Members!$A:$C,3,FALSE),"")</f>
        <v/>
      </c>
      <c r="E983" s="11">
        <f>IF($F983="","",IFERROR(VLOOKUP($F983,ActionMap!$A:$B,2,FALSE),"INVALID ACTION"))</f>
        <v/>
      </c>
      <c r="F983" s="4" t="n"/>
      <c r="G983" s="11">
        <f>IFERROR(VLOOKUP($E983,ActionsCatalog!$A:$B,2,FALSE),"")</f>
        <v/>
      </c>
      <c r="H983" s="4" t="n"/>
      <c r="I983" s="4">
        <f>IFERROR(VLOOKUP($E983,ActionsCatalog!$A:$D,3,FALSE),0)</f>
        <v/>
      </c>
      <c r="J983" s="4">
        <f>IFERROR(VLOOKUP($E983,ActionsCatalog!$A:$D,4,FALSE),0)</f>
        <v/>
      </c>
      <c r="K983" s="4">
        <f>IF($M983&lt;&gt;"Yes",0,IF($H983="",0,$H983*$I983))</f>
        <v/>
      </c>
      <c r="L983" s="4">
        <f>IF($M983&lt;&gt;"Yes",0,IF($H983="",0,$H983*$J983))</f>
        <v/>
      </c>
      <c r="M983" s="4" t="n"/>
      <c r="N983" s="4" t="n"/>
      <c r="O983" s="4">
        <f>IF($A983="","",TEXT($A983,"yyyy")&amp;"-W"&amp;TEXT(ISOWEEKNUM($A983),"00"))</f>
        <v/>
      </c>
      <c r="P983" s="4" t="n"/>
      <c r="Q983" s="14">
        <f>IF($A983="","",TEXT($A983,"yyyy-mm"))</f>
        <v/>
      </c>
    </row>
    <row r="984">
      <c r="A984" s="66" t="n"/>
      <c r="B984" s="4" t="n"/>
      <c r="C984" s="11">
        <f>IFERROR(VLOOKUP($B984,Members!$A:$C,2,FALSE),"")</f>
        <v/>
      </c>
      <c r="D984" s="11">
        <f>IFERROR(VLOOKUP($B984,Members!$A:$C,3,FALSE),"")</f>
        <v/>
      </c>
      <c r="E984" s="11">
        <f>IF($F984="","",IFERROR(VLOOKUP($F984,ActionMap!$A:$B,2,FALSE),"INVALID ACTION"))</f>
        <v/>
      </c>
      <c r="F984" s="4" t="n"/>
      <c r="G984" s="11">
        <f>IFERROR(VLOOKUP($E984,ActionsCatalog!$A:$B,2,FALSE),"")</f>
        <v/>
      </c>
      <c r="H984" s="4" t="n"/>
      <c r="I984" s="4">
        <f>IFERROR(VLOOKUP($E984,ActionsCatalog!$A:$D,3,FALSE),0)</f>
        <v/>
      </c>
      <c r="J984" s="4">
        <f>IFERROR(VLOOKUP($E984,ActionsCatalog!$A:$D,4,FALSE),0)</f>
        <v/>
      </c>
      <c r="K984" s="4">
        <f>IF($M984&lt;&gt;"Yes",0,IF($H984="",0,$H984*$I984))</f>
        <v/>
      </c>
      <c r="L984" s="4">
        <f>IF($M984&lt;&gt;"Yes",0,IF($H984="",0,$H984*$J984))</f>
        <v/>
      </c>
      <c r="M984" s="4" t="n"/>
      <c r="N984" s="4" t="n"/>
      <c r="O984" s="4">
        <f>IF($A984="","",TEXT($A984,"yyyy")&amp;"-W"&amp;TEXT(ISOWEEKNUM($A984),"00"))</f>
        <v/>
      </c>
      <c r="P984" s="4" t="n"/>
      <c r="Q984" s="14">
        <f>IF($A984="","",TEXT($A984,"yyyy-mm"))</f>
        <v/>
      </c>
    </row>
    <row r="985">
      <c r="A985" s="66" t="n"/>
      <c r="B985" s="4" t="n"/>
      <c r="C985" s="11">
        <f>IFERROR(VLOOKUP($B985,Members!$A:$C,2,FALSE),"")</f>
        <v/>
      </c>
      <c r="D985" s="11">
        <f>IFERROR(VLOOKUP($B985,Members!$A:$C,3,FALSE),"")</f>
        <v/>
      </c>
      <c r="E985" s="11">
        <f>IF($F985="","",IFERROR(VLOOKUP($F985,ActionMap!$A:$B,2,FALSE),"INVALID ACTION"))</f>
        <v/>
      </c>
      <c r="F985" s="4" t="n"/>
      <c r="G985" s="11">
        <f>IFERROR(VLOOKUP($E985,ActionsCatalog!$A:$B,2,FALSE),"")</f>
        <v/>
      </c>
      <c r="H985" s="4" t="n"/>
      <c r="I985" s="4">
        <f>IFERROR(VLOOKUP($E985,ActionsCatalog!$A:$D,3,FALSE),0)</f>
        <v/>
      </c>
      <c r="J985" s="4">
        <f>IFERROR(VLOOKUP($E985,ActionsCatalog!$A:$D,4,FALSE),0)</f>
        <v/>
      </c>
      <c r="K985" s="4">
        <f>IF($M985&lt;&gt;"Yes",0,IF($H985="",0,$H985*$I985))</f>
        <v/>
      </c>
      <c r="L985" s="4">
        <f>IF($M985&lt;&gt;"Yes",0,IF($H985="",0,$H985*$J985))</f>
        <v/>
      </c>
      <c r="M985" s="4" t="n"/>
      <c r="N985" s="4" t="n"/>
      <c r="O985" s="4">
        <f>IF($A985="","",TEXT($A985,"yyyy")&amp;"-W"&amp;TEXT(ISOWEEKNUM($A985),"00"))</f>
        <v/>
      </c>
      <c r="P985" s="4" t="n"/>
      <c r="Q985" s="14">
        <f>IF($A985="","",TEXT($A985,"yyyy-mm"))</f>
        <v/>
      </c>
    </row>
    <row r="986">
      <c r="A986" s="66" t="n"/>
      <c r="B986" s="4" t="n"/>
      <c r="C986" s="11">
        <f>IFERROR(VLOOKUP($B986,Members!$A:$C,2,FALSE),"")</f>
        <v/>
      </c>
      <c r="D986" s="11">
        <f>IFERROR(VLOOKUP($B986,Members!$A:$C,3,FALSE),"")</f>
        <v/>
      </c>
      <c r="E986" s="11">
        <f>IF($F986="","",IFERROR(VLOOKUP($F986,ActionMap!$A:$B,2,FALSE),"INVALID ACTION"))</f>
        <v/>
      </c>
      <c r="F986" s="4" t="n"/>
      <c r="G986" s="11">
        <f>IFERROR(VLOOKUP($E986,ActionsCatalog!$A:$B,2,FALSE),"")</f>
        <v/>
      </c>
      <c r="H986" s="4" t="n"/>
      <c r="I986" s="4">
        <f>IFERROR(VLOOKUP($E986,ActionsCatalog!$A:$D,3,FALSE),0)</f>
        <v/>
      </c>
      <c r="J986" s="4">
        <f>IFERROR(VLOOKUP($E986,ActionsCatalog!$A:$D,4,FALSE),0)</f>
        <v/>
      </c>
      <c r="K986" s="4">
        <f>IF($M986&lt;&gt;"Yes",0,IF($H986="",0,$H986*$I986))</f>
        <v/>
      </c>
      <c r="L986" s="4">
        <f>IF($M986&lt;&gt;"Yes",0,IF($H986="",0,$H986*$J986))</f>
        <v/>
      </c>
      <c r="M986" s="4" t="n"/>
      <c r="N986" s="4" t="n"/>
      <c r="O986" s="4">
        <f>IF($A986="","",TEXT($A986,"yyyy")&amp;"-W"&amp;TEXT(ISOWEEKNUM($A986),"00"))</f>
        <v/>
      </c>
      <c r="P986" s="4" t="n"/>
      <c r="Q986" s="14">
        <f>IF($A986="","",TEXT($A986,"yyyy-mm"))</f>
        <v/>
      </c>
    </row>
    <row r="987">
      <c r="A987" s="66" t="n"/>
      <c r="B987" s="4" t="n"/>
      <c r="C987" s="11">
        <f>IFERROR(VLOOKUP($B987,Members!$A:$C,2,FALSE),"")</f>
        <v/>
      </c>
      <c r="D987" s="11">
        <f>IFERROR(VLOOKUP($B987,Members!$A:$C,3,FALSE),"")</f>
        <v/>
      </c>
      <c r="E987" s="11">
        <f>IF($F987="","",IFERROR(VLOOKUP($F987,ActionMap!$A:$B,2,FALSE),"INVALID ACTION"))</f>
        <v/>
      </c>
      <c r="F987" s="4" t="n"/>
      <c r="G987" s="11">
        <f>IFERROR(VLOOKUP($E987,ActionsCatalog!$A:$B,2,FALSE),"")</f>
        <v/>
      </c>
      <c r="H987" s="4" t="n"/>
      <c r="I987" s="4">
        <f>IFERROR(VLOOKUP($E987,ActionsCatalog!$A:$D,3,FALSE),0)</f>
        <v/>
      </c>
      <c r="J987" s="4">
        <f>IFERROR(VLOOKUP($E987,ActionsCatalog!$A:$D,4,FALSE),0)</f>
        <v/>
      </c>
      <c r="K987" s="4">
        <f>IF($M987&lt;&gt;"Yes",0,IF($H987="",0,$H987*$I987))</f>
        <v/>
      </c>
      <c r="L987" s="4">
        <f>IF($M987&lt;&gt;"Yes",0,IF($H987="",0,$H987*$J987))</f>
        <v/>
      </c>
      <c r="M987" s="4" t="n"/>
      <c r="N987" s="4" t="n"/>
      <c r="O987" s="4">
        <f>IF($A987="","",TEXT($A987,"yyyy")&amp;"-W"&amp;TEXT(ISOWEEKNUM($A987),"00"))</f>
        <v/>
      </c>
      <c r="P987" s="4" t="n"/>
      <c r="Q987" s="14">
        <f>IF($A987="","",TEXT($A987,"yyyy-mm"))</f>
        <v/>
      </c>
    </row>
    <row r="988">
      <c r="A988" s="66" t="n"/>
      <c r="B988" s="4" t="n"/>
      <c r="C988" s="11">
        <f>IFERROR(VLOOKUP($B988,Members!$A:$C,2,FALSE),"")</f>
        <v/>
      </c>
      <c r="D988" s="11">
        <f>IFERROR(VLOOKUP($B988,Members!$A:$C,3,FALSE),"")</f>
        <v/>
      </c>
      <c r="E988" s="11">
        <f>IF($F988="","",IFERROR(VLOOKUP($F988,ActionMap!$A:$B,2,FALSE),"INVALID ACTION"))</f>
        <v/>
      </c>
      <c r="F988" s="4" t="n"/>
      <c r="G988" s="11">
        <f>IFERROR(VLOOKUP($E988,ActionsCatalog!$A:$B,2,FALSE),"")</f>
        <v/>
      </c>
      <c r="H988" s="4" t="n"/>
      <c r="I988" s="4">
        <f>IFERROR(VLOOKUP($E988,ActionsCatalog!$A:$D,3,FALSE),0)</f>
        <v/>
      </c>
      <c r="J988" s="4">
        <f>IFERROR(VLOOKUP($E988,ActionsCatalog!$A:$D,4,FALSE),0)</f>
        <v/>
      </c>
      <c r="K988" s="4">
        <f>IF($M988&lt;&gt;"Yes",0,IF($H988="",0,$H988*$I988))</f>
        <v/>
      </c>
      <c r="L988" s="4">
        <f>IF($M988&lt;&gt;"Yes",0,IF($H988="",0,$H988*$J988))</f>
        <v/>
      </c>
      <c r="M988" s="4" t="n"/>
      <c r="N988" s="4" t="n"/>
      <c r="O988" s="4">
        <f>IF($A988="","",TEXT($A988,"yyyy")&amp;"-W"&amp;TEXT(ISOWEEKNUM($A988),"00"))</f>
        <v/>
      </c>
      <c r="P988" s="4" t="n"/>
      <c r="Q988" s="14">
        <f>IF($A988="","",TEXT($A988,"yyyy-mm"))</f>
        <v/>
      </c>
    </row>
    <row r="989">
      <c r="A989" s="66" t="n"/>
      <c r="B989" s="4" t="n"/>
      <c r="C989" s="11">
        <f>IFERROR(VLOOKUP($B989,Members!$A:$C,2,FALSE),"")</f>
        <v/>
      </c>
      <c r="D989" s="11">
        <f>IFERROR(VLOOKUP($B989,Members!$A:$C,3,FALSE),"")</f>
        <v/>
      </c>
      <c r="E989" s="11">
        <f>IF($F989="","",IFERROR(VLOOKUP($F989,ActionMap!$A:$B,2,FALSE),"INVALID ACTION"))</f>
        <v/>
      </c>
      <c r="F989" s="4" t="n"/>
      <c r="G989" s="11">
        <f>IFERROR(VLOOKUP($E989,ActionsCatalog!$A:$B,2,FALSE),"")</f>
        <v/>
      </c>
      <c r="H989" s="4" t="n"/>
      <c r="I989" s="4">
        <f>IFERROR(VLOOKUP($E989,ActionsCatalog!$A:$D,3,FALSE),0)</f>
        <v/>
      </c>
      <c r="J989" s="4">
        <f>IFERROR(VLOOKUP($E989,ActionsCatalog!$A:$D,4,FALSE),0)</f>
        <v/>
      </c>
      <c r="K989" s="4">
        <f>IF($M989&lt;&gt;"Yes",0,IF($H989="",0,$H989*$I989))</f>
        <v/>
      </c>
      <c r="L989" s="4">
        <f>IF($M989&lt;&gt;"Yes",0,IF($H989="",0,$H989*$J989))</f>
        <v/>
      </c>
      <c r="M989" s="4" t="n"/>
      <c r="N989" s="4" t="n"/>
      <c r="O989" s="4">
        <f>IF($A989="","",TEXT($A989,"yyyy")&amp;"-W"&amp;TEXT(ISOWEEKNUM($A989),"00"))</f>
        <v/>
      </c>
      <c r="P989" s="4" t="n"/>
      <c r="Q989" s="14">
        <f>IF($A989="","",TEXT($A989,"yyyy-mm"))</f>
        <v/>
      </c>
    </row>
    <row r="990">
      <c r="A990" s="66" t="n"/>
      <c r="B990" s="4" t="n"/>
      <c r="C990" s="11">
        <f>IFERROR(VLOOKUP($B990,Members!$A:$C,2,FALSE),"")</f>
        <v/>
      </c>
      <c r="D990" s="11">
        <f>IFERROR(VLOOKUP($B990,Members!$A:$C,3,FALSE),"")</f>
        <v/>
      </c>
      <c r="E990" s="11">
        <f>IF($F990="","",IFERROR(VLOOKUP($F990,ActionMap!$A:$B,2,FALSE),"INVALID ACTION"))</f>
        <v/>
      </c>
      <c r="F990" s="4" t="n"/>
      <c r="G990" s="11">
        <f>IFERROR(VLOOKUP($E990,ActionsCatalog!$A:$B,2,FALSE),"")</f>
        <v/>
      </c>
      <c r="H990" s="4" t="n"/>
      <c r="I990" s="4">
        <f>IFERROR(VLOOKUP($E990,ActionsCatalog!$A:$D,3,FALSE),0)</f>
        <v/>
      </c>
      <c r="J990" s="4">
        <f>IFERROR(VLOOKUP($E990,ActionsCatalog!$A:$D,4,FALSE),0)</f>
        <v/>
      </c>
      <c r="K990" s="4">
        <f>IF($M990&lt;&gt;"Yes",0,IF($H990="",0,$H990*$I990))</f>
        <v/>
      </c>
      <c r="L990" s="4">
        <f>IF($M990&lt;&gt;"Yes",0,IF($H990="",0,$H990*$J990))</f>
        <v/>
      </c>
      <c r="M990" s="4" t="n"/>
      <c r="N990" s="4" t="n"/>
      <c r="O990" s="4">
        <f>IF($A990="","",TEXT($A990,"yyyy")&amp;"-W"&amp;TEXT(ISOWEEKNUM($A990),"00"))</f>
        <v/>
      </c>
      <c r="P990" s="4" t="n"/>
      <c r="Q990" s="14">
        <f>IF($A990="","",TEXT($A990,"yyyy-mm"))</f>
        <v/>
      </c>
    </row>
    <row r="991">
      <c r="A991" s="66" t="n"/>
      <c r="B991" s="4" t="n"/>
      <c r="C991" s="11">
        <f>IFERROR(VLOOKUP($B991,Members!$A:$C,2,FALSE),"")</f>
        <v/>
      </c>
      <c r="D991" s="11">
        <f>IFERROR(VLOOKUP($B991,Members!$A:$C,3,FALSE),"")</f>
        <v/>
      </c>
      <c r="E991" s="11">
        <f>IF($F991="","",IFERROR(VLOOKUP($F991,ActionMap!$A:$B,2,FALSE),"INVALID ACTION"))</f>
        <v/>
      </c>
      <c r="F991" s="4" t="n"/>
      <c r="G991" s="11">
        <f>IFERROR(VLOOKUP($E991,ActionsCatalog!$A:$B,2,FALSE),"")</f>
        <v/>
      </c>
      <c r="H991" s="4" t="n"/>
      <c r="I991" s="4">
        <f>IFERROR(VLOOKUP($E991,ActionsCatalog!$A:$D,3,FALSE),0)</f>
        <v/>
      </c>
      <c r="J991" s="4">
        <f>IFERROR(VLOOKUP($E991,ActionsCatalog!$A:$D,4,FALSE),0)</f>
        <v/>
      </c>
      <c r="K991" s="4">
        <f>IF($M991&lt;&gt;"Yes",0,IF($H991="",0,$H991*$I991))</f>
        <v/>
      </c>
      <c r="L991" s="4">
        <f>IF($M991&lt;&gt;"Yes",0,IF($H991="",0,$H991*$J991))</f>
        <v/>
      </c>
      <c r="M991" s="4" t="n"/>
      <c r="N991" s="4" t="n"/>
      <c r="O991" s="4">
        <f>IF($A991="","",TEXT($A991,"yyyy")&amp;"-W"&amp;TEXT(ISOWEEKNUM($A991),"00"))</f>
        <v/>
      </c>
      <c r="P991" s="4" t="n"/>
      <c r="Q991" s="14">
        <f>IF($A991="","",TEXT($A991,"yyyy-mm"))</f>
        <v/>
      </c>
    </row>
    <row r="992">
      <c r="A992" s="66" t="n"/>
      <c r="B992" s="4" t="n"/>
      <c r="C992" s="11">
        <f>IFERROR(VLOOKUP($B992,Members!$A:$C,2,FALSE),"")</f>
        <v/>
      </c>
      <c r="D992" s="11">
        <f>IFERROR(VLOOKUP($B992,Members!$A:$C,3,FALSE),"")</f>
        <v/>
      </c>
      <c r="E992" s="11">
        <f>IF($F992="","",IFERROR(VLOOKUP($F992,ActionMap!$A:$B,2,FALSE),"INVALID ACTION"))</f>
        <v/>
      </c>
      <c r="F992" s="4" t="n"/>
      <c r="G992" s="11">
        <f>IFERROR(VLOOKUP($E992,ActionsCatalog!$A:$B,2,FALSE),"")</f>
        <v/>
      </c>
      <c r="H992" s="4" t="n"/>
      <c r="I992" s="4">
        <f>IFERROR(VLOOKUP($E992,ActionsCatalog!$A:$D,3,FALSE),0)</f>
        <v/>
      </c>
      <c r="J992" s="4">
        <f>IFERROR(VLOOKUP($E992,ActionsCatalog!$A:$D,4,FALSE),0)</f>
        <v/>
      </c>
      <c r="K992" s="4">
        <f>IF($M992&lt;&gt;"Yes",0,IF($H992="",0,$H992*$I992))</f>
        <v/>
      </c>
      <c r="L992" s="4">
        <f>IF($M992&lt;&gt;"Yes",0,IF($H992="",0,$H992*$J992))</f>
        <v/>
      </c>
      <c r="M992" s="4" t="n"/>
      <c r="N992" s="4" t="n"/>
      <c r="O992" s="4">
        <f>IF($A992="","",TEXT($A992,"yyyy")&amp;"-W"&amp;TEXT(ISOWEEKNUM($A992),"00"))</f>
        <v/>
      </c>
      <c r="P992" s="4" t="n"/>
      <c r="Q992" s="14">
        <f>IF($A992="","",TEXT($A992,"yyyy-mm"))</f>
        <v/>
      </c>
    </row>
    <row r="993">
      <c r="A993" s="66" t="n"/>
      <c r="B993" s="4" t="n"/>
      <c r="C993" s="11">
        <f>IFERROR(VLOOKUP($B993,Members!$A:$C,2,FALSE),"")</f>
        <v/>
      </c>
      <c r="D993" s="11">
        <f>IFERROR(VLOOKUP($B993,Members!$A:$C,3,FALSE),"")</f>
        <v/>
      </c>
      <c r="E993" s="11">
        <f>IF($F993="","",IFERROR(VLOOKUP($F993,ActionMap!$A:$B,2,FALSE),"INVALID ACTION"))</f>
        <v/>
      </c>
      <c r="F993" s="4" t="n"/>
      <c r="G993" s="11">
        <f>IFERROR(VLOOKUP($E993,ActionsCatalog!$A:$B,2,FALSE),"")</f>
        <v/>
      </c>
      <c r="H993" s="4" t="n"/>
      <c r="I993" s="4">
        <f>IFERROR(VLOOKUP($E993,ActionsCatalog!$A:$D,3,FALSE),0)</f>
        <v/>
      </c>
      <c r="J993" s="4">
        <f>IFERROR(VLOOKUP($E993,ActionsCatalog!$A:$D,4,FALSE),0)</f>
        <v/>
      </c>
      <c r="K993" s="4">
        <f>IF($M993&lt;&gt;"Yes",0,IF($H993="",0,$H993*$I993))</f>
        <v/>
      </c>
      <c r="L993" s="4">
        <f>IF($M993&lt;&gt;"Yes",0,IF($H993="",0,$H993*$J993))</f>
        <v/>
      </c>
      <c r="M993" s="4" t="n"/>
      <c r="N993" s="4" t="n"/>
      <c r="O993" s="4">
        <f>IF($A993="","",TEXT($A993,"yyyy")&amp;"-W"&amp;TEXT(ISOWEEKNUM($A993),"00"))</f>
        <v/>
      </c>
      <c r="P993" s="4" t="n"/>
      <c r="Q993" s="14">
        <f>IF($A993="","",TEXT($A993,"yyyy-mm"))</f>
        <v/>
      </c>
    </row>
    <row r="994">
      <c r="A994" s="66" t="n"/>
      <c r="B994" s="4" t="n"/>
      <c r="C994" s="11">
        <f>IFERROR(VLOOKUP($B994,Members!$A:$C,2,FALSE),"")</f>
        <v/>
      </c>
      <c r="D994" s="11">
        <f>IFERROR(VLOOKUP($B994,Members!$A:$C,3,FALSE),"")</f>
        <v/>
      </c>
      <c r="E994" s="11">
        <f>IF($F994="","",IFERROR(VLOOKUP($F994,ActionMap!$A:$B,2,FALSE),"INVALID ACTION"))</f>
        <v/>
      </c>
      <c r="F994" s="4" t="n"/>
      <c r="G994" s="11">
        <f>IFERROR(VLOOKUP($E994,ActionsCatalog!$A:$B,2,FALSE),"")</f>
        <v/>
      </c>
      <c r="H994" s="4" t="n"/>
      <c r="I994" s="4">
        <f>IFERROR(VLOOKUP($E994,ActionsCatalog!$A:$D,3,FALSE),0)</f>
        <v/>
      </c>
      <c r="J994" s="4">
        <f>IFERROR(VLOOKUP($E994,ActionsCatalog!$A:$D,4,FALSE),0)</f>
        <v/>
      </c>
      <c r="K994" s="4">
        <f>IF($M994&lt;&gt;"Yes",0,IF($H994="",0,$H994*$I994))</f>
        <v/>
      </c>
      <c r="L994" s="4">
        <f>IF($M994&lt;&gt;"Yes",0,IF($H994="",0,$H994*$J994))</f>
        <v/>
      </c>
      <c r="M994" s="4" t="n"/>
      <c r="N994" s="4" t="n"/>
      <c r="O994" s="4">
        <f>IF($A994="","",TEXT($A994,"yyyy")&amp;"-W"&amp;TEXT(ISOWEEKNUM($A994),"00"))</f>
        <v/>
      </c>
      <c r="P994" s="4" t="n"/>
      <c r="Q994" s="14">
        <f>IF($A994="","",TEXT($A994,"yyyy-mm"))</f>
        <v/>
      </c>
    </row>
    <row r="995">
      <c r="A995" s="66" t="n"/>
      <c r="B995" s="4" t="n"/>
      <c r="C995" s="11">
        <f>IFERROR(VLOOKUP($B995,Members!$A:$C,2,FALSE),"")</f>
        <v/>
      </c>
      <c r="D995" s="11">
        <f>IFERROR(VLOOKUP($B995,Members!$A:$C,3,FALSE),"")</f>
        <v/>
      </c>
      <c r="E995" s="11">
        <f>IF($F995="","",IFERROR(VLOOKUP($F995,ActionMap!$A:$B,2,FALSE),"INVALID ACTION"))</f>
        <v/>
      </c>
      <c r="F995" s="4" t="n"/>
      <c r="G995" s="11">
        <f>IFERROR(VLOOKUP($E995,ActionsCatalog!$A:$B,2,FALSE),"")</f>
        <v/>
      </c>
      <c r="H995" s="4" t="n"/>
      <c r="I995" s="4">
        <f>IFERROR(VLOOKUP($E995,ActionsCatalog!$A:$D,3,FALSE),0)</f>
        <v/>
      </c>
      <c r="J995" s="4">
        <f>IFERROR(VLOOKUP($E995,ActionsCatalog!$A:$D,4,FALSE),0)</f>
        <v/>
      </c>
      <c r="K995" s="4">
        <f>IF($M995&lt;&gt;"Yes",0,IF($H995="",0,$H995*$I995))</f>
        <v/>
      </c>
      <c r="L995" s="4">
        <f>IF($M995&lt;&gt;"Yes",0,IF($H995="",0,$H995*$J995))</f>
        <v/>
      </c>
      <c r="M995" s="4" t="n"/>
      <c r="N995" s="4" t="n"/>
      <c r="O995" s="4">
        <f>IF($A995="","",TEXT($A995,"yyyy")&amp;"-W"&amp;TEXT(ISOWEEKNUM($A995),"00"))</f>
        <v/>
      </c>
      <c r="P995" s="4" t="n"/>
      <c r="Q995" s="14">
        <f>IF($A995="","",TEXT($A995,"yyyy-mm"))</f>
        <v/>
      </c>
    </row>
    <row r="996">
      <c r="A996" s="66" t="n"/>
      <c r="B996" s="4" t="n"/>
      <c r="C996" s="11">
        <f>IFERROR(VLOOKUP($B996,Members!$A:$C,2,FALSE),"")</f>
        <v/>
      </c>
      <c r="D996" s="11">
        <f>IFERROR(VLOOKUP($B996,Members!$A:$C,3,FALSE),"")</f>
        <v/>
      </c>
      <c r="E996" s="11">
        <f>IF($F996="","",IFERROR(VLOOKUP($F996,ActionMap!$A:$B,2,FALSE),"INVALID ACTION"))</f>
        <v/>
      </c>
      <c r="F996" s="4" t="n"/>
      <c r="G996" s="11">
        <f>IFERROR(VLOOKUP($E996,ActionsCatalog!$A:$B,2,FALSE),"")</f>
        <v/>
      </c>
      <c r="H996" s="4" t="n"/>
      <c r="I996" s="4">
        <f>IFERROR(VLOOKUP($E996,ActionsCatalog!$A:$D,3,FALSE),0)</f>
        <v/>
      </c>
      <c r="J996" s="4">
        <f>IFERROR(VLOOKUP($E996,ActionsCatalog!$A:$D,4,FALSE),0)</f>
        <v/>
      </c>
      <c r="K996" s="4">
        <f>IF($M996&lt;&gt;"Yes",0,IF($H996="",0,$H996*$I996))</f>
        <v/>
      </c>
      <c r="L996" s="4">
        <f>IF($M996&lt;&gt;"Yes",0,IF($H996="",0,$H996*$J996))</f>
        <v/>
      </c>
      <c r="M996" s="4" t="n"/>
      <c r="N996" s="4" t="n"/>
      <c r="O996" s="4">
        <f>IF($A996="","",TEXT($A996,"yyyy")&amp;"-W"&amp;TEXT(ISOWEEKNUM($A996),"00"))</f>
        <v/>
      </c>
      <c r="P996" s="4" t="n"/>
      <c r="Q996" s="14">
        <f>IF($A996="","",TEXT($A996,"yyyy-mm"))</f>
        <v/>
      </c>
    </row>
    <row r="997">
      <c r="A997" s="66" t="n"/>
      <c r="B997" s="4" t="n"/>
      <c r="C997" s="11">
        <f>IFERROR(VLOOKUP($B997,Members!$A:$C,2,FALSE),"")</f>
        <v/>
      </c>
      <c r="D997" s="11">
        <f>IFERROR(VLOOKUP($B997,Members!$A:$C,3,FALSE),"")</f>
        <v/>
      </c>
      <c r="E997" s="11">
        <f>IF($F997="","",IFERROR(VLOOKUP($F997,ActionMap!$A:$B,2,FALSE),"INVALID ACTION"))</f>
        <v/>
      </c>
      <c r="F997" s="4" t="n"/>
      <c r="G997" s="11">
        <f>IFERROR(VLOOKUP($E997,ActionsCatalog!$A:$B,2,FALSE),"")</f>
        <v/>
      </c>
      <c r="H997" s="4" t="n"/>
      <c r="I997" s="4">
        <f>IFERROR(VLOOKUP($E997,ActionsCatalog!$A:$D,3,FALSE),0)</f>
        <v/>
      </c>
      <c r="J997" s="4">
        <f>IFERROR(VLOOKUP($E997,ActionsCatalog!$A:$D,4,FALSE),0)</f>
        <v/>
      </c>
      <c r="K997" s="4">
        <f>IF($M997&lt;&gt;"Yes",0,IF($H997="",0,$H997*$I997))</f>
        <v/>
      </c>
      <c r="L997" s="4">
        <f>IF($M997&lt;&gt;"Yes",0,IF($H997="",0,$H997*$J997))</f>
        <v/>
      </c>
      <c r="M997" s="4" t="n"/>
      <c r="N997" s="4" t="n"/>
      <c r="O997" s="4">
        <f>IF($A997="","",TEXT($A997,"yyyy")&amp;"-W"&amp;TEXT(ISOWEEKNUM($A997),"00"))</f>
        <v/>
      </c>
      <c r="P997" s="4" t="n"/>
      <c r="Q997" s="14">
        <f>IF($A997="","",TEXT($A997,"yyyy-mm"))</f>
        <v/>
      </c>
    </row>
    <row r="998">
      <c r="A998" s="66" t="n"/>
      <c r="B998" s="4" t="n"/>
      <c r="C998" s="11">
        <f>IFERROR(VLOOKUP($B998,Members!$A:$C,2,FALSE),"")</f>
        <v/>
      </c>
      <c r="D998" s="11">
        <f>IFERROR(VLOOKUP($B998,Members!$A:$C,3,FALSE),"")</f>
        <v/>
      </c>
      <c r="E998" s="11">
        <f>IF($F998="","",IFERROR(VLOOKUP($F998,ActionMap!$A:$B,2,FALSE),"INVALID ACTION"))</f>
        <v/>
      </c>
      <c r="F998" s="4" t="n"/>
      <c r="G998" s="11">
        <f>IFERROR(VLOOKUP($E998,ActionsCatalog!$A:$B,2,FALSE),"")</f>
        <v/>
      </c>
      <c r="H998" s="4" t="n"/>
      <c r="I998" s="4">
        <f>IFERROR(VLOOKUP($E998,ActionsCatalog!$A:$D,3,FALSE),0)</f>
        <v/>
      </c>
      <c r="J998" s="4">
        <f>IFERROR(VLOOKUP($E998,ActionsCatalog!$A:$D,4,FALSE),0)</f>
        <v/>
      </c>
      <c r="K998" s="4">
        <f>IF($M998&lt;&gt;"Yes",0,IF($H998="",0,$H998*$I998))</f>
        <v/>
      </c>
      <c r="L998" s="4">
        <f>IF($M998&lt;&gt;"Yes",0,IF($H998="",0,$H998*$J998))</f>
        <v/>
      </c>
      <c r="M998" s="4" t="n"/>
      <c r="N998" s="4" t="n"/>
      <c r="O998" s="4">
        <f>IF($A998="","",TEXT($A998,"yyyy")&amp;"-W"&amp;TEXT(ISOWEEKNUM($A998),"00"))</f>
        <v/>
      </c>
      <c r="P998" s="4" t="n"/>
      <c r="Q998" s="14">
        <f>IF($A998="","",TEXT($A998,"yyyy-mm"))</f>
        <v/>
      </c>
    </row>
    <row r="999">
      <c r="A999" s="66" t="n"/>
      <c r="B999" s="4" t="n"/>
      <c r="C999" s="11">
        <f>IFERROR(VLOOKUP($B999,Members!$A:$C,2,FALSE),"")</f>
        <v/>
      </c>
      <c r="D999" s="11">
        <f>IFERROR(VLOOKUP($B999,Members!$A:$C,3,FALSE),"")</f>
        <v/>
      </c>
      <c r="E999" s="11">
        <f>IF($F999="","",IFERROR(VLOOKUP($F999,ActionMap!$A:$B,2,FALSE),"INVALID ACTION"))</f>
        <v/>
      </c>
      <c r="F999" s="4" t="n"/>
      <c r="G999" s="11">
        <f>IFERROR(VLOOKUP($E999,ActionsCatalog!$A:$B,2,FALSE),"")</f>
        <v/>
      </c>
      <c r="H999" s="4" t="n"/>
      <c r="I999" s="4">
        <f>IFERROR(VLOOKUP($E999,ActionsCatalog!$A:$D,3,FALSE),0)</f>
        <v/>
      </c>
      <c r="J999" s="4">
        <f>IFERROR(VLOOKUP($E999,ActionsCatalog!$A:$D,4,FALSE),0)</f>
        <v/>
      </c>
      <c r="K999" s="4">
        <f>IF($M999&lt;&gt;"Yes",0,IF($H999="",0,$H999*$I999))</f>
        <v/>
      </c>
      <c r="L999" s="4">
        <f>IF($M999&lt;&gt;"Yes",0,IF($H999="",0,$H999*$J999))</f>
        <v/>
      </c>
      <c r="M999" s="4" t="n"/>
      <c r="N999" s="4" t="n"/>
      <c r="O999" s="4">
        <f>IF($A999="","",TEXT($A999,"yyyy")&amp;"-W"&amp;TEXT(ISOWEEKNUM($A999),"00"))</f>
        <v/>
      </c>
      <c r="P999" s="4" t="n"/>
      <c r="Q999" s="14">
        <f>IF($A999="","",TEXT($A999,"yyyy-mm"))</f>
        <v/>
      </c>
    </row>
    <row r="1000">
      <c r="A1000" s="67" t="n"/>
      <c r="B1000" s="5" t="n"/>
      <c r="C1000" s="19">
        <f>IFERROR(VLOOKUP($B1000,Members!$A:$C,2,FALSE),"")</f>
        <v/>
      </c>
      <c r="D1000" s="19">
        <f>IFERROR(VLOOKUP($B1000,Members!$A:$C,3,FALSE),"")</f>
        <v/>
      </c>
      <c r="E1000" s="19">
        <f>IF($F1000="","",IFERROR(VLOOKUP($F1000,ActionMap!$A:$B,2,FALSE),"INVALID ACTION"))</f>
        <v/>
      </c>
      <c r="F1000" s="5" t="n"/>
      <c r="G1000" s="19">
        <f>IFERROR(VLOOKUP($E1000,ActionsCatalog!$A:$B,2,FALSE),"")</f>
        <v/>
      </c>
      <c r="H1000" s="5" t="n"/>
      <c r="I1000" s="5">
        <f>IFERROR(VLOOKUP($E1000,ActionsCatalog!$A:$D,3,FALSE),0)</f>
        <v/>
      </c>
      <c r="J1000" s="5">
        <f>IFERROR(VLOOKUP($E1000,ActionsCatalog!$A:$D,4,FALSE),0)</f>
        <v/>
      </c>
      <c r="K1000" s="5">
        <f>IF($M1000&lt;&gt;"Yes",0,IF($H1000="",0,$H1000*$I1000))</f>
        <v/>
      </c>
      <c r="L1000" s="5">
        <f>IF($M1000&lt;&gt;"Yes",0,IF($H1000="",0,$H1000*$J1000))</f>
        <v/>
      </c>
      <c r="M1000" s="5" t="n"/>
      <c r="N1000" s="5" t="n"/>
      <c r="O1000" s="5">
        <f>IF($A1000="","",TEXT($A1000,"yyyy")&amp;"-W"&amp;TEXT(ISOWEEKNUM($A1000),"00"))</f>
        <v/>
      </c>
      <c r="P1000" s="5" t="n"/>
      <c r="Q1000" s="20">
        <f>IF($A1000="","",TEXT($A1000,"yyyy-mm"))</f>
        <v/>
      </c>
    </row>
  </sheetData>
  <dataValidations count="3">
    <dataValidation sqref="B2:B1000" showDropDown="0" showInputMessage="0" showErrorMessage="0" allowBlank="1" type="list">
      <formula1>=Members!$E$2:$E$1000</formula1>
    </dataValidation>
    <dataValidation sqref="F2:F1000" showDropDown="0" showInputMessage="0" showErrorMessage="0" allowBlank="1" type="list">
      <formula1>=ActionMap!$A$2:$A$1000</formula1>
    </dataValidation>
    <dataValidation sqref="M2:M1000" showDropDown="0" showInputMessage="0" showErrorMessage="0" allowBlank="1" type="list">
      <formula1>"Yes,No"</formula1>
    </dataValidation>
  </dataValidations>
  <pageMargins left="0.75" right="0.75" top="1" bottom="1" header="0.5" footer="0.5"/>
</worksheet>
</file>

<file path=xl/worksheets/sheet3.xml><?xml version="1.0" encoding="utf-8"?>
<worksheet xmlns="http://schemas.openxmlformats.org/spreadsheetml/2006/main">
  <sheetPr>
    <tabColor rgb="FFFF9900"/>
    <outlinePr summaryBelow="0" summaryRight="0"/>
    <pageSetUpPr/>
  </sheetPr>
  <dimension ref="A1:R1000"/>
  <sheetViews>
    <sheetView workbookViewId="0">
      <pane ySplit="1" topLeftCell="A2" activePane="bottomLeft" state="frozen"/>
      <selection pane="bottomLeft" activeCell="B3" sqref="B3"/>
    </sheetView>
  </sheetViews>
  <sheetFormatPr baseColWidth="8" defaultColWidth="12.63" defaultRowHeight="15.75" customHeight="1"/>
  <cols>
    <col width="14" customWidth="1" style="64" min="1" max="1"/>
    <col width="14" customWidth="1" style="64" min="2" max="2"/>
    <col width="17.5" customWidth="1" style="64" min="3" max="3"/>
    <col width="20" customWidth="1" style="64" min="4" max="4"/>
    <col width="22.13" customWidth="1" style="64" min="5" max="5"/>
    <col width="22.25" customWidth="1" style="64" min="6" max="6"/>
    <col width="16" customWidth="1" style="64" min="7" max="7"/>
    <col width="18.38" customWidth="1" style="64" min="8" max="8"/>
    <col width="22.88" customWidth="1" style="64" min="9" max="9"/>
    <col width="14" customWidth="1" style="64" min="10" max="10"/>
    <col width="14" customWidth="1" style="64" min="11" max="11"/>
    <col width="14" customWidth="1" style="64" min="12" max="12"/>
    <col width="14" customWidth="1" style="64" min="13" max="13"/>
    <col width="14" customWidth="1" style="64" min="14" max="14"/>
    <col width="14" customWidth="1" style="64" min="15" max="15"/>
    <col width="14" customWidth="1" style="64" min="16" max="16"/>
    <col width="14" customWidth="1" style="64" min="17" max="17"/>
    <col width="14" customWidth="1" style="64" min="18" max="18"/>
  </cols>
  <sheetData>
    <row r="1">
      <c r="A1" s="21" t="inlineStr">
        <is>
          <t>WeekKey</t>
        </is>
      </c>
      <c r="B1" s="22" t="inlineStr">
        <is>
          <t>MemberID</t>
        </is>
      </c>
      <c r="C1" s="22" t="inlineStr">
        <is>
          <t>RoutineXPRaw</t>
        </is>
      </c>
      <c r="D1" s="22" t="inlineStr">
        <is>
          <t>MilestoneXPRaw</t>
        </is>
      </c>
      <c r="E1" s="22" t="inlineStr">
        <is>
          <t>RoutineXPCounted</t>
        </is>
      </c>
      <c r="F1" s="22" t="inlineStr">
        <is>
          <t>OverCapRoutineXP</t>
        </is>
      </c>
      <c r="G1" s="22" t="inlineStr">
        <is>
          <t>TotalXPWeek</t>
        </is>
      </c>
      <c r="H1" s="22" t="inlineStr">
        <is>
          <t>CoinsRawWeek</t>
        </is>
      </c>
      <c r="I1" s="23" t="inlineStr">
        <is>
          <t>CoinsCountedWeek</t>
        </is>
      </c>
      <c r="J1" s="56" t="n"/>
      <c r="K1" s="56" t="n"/>
      <c r="L1" s="56" t="n"/>
      <c r="M1" s="56" t="n"/>
      <c r="N1" s="56" t="n"/>
      <c r="O1" s="56" t="n"/>
      <c r="P1" s="56" t="n"/>
      <c r="Q1" s="56" t="n"/>
      <c r="R1" s="56" t="n"/>
    </row>
    <row r="2">
      <c r="A2" s="25">
        <f>IFERROR(SORT(UNIQUE(FILTER({QuickLog!O2:O1000,QuickLog!B2:B1000},QuickLog!O2:O1000&lt;&gt;"",QuickLog!B2:B1000&lt;&gt;""))),"")</f>
        <v/>
      </c>
      <c r="B2" s="27" t="n"/>
      <c r="C2" s="27">
        <f>IF(OR($A2="",$B2=""),"",SUMIFS(QuickLog!$K$2:$K$1000,QuickLog!$B$2:$B$1000,$B2,QuickLog!$O$2:$O$1000,$A2,QuickLog!$G$2:$G$1000,"Routine"))</f>
        <v/>
      </c>
      <c r="D2" s="27">
        <f>IF(OR($A2="",$B2=""),"",SUMIFS(QuickLog!$K$2:$K$1000,QuickLog!$B$2:$B$1000,$B2,QuickLog!$O$2:$O$1000,$A2,QuickLog!$G$2:$G$1000,"&lt;&gt;Routine"))</f>
        <v/>
      </c>
      <c r="E2" s="27">
        <f>IF($C2="","",MIN($C2,Settings!$B$2))</f>
        <v/>
      </c>
      <c r="F2" s="27">
        <f>IF($C2="","",MAX(0,$C2-$E2))</f>
        <v/>
      </c>
      <c r="G2" s="27">
        <f>IF(OR($E2="",$D2=""),"", $E2+$D2)</f>
        <v/>
      </c>
      <c r="H2" s="27">
        <f>IF(OR($A2="",$B2=""),"",SUMIFS(QuickLog!$L$2:$L$1000,QuickLog!$B$2:$B$1000,$B2,QuickLog!$O$2:$O$1000,$A2))</f>
        <v/>
      </c>
      <c r="I2" s="28">
        <f>IF($H2="","",$H2)</f>
        <v/>
      </c>
    </row>
    <row r="3">
      <c r="A3" s="29" t="n"/>
      <c r="B3" s="31" t="n"/>
      <c r="C3" s="31">
        <f>IF(OR($A3="",$B3=""),"",SUMIFS(QuickLog!$K$2:$K$1000,QuickLog!$B$2:$B$1000,$B3,QuickLog!$O$2:$O$1000,$A3,QuickLog!$G$2:$G$1000,"Routine"))</f>
        <v/>
      </c>
      <c r="D3" s="31">
        <f>IF(OR($A3="",$B3=""),"",SUMIFS(QuickLog!$K$2:$K$1000,QuickLog!$B$2:$B$1000,$B3,QuickLog!$O$2:$O$1000,$A3,QuickLog!$G$2:$G$1000,"&lt;&gt;Routine"))</f>
        <v/>
      </c>
      <c r="E3" s="31">
        <f>IF($C3="","",MIN($C3,Settings!$B$2))</f>
        <v/>
      </c>
      <c r="F3" s="31">
        <f>IF($C3="","",MAX(0,$C3-$E3))</f>
        <v/>
      </c>
      <c r="G3" s="31">
        <f>IF(OR($E3="",$D3=""),"", $E3+$D3)</f>
        <v/>
      </c>
      <c r="H3" s="31">
        <f>IF(OR($A3="",$B3=""),"",SUMIFS(QuickLog!$L$2:$L$1000,QuickLog!$B$2:$B$1000,$B3,QuickLog!$O$2:$O$1000,$A3))</f>
        <v/>
      </c>
      <c r="I3" s="32">
        <f>IF($H3="","",$H3)</f>
        <v/>
      </c>
    </row>
    <row r="4">
      <c r="A4" s="29" t="n"/>
      <c r="B4" s="31" t="n"/>
      <c r="C4" s="31">
        <f>IF(OR($A4="",$B4=""),"",SUMIFS(QuickLog!$K$2:$K$1000,QuickLog!$B$2:$B$1000,$B4,QuickLog!$O$2:$O$1000,$A4,QuickLog!$G$2:$G$1000,"Routine"))</f>
        <v/>
      </c>
      <c r="D4" s="31">
        <f>IF(OR($A4="",$B4=""),"",SUMIFS(QuickLog!$K$2:$K$1000,QuickLog!$B$2:$B$1000,$B4,QuickLog!$O$2:$O$1000,$A4,QuickLog!$G$2:$G$1000,"&lt;&gt;Routine"))</f>
        <v/>
      </c>
      <c r="E4" s="31">
        <f>IF($C4="","",MIN($C4,Settings!$B$2))</f>
        <v/>
      </c>
      <c r="F4" s="31">
        <f>IF($C4="","",MAX(0,$C4-$E4))</f>
        <v/>
      </c>
      <c r="G4" s="31">
        <f>IF(OR($E4="",$D4=""),"", $E4+$D4)</f>
        <v/>
      </c>
      <c r="H4" s="31">
        <f>IF(OR($A4="",$B4=""),"",SUMIFS(QuickLog!$L$2:$L$1000,QuickLog!$B$2:$B$1000,$B4,QuickLog!$O$2:$O$1000,$A4))</f>
        <v/>
      </c>
      <c r="I4" s="32">
        <f>IF($H4="","",$H4)</f>
        <v/>
      </c>
    </row>
    <row r="5">
      <c r="A5" s="29" t="n"/>
      <c r="B5" s="31" t="n"/>
      <c r="C5" s="31">
        <f>IF(OR($A5="",$B5=""),"",SUMIFS(QuickLog!$K$2:$K$1000,QuickLog!$B$2:$B$1000,$B5,QuickLog!$O$2:$O$1000,$A5,QuickLog!$G$2:$G$1000,"Routine"))</f>
        <v/>
      </c>
      <c r="D5" s="31">
        <f>IF(OR($A5="",$B5=""),"",SUMIFS(QuickLog!$K$2:$K$1000,QuickLog!$B$2:$B$1000,$B5,QuickLog!$O$2:$O$1000,$A5,QuickLog!$G$2:$G$1000,"&lt;&gt;Routine"))</f>
        <v/>
      </c>
      <c r="E5" s="31">
        <f>IF($C5="","",MIN($C5,Settings!$B$2))</f>
        <v/>
      </c>
      <c r="F5" s="31">
        <f>IF($C5="","",MAX(0,$C5-$E5))</f>
        <v/>
      </c>
      <c r="G5" s="31">
        <f>IF(OR($E5="",$D5=""),"", $E5+$D5)</f>
        <v/>
      </c>
      <c r="H5" s="31">
        <f>IF(OR($A5="",$B5=""),"",SUMIFS(QuickLog!$L$2:$L$1000,QuickLog!$B$2:$B$1000,$B5,QuickLog!$O$2:$O$1000,$A5))</f>
        <v/>
      </c>
      <c r="I5" s="32">
        <f>IF($H5="","",$H5)</f>
        <v/>
      </c>
    </row>
    <row r="6">
      <c r="A6" s="29" t="n"/>
      <c r="B6" s="31" t="n"/>
      <c r="C6" s="31">
        <f>IF(OR($A6="",$B6=""),"",SUMIFS(QuickLog!$K$2:$K$1000,QuickLog!$B$2:$B$1000,$B6,QuickLog!$O$2:$O$1000,$A6,QuickLog!$G$2:$G$1000,"Routine"))</f>
        <v/>
      </c>
      <c r="D6" s="31">
        <f>IF(OR($A6="",$B6=""),"",SUMIFS(QuickLog!$K$2:$K$1000,QuickLog!$B$2:$B$1000,$B6,QuickLog!$O$2:$O$1000,$A6,QuickLog!$G$2:$G$1000,"&lt;&gt;Routine"))</f>
        <v/>
      </c>
      <c r="E6" s="31">
        <f>IF($C6="","",MIN($C6,Settings!$B$2))</f>
        <v/>
      </c>
      <c r="F6" s="31">
        <f>IF($C6="","",MAX(0,$C6-$E6))</f>
        <v/>
      </c>
      <c r="G6" s="31">
        <f>IF(OR($E6="",$D6=""),"", $E6+$D6)</f>
        <v/>
      </c>
      <c r="H6" s="31">
        <f>IF(OR($A6="",$B6=""),"",SUMIFS(QuickLog!$L$2:$L$1000,QuickLog!$B$2:$B$1000,$B6,QuickLog!$O$2:$O$1000,$A6))</f>
        <v/>
      </c>
      <c r="I6" s="32">
        <f>IF($H6="","",$H6)</f>
        <v/>
      </c>
    </row>
    <row r="7">
      <c r="A7" s="29" t="n"/>
      <c r="B7" s="31" t="n"/>
      <c r="C7" s="31">
        <f>IF(OR($A7="",$B7=""),"",SUMIFS(QuickLog!$K$2:$K$1000,QuickLog!$B$2:$B$1000,$B7,QuickLog!$O$2:$O$1000,$A7,QuickLog!$G$2:$G$1000,"Routine"))</f>
        <v/>
      </c>
      <c r="D7" s="31">
        <f>IF(OR($A7="",$B7=""),"",SUMIFS(QuickLog!$K$2:$K$1000,QuickLog!$B$2:$B$1000,$B7,QuickLog!$O$2:$O$1000,$A7,QuickLog!$G$2:$G$1000,"&lt;&gt;Routine"))</f>
        <v/>
      </c>
      <c r="E7" s="31">
        <f>IF($C7="","",MIN($C7,Settings!$B$2))</f>
        <v/>
      </c>
      <c r="F7" s="31">
        <f>IF($C7="","",MAX(0,$C7-$E7))</f>
        <v/>
      </c>
      <c r="G7" s="31">
        <f>IF(OR($E7="",$D7=""),"", $E7+$D7)</f>
        <v/>
      </c>
      <c r="H7" s="31">
        <f>IF(OR($A7="",$B7=""),"",SUMIFS(QuickLog!$L$2:$L$1000,QuickLog!$B$2:$B$1000,$B7,QuickLog!$O$2:$O$1000,$A7))</f>
        <v/>
      </c>
      <c r="I7" s="32">
        <f>IF($H7="","",$H7)</f>
        <v/>
      </c>
    </row>
    <row r="8">
      <c r="A8" s="29" t="n"/>
      <c r="B8" s="31" t="n"/>
      <c r="C8" s="31">
        <f>IF(OR($A8="",$B8=""),"",SUMIFS(QuickLog!$K$2:$K$1000,QuickLog!$B$2:$B$1000,$B8,QuickLog!$O$2:$O$1000,$A8,QuickLog!$G$2:$G$1000,"Routine"))</f>
        <v/>
      </c>
      <c r="D8" s="31">
        <f>IF(OR($A8="",$B8=""),"",SUMIFS(QuickLog!$K$2:$K$1000,QuickLog!$B$2:$B$1000,$B8,QuickLog!$O$2:$O$1000,$A8,QuickLog!$G$2:$G$1000,"&lt;&gt;Routine"))</f>
        <v/>
      </c>
      <c r="E8" s="31">
        <f>IF($C8="","",MIN($C8,Settings!$B$2))</f>
        <v/>
      </c>
      <c r="F8" s="31">
        <f>IF($C8="","",MAX(0,$C8-$E8))</f>
        <v/>
      </c>
      <c r="G8" s="31">
        <f>IF(OR($E8="",$D8=""),"", $E8+$D8)</f>
        <v/>
      </c>
      <c r="H8" s="31">
        <f>IF(OR($A8="",$B8=""),"",SUMIFS(QuickLog!$L$2:$L$1000,QuickLog!$B$2:$B$1000,$B8,QuickLog!$O$2:$O$1000,$A8))</f>
        <v/>
      </c>
      <c r="I8" s="32">
        <f>IF($H8="","",$H8)</f>
        <v/>
      </c>
    </row>
    <row r="9">
      <c r="A9" s="29" t="n"/>
      <c r="B9" s="31" t="n"/>
      <c r="C9" s="31">
        <f>IF(OR($A9="",$B9=""),"",SUMIFS(QuickLog!$K$2:$K$1000,QuickLog!$B$2:$B$1000,$B9,QuickLog!$O$2:$O$1000,$A9,QuickLog!$G$2:$G$1000,"Routine"))</f>
        <v/>
      </c>
      <c r="D9" s="31">
        <f>IF(OR($A9="",$B9=""),"",SUMIFS(QuickLog!$K$2:$K$1000,QuickLog!$B$2:$B$1000,$B9,QuickLog!$O$2:$O$1000,$A9,QuickLog!$G$2:$G$1000,"&lt;&gt;Routine"))</f>
        <v/>
      </c>
      <c r="E9" s="31">
        <f>IF($C9="","",MIN($C9,Settings!$B$2))</f>
        <v/>
      </c>
      <c r="F9" s="31">
        <f>IF($C9="","",MAX(0,$C9-$E9))</f>
        <v/>
      </c>
      <c r="G9" s="31">
        <f>IF(OR($E9="",$D9=""),"", $E9+$D9)</f>
        <v/>
      </c>
      <c r="H9" s="31">
        <f>IF(OR($A9="",$B9=""),"",SUMIFS(QuickLog!$L$2:$L$1000,QuickLog!$B$2:$B$1000,$B9,QuickLog!$O$2:$O$1000,$A9))</f>
        <v/>
      </c>
      <c r="I9" s="32">
        <f>IF($H9="","",$H9)</f>
        <v/>
      </c>
    </row>
    <row r="10">
      <c r="A10" s="29" t="n"/>
      <c r="B10" s="31" t="n"/>
      <c r="C10" s="31">
        <f>IF(OR($A10="",$B10=""),"",SUMIFS(QuickLog!$K$2:$K$1000,QuickLog!$B$2:$B$1000,$B10,QuickLog!$O$2:$O$1000,$A10,QuickLog!$G$2:$G$1000,"Routine"))</f>
        <v/>
      </c>
      <c r="D10" s="31">
        <f>IF(OR($A10="",$B10=""),"",SUMIFS(QuickLog!$K$2:$K$1000,QuickLog!$B$2:$B$1000,$B10,QuickLog!$O$2:$O$1000,$A10,QuickLog!$G$2:$G$1000,"&lt;&gt;Routine"))</f>
        <v/>
      </c>
      <c r="E10" s="31">
        <f>IF($C10="","",MIN($C10,Settings!$B$2))</f>
        <v/>
      </c>
      <c r="F10" s="31">
        <f>IF($C10="","",MAX(0,$C10-$E10))</f>
        <v/>
      </c>
      <c r="G10" s="31">
        <f>IF(OR($E10="",$D10=""),"", $E10+$D10)</f>
        <v/>
      </c>
      <c r="H10" s="31">
        <f>IF(OR($A10="",$B10=""),"",SUMIFS(QuickLog!$L$2:$L$1000,QuickLog!$B$2:$B$1000,$B10,QuickLog!$O$2:$O$1000,$A10))</f>
        <v/>
      </c>
      <c r="I10" s="32">
        <f>IF($H10="","",$H10)</f>
        <v/>
      </c>
    </row>
    <row r="11">
      <c r="A11" s="29" t="n"/>
      <c r="B11" s="31" t="n"/>
      <c r="C11" s="31">
        <f>IF(OR($A11="",$B11=""),"",SUMIFS(QuickLog!$K$2:$K$1000,QuickLog!$B$2:$B$1000,$B11,QuickLog!$O$2:$O$1000,$A11,QuickLog!$G$2:$G$1000,"Routine"))</f>
        <v/>
      </c>
      <c r="D11" s="31">
        <f>IF(OR($A11="",$B11=""),"",SUMIFS(QuickLog!$K$2:$K$1000,QuickLog!$B$2:$B$1000,$B11,QuickLog!$O$2:$O$1000,$A11,QuickLog!$G$2:$G$1000,"&lt;&gt;Routine"))</f>
        <v/>
      </c>
      <c r="E11" s="31">
        <f>IF($C11="","",MIN($C11,Settings!$B$2))</f>
        <v/>
      </c>
      <c r="F11" s="31">
        <f>IF($C11="","",MAX(0,$C11-$E11))</f>
        <v/>
      </c>
      <c r="G11" s="31">
        <f>IF(OR($E11="",$D11=""),"", $E11+$D11)</f>
        <v/>
      </c>
      <c r="H11" s="31">
        <f>IF(OR($A11="",$B11=""),"",SUMIFS(QuickLog!$L$2:$L$1000,QuickLog!$B$2:$B$1000,$B11,QuickLog!$O$2:$O$1000,$A11))</f>
        <v/>
      </c>
      <c r="I11" s="32">
        <f>IF($H11="","",$H11)</f>
        <v/>
      </c>
    </row>
    <row r="12">
      <c r="A12" s="29" t="n"/>
      <c r="B12" s="31" t="n"/>
      <c r="C12" s="31">
        <f>IF(OR($A12="",$B12=""),"",SUMIFS(QuickLog!$K$2:$K$1000,QuickLog!$B$2:$B$1000,$B12,QuickLog!$O$2:$O$1000,$A12,QuickLog!$G$2:$G$1000,"Routine"))</f>
        <v/>
      </c>
      <c r="D12" s="31">
        <f>IF(OR($A12="",$B12=""),"",SUMIFS(QuickLog!$K$2:$K$1000,QuickLog!$B$2:$B$1000,$B12,QuickLog!$O$2:$O$1000,$A12,QuickLog!$G$2:$G$1000,"&lt;&gt;Routine"))</f>
        <v/>
      </c>
      <c r="E12" s="31">
        <f>IF($C12="","",MIN($C12,Settings!$B$2))</f>
        <v/>
      </c>
      <c r="F12" s="31">
        <f>IF($C12="","",MAX(0,$C12-$E12))</f>
        <v/>
      </c>
      <c r="G12" s="31">
        <f>IF(OR($E12="",$D12=""),"", $E12+$D12)</f>
        <v/>
      </c>
      <c r="H12" s="31">
        <f>IF(OR($A12="",$B12=""),"",SUMIFS(QuickLog!$L$2:$L$1000,QuickLog!$B$2:$B$1000,$B12,QuickLog!$O$2:$O$1000,$A12))</f>
        <v/>
      </c>
      <c r="I12" s="32">
        <f>IF($H12="","",$H12)</f>
        <v/>
      </c>
    </row>
    <row r="13">
      <c r="A13" s="29" t="n"/>
      <c r="B13" s="31" t="n"/>
      <c r="C13" s="31">
        <f>IF(OR($A13="",$B13=""),"",SUMIFS(QuickLog!$K$2:$K$1000,QuickLog!$B$2:$B$1000,$B13,QuickLog!$O$2:$O$1000,$A13,QuickLog!$G$2:$G$1000,"Routine"))</f>
        <v/>
      </c>
      <c r="D13" s="31">
        <f>IF(OR($A13="",$B13=""),"",SUMIFS(QuickLog!$K$2:$K$1000,QuickLog!$B$2:$B$1000,$B13,QuickLog!$O$2:$O$1000,$A13,QuickLog!$G$2:$G$1000,"&lt;&gt;Routine"))</f>
        <v/>
      </c>
      <c r="E13" s="31">
        <f>IF($C13="","",MIN($C13,Settings!$B$2))</f>
        <v/>
      </c>
      <c r="F13" s="31">
        <f>IF($C13="","",MAX(0,$C13-$E13))</f>
        <v/>
      </c>
      <c r="G13" s="31">
        <f>IF(OR($E13="",$D13=""),"", $E13+$D13)</f>
        <v/>
      </c>
      <c r="H13" s="31">
        <f>IF(OR($A13="",$B13=""),"",SUMIFS(QuickLog!$L$2:$L$1000,QuickLog!$B$2:$B$1000,$B13,QuickLog!$O$2:$O$1000,$A13))</f>
        <v/>
      </c>
      <c r="I13" s="32">
        <f>IF($H13="","",$H13)</f>
        <v/>
      </c>
    </row>
    <row r="14">
      <c r="A14" s="29" t="n"/>
      <c r="B14" s="31" t="n"/>
      <c r="C14" s="31">
        <f>IF(OR($A14="",$B14=""),"",SUMIFS(QuickLog!$K$2:$K$1000,QuickLog!$B$2:$B$1000,$B14,QuickLog!$O$2:$O$1000,$A14,QuickLog!$G$2:$G$1000,"Routine"))</f>
        <v/>
      </c>
      <c r="D14" s="31">
        <f>IF(OR($A14="",$B14=""),"",SUMIFS(QuickLog!$K$2:$K$1000,QuickLog!$B$2:$B$1000,$B14,QuickLog!$O$2:$O$1000,$A14,QuickLog!$G$2:$G$1000,"&lt;&gt;Routine"))</f>
        <v/>
      </c>
      <c r="E14" s="31">
        <f>IF($C14="","",MIN($C14,Settings!$B$2))</f>
        <v/>
      </c>
      <c r="F14" s="31">
        <f>IF($C14="","",MAX(0,$C14-$E14))</f>
        <v/>
      </c>
      <c r="G14" s="31">
        <f>IF(OR($E14="",$D14=""),"", $E14+$D14)</f>
        <v/>
      </c>
      <c r="H14" s="31">
        <f>IF(OR($A14="",$B14=""),"",SUMIFS(QuickLog!$L$2:$L$1000,QuickLog!$B$2:$B$1000,$B14,QuickLog!$O$2:$O$1000,$A14))</f>
        <v/>
      </c>
      <c r="I14" s="32">
        <f>IF($H14="","",$H14)</f>
        <v/>
      </c>
    </row>
    <row r="15">
      <c r="A15" s="29" t="n"/>
      <c r="B15" s="31" t="n"/>
      <c r="C15" s="31">
        <f>IF(OR($A15="",$B15=""),"",SUMIFS(QuickLog!$K$2:$K$1000,QuickLog!$B$2:$B$1000,$B15,QuickLog!$O$2:$O$1000,$A15,QuickLog!$G$2:$G$1000,"Routine"))</f>
        <v/>
      </c>
      <c r="D15" s="31">
        <f>IF(OR($A15="",$B15=""),"",SUMIFS(QuickLog!$K$2:$K$1000,QuickLog!$B$2:$B$1000,$B15,QuickLog!$O$2:$O$1000,$A15,QuickLog!$G$2:$G$1000,"&lt;&gt;Routine"))</f>
        <v/>
      </c>
      <c r="E15" s="31">
        <f>IF($C15="","",MIN($C15,Settings!$B$2))</f>
        <v/>
      </c>
      <c r="F15" s="31">
        <f>IF($C15="","",MAX(0,$C15-$E15))</f>
        <v/>
      </c>
      <c r="G15" s="31">
        <f>IF(OR($E15="",$D15=""),"", $E15+$D15)</f>
        <v/>
      </c>
      <c r="H15" s="31">
        <f>IF(OR($A15="",$B15=""),"",SUMIFS(QuickLog!$L$2:$L$1000,QuickLog!$B$2:$B$1000,$B15,QuickLog!$O$2:$O$1000,$A15))</f>
        <v/>
      </c>
      <c r="I15" s="32">
        <f>IF($H15="","",$H15)</f>
        <v/>
      </c>
    </row>
    <row r="16">
      <c r="A16" s="29" t="n"/>
      <c r="B16" s="31" t="n"/>
      <c r="C16" s="31">
        <f>IF(OR($A16="",$B16=""),"",SUMIFS(QuickLog!$K$2:$K$1000,QuickLog!$B$2:$B$1000,$B16,QuickLog!$O$2:$O$1000,$A16,QuickLog!$G$2:$G$1000,"Routine"))</f>
        <v/>
      </c>
      <c r="D16" s="31">
        <f>IF(OR($A16="",$B16=""),"",SUMIFS(QuickLog!$K$2:$K$1000,QuickLog!$B$2:$B$1000,$B16,QuickLog!$O$2:$O$1000,$A16,QuickLog!$G$2:$G$1000,"&lt;&gt;Routine"))</f>
        <v/>
      </c>
      <c r="E16" s="31">
        <f>IF($C16="","",MIN($C16,Settings!$B$2))</f>
        <v/>
      </c>
      <c r="F16" s="31">
        <f>IF($C16="","",MAX(0,$C16-$E16))</f>
        <v/>
      </c>
      <c r="G16" s="31">
        <f>IF(OR($E16="",$D16=""),"", $E16+$D16)</f>
        <v/>
      </c>
      <c r="H16" s="31">
        <f>IF(OR($A16="",$B16=""),"",SUMIFS(QuickLog!$L$2:$L$1000,QuickLog!$B$2:$B$1000,$B16,QuickLog!$O$2:$O$1000,$A16))</f>
        <v/>
      </c>
      <c r="I16" s="32">
        <f>IF($H16="","",$H16)</f>
        <v/>
      </c>
    </row>
    <row r="17">
      <c r="A17" s="29" t="n"/>
      <c r="B17" s="31" t="n"/>
      <c r="C17" s="31">
        <f>IF(OR($A17="",$B17=""),"",SUMIFS(QuickLog!$K$2:$K$1000,QuickLog!$B$2:$B$1000,$B17,QuickLog!$O$2:$O$1000,$A17,QuickLog!$G$2:$G$1000,"Routine"))</f>
        <v/>
      </c>
      <c r="D17" s="31">
        <f>IF(OR($A17="",$B17=""),"",SUMIFS(QuickLog!$K$2:$K$1000,QuickLog!$B$2:$B$1000,$B17,QuickLog!$O$2:$O$1000,$A17,QuickLog!$G$2:$G$1000,"&lt;&gt;Routine"))</f>
        <v/>
      </c>
      <c r="E17" s="31">
        <f>IF($C17="","",MIN($C17,Settings!$B$2))</f>
        <v/>
      </c>
      <c r="F17" s="31">
        <f>IF($C17="","",MAX(0,$C17-$E17))</f>
        <v/>
      </c>
      <c r="G17" s="31">
        <f>IF(OR($E17="",$D17=""),"", $E17+$D17)</f>
        <v/>
      </c>
      <c r="H17" s="31">
        <f>IF(OR($A17="",$B17=""),"",SUMIFS(QuickLog!$L$2:$L$1000,QuickLog!$B$2:$B$1000,$B17,QuickLog!$O$2:$O$1000,$A17))</f>
        <v/>
      </c>
      <c r="I17" s="32">
        <f>IF($H17="","",$H17)</f>
        <v/>
      </c>
    </row>
    <row r="18">
      <c r="A18" s="29" t="n"/>
      <c r="B18" s="31" t="n"/>
      <c r="C18" s="31">
        <f>IF(OR($A18="",$B18=""),"",SUMIFS(QuickLog!$K$2:$K$1000,QuickLog!$B$2:$B$1000,$B18,QuickLog!$O$2:$O$1000,$A18,QuickLog!$G$2:$G$1000,"Routine"))</f>
        <v/>
      </c>
      <c r="D18" s="31">
        <f>IF(OR($A18="",$B18=""),"",SUMIFS(QuickLog!$K$2:$K$1000,QuickLog!$B$2:$B$1000,$B18,QuickLog!$O$2:$O$1000,$A18,QuickLog!$G$2:$G$1000,"&lt;&gt;Routine"))</f>
        <v/>
      </c>
      <c r="E18" s="31">
        <f>IF($C18="","",MIN($C18,Settings!$B$2))</f>
        <v/>
      </c>
      <c r="F18" s="31">
        <f>IF($C18="","",MAX(0,$C18-$E18))</f>
        <v/>
      </c>
      <c r="G18" s="31">
        <f>IF(OR($E18="",$D18=""),"", $E18+$D18)</f>
        <v/>
      </c>
      <c r="H18" s="31">
        <f>IF(OR($A18="",$B18=""),"",SUMIFS(QuickLog!$L$2:$L$1000,QuickLog!$B$2:$B$1000,$B18,QuickLog!$O$2:$O$1000,$A18))</f>
        <v/>
      </c>
      <c r="I18" s="32">
        <f>IF($H18="","",$H18)</f>
        <v/>
      </c>
    </row>
    <row r="19">
      <c r="A19" s="29" t="n"/>
      <c r="B19" s="31" t="n"/>
      <c r="C19" s="31">
        <f>IF(OR($A19="",$B19=""),"",SUMIFS(QuickLog!$K$2:$K$1000,QuickLog!$B$2:$B$1000,$B19,QuickLog!$O$2:$O$1000,$A19,QuickLog!$G$2:$G$1000,"Routine"))</f>
        <v/>
      </c>
      <c r="D19" s="31">
        <f>IF(OR($A19="",$B19=""),"",SUMIFS(QuickLog!$K$2:$K$1000,QuickLog!$B$2:$B$1000,$B19,QuickLog!$O$2:$O$1000,$A19,QuickLog!$G$2:$G$1000,"&lt;&gt;Routine"))</f>
        <v/>
      </c>
      <c r="E19" s="31">
        <f>IF($C19="","",MIN($C19,Settings!$B$2))</f>
        <v/>
      </c>
      <c r="F19" s="31">
        <f>IF($C19="","",MAX(0,$C19-$E19))</f>
        <v/>
      </c>
      <c r="G19" s="31">
        <f>IF(OR($E19="",$D19=""),"", $E19+$D19)</f>
        <v/>
      </c>
      <c r="H19" s="31">
        <f>IF(OR($A19="",$B19=""),"",SUMIFS(QuickLog!$L$2:$L$1000,QuickLog!$B$2:$B$1000,$B19,QuickLog!$O$2:$O$1000,$A19))</f>
        <v/>
      </c>
      <c r="I19" s="32">
        <f>IF($H19="","",$H19)</f>
        <v/>
      </c>
    </row>
    <row r="20">
      <c r="A20" s="29" t="n"/>
      <c r="B20" s="31" t="n"/>
      <c r="C20" s="31">
        <f>IF(OR($A20="",$B20=""),"",SUMIFS(QuickLog!$K$2:$K$1000,QuickLog!$B$2:$B$1000,$B20,QuickLog!$O$2:$O$1000,$A20,QuickLog!$G$2:$G$1000,"Routine"))</f>
        <v/>
      </c>
      <c r="D20" s="31">
        <f>IF(OR($A20="",$B20=""),"",SUMIFS(QuickLog!$K$2:$K$1000,QuickLog!$B$2:$B$1000,$B20,QuickLog!$O$2:$O$1000,$A20,QuickLog!$G$2:$G$1000,"&lt;&gt;Routine"))</f>
        <v/>
      </c>
      <c r="E20" s="31">
        <f>IF($C20="","",MIN($C20,Settings!$B$2))</f>
        <v/>
      </c>
      <c r="F20" s="31">
        <f>IF($C20="","",MAX(0,$C20-$E20))</f>
        <v/>
      </c>
      <c r="G20" s="31">
        <f>IF(OR($E20="",$D20=""),"", $E20+$D20)</f>
        <v/>
      </c>
      <c r="H20" s="31">
        <f>IF(OR($A20="",$B20=""),"",SUMIFS(QuickLog!$L$2:$L$1000,QuickLog!$B$2:$B$1000,$B20,QuickLog!$O$2:$O$1000,$A20))</f>
        <v/>
      </c>
      <c r="I20" s="32">
        <f>IF($H20="","",$H20)</f>
        <v/>
      </c>
    </row>
    <row r="21">
      <c r="A21" s="29" t="n"/>
      <c r="B21" s="31" t="n"/>
      <c r="C21" s="31">
        <f>IF(OR($A21="",$B21=""),"",SUMIFS(QuickLog!$K$2:$K$1000,QuickLog!$B$2:$B$1000,$B21,QuickLog!$O$2:$O$1000,$A21,QuickLog!$G$2:$G$1000,"Routine"))</f>
        <v/>
      </c>
      <c r="D21" s="31">
        <f>IF(OR($A21="",$B21=""),"",SUMIFS(QuickLog!$K$2:$K$1000,QuickLog!$B$2:$B$1000,$B21,QuickLog!$O$2:$O$1000,$A21,QuickLog!$G$2:$G$1000,"&lt;&gt;Routine"))</f>
        <v/>
      </c>
      <c r="E21" s="31">
        <f>IF($C21="","",MIN($C21,Settings!$B$2))</f>
        <v/>
      </c>
      <c r="F21" s="31">
        <f>IF($C21="","",MAX(0,$C21-$E21))</f>
        <v/>
      </c>
      <c r="G21" s="31">
        <f>IF(OR($E21="",$D21=""),"", $E21+$D21)</f>
        <v/>
      </c>
      <c r="H21" s="31">
        <f>IF(OR($A21="",$B21=""),"",SUMIFS(QuickLog!$L$2:$L$1000,QuickLog!$B$2:$B$1000,$B21,QuickLog!$O$2:$O$1000,$A21))</f>
        <v/>
      </c>
      <c r="I21" s="32">
        <f>IF($H21="","",$H21)</f>
        <v/>
      </c>
    </row>
    <row r="22">
      <c r="A22" s="29" t="n"/>
      <c r="B22" s="31" t="n"/>
      <c r="C22" s="31">
        <f>IF(OR($A22="",$B22=""),"",SUMIFS(QuickLog!$K$2:$K$1000,QuickLog!$B$2:$B$1000,$B22,QuickLog!$O$2:$O$1000,$A22,QuickLog!$G$2:$G$1000,"Routine"))</f>
        <v/>
      </c>
      <c r="D22" s="31">
        <f>IF(OR($A22="",$B22=""),"",SUMIFS(QuickLog!$K$2:$K$1000,QuickLog!$B$2:$B$1000,$B22,QuickLog!$O$2:$O$1000,$A22,QuickLog!$G$2:$G$1000,"&lt;&gt;Routine"))</f>
        <v/>
      </c>
      <c r="E22" s="31">
        <f>IF($C22="","",MIN($C22,Settings!$B$2))</f>
        <v/>
      </c>
      <c r="F22" s="31">
        <f>IF($C22="","",MAX(0,$C22-$E22))</f>
        <v/>
      </c>
      <c r="G22" s="31">
        <f>IF(OR($E22="",$D22=""),"", $E22+$D22)</f>
        <v/>
      </c>
      <c r="H22" s="31">
        <f>IF(OR($A22="",$B22=""),"",SUMIFS(QuickLog!$L$2:$L$1000,QuickLog!$B$2:$B$1000,$B22,QuickLog!$O$2:$O$1000,$A22))</f>
        <v/>
      </c>
      <c r="I22" s="32">
        <f>IF($H22="","",$H22)</f>
        <v/>
      </c>
    </row>
    <row r="23">
      <c r="A23" s="29" t="n"/>
      <c r="B23" s="31" t="n"/>
      <c r="C23" s="31">
        <f>IF(OR($A23="",$B23=""),"",SUMIFS(QuickLog!$K$2:$K$1000,QuickLog!$B$2:$B$1000,$B23,QuickLog!$O$2:$O$1000,$A23,QuickLog!$G$2:$G$1000,"Routine"))</f>
        <v/>
      </c>
      <c r="D23" s="31">
        <f>IF(OR($A23="",$B23=""),"",SUMIFS(QuickLog!$K$2:$K$1000,QuickLog!$B$2:$B$1000,$B23,QuickLog!$O$2:$O$1000,$A23,QuickLog!$G$2:$G$1000,"&lt;&gt;Routine"))</f>
        <v/>
      </c>
      <c r="E23" s="31">
        <f>IF($C23="","",MIN($C23,Settings!$B$2))</f>
        <v/>
      </c>
      <c r="F23" s="31">
        <f>IF($C23="","",MAX(0,$C23-$E23))</f>
        <v/>
      </c>
      <c r="G23" s="31">
        <f>IF(OR($E23="",$D23=""),"", $E23+$D23)</f>
        <v/>
      </c>
      <c r="H23" s="31">
        <f>IF(OR($A23="",$B23=""),"",SUMIFS(QuickLog!$L$2:$L$1000,QuickLog!$B$2:$B$1000,$B23,QuickLog!$O$2:$O$1000,$A23))</f>
        <v/>
      </c>
      <c r="I23" s="32">
        <f>IF($H23="","",$H23)</f>
        <v/>
      </c>
    </row>
    <row r="24">
      <c r="A24" s="29" t="n"/>
      <c r="B24" s="31" t="n"/>
      <c r="C24" s="31">
        <f>IF(OR($A24="",$B24=""),"",SUMIFS(QuickLog!$K$2:$K$1000,QuickLog!$B$2:$B$1000,$B24,QuickLog!$O$2:$O$1000,$A24,QuickLog!$G$2:$G$1000,"Routine"))</f>
        <v/>
      </c>
      <c r="D24" s="31">
        <f>IF(OR($A24="",$B24=""),"",SUMIFS(QuickLog!$K$2:$K$1000,QuickLog!$B$2:$B$1000,$B24,QuickLog!$O$2:$O$1000,$A24,QuickLog!$G$2:$G$1000,"&lt;&gt;Routine"))</f>
        <v/>
      </c>
      <c r="E24" s="31">
        <f>IF($C24="","",MIN($C24,Settings!$B$2))</f>
        <v/>
      </c>
      <c r="F24" s="31">
        <f>IF($C24="","",MAX(0,$C24-$E24))</f>
        <v/>
      </c>
      <c r="G24" s="31">
        <f>IF(OR($E24="",$D24=""),"", $E24+$D24)</f>
        <v/>
      </c>
      <c r="H24" s="31">
        <f>IF(OR($A24="",$B24=""),"",SUMIFS(QuickLog!$L$2:$L$1000,QuickLog!$B$2:$B$1000,$B24,QuickLog!$O$2:$O$1000,$A24))</f>
        <v/>
      </c>
      <c r="I24" s="32">
        <f>IF($H24="","",$H24)</f>
        <v/>
      </c>
    </row>
    <row r="25">
      <c r="A25" s="29" t="n"/>
      <c r="B25" s="31" t="n"/>
      <c r="C25" s="31">
        <f>IF(OR($A25="",$B25=""),"",SUMIFS(QuickLog!$K$2:$K$1000,QuickLog!$B$2:$B$1000,$B25,QuickLog!$O$2:$O$1000,$A25,QuickLog!$G$2:$G$1000,"Routine"))</f>
        <v/>
      </c>
      <c r="D25" s="31">
        <f>IF(OR($A25="",$B25=""),"",SUMIFS(QuickLog!$K$2:$K$1000,QuickLog!$B$2:$B$1000,$B25,QuickLog!$O$2:$O$1000,$A25,QuickLog!$G$2:$G$1000,"&lt;&gt;Routine"))</f>
        <v/>
      </c>
      <c r="E25" s="31">
        <f>IF($C25="","",MIN($C25,Settings!$B$2))</f>
        <v/>
      </c>
      <c r="F25" s="31">
        <f>IF($C25="","",MAX(0,$C25-$E25))</f>
        <v/>
      </c>
      <c r="G25" s="31">
        <f>IF(OR($E25="",$D25=""),"", $E25+$D25)</f>
        <v/>
      </c>
      <c r="H25" s="31">
        <f>IF(OR($A25="",$B25=""),"",SUMIFS(QuickLog!$L$2:$L$1000,QuickLog!$B$2:$B$1000,$B25,QuickLog!$O$2:$O$1000,$A25))</f>
        <v/>
      </c>
      <c r="I25" s="32">
        <f>IF($H25="","",$H25)</f>
        <v/>
      </c>
    </row>
    <row r="26">
      <c r="A26" s="29" t="n"/>
      <c r="B26" s="31" t="n"/>
      <c r="C26" s="31">
        <f>IF(OR($A26="",$B26=""),"",SUMIFS(QuickLog!$K$2:$K$1000,QuickLog!$B$2:$B$1000,$B26,QuickLog!$O$2:$O$1000,$A26,QuickLog!$G$2:$G$1000,"Routine"))</f>
        <v/>
      </c>
      <c r="D26" s="31">
        <f>IF(OR($A26="",$B26=""),"",SUMIFS(QuickLog!$K$2:$K$1000,QuickLog!$B$2:$B$1000,$B26,QuickLog!$O$2:$O$1000,$A26,QuickLog!$G$2:$G$1000,"&lt;&gt;Routine"))</f>
        <v/>
      </c>
      <c r="E26" s="31">
        <f>IF($C26="","",MIN($C26,Settings!$B$2))</f>
        <v/>
      </c>
      <c r="F26" s="31">
        <f>IF($C26="","",MAX(0,$C26-$E26))</f>
        <v/>
      </c>
      <c r="G26" s="31">
        <f>IF(OR($E26="",$D26=""),"", $E26+$D26)</f>
        <v/>
      </c>
      <c r="H26" s="31">
        <f>IF(OR($A26="",$B26=""),"",SUMIFS(QuickLog!$L$2:$L$1000,QuickLog!$B$2:$B$1000,$B26,QuickLog!$O$2:$O$1000,$A26))</f>
        <v/>
      </c>
      <c r="I26" s="32">
        <f>IF($H26="","",$H26)</f>
        <v/>
      </c>
    </row>
    <row r="27">
      <c r="A27" s="29" t="n"/>
      <c r="B27" s="31" t="n"/>
      <c r="C27" s="31">
        <f>IF(OR($A27="",$B27=""),"",SUMIFS(QuickLog!$K$2:$K$1000,QuickLog!$B$2:$B$1000,$B27,QuickLog!$O$2:$O$1000,$A27,QuickLog!$G$2:$G$1000,"Routine"))</f>
        <v/>
      </c>
      <c r="D27" s="31">
        <f>IF(OR($A27="",$B27=""),"",SUMIFS(QuickLog!$K$2:$K$1000,QuickLog!$B$2:$B$1000,$B27,QuickLog!$O$2:$O$1000,$A27,QuickLog!$G$2:$G$1000,"&lt;&gt;Routine"))</f>
        <v/>
      </c>
      <c r="E27" s="31">
        <f>IF($C27="","",MIN($C27,Settings!$B$2))</f>
        <v/>
      </c>
      <c r="F27" s="31">
        <f>IF($C27="","",MAX(0,$C27-$E27))</f>
        <v/>
      </c>
      <c r="G27" s="31">
        <f>IF(OR($E27="",$D27=""),"", $E27+$D27)</f>
        <v/>
      </c>
      <c r="H27" s="31">
        <f>IF(OR($A27="",$B27=""),"",SUMIFS(QuickLog!$L$2:$L$1000,QuickLog!$B$2:$B$1000,$B27,QuickLog!$O$2:$O$1000,$A27))</f>
        <v/>
      </c>
      <c r="I27" s="32">
        <f>IF($H27="","",$H27)</f>
        <v/>
      </c>
    </row>
    <row r="28">
      <c r="A28" s="29" t="n"/>
      <c r="B28" s="31" t="n"/>
      <c r="C28" s="31">
        <f>IF(OR($A28="",$B28=""),"",SUMIFS(QuickLog!$K$2:$K$1000,QuickLog!$B$2:$B$1000,$B28,QuickLog!$O$2:$O$1000,$A28,QuickLog!$G$2:$G$1000,"Routine"))</f>
        <v/>
      </c>
      <c r="D28" s="31">
        <f>IF(OR($A28="",$B28=""),"",SUMIFS(QuickLog!$K$2:$K$1000,QuickLog!$B$2:$B$1000,$B28,QuickLog!$O$2:$O$1000,$A28,QuickLog!$G$2:$G$1000,"&lt;&gt;Routine"))</f>
        <v/>
      </c>
      <c r="E28" s="31">
        <f>IF($C28="","",MIN($C28,Settings!$B$2))</f>
        <v/>
      </c>
      <c r="F28" s="31">
        <f>IF($C28="","",MAX(0,$C28-$E28))</f>
        <v/>
      </c>
      <c r="G28" s="31">
        <f>IF(OR($E28="",$D28=""),"", $E28+$D28)</f>
        <v/>
      </c>
      <c r="H28" s="31">
        <f>IF(OR($A28="",$B28=""),"",SUMIFS(QuickLog!$L$2:$L$1000,QuickLog!$B$2:$B$1000,$B28,QuickLog!$O$2:$O$1000,$A28))</f>
        <v/>
      </c>
      <c r="I28" s="32">
        <f>IF($H28="","",$H28)</f>
        <v/>
      </c>
    </row>
    <row r="29">
      <c r="A29" s="29" t="n"/>
      <c r="B29" s="31" t="n"/>
      <c r="C29" s="31">
        <f>IF(OR($A29="",$B29=""),"",SUMIFS(QuickLog!$K$2:$K$1000,QuickLog!$B$2:$B$1000,$B29,QuickLog!$O$2:$O$1000,$A29,QuickLog!$G$2:$G$1000,"Routine"))</f>
        <v/>
      </c>
      <c r="D29" s="31">
        <f>IF(OR($A29="",$B29=""),"",SUMIFS(QuickLog!$K$2:$K$1000,QuickLog!$B$2:$B$1000,$B29,QuickLog!$O$2:$O$1000,$A29,QuickLog!$G$2:$G$1000,"&lt;&gt;Routine"))</f>
        <v/>
      </c>
      <c r="E29" s="31">
        <f>IF($C29="","",MIN($C29,Settings!$B$2))</f>
        <v/>
      </c>
      <c r="F29" s="31">
        <f>IF($C29="","",MAX(0,$C29-$E29))</f>
        <v/>
      </c>
      <c r="G29" s="31">
        <f>IF(OR($E29="",$D29=""),"", $E29+$D29)</f>
        <v/>
      </c>
      <c r="H29" s="31">
        <f>IF(OR($A29="",$B29=""),"",SUMIFS(QuickLog!$L$2:$L$1000,QuickLog!$B$2:$B$1000,$B29,QuickLog!$O$2:$O$1000,$A29))</f>
        <v/>
      </c>
      <c r="I29" s="32">
        <f>IF($H29="","",$H29)</f>
        <v/>
      </c>
    </row>
    <row r="30">
      <c r="A30" s="29" t="n"/>
      <c r="B30" s="31" t="n"/>
      <c r="C30" s="31">
        <f>IF(OR($A30="",$B30=""),"",SUMIFS(QuickLog!$K$2:$K$1000,QuickLog!$B$2:$B$1000,$B30,QuickLog!$O$2:$O$1000,$A30,QuickLog!$G$2:$G$1000,"Routine"))</f>
        <v/>
      </c>
      <c r="D30" s="31">
        <f>IF(OR($A30="",$B30=""),"",SUMIFS(QuickLog!$K$2:$K$1000,QuickLog!$B$2:$B$1000,$B30,QuickLog!$O$2:$O$1000,$A30,QuickLog!$G$2:$G$1000,"&lt;&gt;Routine"))</f>
        <v/>
      </c>
      <c r="E30" s="31">
        <f>IF($C30="","",MIN($C30,Settings!$B$2))</f>
        <v/>
      </c>
      <c r="F30" s="31">
        <f>IF($C30="","",MAX(0,$C30-$E30))</f>
        <v/>
      </c>
      <c r="G30" s="31">
        <f>IF(OR($E30="",$D30=""),"", $E30+$D30)</f>
        <v/>
      </c>
      <c r="H30" s="31">
        <f>IF(OR($A30="",$B30=""),"",SUMIFS(QuickLog!$L$2:$L$1000,QuickLog!$B$2:$B$1000,$B30,QuickLog!$O$2:$O$1000,$A30))</f>
        <v/>
      </c>
      <c r="I30" s="32">
        <f>IF($H30="","",$H30)</f>
        <v/>
      </c>
    </row>
    <row r="31">
      <c r="A31" s="29" t="n"/>
      <c r="B31" s="31" t="n"/>
      <c r="C31" s="31">
        <f>IF(OR($A31="",$B31=""),"",SUMIFS(QuickLog!$K$2:$K$1000,QuickLog!$B$2:$B$1000,$B31,QuickLog!$O$2:$O$1000,$A31,QuickLog!$G$2:$G$1000,"Routine"))</f>
        <v/>
      </c>
      <c r="D31" s="31">
        <f>IF(OR($A31="",$B31=""),"",SUMIFS(QuickLog!$K$2:$K$1000,QuickLog!$B$2:$B$1000,$B31,QuickLog!$O$2:$O$1000,$A31,QuickLog!$G$2:$G$1000,"&lt;&gt;Routine"))</f>
        <v/>
      </c>
      <c r="E31" s="31">
        <f>IF($C31="","",MIN($C31,Settings!$B$2))</f>
        <v/>
      </c>
      <c r="F31" s="31">
        <f>IF($C31="","",MAX(0,$C31-$E31))</f>
        <v/>
      </c>
      <c r="G31" s="31">
        <f>IF(OR($E31="",$D31=""),"", $E31+$D31)</f>
        <v/>
      </c>
      <c r="H31" s="31">
        <f>IF(OR($A31="",$B31=""),"",SUMIFS(QuickLog!$L$2:$L$1000,QuickLog!$B$2:$B$1000,$B31,QuickLog!$O$2:$O$1000,$A31))</f>
        <v/>
      </c>
      <c r="I31" s="32">
        <f>IF($H31="","",$H31)</f>
        <v/>
      </c>
    </row>
    <row r="32">
      <c r="A32" s="29" t="n"/>
      <c r="B32" s="31" t="n"/>
      <c r="C32" s="31">
        <f>IF(OR($A32="",$B32=""),"",SUMIFS(QuickLog!$K$2:$K$1000,QuickLog!$B$2:$B$1000,$B32,QuickLog!$O$2:$O$1000,$A32,QuickLog!$G$2:$G$1000,"Routine"))</f>
        <v/>
      </c>
      <c r="D32" s="31">
        <f>IF(OR($A32="",$B32=""),"",SUMIFS(QuickLog!$K$2:$K$1000,QuickLog!$B$2:$B$1000,$B32,QuickLog!$O$2:$O$1000,$A32,QuickLog!$G$2:$G$1000,"&lt;&gt;Routine"))</f>
        <v/>
      </c>
      <c r="E32" s="31">
        <f>IF($C32="","",MIN($C32,Settings!$B$2))</f>
        <v/>
      </c>
      <c r="F32" s="31">
        <f>IF($C32="","",MAX(0,$C32-$E32))</f>
        <v/>
      </c>
      <c r="G32" s="31">
        <f>IF(OR($E32="",$D32=""),"", $E32+$D32)</f>
        <v/>
      </c>
      <c r="H32" s="31">
        <f>IF(OR($A32="",$B32=""),"",SUMIFS(QuickLog!$L$2:$L$1000,QuickLog!$B$2:$B$1000,$B32,QuickLog!$O$2:$O$1000,$A32))</f>
        <v/>
      </c>
      <c r="I32" s="32">
        <f>IF($H32="","",$H32)</f>
        <v/>
      </c>
    </row>
    <row r="33">
      <c r="A33" s="29" t="n"/>
      <c r="B33" s="31" t="n"/>
      <c r="C33" s="31">
        <f>IF(OR($A33="",$B33=""),"",SUMIFS(QuickLog!$K$2:$K$1000,QuickLog!$B$2:$B$1000,$B33,QuickLog!$O$2:$O$1000,$A33,QuickLog!$G$2:$G$1000,"Routine"))</f>
        <v/>
      </c>
      <c r="D33" s="31">
        <f>IF(OR($A33="",$B33=""),"",SUMIFS(QuickLog!$K$2:$K$1000,QuickLog!$B$2:$B$1000,$B33,QuickLog!$O$2:$O$1000,$A33,QuickLog!$G$2:$G$1000,"&lt;&gt;Routine"))</f>
        <v/>
      </c>
      <c r="E33" s="31">
        <f>IF($C33="","",MIN($C33,Settings!$B$2))</f>
        <v/>
      </c>
      <c r="F33" s="31">
        <f>IF($C33="","",MAX(0,$C33-$E33))</f>
        <v/>
      </c>
      <c r="G33" s="31">
        <f>IF(OR($E33="",$D33=""),"", $E33+$D33)</f>
        <v/>
      </c>
      <c r="H33" s="31">
        <f>IF(OR($A33="",$B33=""),"",SUMIFS(QuickLog!$L$2:$L$1000,QuickLog!$B$2:$B$1000,$B33,QuickLog!$O$2:$O$1000,$A33))</f>
        <v/>
      </c>
      <c r="I33" s="32">
        <f>IF($H33="","",$H33)</f>
        <v/>
      </c>
    </row>
    <row r="34">
      <c r="A34" s="29" t="n"/>
      <c r="B34" s="31" t="n"/>
      <c r="C34" s="31">
        <f>IF(OR($A34="",$B34=""),"",SUMIFS(QuickLog!$K$2:$K$1000,QuickLog!$B$2:$B$1000,$B34,QuickLog!$O$2:$O$1000,$A34,QuickLog!$G$2:$G$1000,"Routine"))</f>
        <v/>
      </c>
      <c r="D34" s="31">
        <f>IF(OR($A34="",$B34=""),"",SUMIFS(QuickLog!$K$2:$K$1000,QuickLog!$B$2:$B$1000,$B34,QuickLog!$O$2:$O$1000,$A34,QuickLog!$G$2:$G$1000,"&lt;&gt;Routine"))</f>
        <v/>
      </c>
      <c r="E34" s="31">
        <f>IF($C34="","",MIN($C34,Settings!$B$2))</f>
        <v/>
      </c>
      <c r="F34" s="31">
        <f>IF($C34="","",MAX(0,$C34-$E34))</f>
        <v/>
      </c>
      <c r="G34" s="31">
        <f>IF(OR($E34="",$D34=""),"", $E34+$D34)</f>
        <v/>
      </c>
      <c r="H34" s="31">
        <f>IF(OR($A34="",$B34=""),"",SUMIFS(QuickLog!$L$2:$L$1000,QuickLog!$B$2:$B$1000,$B34,QuickLog!$O$2:$O$1000,$A34))</f>
        <v/>
      </c>
      <c r="I34" s="32">
        <f>IF($H34="","",$H34)</f>
        <v/>
      </c>
    </row>
    <row r="35">
      <c r="A35" s="29" t="n"/>
      <c r="B35" s="31" t="n"/>
      <c r="C35" s="31">
        <f>IF(OR($A35="",$B35=""),"",SUMIFS(QuickLog!$K$2:$K$1000,QuickLog!$B$2:$B$1000,$B35,QuickLog!$O$2:$O$1000,$A35,QuickLog!$G$2:$G$1000,"Routine"))</f>
        <v/>
      </c>
      <c r="D35" s="31">
        <f>IF(OR($A35="",$B35=""),"",SUMIFS(QuickLog!$K$2:$K$1000,QuickLog!$B$2:$B$1000,$B35,QuickLog!$O$2:$O$1000,$A35,QuickLog!$G$2:$G$1000,"&lt;&gt;Routine"))</f>
        <v/>
      </c>
      <c r="E35" s="31">
        <f>IF($C35="","",MIN($C35,Settings!$B$2))</f>
        <v/>
      </c>
      <c r="F35" s="31">
        <f>IF($C35="","",MAX(0,$C35-$E35))</f>
        <v/>
      </c>
      <c r="G35" s="31">
        <f>IF(OR($E35="",$D35=""),"", $E35+$D35)</f>
        <v/>
      </c>
      <c r="H35" s="31">
        <f>IF(OR($A35="",$B35=""),"",SUMIFS(QuickLog!$L$2:$L$1000,QuickLog!$B$2:$B$1000,$B35,QuickLog!$O$2:$O$1000,$A35))</f>
        <v/>
      </c>
      <c r="I35" s="32">
        <f>IF($H35="","",$H35)</f>
        <v/>
      </c>
    </row>
    <row r="36">
      <c r="A36" s="29" t="n"/>
      <c r="B36" s="31" t="n"/>
      <c r="C36" s="31">
        <f>IF(OR($A36="",$B36=""),"",SUMIFS(QuickLog!$K$2:$K$1000,QuickLog!$B$2:$B$1000,$B36,QuickLog!$O$2:$O$1000,$A36,QuickLog!$G$2:$G$1000,"Routine"))</f>
        <v/>
      </c>
      <c r="D36" s="31">
        <f>IF(OR($A36="",$B36=""),"",SUMIFS(QuickLog!$K$2:$K$1000,QuickLog!$B$2:$B$1000,$B36,QuickLog!$O$2:$O$1000,$A36,QuickLog!$G$2:$G$1000,"&lt;&gt;Routine"))</f>
        <v/>
      </c>
      <c r="E36" s="31">
        <f>IF($C36="","",MIN($C36,Settings!$B$2))</f>
        <v/>
      </c>
      <c r="F36" s="31">
        <f>IF($C36="","",MAX(0,$C36-$E36))</f>
        <v/>
      </c>
      <c r="G36" s="31">
        <f>IF(OR($E36="",$D36=""),"", $E36+$D36)</f>
        <v/>
      </c>
      <c r="H36" s="31">
        <f>IF(OR($A36="",$B36=""),"",SUMIFS(QuickLog!$L$2:$L$1000,QuickLog!$B$2:$B$1000,$B36,QuickLog!$O$2:$O$1000,$A36))</f>
        <v/>
      </c>
      <c r="I36" s="32">
        <f>IF($H36="","",$H36)</f>
        <v/>
      </c>
    </row>
    <row r="37">
      <c r="A37" s="29" t="n"/>
      <c r="B37" s="31" t="n"/>
      <c r="C37" s="31">
        <f>IF(OR($A37="",$B37=""),"",SUMIFS(QuickLog!$K$2:$K$1000,QuickLog!$B$2:$B$1000,$B37,QuickLog!$O$2:$O$1000,$A37,QuickLog!$G$2:$G$1000,"Routine"))</f>
        <v/>
      </c>
      <c r="D37" s="31">
        <f>IF(OR($A37="",$B37=""),"",SUMIFS(QuickLog!$K$2:$K$1000,QuickLog!$B$2:$B$1000,$B37,QuickLog!$O$2:$O$1000,$A37,QuickLog!$G$2:$G$1000,"&lt;&gt;Routine"))</f>
        <v/>
      </c>
      <c r="E37" s="31">
        <f>IF($C37="","",MIN($C37,Settings!$B$2))</f>
        <v/>
      </c>
      <c r="F37" s="31">
        <f>IF($C37="","",MAX(0,$C37-$E37))</f>
        <v/>
      </c>
      <c r="G37" s="31">
        <f>IF(OR($E37="",$D37=""),"", $E37+$D37)</f>
        <v/>
      </c>
      <c r="H37" s="31">
        <f>IF(OR($A37="",$B37=""),"",SUMIFS(QuickLog!$L$2:$L$1000,QuickLog!$B$2:$B$1000,$B37,QuickLog!$O$2:$O$1000,$A37))</f>
        <v/>
      </c>
      <c r="I37" s="32">
        <f>IF($H37="","",$H37)</f>
        <v/>
      </c>
    </row>
    <row r="38">
      <c r="A38" s="29" t="n"/>
      <c r="B38" s="31" t="n"/>
      <c r="C38" s="31">
        <f>IF(OR($A38="",$B38=""),"",SUMIFS(QuickLog!$K$2:$K$1000,QuickLog!$B$2:$B$1000,$B38,QuickLog!$O$2:$O$1000,$A38,QuickLog!$G$2:$G$1000,"Routine"))</f>
        <v/>
      </c>
      <c r="D38" s="31">
        <f>IF(OR($A38="",$B38=""),"",SUMIFS(QuickLog!$K$2:$K$1000,QuickLog!$B$2:$B$1000,$B38,QuickLog!$O$2:$O$1000,$A38,QuickLog!$G$2:$G$1000,"&lt;&gt;Routine"))</f>
        <v/>
      </c>
      <c r="E38" s="31">
        <f>IF($C38="","",MIN($C38,Settings!$B$2))</f>
        <v/>
      </c>
      <c r="F38" s="31">
        <f>IF($C38="","",MAX(0,$C38-$E38))</f>
        <v/>
      </c>
      <c r="G38" s="31">
        <f>IF(OR($E38="",$D38=""),"", $E38+$D38)</f>
        <v/>
      </c>
      <c r="H38" s="31">
        <f>IF(OR($A38="",$B38=""),"",SUMIFS(QuickLog!$L$2:$L$1000,QuickLog!$B$2:$B$1000,$B38,QuickLog!$O$2:$O$1000,$A38))</f>
        <v/>
      </c>
      <c r="I38" s="32">
        <f>IF($H38="","",$H38)</f>
        <v/>
      </c>
    </row>
    <row r="39">
      <c r="A39" s="29" t="n"/>
      <c r="B39" s="31" t="n"/>
      <c r="C39" s="31">
        <f>IF(OR($A39="",$B39=""),"",SUMIFS(QuickLog!$K$2:$K$1000,QuickLog!$B$2:$B$1000,$B39,QuickLog!$O$2:$O$1000,$A39,QuickLog!$G$2:$G$1000,"Routine"))</f>
        <v/>
      </c>
      <c r="D39" s="31">
        <f>IF(OR($A39="",$B39=""),"",SUMIFS(QuickLog!$K$2:$K$1000,QuickLog!$B$2:$B$1000,$B39,QuickLog!$O$2:$O$1000,$A39,QuickLog!$G$2:$G$1000,"&lt;&gt;Routine"))</f>
        <v/>
      </c>
      <c r="E39" s="31">
        <f>IF($C39="","",MIN($C39,Settings!$B$2))</f>
        <v/>
      </c>
      <c r="F39" s="31">
        <f>IF($C39="","",MAX(0,$C39-$E39))</f>
        <v/>
      </c>
      <c r="G39" s="31">
        <f>IF(OR($E39="",$D39=""),"", $E39+$D39)</f>
        <v/>
      </c>
      <c r="H39" s="31">
        <f>IF(OR($A39="",$B39=""),"",SUMIFS(QuickLog!$L$2:$L$1000,QuickLog!$B$2:$B$1000,$B39,QuickLog!$O$2:$O$1000,$A39))</f>
        <v/>
      </c>
      <c r="I39" s="32">
        <f>IF($H39="","",$H39)</f>
        <v/>
      </c>
    </row>
    <row r="40">
      <c r="A40" s="29" t="n"/>
      <c r="B40" s="31" t="n"/>
      <c r="C40" s="31">
        <f>IF(OR($A40="",$B40=""),"",SUMIFS(QuickLog!$K$2:$K$1000,QuickLog!$B$2:$B$1000,$B40,QuickLog!$O$2:$O$1000,$A40,QuickLog!$G$2:$G$1000,"Routine"))</f>
        <v/>
      </c>
      <c r="D40" s="31">
        <f>IF(OR($A40="",$B40=""),"",SUMIFS(QuickLog!$K$2:$K$1000,QuickLog!$B$2:$B$1000,$B40,QuickLog!$O$2:$O$1000,$A40,QuickLog!$G$2:$G$1000,"&lt;&gt;Routine"))</f>
        <v/>
      </c>
      <c r="E40" s="31">
        <f>IF($C40="","",MIN($C40,Settings!$B$2))</f>
        <v/>
      </c>
      <c r="F40" s="31">
        <f>IF($C40="","",MAX(0,$C40-$E40))</f>
        <v/>
      </c>
      <c r="G40" s="31">
        <f>IF(OR($E40="",$D40=""),"", $E40+$D40)</f>
        <v/>
      </c>
      <c r="H40" s="31">
        <f>IF(OR($A40="",$B40=""),"",SUMIFS(QuickLog!$L$2:$L$1000,QuickLog!$B$2:$B$1000,$B40,QuickLog!$O$2:$O$1000,$A40))</f>
        <v/>
      </c>
      <c r="I40" s="32">
        <f>IF($H40="","",$H40)</f>
        <v/>
      </c>
    </row>
    <row r="41">
      <c r="A41" s="29" t="n"/>
      <c r="B41" s="31" t="n"/>
      <c r="C41" s="31">
        <f>IF(OR($A41="",$B41=""),"",SUMIFS(QuickLog!$K$2:$K$1000,QuickLog!$B$2:$B$1000,$B41,QuickLog!$O$2:$O$1000,$A41,QuickLog!$G$2:$G$1000,"Routine"))</f>
        <v/>
      </c>
      <c r="D41" s="31">
        <f>IF(OR($A41="",$B41=""),"",SUMIFS(QuickLog!$K$2:$K$1000,QuickLog!$B$2:$B$1000,$B41,QuickLog!$O$2:$O$1000,$A41,QuickLog!$G$2:$G$1000,"&lt;&gt;Routine"))</f>
        <v/>
      </c>
      <c r="E41" s="31">
        <f>IF($C41="","",MIN($C41,Settings!$B$2))</f>
        <v/>
      </c>
      <c r="F41" s="31">
        <f>IF($C41="","",MAX(0,$C41-$E41))</f>
        <v/>
      </c>
      <c r="G41" s="31">
        <f>IF(OR($E41="",$D41=""),"", $E41+$D41)</f>
        <v/>
      </c>
      <c r="H41" s="31">
        <f>IF(OR($A41="",$B41=""),"",SUMIFS(QuickLog!$L$2:$L$1000,QuickLog!$B$2:$B$1000,$B41,QuickLog!$O$2:$O$1000,$A41))</f>
        <v/>
      </c>
      <c r="I41" s="32">
        <f>IF($H41="","",$H41)</f>
        <v/>
      </c>
    </row>
    <row r="42">
      <c r="A42" s="29" t="n"/>
      <c r="B42" s="31" t="n"/>
      <c r="C42" s="31">
        <f>IF(OR($A42="",$B42=""),"",SUMIFS(QuickLog!$K$2:$K$1000,QuickLog!$B$2:$B$1000,$B42,QuickLog!$O$2:$O$1000,$A42,QuickLog!$G$2:$G$1000,"Routine"))</f>
        <v/>
      </c>
      <c r="D42" s="31">
        <f>IF(OR($A42="",$B42=""),"",SUMIFS(QuickLog!$K$2:$K$1000,QuickLog!$B$2:$B$1000,$B42,QuickLog!$O$2:$O$1000,$A42,QuickLog!$G$2:$G$1000,"&lt;&gt;Routine"))</f>
        <v/>
      </c>
      <c r="E42" s="31">
        <f>IF($C42="","",MIN($C42,Settings!$B$2))</f>
        <v/>
      </c>
      <c r="F42" s="31">
        <f>IF($C42="","",MAX(0,$C42-$E42))</f>
        <v/>
      </c>
      <c r="G42" s="31">
        <f>IF(OR($E42="",$D42=""),"", $E42+$D42)</f>
        <v/>
      </c>
      <c r="H42" s="31">
        <f>IF(OR($A42="",$B42=""),"",SUMIFS(QuickLog!$L$2:$L$1000,QuickLog!$B$2:$B$1000,$B42,QuickLog!$O$2:$O$1000,$A42))</f>
        <v/>
      </c>
      <c r="I42" s="32">
        <f>IF($H42="","",$H42)</f>
        <v/>
      </c>
    </row>
    <row r="43">
      <c r="A43" s="29" t="n"/>
      <c r="B43" s="31" t="n"/>
      <c r="C43" s="31">
        <f>IF(OR($A43="",$B43=""),"",SUMIFS(QuickLog!$K$2:$K$1000,QuickLog!$B$2:$B$1000,$B43,QuickLog!$O$2:$O$1000,$A43,QuickLog!$G$2:$G$1000,"Routine"))</f>
        <v/>
      </c>
      <c r="D43" s="31">
        <f>IF(OR($A43="",$B43=""),"",SUMIFS(QuickLog!$K$2:$K$1000,QuickLog!$B$2:$B$1000,$B43,QuickLog!$O$2:$O$1000,$A43,QuickLog!$G$2:$G$1000,"&lt;&gt;Routine"))</f>
        <v/>
      </c>
      <c r="E43" s="31">
        <f>IF($C43="","",MIN($C43,Settings!$B$2))</f>
        <v/>
      </c>
      <c r="F43" s="31">
        <f>IF($C43="","",MAX(0,$C43-$E43))</f>
        <v/>
      </c>
      <c r="G43" s="31">
        <f>IF(OR($E43="",$D43=""),"", $E43+$D43)</f>
        <v/>
      </c>
      <c r="H43" s="31">
        <f>IF(OR($A43="",$B43=""),"",SUMIFS(QuickLog!$L$2:$L$1000,QuickLog!$B$2:$B$1000,$B43,QuickLog!$O$2:$O$1000,$A43))</f>
        <v/>
      </c>
      <c r="I43" s="32">
        <f>IF($H43="","",$H43)</f>
        <v/>
      </c>
    </row>
    <row r="44">
      <c r="A44" s="29" t="n"/>
      <c r="B44" s="31" t="n"/>
      <c r="C44" s="31">
        <f>IF(OR($A44="",$B44=""),"",SUMIFS(QuickLog!$K$2:$K$1000,QuickLog!$B$2:$B$1000,$B44,QuickLog!$O$2:$O$1000,$A44,QuickLog!$G$2:$G$1000,"Routine"))</f>
        <v/>
      </c>
      <c r="D44" s="31">
        <f>IF(OR($A44="",$B44=""),"",SUMIFS(QuickLog!$K$2:$K$1000,QuickLog!$B$2:$B$1000,$B44,QuickLog!$O$2:$O$1000,$A44,QuickLog!$G$2:$G$1000,"&lt;&gt;Routine"))</f>
        <v/>
      </c>
      <c r="E44" s="31">
        <f>IF($C44="","",MIN($C44,Settings!$B$2))</f>
        <v/>
      </c>
      <c r="F44" s="31">
        <f>IF($C44="","",MAX(0,$C44-$E44))</f>
        <v/>
      </c>
      <c r="G44" s="31">
        <f>IF(OR($E44="",$D44=""),"", $E44+$D44)</f>
        <v/>
      </c>
      <c r="H44" s="31">
        <f>IF(OR($A44="",$B44=""),"",SUMIFS(QuickLog!$L$2:$L$1000,QuickLog!$B$2:$B$1000,$B44,QuickLog!$O$2:$O$1000,$A44))</f>
        <v/>
      </c>
      <c r="I44" s="32">
        <f>IF($H44="","",$H44)</f>
        <v/>
      </c>
    </row>
    <row r="45">
      <c r="A45" s="29" t="n"/>
      <c r="B45" s="31" t="n"/>
      <c r="C45" s="31">
        <f>IF(OR($A45="",$B45=""),"",SUMIFS(QuickLog!$K$2:$K$1000,QuickLog!$B$2:$B$1000,$B45,QuickLog!$O$2:$O$1000,$A45,QuickLog!$G$2:$G$1000,"Routine"))</f>
        <v/>
      </c>
      <c r="D45" s="31">
        <f>IF(OR($A45="",$B45=""),"",SUMIFS(QuickLog!$K$2:$K$1000,QuickLog!$B$2:$B$1000,$B45,QuickLog!$O$2:$O$1000,$A45,QuickLog!$G$2:$G$1000,"&lt;&gt;Routine"))</f>
        <v/>
      </c>
      <c r="E45" s="31">
        <f>IF($C45="","",MIN($C45,Settings!$B$2))</f>
        <v/>
      </c>
      <c r="F45" s="31">
        <f>IF($C45="","",MAX(0,$C45-$E45))</f>
        <v/>
      </c>
      <c r="G45" s="31">
        <f>IF(OR($E45="",$D45=""),"", $E45+$D45)</f>
        <v/>
      </c>
      <c r="H45" s="31">
        <f>IF(OR($A45="",$B45=""),"",SUMIFS(QuickLog!$L$2:$L$1000,QuickLog!$B$2:$B$1000,$B45,QuickLog!$O$2:$O$1000,$A45))</f>
        <v/>
      </c>
      <c r="I45" s="32">
        <f>IF($H45="","",$H45)</f>
        <v/>
      </c>
    </row>
    <row r="46">
      <c r="A46" s="29" t="n"/>
      <c r="B46" s="31" t="n"/>
      <c r="C46" s="31">
        <f>IF(OR($A46="",$B46=""),"",SUMIFS(QuickLog!$K$2:$K$1000,QuickLog!$B$2:$B$1000,$B46,QuickLog!$O$2:$O$1000,$A46,QuickLog!$G$2:$G$1000,"Routine"))</f>
        <v/>
      </c>
      <c r="D46" s="31">
        <f>IF(OR($A46="",$B46=""),"",SUMIFS(QuickLog!$K$2:$K$1000,QuickLog!$B$2:$B$1000,$B46,QuickLog!$O$2:$O$1000,$A46,QuickLog!$G$2:$G$1000,"&lt;&gt;Routine"))</f>
        <v/>
      </c>
      <c r="E46" s="31">
        <f>IF($C46="","",MIN($C46,Settings!$B$2))</f>
        <v/>
      </c>
      <c r="F46" s="31">
        <f>IF($C46="","",MAX(0,$C46-$E46))</f>
        <v/>
      </c>
      <c r="G46" s="31">
        <f>IF(OR($E46="",$D46=""),"", $E46+$D46)</f>
        <v/>
      </c>
      <c r="H46" s="31">
        <f>IF(OR($A46="",$B46=""),"",SUMIFS(QuickLog!$L$2:$L$1000,QuickLog!$B$2:$B$1000,$B46,QuickLog!$O$2:$O$1000,$A46))</f>
        <v/>
      </c>
      <c r="I46" s="32">
        <f>IF($H46="","",$H46)</f>
        <v/>
      </c>
    </row>
    <row r="47">
      <c r="A47" s="29" t="n"/>
      <c r="B47" s="31" t="n"/>
      <c r="C47" s="31">
        <f>IF(OR($A47="",$B47=""),"",SUMIFS(QuickLog!$K$2:$K$1000,QuickLog!$B$2:$B$1000,$B47,QuickLog!$O$2:$O$1000,$A47,QuickLog!$G$2:$G$1000,"Routine"))</f>
        <v/>
      </c>
      <c r="D47" s="31">
        <f>IF(OR($A47="",$B47=""),"",SUMIFS(QuickLog!$K$2:$K$1000,QuickLog!$B$2:$B$1000,$B47,QuickLog!$O$2:$O$1000,$A47,QuickLog!$G$2:$G$1000,"&lt;&gt;Routine"))</f>
        <v/>
      </c>
      <c r="E47" s="31">
        <f>IF($C47="","",MIN($C47,Settings!$B$2))</f>
        <v/>
      </c>
      <c r="F47" s="31">
        <f>IF($C47="","",MAX(0,$C47-$E47))</f>
        <v/>
      </c>
      <c r="G47" s="31">
        <f>IF(OR($E47="",$D47=""),"", $E47+$D47)</f>
        <v/>
      </c>
      <c r="H47" s="31">
        <f>IF(OR($A47="",$B47=""),"",SUMIFS(QuickLog!$L$2:$L$1000,QuickLog!$B$2:$B$1000,$B47,QuickLog!$O$2:$O$1000,$A47))</f>
        <v/>
      </c>
      <c r="I47" s="32">
        <f>IF($H47="","",$H47)</f>
        <v/>
      </c>
    </row>
    <row r="48">
      <c r="A48" s="29" t="n"/>
      <c r="B48" s="31" t="n"/>
      <c r="C48" s="31">
        <f>IF(OR($A48="",$B48=""),"",SUMIFS(QuickLog!$K$2:$K$1000,QuickLog!$B$2:$B$1000,$B48,QuickLog!$O$2:$O$1000,$A48,QuickLog!$G$2:$G$1000,"Routine"))</f>
        <v/>
      </c>
      <c r="D48" s="31">
        <f>IF(OR($A48="",$B48=""),"",SUMIFS(QuickLog!$K$2:$K$1000,QuickLog!$B$2:$B$1000,$B48,QuickLog!$O$2:$O$1000,$A48,QuickLog!$G$2:$G$1000,"&lt;&gt;Routine"))</f>
        <v/>
      </c>
      <c r="E48" s="31">
        <f>IF($C48="","",MIN($C48,Settings!$B$2))</f>
        <v/>
      </c>
      <c r="F48" s="31">
        <f>IF($C48="","",MAX(0,$C48-$E48))</f>
        <v/>
      </c>
      <c r="G48" s="31">
        <f>IF(OR($E48="",$D48=""),"", $E48+$D48)</f>
        <v/>
      </c>
      <c r="H48" s="31">
        <f>IF(OR($A48="",$B48=""),"",SUMIFS(QuickLog!$L$2:$L$1000,QuickLog!$B$2:$B$1000,$B48,QuickLog!$O$2:$O$1000,$A48))</f>
        <v/>
      </c>
      <c r="I48" s="32">
        <f>IF($H48="","",$H48)</f>
        <v/>
      </c>
    </row>
    <row r="49">
      <c r="A49" s="29" t="n"/>
      <c r="B49" s="31" t="n"/>
      <c r="C49" s="31">
        <f>IF(OR($A49="",$B49=""),"",SUMIFS(QuickLog!$K$2:$K$1000,QuickLog!$B$2:$B$1000,$B49,QuickLog!$O$2:$O$1000,$A49,QuickLog!$G$2:$G$1000,"Routine"))</f>
        <v/>
      </c>
      <c r="D49" s="31">
        <f>IF(OR($A49="",$B49=""),"",SUMIFS(QuickLog!$K$2:$K$1000,QuickLog!$B$2:$B$1000,$B49,QuickLog!$O$2:$O$1000,$A49,QuickLog!$G$2:$G$1000,"&lt;&gt;Routine"))</f>
        <v/>
      </c>
      <c r="E49" s="31">
        <f>IF($C49="","",MIN($C49,Settings!$B$2))</f>
        <v/>
      </c>
      <c r="F49" s="31">
        <f>IF($C49="","",MAX(0,$C49-$E49))</f>
        <v/>
      </c>
      <c r="G49" s="31">
        <f>IF(OR($E49="",$D49=""),"", $E49+$D49)</f>
        <v/>
      </c>
      <c r="H49" s="31">
        <f>IF(OR($A49="",$B49=""),"",SUMIFS(QuickLog!$L$2:$L$1000,QuickLog!$B$2:$B$1000,$B49,QuickLog!$O$2:$O$1000,$A49))</f>
        <v/>
      </c>
      <c r="I49" s="32">
        <f>IF($H49="","",$H49)</f>
        <v/>
      </c>
    </row>
    <row r="50">
      <c r="A50" s="29" t="n"/>
      <c r="B50" s="31" t="n"/>
      <c r="C50" s="31">
        <f>IF(OR($A50="",$B50=""),"",SUMIFS(QuickLog!$K$2:$K$1000,QuickLog!$B$2:$B$1000,$B50,QuickLog!$O$2:$O$1000,$A50,QuickLog!$G$2:$G$1000,"Routine"))</f>
        <v/>
      </c>
      <c r="D50" s="31">
        <f>IF(OR($A50="",$B50=""),"",SUMIFS(QuickLog!$K$2:$K$1000,QuickLog!$B$2:$B$1000,$B50,QuickLog!$O$2:$O$1000,$A50,QuickLog!$G$2:$G$1000,"&lt;&gt;Routine"))</f>
        <v/>
      </c>
      <c r="E50" s="31">
        <f>IF($C50="","",MIN($C50,Settings!$B$2))</f>
        <v/>
      </c>
      <c r="F50" s="31">
        <f>IF($C50="","",MAX(0,$C50-$E50))</f>
        <v/>
      </c>
      <c r="G50" s="31">
        <f>IF(OR($E50="",$D50=""),"", $E50+$D50)</f>
        <v/>
      </c>
      <c r="H50" s="31">
        <f>IF(OR($A50="",$B50=""),"",SUMIFS(QuickLog!$L$2:$L$1000,QuickLog!$B$2:$B$1000,$B50,QuickLog!$O$2:$O$1000,$A50))</f>
        <v/>
      </c>
      <c r="I50" s="32">
        <f>IF($H50="","",$H50)</f>
        <v/>
      </c>
    </row>
    <row r="51">
      <c r="A51" s="29" t="n"/>
      <c r="B51" s="31" t="n"/>
      <c r="C51" s="31">
        <f>IF(OR($A51="",$B51=""),"",SUMIFS(QuickLog!$K$2:$K$1000,QuickLog!$B$2:$B$1000,$B51,QuickLog!$O$2:$O$1000,$A51,QuickLog!$G$2:$G$1000,"Routine"))</f>
        <v/>
      </c>
      <c r="D51" s="31">
        <f>IF(OR($A51="",$B51=""),"",SUMIFS(QuickLog!$K$2:$K$1000,QuickLog!$B$2:$B$1000,$B51,QuickLog!$O$2:$O$1000,$A51,QuickLog!$G$2:$G$1000,"&lt;&gt;Routine"))</f>
        <v/>
      </c>
      <c r="E51" s="31">
        <f>IF($C51="","",MIN($C51,Settings!$B$2))</f>
        <v/>
      </c>
      <c r="F51" s="31">
        <f>IF($C51="","",MAX(0,$C51-$E51))</f>
        <v/>
      </c>
      <c r="G51" s="31">
        <f>IF(OR($E51="",$D51=""),"", $E51+$D51)</f>
        <v/>
      </c>
      <c r="H51" s="31">
        <f>IF(OR($A51="",$B51=""),"",SUMIFS(QuickLog!$L$2:$L$1000,QuickLog!$B$2:$B$1000,$B51,QuickLog!$O$2:$O$1000,$A51))</f>
        <v/>
      </c>
      <c r="I51" s="32">
        <f>IF($H51="","",$H51)</f>
        <v/>
      </c>
    </row>
    <row r="52">
      <c r="A52" s="29" t="n"/>
      <c r="B52" s="31" t="n"/>
      <c r="C52" s="31">
        <f>IF(OR($A52="",$B52=""),"",SUMIFS(QuickLog!$K$2:$K$1000,QuickLog!$B$2:$B$1000,$B52,QuickLog!$O$2:$O$1000,$A52,QuickLog!$G$2:$G$1000,"Routine"))</f>
        <v/>
      </c>
      <c r="D52" s="31">
        <f>IF(OR($A52="",$B52=""),"",SUMIFS(QuickLog!$K$2:$K$1000,QuickLog!$B$2:$B$1000,$B52,QuickLog!$O$2:$O$1000,$A52,QuickLog!$G$2:$G$1000,"&lt;&gt;Routine"))</f>
        <v/>
      </c>
      <c r="E52" s="31">
        <f>IF($C52="","",MIN($C52,Settings!$B$2))</f>
        <v/>
      </c>
      <c r="F52" s="31">
        <f>IF($C52="","",MAX(0,$C52-$E52))</f>
        <v/>
      </c>
      <c r="G52" s="31">
        <f>IF(OR($E52="",$D52=""),"", $E52+$D52)</f>
        <v/>
      </c>
      <c r="H52" s="31">
        <f>IF(OR($A52="",$B52=""),"",SUMIFS(QuickLog!$L$2:$L$1000,QuickLog!$B$2:$B$1000,$B52,QuickLog!$O$2:$O$1000,$A52))</f>
        <v/>
      </c>
      <c r="I52" s="32">
        <f>IF($H52="","",$H52)</f>
        <v/>
      </c>
    </row>
    <row r="53">
      <c r="A53" s="29" t="n"/>
      <c r="B53" s="31" t="n"/>
      <c r="C53" s="31">
        <f>IF(OR($A53="",$B53=""),"",SUMIFS(QuickLog!$K$2:$K$1000,QuickLog!$B$2:$B$1000,$B53,QuickLog!$O$2:$O$1000,$A53,QuickLog!$G$2:$G$1000,"Routine"))</f>
        <v/>
      </c>
      <c r="D53" s="31">
        <f>IF(OR($A53="",$B53=""),"",SUMIFS(QuickLog!$K$2:$K$1000,QuickLog!$B$2:$B$1000,$B53,QuickLog!$O$2:$O$1000,$A53,QuickLog!$G$2:$G$1000,"&lt;&gt;Routine"))</f>
        <v/>
      </c>
      <c r="E53" s="31">
        <f>IF($C53="","",MIN($C53,Settings!$B$2))</f>
        <v/>
      </c>
      <c r="F53" s="31">
        <f>IF($C53="","",MAX(0,$C53-$E53))</f>
        <v/>
      </c>
      <c r="G53" s="31">
        <f>IF(OR($E53="",$D53=""),"", $E53+$D53)</f>
        <v/>
      </c>
      <c r="H53" s="31">
        <f>IF(OR($A53="",$B53=""),"",SUMIFS(QuickLog!$L$2:$L$1000,QuickLog!$B$2:$B$1000,$B53,QuickLog!$O$2:$O$1000,$A53))</f>
        <v/>
      </c>
      <c r="I53" s="32">
        <f>IF($H53="","",$H53)</f>
        <v/>
      </c>
    </row>
    <row r="54">
      <c r="A54" s="29" t="n"/>
      <c r="B54" s="31" t="n"/>
      <c r="C54" s="31">
        <f>IF(OR($A54="",$B54=""),"",SUMIFS(QuickLog!$K$2:$K$1000,QuickLog!$B$2:$B$1000,$B54,QuickLog!$O$2:$O$1000,$A54,QuickLog!$G$2:$G$1000,"Routine"))</f>
        <v/>
      </c>
      <c r="D54" s="31">
        <f>IF(OR($A54="",$B54=""),"",SUMIFS(QuickLog!$K$2:$K$1000,QuickLog!$B$2:$B$1000,$B54,QuickLog!$O$2:$O$1000,$A54,QuickLog!$G$2:$G$1000,"&lt;&gt;Routine"))</f>
        <v/>
      </c>
      <c r="E54" s="31">
        <f>IF($C54="","",MIN($C54,Settings!$B$2))</f>
        <v/>
      </c>
      <c r="F54" s="31">
        <f>IF($C54="","",MAX(0,$C54-$E54))</f>
        <v/>
      </c>
      <c r="G54" s="31">
        <f>IF(OR($E54="",$D54=""),"", $E54+$D54)</f>
        <v/>
      </c>
      <c r="H54" s="31">
        <f>IF(OR($A54="",$B54=""),"",SUMIFS(QuickLog!$L$2:$L$1000,QuickLog!$B$2:$B$1000,$B54,QuickLog!$O$2:$O$1000,$A54))</f>
        <v/>
      </c>
      <c r="I54" s="32">
        <f>IF($H54="","",$H54)</f>
        <v/>
      </c>
    </row>
    <row r="55">
      <c r="A55" s="29" t="n"/>
      <c r="B55" s="31" t="n"/>
      <c r="C55" s="31">
        <f>IF(OR($A55="",$B55=""),"",SUMIFS(QuickLog!$K$2:$K$1000,QuickLog!$B$2:$B$1000,$B55,QuickLog!$O$2:$O$1000,$A55,QuickLog!$G$2:$G$1000,"Routine"))</f>
        <v/>
      </c>
      <c r="D55" s="31">
        <f>IF(OR($A55="",$B55=""),"",SUMIFS(QuickLog!$K$2:$K$1000,QuickLog!$B$2:$B$1000,$B55,QuickLog!$O$2:$O$1000,$A55,QuickLog!$G$2:$G$1000,"&lt;&gt;Routine"))</f>
        <v/>
      </c>
      <c r="E55" s="31">
        <f>IF($C55="","",MIN($C55,Settings!$B$2))</f>
        <v/>
      </c>
      <c r="F55" s="31">
        <f>IF($C55="","",MAX(0,$C55-$E55))</f>
        <v/>
      </c>
      <c r="G55" s="31">
        <f>IF(OR($E55="",$D55=""),"", $E55+$D55)</f>
        <v/>
      </c>
      <c r="H55" s="31">
        <f>IF(OR($A55="",$B55=""),"",SUMIFS(QuickLog!$L$2:$L$1000,QuickLog!$B$2:$B$1000,$B55,QuickLog!$O$2:$O$1000,$A55))</f>
        <v/>
      </c>
      <c r="I55" s="32">
        <f>IF($H55="","",$H55)</f>
        <v/>
      </c>
    </row>
    <row r="56">
      <c r="A56" s="29" t="n"/>
      <c r="B56" s="31" t="n"/>
      <c r="C56" s="31">
        <f>IF(OR($A56="",$B56=""),"",SUMIFS(QuickLog!$K$2:$K$1000,QuickLog!$B$2:$B$1000,$B56,QuickLog!$O$2:$O$1000,$A56,QuickLog!$G$2:$G$1000,"Routine"))</f>
        <v/>
      </c>
      <c r="D56" s="31">
        <f>IF(OR($A56="",$B56=""),"",SUMIFS(QuickLog!$K$2:$K$1000,QuickLog!$B$2:$B$1000,$B56,QuickLog!$O$2:$O$1000,$A56,QuickLog!$G$2:$G$1000,"&lt;&gt;Routine"))</f>
        <v/>
      </c>
      <c r="E56" s="31">
        <f>IF($C56="","",MIN($C56,Settings!$B$2))</f>
        <v/>
      </c>
      <c r="F56" s="31">
        <f>IF($C56="","",MAX(0,$C56-$E56))</f>
        <v/>
      </c>
      <c r="G56" s="31">
        <f>IF(OR($E56="",$D56=""),"", $E56+$D56)</f>
        <v/>
      </c>
      <c r="H56" s="31">
        <f>IF(OR($A56="",$B56=""),"",SUMIFS(QuickLog!$L$2:$L$1000,QuickLog!$B$2:$B$1000,$B56,QuickLog!$O$2:$O$1000,$A56))</f>
        <v/>
      </c>
      <c r="I56" s="32">
        <f>IF($H56="","",$H56)</f>
        <v/>
      </c>
    </row>
    <row r="57">
      <c r="A57" s="29" t="n"/>
      <c r="B57" s="31" t="n"/>
      <c r="C57" s="31">
        <f>IF(OR($A57="",$B57=""),"",SUMIFS(QuickLog!$K$2:$K$1000,QuickLog!$B$2:$B$1000,$B57,QuickLog!$O$2:$O$1000,$A57,QuickLog!$G$2:$G$1000,"Routine"))</f>
        <v/>
      </c>
      <c r="D57" s="31">
        <f>IF(OR($A57="",$B57=""),"",SUMIFS(QuickLog!$K$2:$K$1000,QuickLog!$B$2:$B$1000,$B57,QuickLog!$O$2:$O$1000,$A57,QuickLog!$G$2:$G$1000,"&lt;&gt;Routine"))</f>
        <v/>
      </c>
      <c r="E57" s="31">
        <f>IF($C57="","",MIN($C57,Settings!$B$2))</f>
        <v/>
      </c>
      <c r="F57" s="31">
        <f>IF($C57="","",MAX(0,$C57-$E57))</f>
        <v/>
      </c>
      <c r="G57" s="31">
        <f>IF(OR($E57="",$D57=""),"", $E57+$D57)</f>
        <v/>
      </c>
      <c r="H57" s="31">
        <f>IF(OR($A57="",$B57=""),"",SUMIFS(QuickLog!$L$2:$L$1000,QuickLog!$B$2:$B$1000,$B57,QuickLog!$O$2:$O$1000,$A57))</f>
        <v/>
      </c>
      <c r="I57" s="32">
        <f>IF($H57="","",$H57)</f>
        <v/>
      </c>
    </row>
    <row r="58">
      <c r="A58" s="29" t="n"/>
      <c r="B58" s="31" t="n"/>
      <c r="C58" s="31">
        <f>IF(OR($A58="",$B58=""),"",SUMIFS(QuickLog!$K$2:$K$1000,QuickLog!$B$2:$B$1000,$B58,QuickLog!$O$2:$O$1000,$A58,QuickLog!$G$2:$G$1000,"Routine"))</f>
        <v/>
      </c>
      <c r="D58" s="31">
        <f>IF(OR($A58="",$B58=""),"",SUMIFS(QuickLog!$K$2:$K$1000,QuickLog!$B$2:$B$1000,$B58,QuickLog!$O$2:$O$1000,$A58,QuickLog!$G$2:$G$1000,"&lt;&gt;Routine"))</f>
        <v/>
      </c>
      <c r="E58" s="31">
        <f>IF($C58="","",MIN($C58,Settings!$B$2))</f>
        <v/>
      </c>
      <c r="F58" s="31">
        <f>IF($C58="","",MAX(0,$C58-$E58))</f>
        <v/>
      </c>
      <c r="G58" s="31">
        <f>IF(OR($E58="",$D58=""),"", $E58+$D58)</f>
        <v/>
      </c>
      <c r="H58" s="31">
        <f>IF(OR($A58="",$B58=""),"",SUMIFS(QuickLog!$L$2:$L$1000,QuickLog!$B$2:$B$1000,$B58,QuickLog!$O$2:$O$1000,$A58))</f>
        <v/>
      </c>
      <c r="I58" s="32">
        <f>IF($H58="","",$H58)</f>
        <v/>
      </c>
    </row>
    <row r="59">
      <c r="A59" s="29" t="n"/>
      <c r="B59" s="31" t="n"/>
      <c r="C59" s="31">
        <f>IF(OR($A59="",$B59=""),"",SUMIFS(QuickLog!$K$2:$K$1000,QuickLog!$B$2:$B$1000,$B59,QuickLog!$O$2:$O$1000,$A59,QuickLog!$G$2:$G$1000,"Routine"))</f>
        <v/>
      </c>
      <c r="D59" s="31">
        <f>IF(OR($A59="",$B59=""),"",SUMIFS(QuickLog!$K$2:$K$1000,QuickLog!$B$2:$B$1000,$B59,QuickLog!$O$2:$O$1000,$A59,QuickLog!$G$2:$G$1000,"&lt;&gt;Routine"))</f>
        <v/>
      </c>
      <c r="E59" s="31">
        <f>IF($C59="","",MIN($C59,Settings!$B$2))</f>
        <v/>
      </c>
      <c r="F59" s="31">
        <f>IF($C59="","",MAX(0,$C59-$E59))</f>
        <v/>
      </c>
      <c r="G59" s="31">
        <f>IF(OR($E59="",$D59=""),"", $E59+$D59)</f>
        <v/>
      </c>
      <c r="H59" s="31">
        <f>IF(OR($A59="",$B59=""),"",SUMIFS(QuickLog!$L$2:$L$1000,QuickLog!$B$2:$B$1000,$B59,QuickLog!$O$2:$O$1000,$A59))</f>
        <v/>
      </c>
      <c r="I59" s="32">
        <f>IF($H59="","",$H59)</f>
        <v/>
      </c>
    </row>
    <row r="60">
      <c r="A60" s="29" t="n"/>
      <c r="B60" s="31" t="n"/>
      <c r="C60" s="31">
        <f>IF(OR($A60="",$B60=""),"",SUMIFS(QuickLog!$K$2:$K$1000,QuickLog!$B$2:$B$1000,$B60,QuickLog!$O$2:$O$1000,$A60,QuickLog!$G$2:$G$1000,"Routine"))</f>
        <v/>
      </c>
      <c r="D60" s="31">
        <f>IF(OR($A60="",$B60=""),"",SUMIFS(QuickLog!$K$2:$K$1000,QuickLog!$B$2:$B$1000,$B60,QuickLog!$O$2:$O$1000,$A60,QuickLog!$G$2:$G$1000,"&lt;&gt;Routine"))</f>
        <v/>
      </c>
      <c r="E60" s="31">
        <f>IF($C60="","",MIN($C60,Settings!$B$2))</f>
        <v/>
      </c>
      <c r="F60" s="31">
        <f>IF($C60="","",MAX(0,$C60-$E60))</f>
        <v/>
      </c>
      <c r="G60" s="31">
        <f>IF(OR($E60="",$D60=""),"", $E60+$D60)</f>
        <v/>
      </c>
      <c r="H60" s="31">
        <f>IF(OR($A60="",$B60=""),"",SUMIFS(QuickLog!$L$2:$L$1000,QuickLog!$B$2:$B$1000,$B60,QuickLog!$O$2:$O$1000,$A60))</f>
        <v/>
      </c>
      <c r="I60" s="32">
        <f>IF($H60="","",$H60)</f>
        <v/>
      </c>
    </row>
    <row r="61">
      <c r="A61" s="29" t="n"/>
      <c r="B61" s="31" t="n"/>
      <c r="C61" s="31">
        <f>IF(OR($A61="",$B61=""),"",SUMIFS(QuickLog!$K$2:$K$1000,QuickLog!$B$2:$B$1000,$B61,QuickLog!$O$2:$O$1000,$A61,QuickLog!$G$2:$G$1000,"Routine"))</f>
        <v/>
      </c>
      <c r="D61" s="31">
        <f>IF(OR($A61="",$B61=""),"",SUMIFS(QuickLog!$K$2:$K$1000,QuickLog!$B$2:$B$1000,$B61,QuickLog!$O$2:$O$1000,$A61,QuickLog!$G$2:$G$1000,"&lt;&gt;Routine"))</f>
        <v/>
      </c>
      <c r="E61" s="31">
        <f>IF($C61="","",MIN($C61,Settings!$B$2))</f>
        <v/>
      </c>
      <c r="F61" s="31">
        <f>IF($C61="","",MAX(0,$C61-$E61))</f>
        <v/>
      </c>
      <c r="G61" s="31">
        <f>IF(OR($E61="",$D61=""),"", $E61+$D61)</f>
        <v/>
      </c>
      <c r="H61" s="31">
        <f>IF(OR($A61="",$B61=""),"",SUMIFS(QuickLog!$L$2:$L$1000,QuickLog!$B$2:$B$1000,$B61,QuickLog!$O$2:$O$1000,$A61))</f>
        <v/>
      </c>
      <c r="I61" s="32">
        <f>IF($H61="","",$H61)</f>
        <v/>
      </c>
    </row>
    <row r="62">
      <c r="A62" s="29" t="n"/>
      <c r="B62" s="31" t="n"/>
      <c r="C62" s="31">
        <f>IF(OR($A62="",$B62=""),"",SUMIFS(QuickLog!$K$2:$K$1000,QuickLog!$B$2:$B$1000,$B62,QuickLog!$O$2:$O$1000,$A62,QuickLog!$G$2:$G$1000,"Routine"))</f>
        <v/>
      </c>
      <c r="D62" s="31">
        <f>IF(OR($A62="",$B62=""),"",SUMIFS(QuickLog!$K$2:$K$1000,QuickLog!$B$2:$B$1000,$B62,QuickLog!$O$2:$O$1000,$A62,QuickLog!$G$2:$G$1000,"&lt;&gt;Routine"))</f>
        <v/>
      </c>
      <c r="E62" s="31">
        <f>IF($C62="","",MIN($C62,Settings!$B$2))</f>
        <v/>
      </c>
      <c r="F62" s="31">
        <f>IF($C62="","",MAX(0,$C62-$E62))</f>
        <v/>
      </c>
      <c r="G62" s="31">
        <f>IF(OR($E62="",$D62=""),"", $E62+$D62)</f>
        <v/>
      </c>
      <c r="H62" s="31">
        <f>IF(OR($A62="",$B62=""),"",SUMIFS(QuickLog!$L$2:$L$1000,QuickLog!$B$2:$B$1000,$B62,QuickLog!$O$2:$O$1000,$A62))</f>
        <v/>
      </c>
      <c r="I62" s="32">
        <f>IF($H62="","",$H62)</f>
        <v/>
      </c>
    </row>
    <row r="63">
      <c r="A63" s="29" t="n"/>
      <c r="B63" s="31" t="n"/>
      <c r="C63" s="31">
        <f>IF(OR($A63="",$B63=""),"",SUMIFS(QuickLog!$K$2:$K$1000,QuickLog!$B$2:$B$1000,$B63,QuickLog!$O$2:$O$1000,$A63,QuickLog!$G$2:$G$1000,"Routine"))</f>
        <v/>
      </c>
      <c r="D63" s="31">
        <f>IF(OR($A63="",$B63=""),"",SUMIFS(QuickLog!$K$2:$K$1000,QuickLog!$B$2:$B$1000,$B63,QuickLog!$O$2:$O$1000,$A63,QuickLog!$G$2:$G$1000,"&lt;&gt;Routine"))</f>
        <v/>
      </c>
      <c r="E63" s="31">
        <f>IF($C63="","",MIN($C63,Settings!$B$2))</f>
        <v/>
      </c>
      <c r="F63" s="31">
        <f>IF($C63="","",MAX(0,$C63-$E63))</f>
        <v/>
      </c>
      <c r="G63" s="31">
        <f>IF(OR($E63="",$D63=""),"", $E63+$D63)</f>
        <v/>
      </c>
      <c r="H63" s="31">
        <f>IF(OR($A63="",$B63=""),"",SUMIFS(QuickLog!$L$2:$L$1000,QuickLog!$B$2:$B$1000,$B63,QuickLog!$O$2:$O$1000,$A63))</f>
        <v/>
      </c>
      <c r="I63" s="32">
        <f>IF($H63="","",$H63)</f>
        <v/>
      </c>
    </row>
    <row r="64">
      <c r="A64" s="29" t="n"/>
      <c r="B64" s="31" t="n"/>
      <c r="C64" s="31">
        <f>IF(OR($A64="",$B64=""),"",SUMIFS(QuickLog!$K$2:$K$1000,QuickLog!$B$2:$B$1000,$B64,QuickLog!$O$2:$O$1000,$A64,QuickLog!$G$2:$G$1000,"Routine"))</f>
        <v/>
      </c>
      <c r="D64" s="31">
        <f>IF(OR($A64="",$B64=""),"",SUMIFS(QuickLog!$K$2:$K$1000,QuickLog!$B$2:$B$1000,$B64,QuickLog!$O$2:$O$1000,$A64,QuickLog!$G$2:$G$1000,"&lt;&gt;Routine"))</f>
        <v/>
      </c>
      <c r="E64" s="31">
        <f>IF($C64="","",MIN($C64,Settings!$B$2))</f>
        <v/>
      </c>
      <c r="F64" s="31">
        <f>IF($C64="","",MAX(0,$C64-$E64))</f>
        <v/>
      </c>
      <c r="G64" s="31">
        <f>IF(OR($E64="",$D64=""),"", $E64+$D64)</f>
        <v/>
      </c>
      <c r="H64" s="31">
        <f>IF(OR($A64="",$B64=""),"",SUMIFS(QuickLog!$L$2:$L$1000,QuickLog!$B$2:$B$1000,$B64,QuickLog!$O$2:$O$1000,$A64))</f>
        <v/>
      </c>
      <c r="I64" s="32">
        <f>IF($H64="","",$H64)</f>
        <v/>
      </c>
    </row>
    <row r="65">
      <c r="A65" s="29" t="n"/>
      <c r="B65" s="31" t="n"/>
      <c r="C65" s="31">
        <f>IF(OR($A65="",$B65=""),"",SUMIFS(QuickLog!$K$2:$K$1000,QuickLog!$B$2:$B$1000,$B65,QuickLog!$O$2:$O$1000,$A65,QuickLog!$G$2:$G$1000,"Routine"))</f>
        <v/>
      </c>
      <c r="D65" s="31">
        <f>IF(OR($A65="",$B65=""),"",SUMIFS(QuickLog!$K$2:$K$1000,QuickLog!$B$2:$B$1000,$B65,QuickLog!$O$2:$O$1000,$A65,QuickLog!$G$2:$G$1000,"&lt;&gt;Routine"))</f>
        <v/>
      </c>
      <c r="E65" s="31">
        <f>IF($C65="","",MIN($C65,Settings!$B$2))</f>
        <v/>
      </c>
      <c r="F65" s="31">
        <f>IF($C65="","",MAX(0,$C65-$E65))</f>
        <v/>
      </c>
      <c r="G65" s="31">
        <f>IF(OR($E65="",$D65=""),"", $E65+$D65)</f>
        <v/>
      </c>
      <c r="H65" s="31">
        <f>IF(OR($A65="",$B65=""),"",SUMIFS(QuickLog!$L$2:$L$1000,QuickLog!$B$2:$B$1000,$B65,QuickLog!$O$2:$O$1000,$A65))</f>
        <v/>
      </c>
      <c r="I65" s="32">
        <f>IF($H65="","",$H65)</f>
        <v/>
      </c>
    </row>
    <row r="66">
      <c r="A66" s="29" t="n"/>
      <c r="B66" s="31" t="n"/>
      <c r="C66" s="31">
        <f>IF(OR($A66="",$B66=""),"",SUMIFS(QuickLog!$K$2:$K$1000,QuickLog!$B$2:$B$1000,$B66,QuickLog!$O$2:$O$1000,$A66,QuickLog!$G$2:$G$1000,"Routine"))</f>
        <v/>
      </c>
      <c r="D66" s="31">
        <f>IF(OR($A66="",$B66=""),"",SUMIFS(QuickLog!$K$2:$K$1000,QuickLog!$B$2:$B$1000,$B66,QuickLog!$O$2:$O$1000,$A66,QuickLog!$G$2:$G$1000,"&lt;&gt;Routine"))</f>
        <v/>
      </c>
      <c r="E66" s="31">
        <f>IF($C66="","",MIN($C66,Settings!$B$2))</f>
        <v/>
      </c>
      <c r="F66" s="31">
        <f>IF($C66="","",MAX(0,$C66-$E66))</f>
        <v/>
      </c>
      <c r="G66" s="31">
        <f>IF(OR($E66="",$D66=""),"", $E66+$D66)</f>
        <v/>
      </c>
      <c r="H66" s="31">
        <f>IF(OR($A66="",$B66=""),"",SUMIFS(QuickLog!$L$2:$L$1000,QuickLog!$B$2:$B$1000,$B66,QuickLog!$O$2:$O$1000,$A66))</f>
        <v/>
      </c>
      <c r="I66" s="32">
        <f>IF($H66="","",$H66)</f>
        <v/>
      </c>
    </row>
    <row r="67">
      <c r="A67" s="29" t="n"/>
      <c r="B67" s="31" t="n"/>
      <c r="C67" s="31">
        <f>IF(OR($A67="",$B67=""),"",SUMIFS(QuickLog!$K$2:$K$1000,QuickLog!$B$2:$B$1000,$B67,QuickLog!$O$2:$O$1000,$A67,QuickLog!$G$2:$G$1000,"Routine"))</f>
        <v/>
      </c>
      <c r="D67" s="31">
        <f>IF(OR($A67="",$B67=""),"",SUMIFS(QuickLog!$K$2:$K$1000,QuickLog!$B$2:$B$1000,$B67,QuickLog!$O$2:$O$1000,$A67,QuickLog!$G$2:$G$1000,"&lt;&gt;Routine"))</f>
        <v/>
      </c>
      <c r="E67" s="31">
        <f>IF($C67="","",MIN($C67,Settings!$B$2))</f>
        <v/>
      </c>
      <c r="F67" s="31">
        <f>IF($C67="","",MAX(0,$C67-$E67))</f>
        <v/>
      </c>
      <c r="G67" s="31">
        <f>IF(OR($E67="",$D67=""),"", $E67+$D67)</f>
        <v/>
      </c>
      <c r="H67" s="31">
        <f>IF(OR($A67="",$B67=""),"",SUMIFS(QuickLog!$L$2:$L$1000,QuickLog!$B$2:$B$1000,$B67,QuickLog!$O$2:$O$1000,$A67))</f>
        <v/>
      </c>
      <c r="I67" s="32">
        <f>IF($H67="","",$H67)</f>
        <v/>
      </c>
    </row>
    <row r="68">
      <c r="A68" s="29" t="n"/>
      <c r="B68" s="31" t="n"/>
      <c r="C68" s="31">
        <f>IF(OR($A68="",$B68=""),"",SUMIFS(QuickLog!$K$2:$K$1000,QuickLog!$B$2:$B$1000,$B68,QuickLog!$O$2:$O$1000,$A68,QuickLog!$G$2:$G$1000,"Routine"))</f>
        <v/>
      </c>
      <c r="D68" s="31">
        <f>IF(OR($A68="",$B68=""),"",SUMIFS(QuickLog!$K$2:$K$1000,QuickLog!$B$2:$B$1000,$B68,QuickLog!$O$2:$O$1000,$A68,QuickLog!$G$2:$G$1000,"&lt;&gt;Routine"))</f>
        <v/>
      </c>
      <c r="E68" s="31">
        <f>IF($C68="","",MIN($C68,Settings!$B$2))</f>
        <v/>
      </c>
      <c r="F68" s="31">
        <f>IF($C68="","",MAX(0,$C68-$E68))</f>
        <v/>
      </c>
      <c r="G68" s="31">
        <f>IF(OR($E68="",$D68=""),"", $E68+$D68)</f>
        <v/>
      </c>
      <c r="H68" s="31">
        <f>IF(OR($A68="",$B68=""),"",SUMIFS(QuickLog!$L$2:$L$1000,QuickLog!$B$2:$B$1000,$B68,QuickLog!$O$2:$O$1000,$A68))</f>
        <v/>
      </c>
      <c r="I68" s="32">
        <f>IF($H68="","",$H68)</f>
        <v/>
      </c>
    </row>
    <row r="69">
      <c r="A69" s="29" t="n"/>
      <c r="B69" s="31" t="n"/>
      <c r="C69" s="31">
        <f>IF(OR($A69="",$B69=""),"",SUMIFS(QuickLog!$K$2:$K$1000,QuickLog!$B$2:$B$1000,$B69,QuickLog!$O$2:$O$1000,$A69,QuickLog!$G$2:$G$1000,"Routine"))</f>
        <v/>
      </c>
      <c r="D69" s="31">
        <f>IF(OR($A69="",$B69=""),"",SUMIFS(QuickLog!$K$2:$K$1000,QuickLog!$B$2:$B$1000,$B69,QuickLog!$O$2:$O$1000,$A69,QuickLog!$G$2:$G$1000,"&lt;&gt;Routine"))</f>
        <v/>
      </c>
      <c r="E69" s="31">
        <f>IF($C69="","",MIN($C69,Settings!$B$2))</f>
        <v/>
      </c>
      <c r="F69" s="31">
        <f>IF($C69="","",MAX(0,$C69-$E69))</f>
        <v/>
      </c>
      <c r="G69" s="31">
        <f>IF(OR($E69="",$D69=""),"", $E69+$D69)</f>
        <v/>
      </c>
      <c r="H69" s="31">
        <f>IF(OR($A69="",$B69=""),"",SUMIFS(QuickLog!$L$2:$L$1000,QuickLog!$B$2:$B$1000,$B69,QuickLog!$O$2:$O$1000,$A69))</f>
        <v/>
      </c>
      <c r="I69" s="32">
        <f>IF($H69="","",$H69)</f>
        <v/>
      </c>
    </row>
    <row r="70">
      <c r="A70" s="29" t="n"/>
      <c r="B70" s="31" t="n"/>
      <c r="C70" s="31">
        <f>IF(OR($A70="",$B70=""),"",SUMIFS(QuickLog!$K$2:$K$1000,QuickLog!$B$2:$B$1000,$B70,QuickLog!$O$2:$O$1000,$A70,QuickLog!$G$2:$G$1000,"Routine"))</f>
        <v/>
      </c>
      <c r="D70" s="31">
        <f>IF(OR($A70="",$B70=""),"",SUMIFS(QuickLog!$K$2:$K$1000,QuickLog!$B$2:$B$1000,$B70,QuickLog!$O$2:$O$1000,$A70,QuickLog!$G$2:$G$1000,"&lt;&gt;Routine"))</f>
        <v/>
      </c>
      <c r="E70" s="31">
        <f>IF($C70="","",MIN($C70,Settings!$B$2))</f>
        <v/>
      </c>
      <c r="F70" s="31">
        <f>IF($C70="","",MAX(0,$C70-$E70))</f>
        <v/>
      </c>
      <c r="G70" s="31">
        <f>IF(OR($E70="",$D70=""),"", $E70+$D70)</f>
        <v/>
      </c>
      <c r="H70" s="31">
        <f>IF(OR($A70="",$B70=""),"",SUMIFS(QuickLog!$L$2:$L$1000,QuickLog!$B$2:$B$1000,$B70,QuickLog!$O$2:$O$1000,$A70))</f>
        <v/>
      </c>
      <c r="I70" s="32">
        <f>IF($H70="","",$H70)</f>
        <v/>
      </c>
    </row>
    <row r="71">
      <c r="A71" s="29" t="n"/>
      <c r="B71" s="31" t="n"/>
      <c r="C71" s="31">
        <f>IF(OR($A71="",$B71=""),"",SUMIFS(QuickLog!$K$2:$K$1000,QuickLog!$B$2:$B$1000,$B71,QuickLog!$O$2:$O$1000,$A71,QuickLog!$G$2:$G$1000,"Routine"))</f>
        <v/>
      </c>
      <c r="D71" s="31">
        <f>IF(OR($A71="",$B71=""),"",SUMIFS(QuickLog!$K$2:$K$1000,QuickLog!$B$2:$B$1000,$B71,QuickLog!$O$2:$O$1000,$A71,QuickLog!$G$2:$G$1000,"&lt;&gt;Routine"))</f>
        <v/>
      </c>
      <c r="E71" s="31">
        <f>IF($C71="","",MIN($C71,Settings!$B$2))</f>
        <v/>
      </c>
      <c r="F71" s="31">
        <f>IF($C71="","",MAX(0,$C71-$E71))</f>
        <v/>
      </c>
      <c r="G71" s="31">
        <f>IF(OR($E71="",$D71=""),"", $E71+$D71)</f>
        <v/>
      </c>
      <c r="H71" s="31">
        <f>IF(OR($A71="",$B71=""),"",SUMIFS(QuickLog!$L$2:$L$1000,QuickLog!$B$2:$B$1000,$B71,QuickLog!$O$2:$O$1000,$A71))</f>
        <v/>
      </c>
      <c r="I71" s="32">
        <f>IF($H71="","",$H71)</f>
        <v/>
      </c>
    </row>
    <row r="72">
      <c r="A72" s="29" t="n"/>
      <c r="B72" s="31" t="n"/>
      <c r="C72" s="31">
        <f>IF(OR($A72="",$B72=""),"",SUMIFS(QuickLog!$K$2:$K$1000,QuickLog!$B$2:$B$1000,$B72,QuickLog!$O$2:$O$1000,$A72,QuickLog!$G$2:$G$1000,"Routine"))</f>
        <v/>
      </c>
      <c r="D72" s="31">
        <f>IF(OR($A72="",$B72=""),"",SUMIFS(QuickLog!$K$2:$K$1000,QuickLog!$B$2:$B$1000,$B72,QuickLog!$O$2:$O$1000,$A72,QuickLog!$G$2:$G$1000,"&lt;&gt;Routine"))</f>
        <v/>
      </c>
      <c r="E72" s="31">
        <f>IF($C72="","",MIN($C72,Settings!$B$2))</f>
        <v/>
      </c>
      <c r="F72" s="31">
        <f>IF($C72="","",MAX(0,$C72-$E72))</f>
        <v/>
      </c>
      <c r="G72" s="31">
        <f>IF(OR($E72="",$D72=""),"", $E72+$D72)</f>
        <v/>
      </c>
      <c r="H72" s="31">
        <f>IF(OR($A72="",$B72=""),"",SUMIFS(QuickLog!$L$2:$L$1000,QuickLog!$B$2:$B$1000,$B72,QuickLog!$O$2:$O$1000,$A72))</f>
        <v/>
      </c>
      <c r="I72" s="32">
        <f>IF($H72="","",$H72)</f>
        <v/>
      </c>
    </row>
    <row r="73">
      <c r="A73" s="29" t="n"/>
      <c r="B73" s="31" t="n"/>
      <c r="C73" s="31">
        <f>IF(OR($A73="",$B73=""),"",SUMIFS(QuickLog!$K$2:$K$1000,QuickLog!$B$2:$B$1000,$B73,QuickLog!$O$2:$O$1000,$A73,QuickLog!$G$2:$G$1000,"Routine"))</f>
        <v/>
      </c>
      <c r="D73" s="31">
        <f>IF(OR($A73="",$B73=""),"",SUMIFS(QuickLog!$K$2:$K$1000,QuickLog!$B$2:$B$1000,$B73,QuickLog!$O$2:$O$1000,$A73,QuickLog!$G$2:$G$1000,"&lt;&gt;Routine"))</f>
        <v/>
      </c>
      <c r="E73" s="31">
        <f>IF($C73="","",MIN($C73,Settings!$B$2))</f>
        <v/>
      </c>
      <c r="F73" s="31">
        <f>IF($C73="","",MAX(0,$C73-$E73))</f>
        <v/>
      </c>
      <c r="G73" s="31">
        <f>IF(OR($E73="",$D73=""),"", $E73+$D73)</f>
        <v/>
      </c>
      <c r="H73" s="31">
        <f>IF(OR($A73="",$B73=""),"",SUMIFS(QuickLog!$L$2:$L$1000,QuickLog!$B$2:$B$1000,$B73,QuickLog!$O$2:$O$1000,$A73))</f>
        <v/>
      </c>
      <c r="I73" s="32">
        <f>IF($H73="","",$H73)</f>
        <v/>
      </c>
    </row>
    <row r="74">
      <c r="A74" s="29" t="n"/>
      <c r="B74" s="31" t="n"/>
      <c r="C74" s="31">
        <f>IF(OR($A74="",$B74=""),"",SUMIFS(QuickLog!$K$2:$K$1000,QuickLog!$B$2:$B$1000,$B74,QuickLog!$O$2:$O$1000,$A74,QuickLog!$G$2:$G$1000,"Routine"))</f>
        <v/>
      </c>
      <c r="D74" s="31">
        <f>IF(OR($A74="",$B74=""),"",SUMIFS(QuickLog!$K$2:$K$1000,QuickLog!$B$2:$B$1000,$B74,QuickLog!$O$2:$O$1000,$A74,QuickLog!$G$2:$G$1000,"&lt;&gt;Routine"))</f>
        <v/>
      </c>
      <c r="E74" s="31">
        <f>IF($C74="","",MIN($C74,Settings!$B$2))</f>
        <v/>
      </c>
      <c r="F74" s="31">
        <f>IF($C74="","",MAX(0,$C74-$E74))</f>
        <v/>
      </c>
      <c r="G74" s="31">
        <f>IF(OR($E74="",$D74=""),"", $E74+$D74)</f>
        <v/>
      </c>
      <c r="H74" s="31">
        <f>IF(OR($A74="",$B74=""),"",SUMIFS(QuickLog!$L$2:$L$1000,QuickLog!$B$2:$B$1000,$B74,QuickLog!$O$2:$O$1000,$A74))</f>
        <v/>
      </c>
      <c r="I74" s="32">
        <f>IF($H74="","",$H74)</f>
        <v/>
      </c>
    </row>
    <row r="75">
      <c r="A75" s="29" t="n"/>
      <c r="B75" s="31" t="n"/>
      <c r="C75" s="31">
        <f>IF(OR($A75="",$B75=""),"",SUMIFS(QuickLog!$K$2:$K$1000,QuickLog!$B$2:$B$1000,$B75,QuickLog!$O$2:$O$1000,$A75,QuickLog!$G$2:$G$1000,"Routine"))</f>
        <v/>
      </c>
      <c r="D75" s="31">
        <f>IF(OR($A75="",$B75=""),"",SUMIFS(QuickLog!$K$2:$K$1000,QuickLog!$B$2:$B$1000,$B75,QuickLog!$O$2:$O$1000,$A75,QuickLog!$G$2:$G$1000,"&lt;&gt;Routine"))</f>
        <v/>
      </c>
      <c r="E75" s="31">
        <f>IF($C75="","",MIN($C75,Settings!$B$2))</f>
        <v/>
      </c>
      <c r="F75" s="31">
        <f>IF($C75="","",MAX(0,$C75-$E75))</f>
        <v/>
      </c>
      <c r="G75" s="31">
        <f>IF(OR($E75="",$D75=""),"", $E75+$D75)</f>
        <v/>
      </c>
      <c r="H75" s="31">
        <f>IF(OR($A75="",$B75=""),"",SUMIFS(QuickLog!$L$2:$L$1000,QuickLog!$B$2:$B$1000,$B75,QuickLog!$O$2:$O$1000,$A75))</f>
        <v/>
      </c>
      <c r="I75" s="32">
        <f>IF($H75="","",$H75)</f>
        <v/>
      </c>
    </row>
    <row r="76">
      <c r="A76" s="29" t="n"/>
      <c r="B76" s="31" t="n"/>
      <c r="C76" s="31">
        <f>IF(OR($A76="",$B76=""),"",SUMIFS(QuickLog!$K$2:$K$1000,QuickLog!$B$2:$B$1000,$B76,QuickLog!$O$2:$O$1000,$A76,QuickLog!$G$2:$G$1000,"Routine"))</f>
        <v/>
      </c>
      <c r="D76" s="31">
        <f>IF(OR($A76="",$B76=""),"",SUMIFS(QuickLog!$K$2:$K$1000,QuickLog!$B$2:$B$1000,$B76,QuickLog!$O$2:$O$1000,$A76,QuickLog!$G$2:$G$1000,"&lt;&gt;Routine"))</f>
        <v/>
      </c>
      <c r="E76" s="31">
        <f>IF($C76="","",MIN($C76,Settings!$B$2))</f>
        <v/>
      </c>
      <c r="F76" s="31">
        <f>IF($C76="","",MAX(0,$C76-$E76))</f>
        <v/>
      </c>
      <c r="G76" s="31">
        <f>IF(OR($E76="",$D76=""),"", $E76+$D76)</f>
        <v/>
      </c>
      <c r="H76" s="31">
        <f>IF(OR($A76="",$B76=""),"",SUMIFS(QuickLog!$L$2:$L$1000,QuickLog!$B$2:$B$1000,$B76,QuickLog!$O$2:$O$1000,$A76))</f>
        <v/>
      </c>
      <c r="I76" s="32">
        <f>IF($H76="","",$H76)</f>
        <v/>
      </c>
    </row>
    <row r="77">
      <c r="A77" s="29" t="n"/>
      <c r="B77" s="31" t="n"/>
      <c r="C77" s="31">
        <f>IF(OR($A77="",$B77=""),"",SUMIFS(QuickLog!$K$2:$K$1000,QuickLog!$B$2:$B$1000,$B77,QuickLog!$O$2:$O$1000,$A77,QuickLog!$G$2:$G$1000,"Routine"))</f>
        <v/>
      </c>
      <c r="D77" s="31">
        <f>IF(OR($A77="",$B77=""),"",SUMIFS(QuickLog!$K$2:$K$1000,QuickLog!$B$2:$B$1000,$B77,QuickLog!$O$2:$O$1000,$A77,QuickLog!$G$2:$G$1000,"&lt;&gt;Routine"))</f>
        <v/>
      </c>
      <c r="E77" s="31">
        <f>IF($C77="","",MIN($C77,Settings!$B$2))</f>
        <v/>
      </c>
      <c r="F77" s="31">
        <f>IF($C77="","",MAX(0,$C77-$E77))</f>
        <v/>
      </c>
      <c r="G77" s="31">
        <f>IF(OR($E77="",$D77=""),"", $E77+$D77)</f>
        <v/>
      </c>
      <c r="H77" s="31">
        <f>IF(OR($A77="",$B77=""),"",SUMIFS(QuickLog!$L$2:$L$1000,QuickLog!$B$2:$B$1000,$B77,QuickLog!$O$2:$O$1000,$A77))</f>
        <v/>
      </c>
      <c r="I77" s="32">
        <f>IF($H77="","",$H77)</f>
        <v/>
      </c>
    </row>
    <row r="78">
      <c r="A78" s="29" t="n"/>
      <c r="B78" s="31" t="n"/>
      <c r="C78" s="31">
        <f>IF(OR($A78="",$B78=""),"",SUMIFS(QuickLog!$K$2:$K$1000,QuickLog!$B$2:$B$1000,$B78,QuickLog!$O$2:$O$1000,$A78,QuickLog!$G$2:$G$1000,"Routine"))</f>
        <v/>
      </c>
      <c r="D78" s="31">
        <f>IF(OR($A78="",$B78=""),"",SUMIFS(QuickLog!$K$2:$K$1000,QuickLog!$B$2:$B$1000,$B78,QuickLog!$O$2:$O$1000,$A78,QuickLog!$G$2:$G$1000,"&lt;&gt;Routine"))</f>
        <v/>
      </c>
      <c r="E78" s="31">
        <f>IF($C78="","",MIN($C78,Settings!$B$2))</f>
        <v/>
      </c>
      <c r="F78" s="31">
        <f>IF($C78="","",MAX(0,$C78-$E78))</f>
        <v/>
      </c>
      <c r="G78" s="31">
        <f>IF(OR($E78="",$D78=""),"", $E78+$D78)</f>
        <v/>
      </c>
      <c r="H78" s="31">
        <f>IF(OR($A78="",$B78=""),"",SUMIFS(QuickLog!$L$2:$L$1000,QuickLog!$B$2:$B$1000,$B78,QuickLog!$O$2:$O$1000,$A78))</f>
        <v/>
      </c>
      <c r="I78" s="32">
        <f>IF($H78="","",$H78)</f>
        <v/>
      </c>
    </row>
    <row r="79">
      <c r="A79" s="29" t="n"/>
      <c r="B79" s="31" t="n"/>
      <c r="C79" s="31">
        <f>IF(OR($A79="",$B79=""),"",SUMIFS(QuickLog!$K$2:$K$1000,QuickLog!$B$2:$B$1000,$B79,QuickLog!$O$2:$O$1000,$A79,QuickLog!$G$2:$G$1000,"Routine"))</f>
        <v/>
      </c>
      <c r="D79" s="31">
        <f>IF(OR($A79="",$B79=""),"",SUMIFS(QuickLog!$K$2:$K$1000,QuickLog!$B$2:$B$1000,$B79,QuickLog!$O$2:$O$1000,$A79,QuickLog!$G$2:$G$1000,"&lt;&gt;Routine"))</f>
        <v/>
      </c>
      <c r="E79" s="31">
        <f>IF($C79="","",MIN($C79,Settings!$B$2))</f>
        <v/>
      </c>
      <c r="F79" s="31">
        <f>IF($C79="","",MAX(0,$C79-$E79))</f>
        <v/>
      </c>
      <c r="G79" s="31">
        <f>IF(OR($E79="",$D79=""),"", $E79+$D79)</f>
        <v/>
      </c>
      <c r="H79" s="31">
        <f>IF(OR($A79="",$B79=""),"",SUMIFS(QuickLog!$L$2:$L$1000,QuickLog!$B$2:$B$1000,$B79,QuickLog!$O$2:$O$1000,$A79))</f>
        <v/>
      </c>
      <c r="I79" s="32">
        <f>IF($H79="","",$H79)</f>
        <v/>
      </c>
    </row>
    <row r="80">
      <c r="A80" s="29" t="n"/>
      <c r="B80" s="31" t="n"/>
      <c r="C80" s="31">
        <f>IF(OR($A80="",$B80=""),"",SUMIFS(QuickLog!$K$2:$K$1000,QuickLog!$B$2:$B$1000,$B80,QuickLog!$O$2:$O$1000,$A80,QuickLog!$G$2:$G$1000,"Routine"))</f>
        <v/>
      </c>
      <c r="D80" s="31">
        <f>IF(OR($A80="",$B80=""),"",SUMIFS(QuickLog!$K$2:$K$1000,QuickLog!$B$2:$B$1000,$B80,QuickLog!$O$2:$O$1000,$A80,QuickLog!$G$2:$G$1000,"&lt;&gt;Routine"))</f>
        <v/>
      </c>
      <c r="E80" s="31">
        <f>IF($C80="","",MIN($C80,Settings!$B$2))</f>
        <v/>
      </c>
      <c r="F80" s="31">
        <f>IF($C80="","",MAX(0,$C80-$E80))</f>
        <v/>
      </c>
      <c r="G80" s="31">
        <f>IF(OR($E80="",$D80=""),"", $E80+$D80)</f>
        <v/>
      </c>
      <c r="H80" s="31">
        <f>IF(OR($A80="",$B80=""),"",SUMIFS(QuickLog!$L$2:$L$1000,QuickLog!$B$2:$B$1000,$B80,QuickLog!$O$2:$O$1000,$A80))</f>
        <v/>
      </c>
      <c r="I80" s="32">
        <f>IF($H80="","",$H80)</f>
        <v/>
      </c>
    </row>
    <row r="81">
      <c r="A81" s="29" t="n"/>
      <c r="B81" s="31" t="n"/>
      <c r="C81" s="31">
        <f>IF(OR($A81="",$B81=""),"",SUMIFS(QuickLog!$K$2:$K$1000,QuickLog!$B$2:$B$1000,$B81,QuickLog!$O$2:$O$1000,$A81,QuickLog!$G$2:$G$1000,"Routine"))</f>
        <v/>
      </c>
      <c r="D81" s="31">
        <f>IF(OR($A81="",$B81=""),"",SUMIFS(QuickLog!$K$2:$K$1000,QuickLog!$B$2:$B$1000,$B81,QuickLog!$O$2:$O$1000,$A81,QuickLog!$G$2:$G$1000,"&lt;&gt;Routine"))</f>
        <v/>
      </c>
      <c r="E81" s="31">
        <f>IF($C81="","",MIN($C81,Settings!$B$2))</f>
        <v/>
      </c>
      <c r="F81" s="31">
        <f>IF($C81="","",MAX(0,$C81-$E81))</f>
        <v/>
      </c>
      <c r="G81" s="31">
        <f>IF(OR($E81="",$D81=""),"", $E81+$D81)</f>
        <v/>
      </c>
      <c r="H81" s="31">
        <f>IF(OR($A81="",$B81=""),"",SUMIFS(QuickLog!$L$2:$L$1000,QuickLog!$B$2:$B$1000,$B81,QuickLog!$O$2:$O$1000,$A81))</f>
        <v/>
      </c>
      <c r="I81" s="32">
        <f>IF($H81="","",$H81)</f>
        <v/>
      </c>
    </row>
    <row r="82">
      <c r="A82" s="29" t="n"/>
      <c r="B82" s="31" t="n"/>
      <c r="C82" s="31">
        <f>IF(OR($A82="",$B82=""),"",SUMIFS(QuickLog!$K$2:$K$1000,QuickLog!$B$2:$B$1000,$B82,QuickLog!$O$2:$O$1000,$A82,QuickLog!$G$2:$G$1000,"Routine"))</f>
        <v/>
      </c>
      <c r="D82" s="31">
        <f>IF(OR($A82="",$B82=""),"",SUMIFS(QuickLog!$K$2:$K$1000,QuickLog!$B$2:$B$1000,$B82,QuickLog!$O$2:$O$1000,$A82,QuickLog!$G$2:$G$1000,"&lt;&gt;Routine"))</f>
        <v/>
      </c>
      <c r="E82" s="31">
        <f>IF($C82="","",MIN($C82,Settings!$B$2))</f>
        <v/>
      </c>
      <c r="F82" s="31">
        <f>IF($C82="","",MAX(0,$C82-$E82))</f>
        <v/>
      </c>
      <c r="G82" s="31">
        <f>IF(OR($E82="",$D82=""),"", $E82+$D82)</f>
        <v/>
      </c>
      <c r="H82" s="31">
        <f>IF(OR($A82="",$B82=""),"",SUMIFS(QuickLog!$L$2:$L$1000,QuickLog!$B$2:$B$1000,$B82,QuickLog!$O$2:$O$1000,$A82))</f>
        <v/>
      </c>
      <c r="I82" s="32">
        <f>IF($H82="","",$H82)</f>
        <v/>
      </c>
    </row>
    <row r="83">
      <c r="A83" s="29" t="n"/>
      <c r="B83" s="31" t="n"/>
      <c r="C83" s="31">
        <f>IF(OR($A83="",$B83=""),"",SUMIFS(QuickLog!$K$2:$K$1000,QuickLog!$B$2:$B$1000,$B83,QuickLog!$O$2:$O$1000,$A83,QuickLog!$G$2:$G$1000,"Routine"))</f>
        <v/>
      </c>
      <c r="D83" s="31">
        <f>IF(OR($A83="",$B83=""),"",SUMIFS(QuickLog!$K$2:$K$1000,QuickLog!$B$2:$B$1000,$B83,QuickLog!$O$2:$O$1000,$A83,QuickLog!$G$2:$G$1000,"&lt;&gt;Routine"))</f>
        <v/>
      </c>
      <c r="E83" s="31">
        <f>IF($C83="","",MIN($C83,Settings!$B$2))</f>
        <v/>
      </c>
      <c r="F83" s="31">
        <f>IF($C83="","",MAX(0,$C83-$E83))</f>
        <v/>
      </c>
      <c r="G83" s="31">
        <f>IF(OR($E83="",$D83=""),"", $E83+$D83)</f>
        <v/>
      </c>
      <c r="H83" s="31">
        <f>IF(OR($A83="",$B83=""),"",SUMIFS(QuickLog!$L$2:$L$1000,QuickLog!$B$2:$B$1000,$B83,QuickLog!$O$2:$O$1000,$A83))</f>
        <v/>
      </c>
      <c r="I83" s="32">
        <f>IF($H83="","",$H83)</f>
        <v/>
      </c>
    </row>
    <row r="84">
      <c r="A84" s="29" t="n"/>
      <c r="B84" s="31" t="n"/>
      <c r="C84" s="31">
        <f>IF(OR($A84="",$B84=""),"",SUMIFS(QuickLog!$K$2:$K$1000,QuickLog!$B$2:$B$1000,$B84,QuickLog!$O$2:$O$1000,$A84,QuickLog!$G$2:$G$1000,"Routine"))</f>
        <v/>
      </c>
      <c r="D84" s="31">
        <f>IF(OR($A84="",$B84=""),"",SUMIFS(QuickLog!$K$2:$K$1000,QuickLog!$B$2:$B$1000,$B84,QuickLog!$O$2:$O$1000,$A84,QuickLog!$G$2:$G$1000,"&lt;&gt;Routine"))</f>
        <v/>
      </c>
      <c r="E84" s="31">
        <f>IF($C84="","",MIN($C84,Settings!$B$2))</f>
        <v/>
      </c>
      <c r="F84" s="31">
        <f>IF($C84="","",MAX(0,$C84-$E84))</f>
        <v/>
      </c>
      <c r="G84" s="31">
        <f>IF(OR($E84="",$D84=""),"", $E84+$D84)</f>
        <v/>
      </c>
      <c r="H84" s="31">
        <f>IF(OR($A84="",$B84=""),"",SUMIFS(QuickLog!$L$2:$L$1000,QuickLog!$B$2:$B$1000,$B84,QuickLog!$O$2:$O$1000,$A84))</f>
        <v/>
      </c>
      <c r="I84" s="32">
        <f>IF($H84="","",$H84)</f>
        <v/>
      </c>
    </row>
    <row r="85">
      <c r="A85" s="29" t="n"/>
      <c r="B85" s="31" t="n"/>
      <c r="C85" s="31">
        <f>IF(OR($A85="",$B85=""),"",SUMIFS(QuickLog!$K$2:$K$1000,QuickLog!$B$2:$B$1000,$B85,QuickLog!$O$2:$O$1000,$A85,QuickLog!$G$2:$G$1000,"Routine"))</f>
        <v/>
      </c>
      <c r="D85" s="31">
        <f>IF(OR($A85="",$B85=""),"",SUMIFS(QuickLog!$K$2:$K$1000,QuickLog!$B$2:$B$1000,$B85,QuickLog!$O$2:$O$1000,$A85,QuickLog!$G$2:$G$1000,"&lt;&gt;Routine"))</f>
        <v/>
      </c>
      <c r="E85" s="31">
        <f>IF($C85="","",MIN($C85,Settings!$B$2))</f>
        <v/>
      </c>
      <c r="F85" s="31">
        <f>IF($C85="","",MAX(0,$C85-$E85))</f>
        <v/>
      </c>
      <c r="G85" s="31">
        <f>IF(OR($E85="",$D85=""),"", $E85+$D85)</f>
        <v/>
      </c>
      <c r="H85" s="31">
        <f>IF(OR($A85="",$B85=""),"",SUMIFS(QuickLog!$L$2:$L$1000,QuickLog!$B$2:$B$1000,$B85,QuickLog!$O$2:$O$1000,$A85))</f>
        <v/>
      </c>
      <c r="I85" s="32">
        <f>IF($H85="","",$H85)</f>
        <v/>
      </c>
    </row>
    <row r="86">
      <c r="A86" s="29" t="n"/>
      <c r="B86" s="31" t="n"/>
      <c r="C86" s="31">
        <f>IF(OR($A86="",$B86=""),"",SUMIFS(QuickLog!$K$2:$K$1000,QuickLog!$B$2:$B$1000,$B86,QuickLog!$O$2:$O$1000,$A86,QuickLog!$G$2:$G$1000,"Routine"))</f>
        <v/>
      </c>
      <c r="D86" s="31">
        <f>IF(OR($A86="",$B86=""),"",SUMIFS(QuickLog!$K$2:$K$1000,QuickLog!$B$2:$B$1000,$B86,QuickLog!$O$2:$O$1000,$A86,QuickLog!$G$2:$G$1000,"&lt;&gt;Routine"))</f>
        <v/>
      </c>
      <c r="E86" s="31">
        <f>IF($C86="","",MIN($C86,Settings!$B$2))</f>
        <v/>
      </c>
      <c r="F86" s="31">
        <f>IF($C86="","",MAX(0,$C86-$E86))</f>
        <v/>
      </c>
      <c r="G86" s="31">
        <f>IF(OR($E86="",$D86=""),"", $E86+$D86)</f>
        <v/>
      </c>
      <c r="H86" s="31">
        <f>IF(OR($A86="",$B86=""),"",SUMIFS(QuickLog!$L$2:$L$1000,QuickLog!$B$2:$B$1000,$B86,QuickLog!$O$2:$O$1000,$A86))</f>
        <v/>
      </c>
      <c r="I86" s="32">
        <f>IF($H86="","",$H86)</f>
        <v/>
      </c>
    </row>
    <row r="87">
      <c r="A87" s="29" t="n"/>
      <c r="B87" s="31" t="n"/>
      <c r="C87" s="31">
        <f>IF(OR($A87="",$B87=""),"",SUMIFS(QuickLog!$K$2:$K$1000,QuickLog!$B$2:$B$1000,$B87,QuickLog!$O$2:$O$1000,$A87,QuickLog!$G$2:$G$1000,"Routine"))</f>
        <v/>
      </c>
      <c r="D87" s="31">
        <f>IF(OR($A87="",$B87=""),"",SUMIFS(QuickLog!$K$2:$K$1000,QuickLog!$B$2:$B$1000,$B87,QuickLog!$O$2:$O$1000,$A87,QuickLog!$G$2:$G$1000,"&lt;&gt;Routine"))</f>
        <v/>
      </c>
      <c r="E87" s="31">
        <f>IF($C87="","",MIN($C87,Settings!$B$2))</f>
        <v/>
      </c>
      <c r="F87" s="31">
        <f>IF($C87="","",MAX(0,$C87-$E87))</f>
        <v/>
      </c>
      <c r="G87" s="31">
        <f>IF(OR($E87="",$D87=""),"", $E87+$D87)</f>
        <v/>
      </c>
      <c r="H87" s="31">
        <f>IF(OR($A87="",$B87=""),"",SUMIFS(QuickLog!$L$2:$L$1000,QuickLog!$B$2:$B$1000,$B87,QuickLog!$O$2:$O$1000,$A87))</f>
        <v/>
      </c>
      <c r="I87" s="32">
        <f>IF($H87="","",$H87)</f>
        <v/>
      </c>
    </row>
    <row r="88">
      <c r="A88" s="29" t="n"/>
      <c r="B88" s="31" t="n"/>
      <c r="C88" s="31">
        <f>IF(OR($A88="",$B88=""),"",SUMIFS(QuickLog!$K$2:$K$1000,QuickLog!$B$2:$B$1000,$B88,QuickLog!$O$2:$O$1000,$A88,QuickLog!$G$2:$G$1000,"Routine"))</f>
        <v/>
      </c>
      <c r="D88" s="31">
        <f>IF(OR($A88="",$B88=""),"",SUMIFS(QuickLog!$K$2:$K$1000,QuickLog!$B$2:$B$1000,$B88,QuickLog!$O$2:$O$1000,$A88,QuickLog!$G$2:$G$1000,"&lt;&gt;Routine"))</f>
        <v/>
      </c>
      <c r="E88" s="31">
        <f>IF($C88="","",MIN($C88,Settings!$B$2))</f>
        <v/>
      </c>
      <c r="F88" s="31">
        <f>IF($C88="","",MAX(0,$C88-$E88))</f>
        <v/>
      </c>
      <c r="G88" s="31">
        <f>IF(OR($E88="",$D88=""),"", $E88+$D88)</f>
        <v/>
      </c>
      <c r="H88" s="31">
        <f>IF(OR($A88="",$B88=""),"",SUMIFS(QuickLog!$L$2:$L$1000,QuickLog!$B$2:$B$1000,$B88,QuickLog!$O$2:$O$1000,$A88))</f>
        <v/>
      </c>
      <c r="I88" s="32">
        <f>IF($H88="","",$H88)</f>
        <v/>
      </c>
    </row>
    <row r="89">
      <c r="A89" s="29" t="n"/>
      <c r="B89" s="31" t="n"/>
      <c r="C89" s="31">
        <f>IF(OR($A89="",$B89=""),"",SUMIFS(QuickLog!$K$2:$K$1000,QuickLog!$B$2:$B$1000,$B89,QuickLog!$O$2:$O$1000,$A89,QuickLog!$G$2:$G$1000,"Routine"))</f>
        <v/>
      </c>
      <c r="D89" s="31">
        <f>IF(OR($A89="",$B89=""),"",SUMIFS(QuickLog!$K$2:$K$1000,QuickLog!$B$2:$B$1000,$B89,QuickLog!$O$2:$O$1000,$A89,QuickLog!$G$2:$G$1000,"&lt;&gt;Routine"))</f>
        <v/>
      </c>
      <c r="E89" s="31">
        <f>IF($C89="","",MIN($C89,Settings!$B$2))</f>
        <v/>
      </c>
      <c r="F89" s="31">
        <f>IF($C89="","",MAX(0,$C89-$E89))</f>
        <v/>
      </c>
      <c r="G89" s="31">
        <f>IF(OR($E89="",$D89=""),"", $E89+$D89)</f>
        <v/>
      </c>
      <c r="H89" s="31">
        <f>IF(OR($A89="",$B89=""),"",SUMIFS(QuickLog!$L$2:$L$1000,QuickLog!$B$2:$B$1000,$B89,QuickLog!$O$2:$O$1000,$A89))</f>
        <v/>
      </c>
      <c r="I89" s="32">
        <f>IF($H89="","",$H89)</f>
        <v/>
      </c>
    </row>
    <row r="90">
      <c r="A90" s="29" t="n"/>
      <c r="B90" s="31" t="n"/>
      <c r="C90" s="31">
        <f>IF(OR($A90="",$B90=""),"",SUMIFS(QuickLog!$K$2:$K$1000,QuickLog!$B$2:$B$1000,$B90,QuickLog!$O$2:$O$1000,$A90,QuickLog!$G$2:$G$1000,"Routine"))</f>
        <v/>
      </c>
      <c r="D90" s="31">
        <f>IF(OR($A90="",$B90=""),"",SUMIFS(QuickLog!$K$2:$K$1000,QuickLog!$B$2:$B$1000,$B90,QuickLog!$O$2:$O$1000,$A90,QuickLog!$G$2:$G$1000,"&lt;&gt;Routine"))</f>
        <v/>
      </c>
      <c r="E90" s="31">
        <f>IF($C90="","",MIN($C90,Settings!$B$2))</f>
        <v/>
      </c>
      <c r="F90" s="31">
        <f>IF($C90="","",MAX(0,$C90-$E90))</f>
        <v/>
      </c>
      <c r="G90" s="31">
        <f>IF(OR($E90="",$D90=""),"", $E90+$D90)</f>
        <v/>
      </c>
      <c r="H90" s="31">
        <f>IF(OR($A90="",$B90=""),"",SUMIFS(QuickLog!$L$2:$L$1000,QuickLog!$B$2:$B$1000,$B90,QuickLog!$O$2:$O$1000,$A90))</f>
        <v/>
      </c>
      <c r="I90" s="32">
        <f>IF($H90="","",$H90)</f>
        <v/>
      </c>
    </row>
    <row r="91">
      <c r="A91" s="29" t="n"/>
      <c r="B91" s="31" t="n"/>
      <c r="C91" s="31">
        <f>IF(OR($A91="",$B91=""),"",SUMIFS(QuickLog!$K$2:$K$1000,QuickLog!$B$2:$B$1000,$B91,QuickLog!$O$2:$O$1000,$A91,QuickLog!$G$2:$G$1000,"Routine"))</f>
        <v/>
      </c>
      <c r="D91" s="31">
        <f>IF(OR($A91="",$B91=""),"",SUMIFS(QuickLog!$K$2:$K$1000,QuickLog!$B$2:$B$1000,$B91,QuickLog!$O$2:$O$1000,$A91,QuickLog!$G$2:$G$1000,"&lt;&gt;Routine"))</f>
        <v/>
      </c>
      <c r="E91" s="31">
        <f>IF($C91="","",MIN($C91,Settings!$B$2))</f>
        <v/>
      </c>
      <c r="F91" s="31">
        <f>IF($C91="","",MAX(0,$C91-$E91))</f>
        <v/>
      </c>
      <c r="G91" s="31">
        <f>IF(OR($E91="",$D91=""),"", $E91+$D91)</f>
        <v/>
      </c>
      <c r="H91" s="31">
        <f>IF(OR($A91="",$B91=""),"",SUMIFS(QuickLog!$L$2:$L$1000,QuickLog!$B$2:$B$1000,$B91,QuickLog!$O$2:$O$1000,$A91))</f>
        <v/>
      </c>
      <c r="I91" s="32">
        <f>IF($H91="","",$H91)</f>
        <v/>
      </c>
    </row>
    <row r="92">
      <c r="A92" s="29" t="n"/>
      <c r="B92" s="31" t="n"/>
      <c r="C92" s="31">
        <f>IF(OR($A92="",$B92=""),"",SUMIFS(QuickLog!$K$2:$K$1000,QuickLog!$B$2:$B$1000,$B92,QuickLog!$O$2:$O$1000,$A92,QuickLog!$G$2:$G$1000,"Routine"))</f>
        <v/>
      </c>
      <c r="D92" s="31">
        <f>IF(OR($A92="",$B92=""),"",SUMIFS(QuickLog!$K$2:$K$1000,QuickLog!$B$2:$B$1000,$B92,QuickLog!$O$2:$O$1000,$A92,QuickLog!$G$2:$G$1000,"&lt;&gt;Routine"))</f>
        <v/>
      </c>
      <c r="E92" s="31">
        <f>IF($C92="","",MIN($C92,Settings!$B$2))</f>
        <v/>
      </c>
      <c r="F92" s="31">
        <f>IF($C92="","",MAX(0,$C92-$E92))</f>
        <v/>
      </c>
      <c r="G92" s="31">
        <f>IF(OR($E92="",$D92=""),"", $E92+$D92)</f>
        <v/>
      </c>
      <c r="H92" s="31">
        <f>IF(OR($A92="",$B92=""),"",SUMIFS(QuickLog!$L$2:$L$1000,QuickLog!$B$2:$B$1000,$B92,QuickLog!$O$2:$O$1000,$A92))</f>
        <v/>
      </c>
      <c r="I92" s="32">
        <f>IF($H92="","",$H92)</f>
        <v/>
      </c>
    </row>
    <row r="93">
      <c r="A93" s="29" t="n"/>
      <c r="B93" s="31" t="n"/>
      <c r="C93" s="31">
        <f>IF(OR($A93="",$B93=""),"",SUMIFS(QuickLog!$K$2:$K$1000,QuickLog!$B$2:$B$1000,$B93,QuickLog!$O$2:$O$1000,$A93,QuickLog!$G$2:$G$1000,"Routine"))</f>
        <v/>
      </c>
      <c r="D93" s="31">
        <f>IF(OR($A93="",$B93=""),"",SUMIFS(QuickLog!$K$2:$K$1000,QuickLog!$B$2:$B$1000,$B93,QuickLog!$O$2:$O$1000,$A93,QuickLog!$G$2:$G$1000,"&lt;&gt;Routine"))</f>
        <v/>
      </c>
      <c r="E93" s="31">
        <f>IF($C93="","",MIN($C93,Settings!$B$2))</f>
        <v/>
      </c>
      <c r="F93" s="31">
        <f>IF($C93="","",MAX(0,$C93-$E93))</f>
        <v/>
      </c>
      <c r="G93" s="31">
        <f>IF(OR($E93="",$D93=""),"", $E93+$D93)</f>
        <v/>
      </c>
      <c r="H93" s="31">
        <f>IF(OR($A93="",$B93=""),"",SUMIFS(QuickLog!$L$2:$L$1000,QuickLog!$B$2:$B$1000,$B93,QuickLog!$O$2:$O$1000,$A93))</f>
        <v/>
      </c>
      <c r="I93" s="32">
        <f>IF($H93="","",$H93)</f>
        <v/>
      </c>
    </row>
    <row r="94">
      <c r="A94" s="29" t="n"/>
      <c r="B94" s="31" t="n"/>
      <c r="C94" s="31">
        <f>IF(OR($A94="",$B94=""),"",SUMIFS(QuickLog!$K$2:$K$1000,QuickLog!$B$2:$B$1000,$B94,QuickLog!$O$2:$O$1000,$A94,QuickLog!$G$2:$G$1000,"Routine"))</f>
        <v/>
      </c>
      <c r="D94" s="31">
        <f>IF(OR($A94="",$B94=""),"",SUMIFS(QuickLog!$K$2:$K$1000,QuickLog!$B$2:$B$1000,$B94,QuickLog!$O$2:$O$1000,$A94,QuickLog!$G$2:$G$1000,"&lt;&gt;Routine"))</f>
        <v/>
      </c>
      <c r="E94" s="31">
        <f>IF($C94="","",MIN($C94,Settings!$B$2))</f>
        <v/>
      </c>
      <c r="F94" s="31">
        <f>IF($C94="","",MAX(0,$C94-$E94))</f>
        <v/>
      </c>
      <c r="G94" s="31">
        <f>IF(OR($E94="",$D94=""),"", $E94+$D94)</f>
        <v/>
      </c>
      <c r="H94" s="31">
        <f>IF(OR($A94="",$B94=""),"",SUMIFS(QuickLog!$L$2:$L$1000,QuickLog!$B$2:$B$1000,$B94,QuickLog!$O$2:$O$1000,$A94))</f>
        <v/>
      </c>
      <c r="I94" s="32">
        <f>IF($H94="","",$H94)</f>
        <v/>
      </c>
    </row>
    <row r="95">
      <c r="A95" s="29" t="n"/>
      <c r="B95" s="31" t="n"/>
      <c r="C95" s="31">
        <f>IF(OR($A95="",$B95=""),"",SUMIFS(QuickLog!$K$2:$K$1000,QuickLog!$B$2:$B$1000,$B95,QuickLog!$O$2:$O$1000,$A95,QuickLog!$G$2:$G$1000,"Routine"))</f>
        <v/>
      </c>
      <c r="D95" s="31">
        <f>IF(OR($A95="",$B95=""),"",SUMIFS(QuickLog!$K$2:$K$1000,QuickLog!$B$2:$B$1000,$B95,QuickLog!$O$2:$O$1000,$A95,QuickLog!$G$2:$G$1000,"&lt;&gt;Routine"))</f>
        <v/>
      </c>
      <c r="E95" s="31">
        <f>IF($C95="","",MIN($C95,Settings!$B$2))</f>
        <v/>
      </c>
      <c r="F95" s="31">
        <f>IF($C95="","",MAX(0,$C95-$E95))</f>
        <v/>
      </c>
      <c r="G95" s="31">
        <f>IF(OR($E95="",$D95=""),"", $E95+$D95)</f>
        <v/>
      </c>
      <c r="H95" s="31">
        <f>IF(OR($A95="",$B95=""),"",SUMIFS(QuickLog!$L$2:$L$1000,QuickLog!$B$2:$B$1000,$B95,QuickLog!$O$2:$O$1000,$A95))</f>
        <v/>
      </c>
      <c r="I95" s="32">
        <f>IF($H95="","",$H95)</f>
        <v/>
      </c>
    </row>
    <row r="96">
      <c r="A96" s="29" t="n"/>
      <c r="B96" s="31" t="n"/>
      <c r="C96" s="31">
        <f>IF(OR($A96="",$B96=""),"",SUMIFS(QuickLog!$K$2:$K$1000,QuickLog!$B$2:$B$1000,$B96,QuickLog!$O$2:$O$1000,$A96,QuickLog!$G$2:$G$1000,"Routine"))</f>
        <v/>
      </c>
      <c r="D96" s="31">
        <f>IF(OR($A96="",$B96=""),"",SUMIFS(QuickLog!$K$2:$K$1000,QuickLog!$B$2:$B$1000,$B96,QuickLog!$O$2:$O$1000,$A96,QuickLog!$G$2:$G$1000,"&lt;&gt;Routine"))</f>
        <v/>
      </c>
      <c r="E96" s="31">
        <f>IF($C96="","",MIN($C96,Settings!$B$2))</f>
        <v/>
      </c>
      <c r="F96" s="31">
        <f>IF($C96="","",MAX(0,$C96-$E96))</f>
        <v/>
      </c>
      <c r="G96" s="31">
        <f>IF(OR($E96="",$D96=""),"", $E96+$D96)</f>
        <v/>
      </c>
      <c r="H96" s="31">
        <f>IF(OR($A96="",$B96=""),"",SUMIFS(QuickLog!$L$2:$L$1000,QuickLog!$B$2:$B$1000,$B96,QuickLog!$O$2:$O$1000,$A96))</f>
        <v/>
      </c>
      <c r="I96" s="32">
        <f>IF($H96="","",$H96)</f>
        <v/>
      </c>
    </row>
    <row r="97">
      <c r="A97" s="29" t="n"/>
      <c r="B97" s="31" t="n"/>
      <c r="C97" s="31">
        <f>IF(OR($A97="",$B97=""),"",SUMIFS(QuickLog!$K$2:$K$1000,QuickLog!$B$2:$B$1000,$B97,QuickLog!$O$2:$O$1000,$A97,QuickLog!$G$2:$G$1000,"Routine"))</f>
        <v/>
      </c>
      <c r="D97" s="31">
        <f>IF(OR($A97="",$B97=""),"",SUMIFS(QuickLog!$K$2:$K$1000,QuickLog!$B$2:$B$1000,$B97,QuickLog!$O$2:$O$1000,$A97,QuickLog!$G$2:$G$1000,"&lt;&gt;Routine"))</f>
        <v/>
      </c>
      <c r="E97" s="31">
        <f>IF($C97="","",MIN($C97,Settings!$B$2))</f>
        <v/>
      </c>
      <c r="F97" s="31">
        <f>IF($C97="","",MAX(0,$C97-$E97))</f>
        <v/>
      </c>
      <c r="G97" s="31">
        <f>IF(OR($E97="",$D97=""),"", $E97+$D97)</f>
        <v/>
      </c>
      <c r="H97" s="31">
        <f>IF(OR($A97="",$B97=""),"",SUMIFS(QuickLog!$L$2:$L$1000,QuickLog!$B$2:$B$1000,$B97,QuickLog!$O$2:$O$1000,$A97))</f>
        <v/>
      </c>
      <c r="I97" s="32">
        <f>IF($H97="","",$H97)</f>
        <v/>
      </c>
    </row>
    <row r="98">
      <c r="A98" s="29" t="n"/>
      <c r="B98" s="31" t="n"/>
      <c r="C98" s="31">
        <f>IF(OR($A98="",$B98=""),"",SUMIFS(QuickLog!$K$2:$K$1000,QuickLog!$B$2:$B$1000,$B98,QuickLog!$O$2:$O$1000,$A98,QuickLog!$G$2:$G$1000,"Routine"))</f>
        <v/>
      </c>
      <c r="D98" s="31">
        <f>IF(OR($A98="",$B98=""),"",SUMIFS(QuickLog!$K$2:$K$1000,QuickLog!$B$2:$B$1000,$B98,QuickLog!$O$2:$O$1000,$A98,QuickLog!$G$2:$G$1000,"&lt;&gt;Routine"))</f>
        <v/>
      </c>
      <c r="E98" s="31">
        <f>IF($C98="","",MIN($C98,Settings!$B$2))</f>
        <v/>
      </c>
      <c r="F98" s="31">
        <f>IF($C98="","",MAX(0,$C98-$E98))</f>
        <v/>
      </c>
      <c r="G98" s="31">
        <f>IF(OR($E98="",$D98=""),"", $E98+$D98)</f>
        <v/>
      </c>
      <c r="H98" s="31">
        <f>IF(OR($A98="",$B98=""),"",SUMIFS(QuickLog!$L$2:$L$1000,QuickLog!$B$2:$B$1000,$B98,QuickLog!$O$2:$O$1000,$A98))</f>
        <v/>
      </c>
      <c r="I98" s="32">
        <f>IF($H98="","",$H98)</f>
        <v/>
      </c>
    </row>
    <row r="99">
      <c r="A99" s="29" t="n"/>
      <c r="B99" s="31" t="n"/>
      <c r="C99" s="31">
        <f>IF(OR($A99="",$B99=""),"",SUMIFS(QuickLog!$K$2:$K$1000,QuickLog!$B$2:$B$1000,$B99,QuickLog!$O$2:$O$1000,$A99,QuickLog!$G$2:$G$1000,"Routine"))</f>
        <v/>
      </c>
      <c r="D99" s="31">
        <f>IF(OR($A99="",$B99=""),"",SUMIFS(QuickLog!$K$2:$K$1000,QuickLog!$B$2:$B$1000,$B99,QuickLog!$O$2:$O$1000,$A99,QuickLog!$G$2:$G$1000,"&lt;&gt;Routine"))</f>
        <v/>
      </c>
      <c r="E99" s="31">
        <f>IF($C99="","",MIN($C99,Settings!$B$2))</f>
        <v/>
      </c>
      <c r="F99" s="31">
        <f>IF($C99="","",MAX(0,$C99-$E99))</f>
        <v/>
      </c>
      <c r="G99" s="31">
        <f>IF(OR($E99="",$D99=""),"", $E99+$D99)</f>
        <v/>
      </c>
      <c r="H99" s="31">
        <f>IF(OR($A99="",$B99=""),"",SUMIFS(QuickLog!$L$2:$L$1000,QuickLog!$B$2:$B$1000,$B99,QuickLog!$O$2:$O$1000,$A99))</f>
        <v/>
      </c>
      <c r="I99" s="32">
        <f>IF($H99="","",$H99)</f>
        <v/>
      </c>
    </row>
    <row r="100">
      <c r="A100" s="29" t="n"/>
      <c r="B100" s="31" t="n"/>
      <c r="C100" s="31">
        <f>IF(OR($A100="",$B100=""),"",SUMIFS(QuickLog!$K$2:$K$1000,QuickLog!$B$2:$B$1000,$B100,QuickLog!$O$2:$O$1000,$A100,QuickLog!$G$2:$G$1000,"Routine"))</f>
        <v/>
      </c>
      <c r="D100" s="31">
        <f>IF(OR($A100="",$B100=""),"",SUMIFS(QuickLog!$K$2:$K$1000,QuickLog!$B$2:$B$1000,$B100,QuickLog!$O$2:$O$1000,$A100,QuickLog!$G$2:$G$1000,"&lt;&gt;Routine"))</f>
        <v/>
      </c>
      <c r="E100" s="31">
        <f>IF($C100="","",MIN($C100,Settings!$B$2))</f>
        <v/>
      </c>
      <c r="F100" s="31">
        <f>IF($C100="","",MAX(0,$C100-$E100))</f>
        <v/>
      </c>
      <c r="G100" s="31">
        <f>IF(OR($E100="",$D100=""),"", $E100+$D100)</f>
        <v/>
      </c>
      <c r="H100" s="31">
        <f>IF(OR($A100="",$B100=""),"",SUMIFS(QuickLog!$L$2:$L$1000,QuickLog!$B$2:$B$1000,$B100,QuickLog!$O$2:$O$1000,$A100))</f>
        <v/>
      </c>
      <c r="I100" s="32">
        <f>IF($H100="","",$H100)</f>
        <v/>
      </c>
    </row>
    <row r="101">
      <c r="A101" s="29" t="n"/>
      <c r="B101" s="31" t="n"/>
      <c r="C101" s="31">
        <f>IF(OR($A101="",$B101=""),"",SUMIFS(QuickLog!$K$2:$K$1000,QuickLog!$B$2:$B$1000,$B101,QuickLog!$O$2:$O$1000,$A101,QuickLog!$G$2:$G$1000,"Routine"))</f>
        <v/>
      </c>
      <c r="D101" s="31">
        <f>IF(OR($A101="",$B101=""),"",SUMIFS(QuickLog!$K$2:$K$1000,QuickLog!$B$2:$B$1000,$B101,QuickLog!$O$2:$O$1000,$A101,QuickLog!$G$2:$G$1000,"&lt;&gt;Routine"))</f>
        <v/>
      </c>
      <c r="E101" s="31">
        <f>IF($C101="","",MIN($C101,Settings!$B$2))</f>
        <v/>
      </c>
      <c r="F101" s="31">
        <f>IF($C101="","",MAX(0,$C101-$E101))</f>
        <v/>
      </c>
      <c r="G101" s="31">
        <f>IF(OR($E101="",$D101=""),"", $E101+$D101)</f>
        <v/>
      </c>
      <c r="H101" s="31">
        <f>IF(OR($A101="",$B101=""),"",SUMIFS(QuickLog!$L$2:$L$1000,QuickLog!$B$2:$B$1000,$B101,QuickLog!$O$2:$O$1000,$A101))</f>
        <v/>
      </c>
      <c r="I101" s="32">
        <f>IF($H101="","",$H101)</f>
        <v/>
      </c>
    </row>
    <row r="102">
      <c r="A102" s="29" t="n"/>
      <c r="B102" s="31" t="n"/>
      <c r="C102" s="31">
        <f>IF(OR($A102="",$B102=""),"",SUMIFS(QuickLog!$K$2:$K$1000,QuickLog!$B$2:$B$1000,$B102,QuickLog!$O$2:$O$1000,$A102,QuickLog!$G$2:$G$1000,"Routine"))</f>
        <v/>
      </c>
      <c r="D102" s="31">
        <f>IF(OR($A102="",$B102=""),"",SUMIFS(QuickLog!$K$2:$K$1000,QuickLog!$B$2:$B$1000,$B102,QuickLog!$O$2:$O$1000,$A102,QuickLog!$G$2:$G$1000,"&lt;&gt;Routine"))</f>
        <v/>
      </c>
      <c r="E102" s="31">
        <f>IF($C102="","",MIN($C102,Settings!$B$2))</f>
        <v/>
      </c>
      <c r="F102" s="31">
        <f>IF($C102="","",MAX(0,$C102-$E102))</f>
        <v/>
      </c>
      <c r="G102" s="31">
        <f>IF(OR($E102="",$D102=""),"", $E102+$D102)</f>
        <v/>
      </c>
      <c r="H102" s="31">
        <f>IF(OR($A102="",$B102=""),"",SUMIFS(QuickLog!$L$2:$L$1000,QuickLog!$B$2:$B$1000,$B102,QuickLog!$O$2:$O$1000,$A102))</f>
        <v/>
      </c>
      <c r="I102" s="32">
        <f>IF($H102="","",$H102)</f>
        <v/>
      </c>
    </row>
    <row r="103">
      <c r="A103" s="29" t="n"/>
      <c r="B103" s="31" t="n"/>
      <c r="C103" s="31">
        <f>IF(OR($A103="",$B103=""),"",SUMIFS(QuickLog!$K$2:$K$1000,QuickLog!$B$2:$B$1000,$B103,QuickLog!$O$2:$O$1000,$A103,QuickLog!$G$2:$G$1000,"Routine"))</f>
        <v/>
      </c>
      <c r="D103" s="31">
        <f>IF(OR($A103="",$B103=""),"",SUMIFS(QuickLog!$K$2:$K$1000,QuickLog!$B$2:$B$1000,$B103,QuickLog!$O$2:$O$1000,$A103,QuickLog!$G$2:$G$1000,"&lt;&gt;Routine"))</f>
        <v/>
      </c>
      <c r="E103" s="31">
        <f>IF($C103="","",MIN($C103,Settings!$B$2))</f>
        <v/>
      </c>
      <c r="F103" s="31">
        <f>IF($C103="","",MAX(0,$C103-$E103))</f>
        <v/>
      </c>
      <c r="G103" s="31">
        <f>IF(OR($E103="",$D103=""),"", $E103+$D103)</f>
        <v/>
      </c>
      <c r="H103" s="31">
        <f>IF(OR($A103="",$B103=""),"",SUMIFS(QuickLog!$L$2:$L$1000,QuickLog!$B$2:$B$1000,$B103,QuickLog!$O$2:$O$1000,$A103))</f>
        <v/>
      </c>
      <c r="I103" s="32">
        <f>IF($H103="","",$H103)</f>
        <v/>
      </c>
    </row>
    <row r="104">
      <c r="A104" s="29" t="n"/>
      <c r="B104" s="31" t="n"/>
      <c r="C104" s="31">
        <f>IF(OR($A104="",$B104=""),"",SUMIFS(QuickLog!$K$2:$K$1000,QuickLog!$B$2:$B$1000,$B104,QuickLog!$O$2:$O$1000,$A104,QuickLog!$G$2:$G$1000,"Routine"))</f>
        <v/>
      </c>
      <c r="D104" s="31">
        <f>IF(OR($A104="",$B104=""),"",SUMIFS(QuickLog!$K$2:$K$1000,QuickLog!$B$2:$B$1000,$B104,QuickLog!$O$2:$O$1000,$A104,QuickLog!$G$2:$G$1000,"&lt;&gt;Routine"))</f>
        <v/>
      </c>
      <c r="E104" s="31">
        <f>IF($C104="","",MIN($C104,Settings!$B$2))</f>
        <v/>
      </c>
      <c r="F104" s="31">
        <f>IF($C104="","",MAX(0,$C104-$E104))</f>
        <v/>
      </c>
      <c r="G104" s="31">
        <f>IF(OR($E104="",$D104=""),"", $E104+$D104)</f>
        <v/>
      </c>
      <c r="H104" s="31">
        <f>IF(OR($A104="",$B104=""),"",SUMIFS(QuickLog!$L$2:$L$1000,QuickLog!$B$2:$B$1000,$B104,QuickLog!$O$2:$O$1000,$A104))</f>
        <v/>
      </c>
      <c r="I104" s="32">
        <f>IF($H104="","",$H104)</f>
        <v/>
      </c>
    </row>
    <row r="105">
      <c r="A105" s="29" t="n"/>
      <c r="B105" s="31" t="n"/>
      <c r="C105" s="31">
        <f>IF(OR($A105="",$B105=""),"",SUMIFS(QuickLog!$K$2:$K$1000,QuickLog!$B$2:$B$1000,$B105,QuickLog!$O$2:$O$1000,$A105,QuickLog!$G$2:$G$1000,"Routine"))</f>
        <v/>
      </c>
      <c r="D105" s="31">
        <f>IF(OR($A105="",$B105=""),"",SUMIFS(QuickLog!$K$2:$K$1000,QuickLog!$B$2:$B$1000,$B105,QuickLog!$O$2:$O$1000,$A105,QuickLog!$G$2:$G$1000,"&lt;&gt;Routine"))</f>
        <v/>
      </c>
      <c r="E105" s="31">
        <f>IF($C105="","",MIN($C105,Settings!$B$2))</f>
        <v/>
      </c>
      <c r="F105" s="31">
        <f>IF($C105="","",MAX(0,$C105-$E105))</f>
        <v/>
      </c>
      <c r="G105" s="31">
        <f>IF(OR($E105="",$D105=""),"", $E105+$D105)</f>
        <v/>
      </c>
      <c r="H105" s="31">
        <f>IF(OR($A105="",$B105=""),"",SUMIFS(QuickLog!$L$2:$L$1000,QuickLog!$B$2:$B$1000,$B105,QuickLog!$O$2:$O$1000,$A105))</f>
        <v/>
      </c>
      <c r="I105" s="32">
        <f>IF($H105="","",$H105)</f>
        <v/>
      </c>
    </row>
    <row r="106">
      <c r="A106" s="29" t="n"/>
      <c r="B106" s="31" t="n"/>
      <c r="C106" s="31">
        <f>IF(OR($A106="",$B106=""),"",SUMIFS(QuickLog!$K$2:$K$1000,QuickLog!$B$2:$B$1000,$B106,QuickLog!$O$2:$O$1000,$A106,QuickLog!$G$2:$G$1000,"Routine"))</f>
        <v/>
      </c>
      <c r="D106" s="31">
        <f>IF(OR($A106="",$B106=""),"",SUMIFS(QuickLog!$K$2:$K$1000,QuickLog!$B$2:$B$1000,$B106,QuickLog!$O$2:$O$1000,$A106,QuickLog!$G$2:$G$1000,"&lt;&gt;Routine"))</f>
        <v/>
      </c>
      <c r="E106" s="31">
        <f>IF($C106="","",MIN($C106,Settings!$B$2))</f>
        <v/>
      </c>
      <c r="F106" s="31">
        <f>IF($C106="","",MAX(0,$C106-$E106))</f>
        <v/>
      </c>
      <c r="G106" s="31">
        <f>IF(OR($E106="",$D106=""),"", $E106+$D106)</f>
        <v/>
      </c>
      <c r="H106" s="31">
        <f>IF(OR($A106="",$B106=""),"",SUMIFS(QuickLog!$L$2:$L$1000,QuickLog!$B$2:$B$1000,$B106,QuickLog!$O$2:$O$1000,$A106))</f>
        <v/>
      </c>
      <c r="I106" s="32">
        <f>IF($H106="","",$H106)</f>
        <v/>
      </c>
    </row>
    <row r="107">
      <c r="A107" s="29" t="n"/>
      <c r="B107" s="31" t="n"/>
      <c r="C107" s="31">
        <f>IF(OR($A107="",$B107=""),"",SUMIFS(QuickLog!$K$2:$K$1000,QuickLog!$B$2:$B$1000,$B107,QuickLog!$O$2:$O$1000,$A107,QuickLog!$G$2:$G$1000,"Routine"))</f>
        <v/>
      </c>
      <c r="D107" s="31">
        <f>IF(OR($A107="",$B107=""),"",SUMIFS(QuickLog!$K$2:$K$1000,QuickLog!$B$2:$B$1000,$B107,QuickLog!$O$2:$O$1000,$A107,QuickLog!$G$2:$G$1000,"&lt;&gt;Routine"))</f>
        <v/>
      </c>
      <c r="E107" s="31">
        <f>IF($C107="","",MIN($C107,Settings!$B$2))</f>
        <v/>
      </c>
      <c r="F107" s="31">
        <f>IF($C107="","",MAX(0,$C107-$E107))</f>
        <v/>
      </c>
      <c r="G107" s="31">
        <f>IF(OR($E107="",$D107=""),"", $E107+$D107)</f>
        <v/>
      </c>
      <c r="H107" s="31">
        <f>IF(OR($A107="",$B107=""),"",SUMIFS(QuickLog!$L$2:$L$1000,QuickLog!$B$2:$B$1000,$B107,QuickLog!$O$2:$O$1000,$A107))</f>
        <v/>
      </c>
      <c r="I107" s="32">
        <f>IF($H107="","",$H107)</f>
        <v/>
      </c>
    </row>
    <row r="108">
      <c r="A108" s="29" t="n"/>
      <c r="B108" s="31" t="n"/>
      <c r="C108" s="31">
        <f>IF(OR($A108="",$B108=""),"",SUMIFS(QuickLog!$K$2:$K$1000,QuickLog!$B$2:$B$1000,$B108,QuickLog!$O$2:$O$1000,$A108,QuickLog!$G$2:$G$1000,"Routine"))</f>
        <v/>
      </c>
      <c r="D108" s="31">
        <f>IF(OR($A108="",$B108=""),"",SUMIFS(QuickLog!$K$2:$K$1000,QuickLog!$B$2:$B$1000,$B108,QuickLog!$O$2:$O$1000,$A108,QuickLog!$G$2:$G$1000,"&lt;&gt;Routine"))</f>
        <v/>
      </c>
      <c r="E108" s="31">
        <f>IF($C108="","",MIN($C108,Settings!$B$2))</f>
        <v/>
      </c>
      <c r="F108" s="31">
        <f>IF($C108="","",MAX(0,$C108-$E108))</f>
        <v/>
      </c>
      <c r="G108" s="31">
        <f>IF(OR($E108="",$D108=""),"", $E108+$D108)</f>
        <v/>
      </c>
      <c r="H108" s="31">
        <f>IF(OR($A108="",$B108=""),"",SUMIFS(QuickLog!$L$2:$L$1000,QuickLog!$B$2:$B$1000,$B108,QuickLog!$O$2:$O$1000,$A108))</f>
        <v/>
      </c>
      <c r="I108" s="32">
        <f>IF($H108="","",$H108)</f>
        <v/>
      </c>
    </row>
    <row r="109">
      <c r="A109" s="29" t="n"/>
      <c r="B109" s="31" t="n"/>
      <c r="C109" s="31">
        <f>IF(OR($A109="",$B109=""),"",SUMIFS(QuickLog!$K$2:$K$1000,QuickLog!$B$2:$B$1000,$B109,QuickLog!$O$2:$O$1000,$A109,QuickLog!$G$2:$G$1000,"Routine"))</f>
        <v/>
      </c>
      <c r="D109" s="31">
        <f>IF(OR($A109="",$B109=""),"",SUMIFS(QuickLog!$K$2:$K$1000,QuickLog!$B$2:$B$1000,$B109,QuickLog!$O$2:$O$1000,$A109,QuickLog!$G$2:$G$1000,"&lt;&gt;Routine"))</f>
        <v/>
      </c>
      <c r="E109" s="31">
        <f>IF($C109="","",MIN($C109,Settings!$B$2))</f>
        <v/>
      </c>
      <c r="F109" s="31">
        <f>IF($C109="","",MAX(0,$C109-$E109))</f>
        <v/>
      </c>
      <c r="G109" s="31">
        <f>IF(OR($E109="",$D109=""),"", $E109+$D109)</f>
        <v/>
      </c>
      <c r="H109" s="31">
        <f>IF(OR($A109="",$B109=""),"",SUMIFS(QuickLog!$L$2:$L$1000,QuickLog!$B$2:$B$1000,$B109,QuickLog!$O$2:$O$1000,$A109))</f>
        <v/>
      </c>
      <c r="I109" s="32">
        <f>IF($H109="","",$H109)</f>
        <v/>
      </c>
    </row>
    <row r="110">
      <c r="A110" s="29" t="n"/>
      <c r="B110" s="31" t="n"/>
      <c r="C110" s="31">
        <f>IF(OR($A110="",$B110=""),"",SUMIFS(QuickLog!$K$2:$K$1000,QuickLog!$B$2:$B$1000,$B110,QuickLog!$O$2:$O$1000,$A110,QuickLog!$G$2:$G$1000,"Routine"))</f>
        <v/>
      </c>
      <c r="D110" s="31">
        <f>IF(OR($A110="",$B110=""),"",SUMIFS(QuickLog!$K$2:$K$1000,QuickLog!$B$2:$B$1000,$B110,QuickLog!$O$2:$O$1000,$A110,QuickLog!$G$2:$G$1000,"&lt;&gt;Routine"))</f>
        <v/>
      </c>
      <c r="E110" s="31">
        <f>IF($C110="","",MIN($C110,Settings!$B$2))</f>
        <v/>
      </c>
      <c r="F110" s="31">
        <f>IF($C110="","",MAX(0,$C110-$E110))</f>
        <v/>
      </c>
      <c r="G110" s="31">
        <f>IF(OR($E110="",$D110=""),"", $E110+$D110)</f>
        <v/>
      </c>
      <c r="H110" s="31">
        <f>IF(OR($A110="",$B110=""),"",SUMIFS(QuickLog!$L$2:$L$1000,QuickLog!$B$2:$B$1000,$B110,QuickLog!$O$2:$O$1000,$A110))</f>
        <v/>
      </c>
      <c r="I110" s="32">
        <f>IF($H110="","",$H110)</f>
        <v/>
      </c>
    </row>
    <row r="111">
      <c r="A111" s="29" t="n"/>
      <c r="B111" s="31" t="n"/>
      <c r="C111" s="31">
        <f>IF(OR($A111="",$B111=""),"",SUMIFS(QuickLog!$K$2:$K$1000,QuickLog!$B$2:$B$1000,$B111,QuickLog!$O$2:$O$1000,$A111,QuickLog!$G$2:$G$1000,"Routine"))</f>
        <v/>
      </c>
      <c r="D111" s="31">
        <f>IF(OR($A111="",$B111=""),"",SUMIFS(QuickLog!$K$2:$K$1000,QuickLog!$B$2:$B$1000,$B111,QuickLog!$O$2:$O$1000,$A111,QuickLog!$G$2:$G$1000,"&lt;&gt;Routine"))</f>
        <v/>
      </c>
      <c r="E111" s="31">
        <f>IF($C111="","",MIN($C111,Settings!$B$2))</f>
        <v/>
      </c>
      <c r="F111" s="31">
        <f>IF($C111="","",MAX(0,$C111-$E111))</f>
        <v/>
      </c>
      <c r="G111" s="31">
        <f>IF(OR($E111="",$D111=""),"", $E111+$D111)</f>
        <v/>
      </c>
      <c r="H111" s="31">
        <f>IF(OR($A111="",$B111=""),"",SUMIFS(QuickLog!$L$2:$L$1000,QuickLog!$B$2:$B$1000,$B111,QuickLog!$O$2:$O$1000,$A111))</f>
        <v/>
      </c>
      <c r="I111" s="32">
        <f>IF($H111="","",$H111)</f>
        <v/>
      </c>
    </row>
    <row r="112">
      <c r="A112" s="29" t="n"/>
      <c r="B112" s="31" t="n"/>
      <c r="C112" s="31">
        <f>IF(OR($A112="",$B112=""),"",SUMIFS(QuickLog!$K$2:$K$1000,QuickLog!$B$2:$B$1000,$B112,QuickLog!$O$2:$O$1000,$A112,QuickLog!$G$2:$G$1000,"Routine"))</f>
        <v/>
      </c>
      <c r="D112" s="31">
        <f>IF(OR($A112="",$B112=""),"",SUMIFS(QuickLog!$K$2:$K$1000,QuickLog!$B$2:$B$1000,$B112,QuickLog!$O$2:$O$1000,$A112,QuickLog!$G$2:$G$1000,"&lt;&gt;Routine"))</f>
        <v/>
      </c>
      <c r="E112" s="31">
        <f>IF($C112="","",MIN($C112,Settings!$B$2))</f>
        <v/>
      </c>
      <c r="F112" s="31">
        <f>IF($C112="","",MAX(0,$C112-$E112))</f>
        <v/>
      </c>
      <c r="G112" s="31">
        <f>IF(OR($E112="",$D112=""),"", $E112+$D112)</f>
        <v/>
      </c>
      <c r="H112" s="31">
        <f>IF(OR($A112="",$B112=""),"",SUMIFS(QuickLog!$L$2:$L$1000,QuickLog!$B$2:$B$1000,$B112,QuickLog!$O$2:$O$1000,$A112))</f>
        <v/>
      </c>
      <c r="I112" s="32">
        <f>IF($H112="","",$H112)</f>
        <v/>
      </c>
    </row>
    <row r="113">
      <c r="A113" s="29" t="n"/>
      <c r="B113" s="31" t="n"/>
      <c r="C113" s="31">
        <f>IF(OR($A113="",$B113=""),"",SUMIFS(QuickLog!$K$2:$K$1000,QuickLog!$B$2:$B$1000,$B113,QuickLog!$O$2:$O$1000,$A113,QuickLog!$G$2:$G$1000,"Routine"))</f>
        <v/>
      </c>
      <c r="D113" s="31">
        <f>IF(OR($A113="",$B113=""),"",SUMIFS(QuickLog!$K$2:$K$1000,QuickLog!$B$2:$B$1000,$B113,QuickLog!$O$2:$O$1000,$A113,QuickLog!$G$2:$G$1000,"&lt;&gt;Routine"))</f>
        <v/>
      </c>
      <c r="E113" s="31">
        <f>IF($C113="","",MIN($C113,Settings!$B$2))</f>
        <v/>
      </c>
      <c r="F113" s="31">
        <f>IF($C113="","",MAX(0,$C113-$E113))</f>
        <v/>
      </c>
      <c r="G113" s="31">
        <f>IF(OR($E113="",$D113=""),"", $E113+$D113)</f>
        <v/>
      </c>
      <c r="H113" s="31">
        <f>IF(OR($A113="",$B113=""),"",SUMIFS(QuickLog!$L$2:$L$1000,QuickLog!$B$2:$B$1000,$B113,QuickLog!$O$2:$O$1000,$A113))</f>
        <v/>
      </c>
      <c r="I113" s="32">
        <f>IF($H113="","",$H113)</f>
        <v/>
      </c>
    </row>
    <row r="114">
      <c r="A114" s="29" t="n"/>
      <c r="B114" s="31" t="n"/>
      <c r="C114" s="31">
        <f>IF(OR($A114="",$B114=""),"",SUMIFS(QuickLog!$K$2:$K$1000,QuickLog!$B$2:$B$1000,$B114,QuickLog!$O$2:$O$1000,$A114,QuickLog!$G$2:$G$1000,"Routine"))</f>
        <v/>
      </c>
      <c r="D114" s="31">
        <f>IF(OR($A114="",$B114=""),"",SUMIFS(QuickLog!$K$2:$K$1000,QuickLog!$B$2:$B$1000,$B114,QuickLog!$O$2:$O$1000,$A114,QuickLog!$G$2:$G$1000,"&lt;&gt;Routine"))</f>
        <v/>
      </c>
      <c r="E114" s="31">
        <f>IF($C114="","",MIN($C114,Settings!$B$2))</f>
        <v/>
      </c>
      <c r="F114" s="31">
        <f>IF($C114="","",MAX(0,$C114-$E114))</f>
        <v/>
      </c>
      <c r="G114" s="31">
        <f>IF(OR($E114="",$D114=""),"", $E114+$D114)</f>
        <v/>
      </c>
      <c r="H114" s="31">
        <f>IF(OR($A114="",$B114=""),"",SUMIFS(QuickLog!$L$2:$L$1000,QuickLog!$B$2:$B$1000,$B114,QuickLog!$O$2:$O$1000,$A114))</f>
        <v/>
      </c>
      <c r="I114" s="32">
        <f>IF($H114="","",$H114)</f>
        <v/>
      </c>
    </row>
    <row r="115">
      <c r="A115" s="29" t="n"/>
      <c r="B115" s="31" t="n"/>
      <c r="C115" s="31">
        <f>IF(OR($A115="",$B115=""),"",SUMIFS(QuickLog!$K$2:$K$1000,QuickLog!$B$2:$B$1000,$B115,QuickLog!$O$2:$O$1000,$A115,QuickLog!$G$2:$G$1000,"Routine"))</f>
        <v/>
      </c>
      <c r="D115" s="31">
        <f>IF(OR($A115="",$B115=""),"",SUMIFS(QuickLog!$K$2:$K$1000,QuickLog!$B$2:$B$1000,$B115,QuickLog!$O$2:$O$1000,$A115,QuickLog!$G$2:$G$1000,"&lt;&gt;Routine"))</f>
        <v/>
      </c>
      <c r="E115" s="31">
        <f>IF($C115="","",MIN($C115,Settings!$B$2))</f>
        <v/>
      </c>
      <c r="F115" s="31">
        <f>IF($C115="","",MAX(0,$C115-$E115))</f>
        <v/>
      </c>
      <c r="G115" s="31">
        <f>IF(OR($E115="",$D115=""),"", $E115+$D115)</f>
        <v/>
      </c>
      <c r="H115" s="31">
        <f>IF(OR($A115="",$B115=""),"",SUMIFS(QuickLog!$L$2:$L$1000,QuickLog!$B$2:$B$1000,$B115,QuickLog!$O$2:$O$1000,$A115))</f>
        <v/>
      </c>
      <c r="I115" s="32">
        <f>IF($H115="","",$H115)</f>
        <v/>
      </c>
    </row>
    <row r="116">
      <c r="A116" s="29" t="n"/>
      <c r="B116" s="31" t="n"/>
      <c r="C116" s="31">
        <f>IF(OR($A116="",$B116=""),"",SUMIFS(QuickLog!$K$2:$K$1000,QuickLog!$B$2:$B$1000,$B116,QuickLog!$O$2:$O$1000,$A116,QuickLog!$G$2:$G$1000,"Routine"))</f>
        <v/>
      </c>
      <c r="D116" s="31">
        <f>IF(OR($A116="",$B116=""),"",SUMIFS(QuickLog!$K$2:$K$1000,QuickLog!$B$2:$B$1000,$B116,QuickLog!$O$2:$O$1000,$A116,QuickLog!$G$2:$G$1000,"&lt;&gt;Routine"))</f>
        <v/>
      </c>
      <c r="E116" s="31">
        <f>IF($C116="","",MIN($C116,Settings!$B$2))</f>
        <v/>
      </c>
      <c r="F116" s="31">
        <f>IF($C116="","",MAX(0,$C116-$E116))</f>
        <v/>
      </c>
      <c r="G116" s="31">
        <f>IF(OR($E116="",$D116=""),"", $E116+$D116)</f>
        <v/>
      </c>
      <c r="H116" s="31">
        <f>IF(OR($A116="",$B116=""),"",SUMIFS(QuickLog!$L$2:$L$1000,QuickLog!$B$2:$B$1000,$B116,QuickLog!$O$2:$O$1000,$A116))</f>
        <v/>
      </c>
      <c r="I116" s="32">
        <f>IF($H116="","",$H116)</f>
        <v/>
      </c>
    </row>
    <row r="117">
      <c r="A117" s="29" t="n"/>
      <c r="B117" s="31" t="n"/>
      <c r="C117" s="31">
        <f>IF(OR($A117="",$B117=""),"",SUMIFS(QuickLog!$K$2:$K$1000,QuickLog!$B$2:$B$1000,$B117,QuickLog!$O$2:$O$1000,$A117,QuickLog!$G$2:$G$1000,"Routine"))</f>
        <v/>
      </c>
      <c r="D117" s="31">
        <f>IF(OR($A117="",$B117=""),"",SUMIFS(QuickLog!$K$2:$K$1000,QuickLog!$B$2:$B$1000,$B117,QuickLog!$O$2:$O$1000,$A117,QuickLog!$G$2:$G$1000,"&lt;&gt;Routine"))</f>
        <v/>
      </c>
      <c r="E117" s="31">
        <f>IF($C117="","",MIN($C117,Settings!$B$2))</f>
        <v/>
      </c>
      <c r="F117" s="31">
        <f>IF($C117="","",MAX(0,$C117-$E117))</f>
        <v/>
      </c>
      <c r="G117" s="31">
        <f>IF(OR($E117="",$D117=""),"", $E117+$D117)</f>
        <v/>
      </c>
      <c r="H117" s="31">
        <f>IF(OR($A117="",$B117=""),"",SUMIFS(QuickLog!$L$2:$L$1000,QuickLog!$B$2:$B$1000,$B117,QuickLog!$O$2:$O$1000,$A117))</f>
        <v/>
      </c>
      <c r="I117" s="32">
        <f>IF($H117="","",$H117)</f>
        <v/>
      </c>
    </row>
    <row r="118">
      <c r="A118" s="29" t="n"/>
      <c r="B118" s="31" t="n"/>
      <c r="C118" s="31">
        <f>IF(OR($A118="",$B118=""),"",SUMIFS(QuickLog!$K$2:$K$1000,QuickLog!$B$2:$B$1000,$B118,QuickLog!$O$2:$O$1000,$A118,QuickLog!$G$2:$G$1000,"Routine"))</f>
        <v/>
      </c>
      <c r="D118" s="31">
        <f>IF(OR($A118="",$B118=""),"",SUMIFS(QuickLog!$K$2:$K$1000,QuickLog!$B$2:$B$1000,$B118,QuickLog!$O$2:$O$1000,$A118,QuickLog!$G$2:$G$1000,"&lt;&gt;Routine"))</f>
        <v/>
      </c>
      <c r="E118" s="31">
        <f>IF($C118="","",MIN($C118,Settings!$B$2))</f>
        <v/>
      </c>
      <c r="F118" s="31">
        <f>IF($C118="","",MAX(0,$C118-$E118))</f>
        <v/>
      </c>
      <c r="G118" s="31">
        <f>IF(OR($E118="",$D118=""),"", $E118+$D118)</f>
        <v/>
      </c>
      <c r="H118" s="31">
        <f>IF(OR($A118="",$B118=""),"",SUMIFS(QuickLog!$L$2:$L$1000,QuickLog!$B$2:$B$1000,$B118,QuickLog!$O$2:$O$1000,$A118))</f>
        <v/>
      </c>
      <c r="I118" s="32">
        <f>IF($H118="","",$H118)</f>
        <v/>
      </c>
    </row>
    <row r="119">
      <c r="A119" s="29" t="n"/>
      <c r="B119" s="31" t="n"/>
      <c r="C119" s="31">
        <f>IF(OR($A119="",$B119=""),"",SUMIFS(QuickLog!$K$2:$K$1000,QuickLog!$B$2:$B$1000,$B119,QuickLog!$O$2:$O$1000,$A119,QuickLog!$G$2:$G$1000,"Routine"))</f>
        <v/>
      </c>
      <c r="D119" s="31">
        <f>IF(OR($A119="",$B119=""),"",SUMIFS(QuickLog!$K$2:$K$1000,QuickLog!$B$2:$B$1000,$B119,QuickLog!$O$2:$O$1000,$A119,QuickLog!$G$2:$G$1000,"&lt;&gt;Routine"))</f>
        <v/>
      </c>
      <c r="E119" s="31">
        <f>IF($C119="","",MIN($C119,Settings!$B$2))</f>
        <v/>
      </c>
      <c r="F119" s="31">
        <f>IF($C119="","",MAX(0,$C119-$E119))</f>
        <v/>
      </c>
      <c r="G119" s="31">
        <f>IF(OR($E119="",$D119=""),"", $E119+$D119)</f>
        <v/>
      </c>
      <c r="H119" s="31">
        <f>IF(OR($A119="",$B119=""),"",SUMIFS(QuickLog!$L$2:$L$1000,QuickLog!$B$2:$B$1000,$B119,QuickLog!$O$2:$O$1000,$A119))</f>
        <v/>
      </c>
      <c r="I119" s="32">
        <f>IF($H119="","",$H119)</f>
        <v/>
      </c>
    </row>
    <row r="120">
      <c r="A120" s="29" t="n"/>
      <c r="B120" s="31" t="n"/>
      <c r="C120" s="31">
        <f>IF(OR($A120="",$B120=""),"",SUMIFS(QuickLog!$K$2:$K$1000,QuickLog!$B$2:$B$1000,$B120,QuickLog!$O$2:$O$1000,$A120,QuickLog!$G$2:$G$1000,"Routine"))</f>
        <v/>
      </c>
      <c r="D120" s="31">
        <f>IF(OR($A120="",$B120=""),"",SUMIFS(QuickLog!$K$2:$K$1000,QuickLog!$B$2:$B$1000,$B120,QuickLog!$O$2:$O$1000,$A120,QuickLog!$G$2:$G$1000,"&lt;&gt;Routine"))</f>
        <v/>
      </c>
      <c r="E120" s="31">
        <f>IF($C120="","",MIN($C120,Settings!$B$2))</f>
        <v/>
      </c>
      <c r="F120" s="31">
        <f>IF($C120="","",MAX(0,$C120-$E120))</f>
        <v/>
      </c>
      <c r="G120" s="31">
        <f>IF(OR($E120="",$D120=""),"", $E120+$D120)</f>
        <v/>
      </c>
      <c r="H120" s="31">
        <f>IF(OR($A120="",$B120=""),"",SUMIFS(QuickLog!$L$2:$L$1000,QuickLog!$B$2:$B$1000,$B120,QuickLog!$O$2:$O$1000,$A120))</f>
        <v/>
      </c>
      <c r="I120" s="32">
        <f>IF($H120="","",$H120)</f>
        <v/>
      </c>
    </row>
    <row r="121">
      <c r="A121" s="29" t="n"/>
      <c r="B121" s="31" t="n"/>
      <c r="C121" s="31">
        <f>IF(OR($A121="",$B121=""),"",SUMIFS(QuickLog!$K$2:$K$1000,QuickLog!$B$2:$B$1000,$B121,QuickLog!$O$2:$O$1000,$A121,QuickLog!$G$2:$G$1000,"Routine"))</f>
        <v/>
      </c>
      <c r="D121" s="31">
        <f>IF(OR($A121="",$B121=""),"",SUMIFS(QuickLog!$K$2:$K$1000,QuickLog!$B$2:$B$1000,$B121,QuickLog!$O$2:$O$1000,$A121,QuickLog!$G$2:$G$1000,"&lt;&gt;Routine"))</f>
        <v/>
      </c>
      <c r="E121" s="31">
        <f>IF($C121="","",MIN($C121,Settings!$B$2))</f>
        <v/>
      </c>
      <c r="F121" s="31">
        <f>IF($C121="","",MAX(0,$C121-$E121))</f>
        <v/>
      </c>
      <c r="G121" s="31">
        <f>IF(OR($E121="",$D121=""),"", $E121+$D121)</f>
        <v/>
      </c>
      <c r="H121" s="31">
        <f>IF(OR($A121="",$B121=""),"",SUMIFS(QuickLog!$L$2:$L$1000,QuickLog!$B$2:$B$1000,$B121,QuickLog!$O$2:$O$1000,$A121))</f>
        <v/>
      </c>
      <c r="I121" s="32">
        <f>IF($H121="","",$H121)</f>
        <v/>
      </c>
    </row>
    <row r="122">
      <c r="A122" s="29" t="n"/>
      <c r="B122" s="31" t="n"/>
      <c r="C122" s="31">
        <f>IF(OR($A122="",$B122=""),"",SUMIFS(QuickLog!$K$2:$K$1000,QuickLog!$B$2:$B$1000,$B122,QuickLog!$O$2:$O$1000,$A122,QuickLog!$G$2:$G$1000,"Routine"))</f>
        <v/>
      </c>
      <c r="D122" s="31">
        <f>IF(OR($A122="",$B122=""),"",SUMIFS(QuickLog!$K$2:$K$1000,QuickLog!$B$2:$B$1000,$B122,QuickLog!$O$2:$O$1000,$A122,QuickLog!$G$2:$G$1000,"&lt;&gt;Routine"))</f>
        <v/>
      </c>
      <c r="E122" s="31">
        <f>IF($C122="","",MIN($C122,Settings!$B$2))</f>
        <v/>
      </c>
      <c r="F122" s="31">
        <f>IF($C122="","",MAX(0,$C122-$E122))</f>
        <v/>
      </c>
      <c r="G122" s="31">
        <f>IF(OR($E122="",$D122=""),"", $E122+$D122)</f>
        <v/>
      </c>
      <c r="H122" s="31">
        <f>IF(OR($A122="",$B122=""),"",SUMIFS(QuickLog!$L$2:$L$1000,QuickLog!$B$2:$B$1000,$B122,QuickLog!$O$2:$O$1000,$A122))</f>
        <v/>
      </c>
      <c r="I122" s="32">
        <f>IF($H122="","",$H122)</f>
        <v/>
      </c>
    </row>
    <row r="123">
      <c r="A123" s="29" t="n"/>
      <c r="B123" s="31" t="n"/>
      <c r="C123" s="31">
        <f>IF(OR($A123="",$B123=""),"",SUMIFS(QuickLog!$K$2:$K$1000,QuickLog!$B$2:$B$1000,$B123,QuickLog!$O$2:$O$1000,$A123,QuickLog!$G$2:$G$1000,"Routine"))</f>
        <v/>
      </c>
      <c r="D123" s="31">
        <f>IF(OR($A123="",$B123=""),"",SUMIFS(QuickLog!$K$2:$K$1000,QuickLog!$B$2:$B$1000,$B123,QuickLog!$O$2:$O$1000,$A123,QuickLog!$G$2:$G$1000,"&lt;&gt;Routine"))</f>
        <v/>
      </c>
      <c r="E123" s="31">
        <f>IF($C123="","",MIN($C123,Settings!$B$2))</f>
        <v/>
      </c>
      <c r="F123" s="31">
        <f>IF($C123="","",MAX(0,$C123-$E123))</f>
        <v/>
      </c>
      <c r="G123" s="31">
        <f>IF(OR($E123="",$D123=""),"", $E123+$D123)</f>
        <v/>
      </c>
      <c r="H123" s="31">
        <f>IF(OR($A123="",$B123=""),"",SUMIFS(QuickLog!$L$2:$L$1000,QuickLog!$B$2:$B$1000,$B123,QuickLog!$O$2:$O$1000,$A123))</f>
        <v/>
      </c>
      <c r="I123" s="32">
        <f>IF($H123="","",$H123)</f>
        <v/>
      </c>
    </row>
    <row r="124">
      <c r="A124" s="29" t="n"/>
      <c r="B124" s="31" t="n"/>
      <c r="C124" s="31">
        <f>IF(OR($A124="",$B124=""),"",SUMIFS(QuickLog!$K$2:$K$1000,QuickLog!$B$2:$B$1000,$B124,QuickLog!$O$2:$O$1000,$A124,QuickLog!$G$2:$G$1000,"Routine"))</f>
        <v/>
      </c>
      <c r="D124" s="31">
        <f>IF(OR($A124="",$B124=""),"",SUMIFS(QuickLog!$K$2:$K$1000,QuickLog!$B$2:$B$1000,$B124,QuickLog!$O$2:$O$1000,$A124,QuickLog!$G$2:$G$1000,"&lt;&gt;Routine"))</f>
        <v/>
      </c>
      <c r="E124" s="31">
        <f>IF($C124="","",MIN($C124,Settings!$B$2))</f>
        <v/>
      </c>
      <c r="F124" s="31">
        <f>IF($C124="","",MAX(0,$C124-$E124))</f>
        <v/>
      </c>
      <c r="G124" s="31">
        <f>IF(OR($E124="",$D124=""),"", $E124+$D124)</f>
        <v/>
      </c>
      <c r="H124" s="31">
        <f>IF(OR($A124="",$B124=""),"",SUMIFS(QuickLog!$L$2:$L$1000,QuickLog!$B$2:$B$1000,$B124,QuickLog!$O$2:$O$1000,$A124))</f>
        <v/>
      </c>
      <c r="I124" s="32">
        <f>IF($H124="","",$H124)</f>
        <v/>
      </c>
    </row>
    <row r="125">
      <c r="A125" s="29" t="n"/>
      <c r="B125" s="31" t="n"/>
      <c r="C125" s="31">
        <f>IF(OR($A125="",$B125=""),"",SUMIFS(QuickLog!$K$2:$K$1000,QuickLog!$B$2:$B$1000,$B125,QuickLog!$O$2:$O$1000,$A125,QuickLog!$G$2:$G$1000,"Routine"))</f>
        <v/>
      </c>
      <c r="D125" s="31">
        <f>IF(OR($A125="",$B125=""),"",SUMIFS(QuickLog!$K$2:$K$1000,QuickLog!$B$2:$B$1000,$B125,QuickLog!$O$2:$O$1000,$A125,QuickLog!$G$2:$G$1000,"&lt;&gt;Routine"))</f>
        <v/>
      </c>
      <c r="E125" s="31">
        <f>IF($C125="","",MIN($C125,Settings!$B$2))</f>
        <v/>
      </c>
      <c r="F125" s="31">
        <f>IF($C125="","",MAX(0,$C125-$E125))</f>
        <v/>
      </c>
      <c r="G125" s="31">
        <f>IF(OR($E125="",$D125=""),"", $E125+$D125)</f>
        <v/>
      </c>
      <c r="H125" s="31">
        <f>IF(OR($A125="",$B125=""),"",SUMIFS(QuickLog!$L$2:$L$1000,QuickLog!$B$2:$B$1000,$B125,QuickLog!$O$2:$O$1000,$A125))</f>
        <v/>
      </c>
      <c r="I125" s="32">
        <f>IF($H125="","",$H125)</f>
        <v/>
      </c>
    </row>
    <row r="126">
      <c r="A126" s="29" t="n"/>
      <c r="B126" s="31" t="n"/>
      <c r="C126" s="31">
        <f>IF(OR($A126="",$B126=""),"",SUMIFS(QuickLog!$K$2:$K$1000,QuickLog!$B$2:$B$1000,$B126,QuickLog!$O$2:$O$1000,$A126,QuickLog!$G$2:$G$1000,"Routine"))</f>
        <v/>
      </c>
      <c r="D126" s="31">
        <f>IF(OR($A126="",$B126=""),"",SUMIFS(QuickLog!$K$2:$K$1000,QuickLog!$B$2:$B$1000,$B126,QuickLog!$O$2:$O$1000,$A126,QuickLog!$G$2:$G$1000,"&lt;&gt;Routine"))</f>
        <v/>
      </c>
      <c r="E126" s="31">
        <f>IF($C126="","",MIN($C126,Settings!$B$2))</f>
        <v/>
      </c>
      <c r="F126" s="31">
        <f>IF($C126="","",MAX(0,$C126-$E126))</f>
        <v/>
      </c>
      <c r="G126" s="31">
        <f>IF(OR($E126="",$D126=""),"", $E126+$D126)</f>
        <v/>
      </c>
      <c r="H126" s="31">
        <f>IF(OR($A126="",$B126=""),"",SUMIFS(QuickLog!$L$2:$L$1000,QuickLog!$B$2:$B$1000,$B126,QuickLog!$O$2:$O$1000,$A126))</f>
        <v/>
      </c>
      <c r="I126" s="32">
        <f>IF($H126="","",$H126)</f>
        <v/>
      </c>
    </row>
    <row r="127">
      <c r="A127" s="29" t="n"/>
      <c r="B127" s="31" t="n"/>
      <c r="C127" s="31">
        <f>IF(OR($A127="",$B127=""),"",SUMIFS(QuickLog!$K$2:$K$1000,QuickLog!$B$2:$B$1000,$B127,QuickLog!$O$2:$O$1000,$A127,QuickLog!$G$2:$G$1000,"Routine"))</f>
        <v/>
      </c>
      <c r="D127" s="31">
        <f>IF(OR($A127="",$B127=""),"",SUMIFS(QuickLog!$K$2:$K$1000,QuickLog!$B$2:$B$1000,$B127,QuickLog!$O$2:$O$1000,$A127,QuickLog!$G$2:$G$1000,"&lt;&gt;Routine"))</f>
        <v/>
      </c>
      <c r="E127" s="31">
        <f>IF($C127="","",MIN($C127,Settings!$B$2))</f>
        <v/>
      </c>
      <c r="F127" s="31">
        <f>IF($C127="","",MAX(0,$C127-$E127))</f>
        <v/>
      </c>
      <c r="G127" s="31">
        <f>IF(OR($E127="",$D127=""),"", $E127+$D127)</f>
        <v/>
      </c>
      <c r="H127" s="31">
        <f>IF(OR($A127="",$B127=""),"",SUMIFS(QuickLog!$L$2:$L$1000,QuickLog!$B$2:$B$1000,$B127,QuickLog!$O$2:$O$1000,$A127))</f>
        <v/>
      </c>
      <c r="I127" s="32">
        <f>IF($H127="","",$H127)</f>
        <v/>
      </c>
    </row>
    <row r="128">
      <c r="A128" s="29" t="n"/>
      <c r="B128" s="31" t="n"/>
      <c r="C128" s="31">
        <f>IF(OR($A128="",$B128=""),"",SUMIFS(QuickLog!$K$2:$K$1000,QuickLog!$B$2:$B$1000,$B128,QuickLog!$O$2:$O$1000,$A128,QuickLog!$G$2:$G$1000,"Routine"))</f>
        <v/>
      </c>
      <c r="D128" s="31">
        <f>IF(OR($A128="",$B128=""),"",SUMIFS(QuickLog!$K$2:$K$1000,QuickLog!$B$2:$B$1000,$B128,QuickLog!$O$2:$O$1000,$A128,QuickLog!$G$2:$G$1000,"&lt;&gt;Routine"))</f>
        <v/>
      </c>
      <c r="E128" s="31">
        <f>IF($C128="","",MIN($C128,Settings!$B$2))</f>
        <v/>
      </c>
      <c r="F128" s="31">
        <f>IF($C128="","",MAX(0,$C128-$E128))</f>
        <v/>
      </c>
      <c r="G128" s="31">
        <f>IF(OR($E128="",$D128=""),"", $E128+$D128)</f>
        <v/>
      </c>
      <c r="H128" s="31">
        <f>IF(OR($A128="",$B128=""),"",SUMIFS(QuickLog!$L$2:$L$1000,QuickLog!$B$2:$B$1000,$B128,QuickLog!$O$2:$O$1000,$A128))</f>
        <v/>
      </c>
      <c r="I128" s="32">
        <f>IF($H128="","",$H128)</f>
        <v/>
      </c>
    </row>
    <row r="129">
      <c r="A129" s="29" t="n"/>
      <c r="B129" s="31" t="n"/>
      <c r="C129" s="31">
        <f>IF(OR($A129="",$B129=""),"",SUMIFS(QuickLog!$K$2:$K$1000,QuickLog!$B$2:$B$1000,$B129,QuickLog!$O$2:$O$1000,$A129,QuickLog!$G$2:$G$1000,"Routine"))</f>
        <v/>
      </c>
      <c r="D129" s="31">
        <f>IF(OR($A129="",$B129=""),"",SUMIFS(QuickLog!$K$2:$K$1000,QuickLog!$B$2:$B$1000,$B129,QuickLog!$O$2:$O$1000,$A129,QuickLog!$G$2:$G$1000,"&lt;&gt;Routine"))</f>
        <v/>
      </c>
      <c r="E129" s="31">
        <f>IF($C129="","",MIN($C129,Settings!$B$2))</f>
        <v/>
      </c>
      <c r="F129" s="31">
        <f>IF($C129="","",MAX(0,$C129-$E129))</f>
        <v/>
      </c>
      <c r="G129" s="31">
        <f>IF(OR($E129="",$D129=""),"", $E129+$D129)</f>
        <v/>
      </c>
      <c r="H129" s="31">
        <f>IF(OR($A129="",$B129=""),"",SUMIFS(QuickLog!$L$2:$L$1000,QuickLog!$B$2:$B$1000,$B129,QuickLog!$O$2:$O$1000,$A129))</f>
        <v/>
      </c>
      <c r="I129" s="32">
        <f>IF($H129="","",$H129)</f>
        <v/>
      </c>
    </row>
    <row r="130">
      <c r="A130" s="29" t="n"/>
      <c r="B130" s="31" t="n"/>
      <c r="C130" s="31">
        <f>IF(OR($A130="",$B130=""),"",SUMIFS(QuickLog!$K$2:$K$1000,QuickLog!$B$2:$B$1000,$B130,QuickLog!$O$2:$O$1000,$A130,QuickLog!$G$2:$G$1000,"Routine"))</f>
        <v/>
      </c>
      <c r="D130" s="31">
        <f>IF(OR($A130="",$B130=""),"",SUMIFS(QuickLog!$K$2:$K$1000,QuickLog!$B$2:$B$1000,$B130,QuickLog!$O$2:$O$1000,$A130,QuickLog!$G$2:$G$1000,"&lt;&gt;Routine"))</f>
        <v/>
      </c>
      <c r="E130" s="31">
        <f>IF($C130="","",MIN($C130,Settings!$B$2))</f>
        <v/>
      </c>
      <c r="F130" s="31">
        <f>IF($C130="","",MAX(0,$C130-$E130))</f>
        <v/>
      </c>
      <c r="G130" s="31">
        <f>IF(OR($E130="",$D130=""),"", $E130+$D130)</f>
        <v/>
      </c>
      <c r="H130" s="31">
        <f>IF(OR($A130="",$B130=""),"",SUMIFS(QuickLog!$L$2:$L$1000,QuickLog!$B$2:$B$1000,$B130,QuickLog!$O$2:$O$1000,$A130))</f>
        <v/>
      </c>
      <c r="I130" s="32">
        <f>IF($H130="","",$H130)</f>
        <v/>
      </c>
    </row>
    <row r="131">
      <c r="A131" s="29" t="n"/>
      <c r="B131" s="31" t="n"/>
      <c r="C131" s="31">
        <f>IF(OR($A131="",$B131=""),"",SUMIFS(QuickLog!$K$2:$K$1000,QuickLog!$B$2:$B$1000,$B131,QuickLog!$O$2:$O$1000,$A131,QuickLog!$G$2:$G$1000,"Routine"))</f>
        <v/>
      </c>
      <c r="D131" s="31">
        <f>IF(OR($A131="",$B131=""),"",SUMIFS(QuickLog!$K$2:$K$1000,QuickLog!$B$2:$B$1000,$B131,QuickLog!$O$2:$O$1000,$A131,QuickLog!$G$2:$G$1000,"&lt;&gt;Routine"))</f>
        <v/>
      </c>
      <c r="E131" s="31">
        <f>IF($C131="","",MIN($C131,Settings!$B$2))</f>
        <v/>
      </c>
      <c r="F131" s="31">
        <f>IF($C131="","",MAX(0,$C131-$E131))</f>
        <v/>
      </c>
      <c r="G131" s="31">
        <f>IF(OR($E131="",$D131=""),"", $E131+$D131)</f>
        <v/>
      </c>
      <c r="H131" s="31">
        <f>IF(OR($A131="",$B131=""),"",SUMIFS(QuickLog!$L$2:$L$1000,QuickLog!$B$2:$B$1000,$B131,QuickLog!$O$2:$O$1000,$A131))</f>
        <v/>
      </c>
      <c r="I131" s="32">
        <f>IF($H131="","",$H131)</f>
        <v/>
      </c>
    </row>
    <row r="132">
      <c r="A132" s="29" t="n"/>
      <c r="B132" s="31" t="n"/>
      <c r="C132" s="31">
        <f>IF(OR($A132="",$B132=""),"",SUMIFS(QuickLog!$K$2:$K$1000,QuickLog!$B$2:$B$1000,$B132,QuickLog!$O$2:$O$1000,$A132,QuickLog!$G$2:$G$1000,"Routine"))</f>
        <v/>
      </c>
      <c r="D132" s="31">
        <f>IF(OR($A132="",$B132=""),"",SUMIFS(QuickLog!$K$2:$K$1000,QuickLog!$B$2:$B$1000,$B132,QuickLog!$O$2:$O$1000,$A132,QuickLog!$G$2:$G$1000,"&lt;&gt;Routine"))</f>
        <v/>
      </c>
      <c r="E132" s="31">
        <f>IF($C132="","",MIN($C132,Settings!$B$2))</f>
        <v/>
      </c>
      <c r="F132" s="31">
        <f>IF($C132="","",MAX(0,$C132-$E132))</f>
        <v/>
      </c>
      <c r="G132" s="31">
        <f>IF(OR($E132="",$D132=""),"", $E132+$D132)</f>
        <v/>
      </c>
      <c r="H132" s="31">
        <f>IF(OR($A132="",$B132=""),"",SUMIFS(QuickLog!$L$2:$L$1000,QuickLog!$B$2:$B$1000,$B132,QuickLog!$O$2:$O$1000,$A132))</f>
        <v/>
      </c>
      <c r="I132" s="32">
        <f>IF($H132="","",$H132)</f>
        <v/>
      </c>
    </row>
    <row r="133">
      <c r="A133" s="29" t="n"/>
      <c r="B133" s="31" t="n"/>
      <c r="C133" s="31">
        <f>IF(OR($A133="",$B133=""),"",SUMIFS(QuickLog!$K$2:$K$1000,QuickLog!$B$2:$B$1000,$B133,QuickLog!$O$2:$O$1000,$A133,QuickLog!$G$2:$G$1000,"Routine"))</f>
        <v/>
      </c>
      <c r="D133" s="31">
        <f>IF(OR($A133="",$B133=""),"",SUMIFS(QuickLog!$K$2:$K$1000,QuickLog!$B$2:$B$1000,$B133,QuickLog!$O$2:$O$1000,$A133,QuickLog!$G$2:$G$1000,"&lt;&gt;Routine"))</f>
        <v/>
      </c>
      <c r="E133" s="31">
        <f>IF($C133="","",MIN($C133,Settings!$B$2))</f>
        <v/>
      </c>
      <c r="F133" s="31">
        <f>IF($C133="","",MAX(0,$C133-$E133))</f>
        <v/>
      </c>
      <c r="G133" s="31">
        <f>IF(OR($E133="",$D133=""),"", $E133+$D133)</f>
        <v/>
      </c>
      <c r="H133" s="31">
        <f>IF(OR($A133="",$B133=""),"",SUMIFS(QuickLog!$L$2:$L$1000,QuickLog!$B$2:$B$1000,$B133,QuickLog!$O$2:$O$1000,$A133))</f>
        <v/>
      </c>
      <c r="I133" s="32">
        <f>IF($H133="","",$H133)</f>
        <v/>
      </c>
    </row>
    <row r="134">
      <c r="A134" s="29" t="n"/>
      <c r="B134" s="31" t="n"/>
      <c r="C134" s="31">
        <f>IF(OR($A134="",$B134=""),"",SUMIFS(QuickLog!$K$2:$K$1000,QuickLog!$B$2:$B$1000,$B134,QuickLog!$O$2:$O$1000,$A134,QuickLog!$G$2:$G$1000,"Routine"))</f>
        <v/>
      </c>
      <c r="D134" s="31">
        <f>IF(OR($A134="",$B134=""),"",SUMIFS(QuickLog!$K$2:$K$1000,QuickLog!$B$2:$B$1000,$B134,QuickLog!$O$2:$O$1000,$A134,QuickLog!$G$2:$G$1000,"&lt;&gt;Routine"))</f>
        <v/>
      </c>
      <c r="E134" s="31">
        <f>IF($C134="","",MIN($C134,Settings!$B$2))</f>
        <v/>
      </c>
      <c r="F134" s="31">
        <f>IF($C134="","",MAX(0,$C134-$E134))</f>
        <v/>
      </c>
      <c r="G134" s="31">
        <f>IF(OR($E134="",$D134=""),"", $E134+$D134)</f>
        <v/>
      </c>
      <c r="H134" s="31">
        <f>IF(OR($A134="",$B134=""),"",SUMIFS(QuickLog!$L$2:$L$1000,QuickLog!$B$2:$B$1000,$B134,QuickLog!$O$2:$O$1000,$A134))</f>
        <v/>
      </c>
      <c r="I134" s="32">
        <f>IF($H134="","",$H134)</f>
        <v/>
      </c>
    </row>
    <row r="135">
      <c r="A135" s="29" t="n"/>
      <c r="B135" s="31" t="n"/>
      <c r="C135" s="31">
        <f>IF(OR($A135="",$B135=""),"",SUMIFS(QuickLog!$K$2:$K$1000,QuickLog!$B$2:$B$1000,$B135,QuickLog!$O$2:$O$1000,$A135,QuickLog!$G$2:$G$1000,"Routine"))</f>
        <v/>
      </c>
      <c r="D135" s="31">
        <f>IF(OR($A135="",$B135=""),"",SUMIFS(QuickLog!$K$2:$K$1000,QuickLog!$B$2:$B$1000,$B135,QuickLog!$O$2:$O$1000,$A135,QuickLog!$G$2:$G$1000,"&lt;&gt;Routine"))</f>
        <v/>
      </c>
      <c r="E135" s="31">
        <f>IF($C135="","",MIN($C135,Settings!$B$2))</f>
        <v/>
      </c>
      <c r="F135" s="31">
        <f>IF($C135="","",MAX(0,$C135-$E135))</f>
        <v/>
      </c>
      <c r="G135" s="31">
        <f>IF(OR($E135="",$D135=""),"", $E135+$D135)</f>
        <v/>
      </c>
      <c r="H135" s="31">
        <f>IF(OR($A135="",$B135=""),"",SUMIFS(QuickLog!$L$2:$L$1000,QuickLog!$B$2:$B$1000,$B135,QuickLog!$O$2:$O$1000,$A135))</f>
        <v/>
      </c>
      <c r="I135" s="32">
        <f>IF($H135="","",$H135)</f>
        <v/>
      </c>
    </row>
    <row r="136">
      <c r="A136" s="29" t="n"/>
      <c r="B136" s="31" t="n"/>
      <c r="C136" s="31">
        <f>IF(OR($A136="",$B136=""),"",SUMIFS(QuickLog!$K$2:$K$1000,QuickLog!$B$2:$B$1000,$B136,QuickLog!$O$2:$O$1000,$A136,QuickLog!$G$2:$G$1000,"Routine"))</f>
        <v/>
      </c>
      <c r="D136" s="31">
        <f>IF(OR($A136="",$B136=""),"",SUMIFS(QuickLog!$K$2:$K$1000,QuickLog!$B$2:$B$1000,$B136,QuickLog!$O$2:$O$1000,$A136,QuickLog!$G$2:$G$1000,"&lt;&gt;Routine"))</f>
        <v/>
      </c>
      <c r="E136" s="31">
        <f>IF($C136="","",MIN($C136,Settings!$B$2))</f>
        <v/>
      </c>
      <c r="F136" s="31">
        <f>IF($C136="","",MAX(0,$C136-$E136))</f>
        <v/>
      </c>
      <c r="G136" s="31">
        <f>IF(OR($E136="",$D136=""),"", $E136+$D136)</f>
        <v/>
      </c>
      <c r="H136" s="31">
        <f>IF(OR($A136="",$B136=""),"",SUMIFS(QuickLog!$L$2:$L$1000,QuickLog!$B$2:$B$1000,$B136,QuickLog!$O$2:$O$1000,$A136))</f>
        <v/>
      </c>
      <c r="I136" s="32">
        <f>IF($H136="","",$H136)</f>
        <v/>
      </c>
    </row>
    <row r="137">
      <c r="A137" s="29" t="n"/>
      <c r="B137" s="31" t="n"/>
      <c r="C137" s="31">
        <f>IF(OR($A137="",$B137=""),"",SUMIFS(QuickLog!$K$2:$K$1000,QuickLog!$B$2:$B$1000,$B137,QuickLog!$O$2:$O$1000,$A137,QuickLog!$G$2:$G$1000,"Routine"))</f>
        <v/>
      </c>
      <c r="D137" s="31">
        <f>IF(OR($A137="",$B137=""),"",SUMIFS(QuickLog!$K$2:$K$1000,QuickLog!$B$2:$B$1000,$B137,QuickLog!$O$2:$O$1000,$A137,QuickLog!$G$2:$G$1000,"&lt;&gt;Routine"))</f>
        <v/>
      </c>
      <c r="E137" s="31">
        <f>IF($C137="","",MIN($C137,Settings!$B$2))</f>
        <v/>
      </c>
      <c r="F137" s="31">
        <f>IF($C137="","",MAX(0,$C137-$E137))</f>
        <v/>
      </c>
      <c r="G137" s="31">
        <f>IF(OR($E137="",$D137=""),"", $E137+$D137)</f>
        <v/>
      </c>
      <c r="H137" s="31">
        <f>IF(OR($A137="",$B137=""),"",SUMIFS(QuickLog!$L$2:$L$1000,QuickLog!$B$2:$B$1000,$B137,QuickLog!$O$2:$O$1000,$A137))</f>
        <v/>
      </c>
      <c r="I137" s="32">
        <f>IF($H137="","",$H137)</f>
        <v/>
      </c>
    </row>
    <row r="138">
      <c r="A138" s="29" t="n"/>
      <c r="B138" s="31" t="n"/>
      <c r="C138" s="31">
        <f>IF(OR($A138="",$B138=""),"",SUMIFS(QuickLog!$K$2:$K$1000,QuickLog!$B$2:$B$1000,$B138,QuickLog!$O$2:$O$1000,$A138,QuickLog!$G$2:$G$1000,"Routine"))</f>
        <v/>
      </c>
      <c r="D138" s="31">
        <f>IF(OR($A138="",$B138=""),"",SUMIFS(QuickLog!$K$2:$K$1000,QuickLog!$B$2:$B$1000,$B138,QuickLog!$O$2:$O$1000,$A138,QuickLog!$G$2:$G$1000,"&lt;&gt;Routine"))</f>
        <v/>
      </c>
      <c r="E138" s="31">
        <f>IF($C138="","",MIN($C138,Settings!$B$2))</f>
        <v/>
      </c>
      <c r="F138" s="31">
        <f>IF($C138="","",MAX(0,$C138-$E138))</f>
        <v/>
      </c>
      <c r="G138" s="31">
        <f>IF(OR($E138="",$D138=""),"", $E138+$D138)</f>
        <v/>
      </c>
      <c r="H138" s="31">
        <f>IF(OR($A138="",$B138=""),"",SUMIFS(QuickLog!$L$2:$L$1000,QuickLog!$B$2:$B$1000,$B138,QuickLog!$O$2:$O$1000,$A138))</f>
        <v/>
      </c>
      <c r="I138" s="32">
        <f>IF($H138="","",$H138)</f>
        <v/>
      </c>
    </row>
    <row r="139">
      <c r="A139" s="29" t="n"/>
      <c r="B139" s="31" t="n"/>
      <c r="C139" s="31">
        <f>IF(OR($A139="",$B139=""),"",SUMIFS(QuickLog!$K$2:$K$1000,QuickLog!$B$2:$B$1000,$B139,QuickLog!$O$2:$O$1000,$A139,QuickLog!$G$2:$G$1000,"Routine"))</f>
        <v/>
      </c>
      <c r="D139" s="31">
        <f>IF(OR($A139="",$B139=""),"",SUMIFS(QuickLog!$K$2:$K$1000,QuickLog!$B$2:$B$1000,$B139,QuickLog!$O$2:$O$1000,$A139,QuickLog!$G$2:$G$1000,"&lt;&gt;Routine"))</f>
        <v/>
      </c>
      <c r="E139" s="31">
        <f>IF($C139="","",MIN($C139,Settings!$B$2))</f>
        <v/>
      </c>
      <c r="F139" s="31">
        <f>IF($C139="","",MAX(0,$C139-$E139))</f>
        <v/>
      </c>
      <c r="G139" s="31">
        <f>IF(OR($E139="",$D139=""),"", $E139+$D139)</f>
        <v/>
      </c>
      <c r="H139" s="31">
        <f>IF(OR($A139="",$B139=""),"",SUMIFS(QuickLog!$L$2:$L$1000,QuickLog!$B$2:$B$1000,$B139,QuickLog!$O$2:$O$1000,$A139))</f>
        <v/>
      </c>
      <c r="I139" s="32">
        <f>IF($H139="","",$H139)</f>
        <v/>
      </c>
    </row>
    <row r="140">
      <c r="A140" s="29" t="n"/>
      <c r="B140" s="31" t="n"/>
      <c r="C140" s="31">
        <f>IF(OR($A140="",$B140=""),"",SUMIFS(QuickLog!$K$2:$K$1000,QuickLog!$B$2:$B$1000,$B140,QuickLog!$O$2:$O$1000,$A140,QuickLog!$G$2:$G$1000,"Routine"))</f>
        <v/>
      </c>
      <c r="D140" s="31">
        <f>IF(OR($A140="",$B140=""),"",SUMIFS(QuickLog!$K$2:$K$1000,QuickLog!$B$2:$B$1000,$B140,QuickLog!$O$2:$O$1000,$A140,QuickLog!$G$2:$G$1000,"&lt;&gt;Routine"))</f>
        <v/>
      </c>
      <c r="E140" s="31">
        <f>IF($C140="","",MIN($C140,Settings!$B$2))</f>
        <v/>
      </c>
      <c r="F140" s="31">
        <f>IF($C140="","",MAX(0,$C140-$E140))</f>
        <v/>
      </c>
      <c r="G140" s="31">
        <f>IF(OR($E140="",$D140=""),"", $E140+$D140)</f>
        <v/>
      </c>
      <c r="H140" s="31">
        <f>IF(OR($A140="",$B140=""),"",SUMIFS(QuickLog!$L$2:$L$1000,QuickLog!$B$2:$B$1000,$B140,QuickLog!$O$2:$O$1000,$A140))</f>
        <v/>
      </c>
      <c r="I140" s="32">
        <f>IF($H140="","",$H140)</f>
        <v/>
      </c>
    </row>
    <row r="141">
      <c r="A141" s="29" t="n"/>
      <c r="B141" s="31" t="n"/>
      <c r="C141" s="31">
        <f>IF(OR($A141="",$B141=""),"",SUMIFS(QuickLog!$K$2:$K$1000,QuickLog!$B$2:$B$1000,$B141,QuickLog!$O$2:$O$1000,$A141,QuickLog!$G$2:$G$1000,"Routine"))</f>
        <v/>
      </c>
      <c r="D141" s="31">
        <f>IF(OR($A141="",$B141=""),"",SUMIFS(QuickLog!$K$2:$K$1000,QuickLog!$B$2:$B$1000,$B141,QuickLog!$O$2:$O$1000,$A141,QuickLog!$G$2:$G$1000,"&lt;&gt;Routine"))</f>
        <v/>
      </c>
      <c r="E141" s="31">
        <f>IF($C141="","",MIN($C141,Settings!$B$2))</f>
        <v/>
      </c>
      <c r="F141" s="31">
        <f>IF($C141="","",MAX(0,$C141-$E141))</f>
        <v/>
      </c>
      <c r="G141" s="31">
        <f>IF(OR($E141="",$D141=""),"", $E141+$D141)</f>
        <v/>
      </c>
      <c r="H141" s="31">
        <f>IF(OR($A141="",$B141=""),"",SUMIFS(QuickLog!$L$2:$L$1000,QuickLog!$B$2:$B$1000,$B141,QuickLog!$O$2:$O$1000,$A141))</f>
        <v/>
      </c>
      <c r="I141" s="32">
        <f>IF($H141="","",$H141)</f>
        <v/>
      </c>
    </row>
    <row r="142">
      <c r="A142" s="29" t="n"/>
      <c r="B142" s="31" t="n"/>
      <c r="C142" s="31">
        <f>IF(OR($A142="",$B142=""),"",SUMIFS(QuickLog!$K$2:$K$1000,QuickLog!$B$2:$B$1000,$B142,QuickLog!$O$2:$O$1000,$A142,QuickLog!$G$2:$G$1000,"Routine"))</f>
        <v/>
      </c>
      <c r="D142" s="31">
        <f>IF(OR($A142="",$B142=""),"",SUMIFS(QuickLog!$K$2:$K$1000,QuickLog!$B$2:$B$1000,$B142,QuickLog!$O$2:$O$1000,$A142,QuickLog!$G$2:$G$1000,"&lt;&gt;Routine"))</f>
        <v/>
      </c>
      <c r="E142" s="31">
        <f>IF($C142="","",MIN($C142,Settings!$B$2))</f>
        <v/>
      </c>
      <c r="F142" s="31">
        <f>IF($C142="","",MAX(0,$C142-$E142))</f>
        <v/>
      </c>
      <c r="G142" s="31">
        <f>IF(OR($E142="",$D142=""),"", $E142+$D142)</f>
        <v/>
      </c>
      <c r="H142" s="31">
        <f>IF(OR($A142="",$B142=""),"",SUMIFS(QuickLog!$L$2:$L$1000,QuickLog!$B$2:$B$1000,$B142,QuickLog!$O$2:$O$1000,$A142))</f>
        <v/>
      </c>
      <c r="I142" s="32">
        <f>IF($H142="","",$H142)</f>
        <v/>
      </c>
    </row>
    <row r="143">
      <c r="A143" s="29" t="n"/>
      <c r="B143" s="31" t="n"/>
      <c r="C143" s="31">
        <f>IF(OR($A143="",$B143=""),"",SUMIFS(QuickLog!$K$2:$K$1000,QuickLog!$B$2:$B$1000,$B143,QuickLog!$O$2:$O$1000,$A143,QuickLog!$G$2:$G$1000,"Routine"))</f>
        <v/>
      </c>
      <c r="D143" s="31">
        <f>IF(OR($A143="",$B143=""),"",SUMIFS(QuickLog!$K$2:$K$1000,QuickLog!$B$2:$B$1000,$B143,QuickLog!$O$2:$O$1000,$A143,QuickLog!$G$2:$G$1000,"&lt;&gt;Routine"))</f>
        <v/>
      </c>
      <c r="E143" s="31">
        <f>IF($C143="","",MIN($C143,Settings!$B$2))</f>
        <v/>
      </c>
      <c r="F143" s="31">
        <f>IF($C143="","",MAX(0,$C143-$E143))</f>
        <v/>
      </c>
      <c r="G143" s="31">
        <f>IF(OR($E143="",$D143=""),"", $E143+$D143)</f>
        <v/>
      </c>
      <c r="H143" s="31">
        <f>IF(OR($A143="",$B143=""),"",SUMIFS(QuickLog!$L$2:$L$1000,QuickLog!$B$2:$B$1000,$B143,QuickLog!$O$2:$O$1000,$A143))</f>
        <v/>
      </c>
      <c r="I143" s="32">
        <f>IF($H143="","",$H143)</f>
        <v/>
      </c>
    </row>
    <row r="144">
      <c r="A144" s="29" t="n"/>
      <c r="B144" s="31" t="n"/>
      <c r="C144" s="31">
        <f>IF(OR($A144="",$B144=""),"",SUMIFS(QuickLog!$K$2:$K$1000,QuickLog!$B$2:$B$1000,$B144,QuickLog!$O$2:$O$1000,$A144,QuickLog!$G$2:$G$1000,"Routine"))</f>
        <v/>
      </c>
      <c r="D144" s="31">
        <f>IF(OR($A144="",$B144=""),"",SUMIFS(QuickLog!$K$2:$K$1000,QuickLog!$B$2:$B$1000,$B144,QuickLog!$O$2:$O$1000,$A144,QuickLog!$G$2:$G$1000,"&lt;&gt;Routine"))</f>
        <v/>
      </c>
      <c r="E144" s="31">
        <f>IF($C144="","",MIN($C144,Settings!$B$2))</f>
        <v/>
      </c>
      <c r="F144" s="31">
        <f>IF($C144="","",MAX(0,$C144-$E144))</f>
        <v/>
      </c>
      <c r="G144" s="31">
        <f>IF(OR($E144="",$D144=""),"", $E144+$D144)</f>
        <v/>
      </c>
      <c r="H144" s="31">
        <f>IF(OR($A144="",$B144=""),"",SUMIFS(QuickLog!$L$2:$L$1000,QuickLog!$B$2:$B$1000,$B144,QuickLog!$O$2:$O$1000,$A144))</f>
        <v/>
      </c>
      <c r="I144" s="32">
        <f>IF($H144="","",$H144)</f>
        <v/>
      </c>
    </row>
    <row r="145">
      <c r="A145" s="29" t="n"/>
      <c r="B145" s="31" t="n"/>
      <c r="C145" s="31">
        <f>IF(OR($A145="",$B145=""),"",SUMIFS(QuickLog!$K$2:$K$1000,QuickLog!$B$2:$B$1000,$B145,QuickLog!$O$2:$O$1000,$A145,QuickLog!$G$2:$G$1000,"Routine"))</f>
        <v/>
      </c>
      <c r="D145" s="31">
        <f>IF(OR($A145="",$B145=""),"",SUMIFS(QuickLog!$K$2:$K$1000,QuickLog!$B$2:$B$1000,$B145,QuickLog!$O$2:$O$1000,$A145,QuickLog!$G$2:$G$1000,"&lt;&gt;Routine"))</f>
        <v/>
      </c>
      <c r="E145" s="31">
        <f>IF($C145="","",MIN($C145,Settings!$B$2))</f>
        <v/>
      </c>
      <c r="F145" s="31">
        <f>IF($C145="","",MAX(0,$C145-$E145))</f>
        <v/>
      </c>
      <c r="G145" s="31">
        <f>IF(OR($E145="",$D145=""),"", $E145+$D145)</f>
        <v/>
      </c>
      <c r="H145" s="31">
        <f>IF(OR($A145="",$B145=""),"",SUMIFS(QuickLog!$L$2:$L$1000,QuickLog!$B$2:$B$1000,$B145,QuickLog!$O$2:$O$1000,$A145))</f>
        <v/>
      </c>
      <c r="I145" s="32">
        <f>IF($H145="","",$H145)</f>
        <v/>
      </c>
    </row>
    <row r="146">
      <c r="A146" s="29" t="n"/>
      <c r="B146" s="31" t="n"/>
      <c r="C146" s="31">
        <f>IF(OR($A146="",$B146=""),"",SUMIFS(QuickLog!$K$2:$K$1000,QuickLog!$B$2:$B$1000,$B146,QuickLog!$O$2:$O$1000,$A146,QuickLog!$G$2:$G$1000,"Routine"))</f>
        <v/>
      </c>
      <c r="D146" s="31">
        <f>IF(OR($A146="",$B146=""),"",SUMIFS(QuickLog!$K$2:$K$1000,QuickLog!$B$2:$B$1000,$B146,QuickLog!$O$2:$O$1000,$A146,QuickLog!$G$2:$G$1000,"&lt;&gt;Routine"))</f>
        <v/>
      </c>
      <c r="E146" s="31">
        <f>IF($C146="","",MIN($C146,Settings!$B$2))</f>
        <v/>
      </c>
      <c r="F146" s="31">
        <f>IF($C146="","",MAX(0,$C146-$E146))</f>
        <v/>
      </c>
      <c r="G146" s="31">
        <f>IF(OR($E146="",$D146=""),"", $E146+$D146)</f>
        <v/>
      </c>
      <c r="H146" s="31">
        <f>IF(OR($A146="",$B146=""),"",SUMIFS(QuickLog!$L$2:$L$1000,QuickLog!$B$2:$B$1000,$B146,QuickLog!$O$2:$O$1000,$A146))</f>
        <v/>
      </c>
      <c r="I146" s="32">
        <f>IF($H146="","",$H146)</f>
        <v/>
      </c>
    </row>
    <row r="147">
      <c r="A147" s="29" t="n"/>
      <c r="B147" s="31" t="n"/>
      <c r="C147" s="31">
        <f>IF(OR($A147="",$B147=""),"",SUMIFS(QuickLog!$K$2:$K$1000,QuickLog!$B$2:$B$1000,$B147,QuickLog!$O$2:$O$1000,$A147,QuickLog!$G$2:$G$1000,"Routine"))</f>
        <v/>
      </c>
      <c r="D147" s="31">
        <f>IF(OR($A147="",$B147=""),"",SUMIFS(QuickLog!$K$2:$K$1000,QuickLog!$B$2:$B$1000,$B147,QuickLog!$O$2:$O$1000,$A147,QuickLog!$G$2:$G$1000,"&lt;&gt;Routine"))</f>
        <v/>
      </c>
      <c r="E147" s="31">
        <f>IF($C147="","",MIN($C147,Settings!$B$2))</f>
        <v/>
      </c>
      <c r="F147" s="31">
        <f>IF($C147="","",MAX(0,$C147-$E147))</f>
        <v/>
      </c>
      <c r="G147" s="31">
        <f>IF(OR($E147="",$D147=""),"", $E147+$D147)</f>
        <v/>
      </c>
      <c r="H147" s="31">
        <f>IF(OR($A147="",$B147=""),"",SUMIFS(QuickLog!$L$2:$L$1000,QuickLog!$B$2:$B$1000,$B147,QuickLog!$O$2:$O$1000,$A147))</f>
        <v/>
      </c>
      <c r="I147" s="32">
        <f>IF($H147="","",$H147)</f>
        <v/>
      </c>
    </row>
    <row r="148">
      <c r="A148" s="29" t="n"/>
      <c r="B148" s="31" t="n"/>
      <c r="C148" s="31">
        <f>IF(OR($A148="",$B148=""),"",SUMIFS(QuickLog!$K$2:$K$1000,QuickLog!$B$2:$B$1000,$B148,QuickLog!$O$2:$O$1000,$A148,QuickLog!$G$2:$G$1000,"Routine"))</f>
        <v/>
      </c>
      <c r="D148" s="31">
        <f>IF(OR($A148="",$B148=""),"",SUMIFS(QuickLog!$K$2:$K$1000,QuickLog!$B$2:$B$1000,$B148,QuickLog!$O$2:$O$1000,$A148,QuickLog!$G$2:$G$1000,"&lt;&gt;Routine"))</f>
        <v/>
      </c>
      <c r="E148" s="31">
        <f>IF($C148="","",MIN($C148,Settings!$B$2))</f>
        <v/>
      </c>
      <c r="F148" s="31">
        <f>IF($C148="","",MAX(0,$C148-$E148))</f>
        <v/>
      </c>
      <c r="G148" s="31">
        <f>IF(OR($E148="",$D148=""),"", $E148+$D148)</f>
        <v/>
      </c>
      <c r="H148" s="31">
        <f>IF(OR($A148="",$B148=""),"",SUMIFS(QuickLog!$L$2:$L$1000,QuickLog!$B$2:$B$1000,$B148,QuickLog!$O$2:$O$1000,$A148))</f>
        <v/>
      </c>
      <c r="I148" s="32">
        <f>IF($H148="","",$H148)</f>
        <v/>
      </c>
    </row>
    <row r="149">
      <c r="A149" s="29" t="n"/>
      <c r="B149" s="31" t="n"/>
      <c r="C149" s="31">
        <f>IF(OR($A149="",$B149=""),"",SUMIFS(QuickLog!$K$2:$K$1000,QuickLog!$B$2:$B$1000,$B149,QuickLog!$O$2:$O$1000,$A149,QuickLog!$G$2:$G$1000,"Routine"))</f>
        <v/>
      </c>
      <c r="D149" s="31">
        <f>IF(OR($A149="",$B149=""),"",SUMIFS(QuickLog!$K$2:$K$1000,QuickLog!$B$2:$B$1000,$B149,QuickLog!$O$2:$O$1000,$A149,QuickLog!$G$2:$G$1000,"&lt;&gt;Routine"))</f>
        <v/>
      </c>
      <c r="E149" s="31">
        <f>IF($C149="","",MIN($C149,Settings!$B$2))</f>
        <v/>
      </c>
      <c r="F149" s="31">
        <f>IF($C149="","",MAX(0,$C149-$E149))</f>
        <v/>
      </c>
      <c r="G149" s="31">
        <f>IF(OR($E149="",$D149=""),"", $E149+$D149)</f>
        <v/>
      </c>
      <c r="H149" s="31">
        <f>IF(OR($A149="",$B149=""),"",SUMIFS(QuickLog!$L$2:$L$1000,QuickLog!$B$2:$B$1000,$B149,QuickLog!$O$2:$O$1000,$A149))</f>
        <v/>
      </c>
      <c r="I149" s="32">
        <f>IF($H149="","",$H149)</f>
        <v/>
      </c>
    </row>
    <row r="150">
      <c r="A150" s="29" t="n"/>
      <c r="B150" s="31" t="n"/>
      <c r="C150" s="31">
        <f>IF(OR($A150="",$B150=""),"",SUMIFS(QuickLog!$K$2:$K$1000,QuickLog!$B$2:$B$1000,$B150,QuickLog!$O$2:$O$1000,$A150,QuickLog!$G$2:$G$1000,"Routine"))</f>
        <v/>
      </c>
      <c r="D150" s="31">
        <f>IF(OR($A150="",$B150=""),"",SUMIFS(QuickLog!$K$2:$K$1000,QuickLog!$B$2:$B$1000,$B150,QuickLog!$O$2:$O$1000,$A150,QuickLog!$G$2:$G$1000,"&lt;&gt;Routine"))</f>
        <v/>
      </c>
      <c r="E150" s="31">
        <f>IF($C150="","",MIN($C150,Settings!$B$2))</f>
        <v/>
      </c>
      <c r="F150" s="31">
        <f>IF($C150="","",MAX(0,$C150-$E150))</f>
        <v/>
      </c>
      <c r="G150" s="31">
        <f>IF(OR($E150="",$D150=""),"", $E150+$D150)</f>
        <v/>
      </c>
      <c r="H150" s="31">
        <f>IF(OR($A150="",$B150=""),"",SUMIFS(QuickLog!$L$2:$L$1000,QuickLog!$B$2:$B$1000,$B150,QuickLog!$O$2:$O$1000,$A150))</f>
        <v/>
      </c>
      <c r="I150" s="32">
        <f>IF($H150="","",$H150)</f>
        <v/>
      </c>
    </row>
    <row r="151">
      <c r="A151" s="29" t="n"/>
      <c r="B151" s="31" t="n"/>
      <c r="C151" s="31">
        <f>IF(OR($A151="",$B151=""),"",SUMIFS(QuickLog!$K$2:$K$1000,QuickLog!$B$2:$B$1000,$B151,QuickLog!$O$2:$O$1000,$A151,QuickLog!$G$2:$G$1000,"Routine"))</f>
        <v/>
      </c>
      <c r="D151" s="31">
        <f>IF(OR($A151="",$B151=""),"",SUMIFS(QuickLog!$K$2:$K$1000,QuickLog!$B$2:$B$1000,$B151,QuickLog!$O$2:$O$1000,$A151,QuickLog!$G$2:$G$1000,"&lt;&gt;Routine"))</f>
        <v/>
      </c>
      <c r="E151" s="31">
        <f>IF($C151="","",MIN($C151,Settings!$B$2))</f>
        <v/>
      </c>
      <c r="F151" s="31">
        <f>IF($C151="","",MAX(0,$C151-$E151))</f>
        <v/>
      </c>
      <c r="G151" s="31">
        <f>IF(OR($E151="",$D151=""),"", $E151+$D151)</f>
        <v/>
      </c>
      <c r="H151" s="31">
        <f>IF(OR($A151="",$B151=""),"",SUMIFS(QuickLog!$L$2:$L$1000,QuickLog!$B$2:$B$1000,$B151,QuickLog!$O$2:$O$1000,$A151))</f>
        <v/>
      </c>
      <c r="I151" s="32">
        <f>IF($H151="","",$H151)</f>
        <v/>
      </c>
    </row>
    <row r="152">
      <c r="A152" s="29" t="n"/>
      <c r="B152" s="31" t="n"/>
      <c r="C152" s="31">
        <f>IF(OR($A152="",$B152=""),"",SUMIFS(QuickLog!$K$2:$K$1000,QuickLog!$B$2:$B$1000,$B152,QuickLog!$O$2:$O$1000,$A152,QuickLog!$G$2:$G$1000,"Routine"))</f>
        <v/>
      </c>
      <c r="D152" s="31">
        <f>IF(OR($A152="",$B152=""),"",SUMIFS(QuickLog!$K$2:$K$1000,QuickLog!$B$2:$B$1000,$B152,QuickLog!$O$2:$O$1000,$A152,QuickLog!$G$2:$G$1000,"&lt;&gt;Routine"))</f>
        <v/>
      </c>
      <c r="E152" s="31">
        <f>IF($C152="","",MIN($C152,Settings!$B$2))</f>
        <v/>
      </c>
      <c r="F152" s="31">
        <f>IF($C152="","",MAX(0,$C152-$E152))</f>
        <v/>
      </c>
      <c r="G152" s="31">
        <f>IF(OR($E152="",$D152=""),"", $E152+$D152)</f>
        <v/>
      </c>
      <c r="H152" s="31">
        <f>IF(OR($A152="",$B152=""),"",SUMIFS(QuickLog!$L$2:$L$1000,QuickLog!$B$2:$B$1000,$B152,QuickLog!$O$2:$O$1000,$A152))</f>
        <v/>
      </c>
      <c r="I152" s="32">
        <f>IF($H152="","",$H152)</f>
        <v/>
      </c>
    </row>
    <row r="153">
      <c r="A153" s="29" t="n"/>
      <c r="B153" s="31" t="n"/>
      <c r="C153" s="31">
        <f>IF(OR($A153="",$B153=""),"",SUMIFS(QuickLog!$K$2:$K$1000,QuickLog!$B$2:$B$1000,$B153,QuickLog!$O$2:$O$1000,$A153,QuickLog!$G$2:$G$1000,"Routine"))</f>
        <v/>
      </c>
      <c r="D153" s="31">
        <f>IF(OR($A153="",$B153=""),"",SUMIFS(QuickLog!$K$2:$K$1000,QuickLog!$B$2:$B$1000,$B153,QuickLog!$O$2:$O$1000,$A153,QuickLog!$G$2:$G$1000,"&lt;&gt;Routine"))</f>
        <v/>
      </c>
      <c r="E153" s="31">
        <f>IF($C153="","",MIN($C153,Settings!$B$2))</f>
        <v/>
      </c>
      <c r="F153" s="31">
        <f>IF($C153="","",MAX(0,$C153-$E153))</f>
        <v/>
      </c>
      <c r="G153" s="31">
        <f>IF(OR($E153="",$D153=""),"", $E153+$D153)</f>
        <v/>
      </c>
      <c r="H153" s="31">
        <f>IF(OR($A153="",$B153=""),"",SUMIFS(QuickLog!$L$2:$L$1000,QuickLog!$B$2:$B$1000,$B153,QuickLog!$O$2:$O$1000,$A153))</f>
        <v/>
      </c>
      <c r="I153" s="32">
        <f>IF($H153="","",$H153)</f>
        <v/>
      </c>
    </row>
    <row r="154">
      <c r="A154" s="29" t="n"/>
      <c r="B154" s="31" t="n"/>
      <c r="C154" s="31">
        <f>IF(OR($A154="",$B154=""),"",SUMIFS(QuickLog!$K$2:$K$1000,QuickLog!$B$2:$B$1000,$B154,QuickLog!$O$2:$O$1000,$A154,QuickLog!$G$2:$G$1000,"Routine"))</f>
        <v/>
      </c>
      <c r="D154" s="31">
        <f>IF(OR($A154="",$B154=""),"",SUMIFS(QuickLog!$K$2:$K$1000,QuickLog!$B$2:$B$1000,$B154,QuickLog!$O$2:$O$1000,$A154,QuickLog!$G$2:$G$1000,"&lt;&gt;Routine"))</f>
        <v/>
      </c>
      <c r="E154" s="31">
        <f>IF($C154="","",MIN($C154,Settings!$B$2))</f>
        <v/>
      </c>
      <c r="F154" s="31">
        <f>IF($C154="","",MAX(0,$C154-$E154))</f>
        <v/>
      </c>
      <c r="G154" s="31">
        <f>IF(OR($E154="",$D154=""),"", $E154+$D154)</f>
        <v/>
      </c>
      <c r="H154" s="31">
        <f>IF(OR($A154="",$B154=""),"",SUMIFS(QuickLog!$L$2:$L$1000,QuickLog!$B$2:$B$1000,$B154,QuickLog!$O$2:$O$1000,$A154))</f>
        <v/>
      </c>
      <c r="I154" s="32">
        <f>IF($H154="","",$H154)</f>
        <v/>
      </c>
    </row>
    <row r="155">
      <c r="A155" s="29" t="n"/>
      <c r="B155" s="31" t="n"/>
      <c r="C155" s="31">
        <f>IF(OR($A155="",$B155=""),"",SUMIFS(QuickLog!$K$2:$K$1000,QuickLog!$B$2:$B$1000,$B155,QuickLog!$O$2:$O$1000,$A155,QuickLog!$G$2:$G$1000,"Routine"))</f>
        <v/>
      </c>
      <c r="D155" s="31">
        <f>IF(OR($A155="",$B155=""),"",SUMIFS(QuickLog!$K$2:$K$1000,QuickLog!$B$2:$B$1000,$B155,QuickLog!$O$2:$O$1000,$A155,QuickLog!$G$2:$G$1000,"&lt;&gt;Routine"))</f>
        <v/>
      </c>
      <c r="E155" s="31">
        <f>IF($C155="","",MIN($C155,Settings!$B$2))</f>
        <v/>
      </c>
      <c r="F155" s="31">
        <f>IF($C155="","",MAX(0,$C155-$E155))</f>
        <v/>
      </c>
      <c r="G155" s="31">
        <f>IF(OR($E155="",$D155=""),"", $E155+$D155)</f>
        <v/>
      </c>
      <c r="H155" s="31">
        <f>IF(OR($A155="",$B155=""),"",SUMIFS(QuickLog!$L$2:$L$1000,QuickLog!$B$2:$B$1000,$B155,QuickLog!$O$2:$O$1000,$A155))</f>
        <v/>
      </c>
      <c r="I155" s="32">
        <f>IF($H155="","",$H155)</f>
        <v/>
      </c>
    </row>
    <row r="156">
      <c r="A156" s="29" t="n"/>
      <c r="B156" s="31" t="n"/>
      <c r="C156" s="31">
        <f>IF(OR($A156="",$B156=""),"",SUMIFS(QuickLog!$K$2:$K$1000,QuickLog!$B$2:$B$1000,$B156,QuickLog!$O$2:$O$1000,$A156,QuickLog!$G$2:$G$1000,"Routine"))</f>
        <v/>
      </c>
      <c r="D156" s="31">
        <f>IF(OR($A156="",$B156=""),"",SUMIFS(QuickLog!$K$2:$K$1000,QuickLog!$B$2:$B$1000,$B156,QuickLog!$O$2:$O$1000,$A156,QuickLog!$G$2:$G$1000,"&lt;&gt;Routine"))</f>
        <v/>
      </c>
      <c r="E156" s="31">
        <f>IF($C156="","",MIN($C156,Settings!$B$2))</f>
        <v/>
      </c>
      <c r="F156" s="31">
        <f>IF($C156="","",MAX(0,$C156-$E156))</f>
        <v/>
      </c>
      <c r="G156" s="31">
        <f>IF(OR($E156="",$D156=""),"", $E156+$D156)</f>
        <v/>
      </c>
      <c r="H156" s="31">
        <f>IF(OR($A156="",$B156=""),"",SUMIFS(QuickLog!$L$2:$L$1000,QuickLog!$B$2:$B$1000,$B156,QuickLog!$O$2:$O$1000,$A156))</f>
        <v/>
      </c>
      <c r="I156" s="32">
        <f>IF($H156="","",$H156)</f>
        <v/>
      </c>
    </row>
    <row r="157">
      <c r="A157" s="29" t="n"/>
      <c r="B157" s="31" t="n"/>
      <c r="C157" s="31">
        <f>IF(OR($A157="",$B157=""),"",SUMIFS(QuickLog!$K$2:$K$1000,QuickLog!$B$2:$B$1000,$B157,QuickLog!$O$2:$O$1000,$A157,QuickLog!$G$2:$G$1000,"Routine"))</f>
        <v/>
      </c>
      <c r="D157" s="31">
        <f>IF(OR($A157="",$B157=""),"",SUMIFS(QuickLog!$K$2:$K$1000,QuickLog!$B$2:$B$1000,$B157,QuickLog!$O$2:$O$1000,$A157,QuickLog!$G$2:$G$1000,"&lt;&gt;Routine"))</f>
        <v/>
      </c>
      <c r="E157" s="31">
        <f>IF($C157="","",MIN($C157,Settings!$B$2))</f>
        <v/>
      </c>
      <c r="F157" s="31">
        <f>IF($C157="","",MAX(0,$C157-$E157))</f>
        <v/>
      </c>
      <c r="G157" s="31">
        <f>IF(OR($E157="",$D157=""),"", $E157+$D157)</f>
        <v/>
      </c>
      <c r="H157" s="31">
        <f>IF(OR($A157="",$B157=""),"",SUMIFS(QuickLog!$L$2:$L$1000,QuickLog!$B$2:$B$1000,$B157,QuickLog!$O$2:$O$1000,$A157))</f>
        <v/>
      </c>
      <c r="I157" s="32">
        <f>IF($H157="","",$H157)</f>
        <v/>
      </c>
    </row>
    <row r="158">
      <c r="A158" s="29" t="n"/>
      <c r="B158" s="31" t="n"/>
      <c r="C158" s="31">
        <f>IF(OR($A158="",$B158=""),"",SUMIFS(QuickLog!$K$2:$K$1000,QuickLog!$B$2:$B$1000,$B158,QuickLog!$O$2:$O$1000,$A158,QuickLog!$G$2:$G$1000,"Routine"))</f>
        <v/>
      </c>
      <c r="D158" s="31">
        <f>IF(OR($A158="",$B158=""),"",SUMIFS(QuickLog!$K$2:$K$1000,QuickLog!$B$2:$B$1000,$B158,QuickLog!$O$2:$O$1000,$A158,QuickLog!$G$2:$G$1000,"&lt;&gt;Routine"))</f>
        <v/>
      </c>
      <c r="E158" s="31">
        <f>IF($C158="","",MIN($C158,Settings!$B$2))</f>
        <v/>
      </c>
      <c r="F158" s="31">
        <f>IF($C158="","",MAX(0,$C158-$E158))</f>
        <v/>
      </c>
      <c r="G158" s="31">
        <f>IF(OR($E158="",$D158=""),"", $E158+$D158)</f>
        <v/>
      </c>
      <c r="H158" s="31">
        <f>IF(OR($A158="",$B158=""),"",SUMIFS(QuickLog!$L$2:$L$1000,QuickLog!$B$2:$B$1000,$B158,QuickLog!$O$2:$O$1000,$A158))</f>
        <v/>
      </c>
      <c r="I158" s="32">
        <f>IF($H158="","",$H158)</f>
        <v/>
      </c>
    </row>
    <row r="159">
      <c r="A159" s="29" t="n"/>
      <c r="B159" s="31" t="n"/>
      <c r="C159" s="31">
        <f>IF(OR($A159="",$B159=""),"",SUMIFS(QuickLog!$K$2:$K$1000,QuickLog!$B$2:$B$1000,$B159,QuickLog!$O$2:$O$1000,$A159,QuickLog!$G$2:$G$1000,"Routine"))</f>
        <v/>
      </c>
      <c r="D159" s="31">
        <f>IF(OR($A159="",$B159=""),"",SUMIFS(QuickLog!$K$2:$K$1000,QuickLog!$B$2:$B$1000,$B159,QuickLog!$O$2:$O$1000,$A159,QuickLog!$G$2:$G$1000,"&lt;&gt;Routine"))</f>
        <v/>
      </c>
      <c r="E159" s="31">
        <f>IF($C159="","",MIN($C159,Settings!$B$2))</f>
        <v/>
      </c>
      <c r="F159" s="31">
        <f>IF($C159="","",MAX(0,$C159-$E159))</f>
        <v/>
      </c>
      <c r="G159" s="31">
        <f>IF(OR($E159="",$D159=""),"", $E159+$D159)</f>
        <v/>
      </c>
      <c r="H159" s="31">
        <f>IF(OR($A159="",$B159=""),"",SUMIFS(QuickLog!$L$2:$L$1000,QuickLog!$B$2:$B$1000,$B159,QuickLog!$O$2:$O$1000,$A159))</f>
        <v/>
      </c>
      <c r="I159" s="32">
        <f>IF($H159="","",$H159)</f>
        <v/>
      </c>
    </row>
    <row r="160">
      <c r="A160" s="29" t="n"/>
      <c r="B160" s="31" t="n"/>
      <c r="C160" s="31">
        <f>IF(OR($A160="",$B160=""),"",SUMIFS(QuickLog!$K$2:$K$1000,QuickLog!$B$2:$B$1000,$B160,QuickLog!$O$2:$O$1000,$A160,QuickLog!$G$2:$G$1000,"Routine"))</f>
        <v/>
      </c>
      <c r="D160" s="31">
        <f>IF(OR($A160="",$B160=""),"",SUMIFS(QuickLog!$K$2:$K$1000,QuickLog!$B$2:$B$1000,$B160,QuickLog!$O$2:$O$1000,$A160,QuickLog!$G$2:$G$1000,"&lt;&gt;Routine"))</f>
        <v/>
      </c>
      <c r="E160" s="31">
        <f>IF($C160="","",MIN($C160,Settings!$B$2))</f>
        <v/>
      </c>
      <c r="F160" s="31">
        <f>IF($C160="","",MAX(0,$C160-$E160))</f>
        <v/>
      </c>
      <c r="G160" s="31">
        <f>IF(OR($E160="",$D160=""),"", $E160+$D160)</f>
        <v/>
      </c>
      <c r="H160" s="31">
        <f>IF(OR($A160="",$B160=""),"",SUMIFS(QuickLog!$L$2:$L$1000,QuickLog!$B$2:$B$1000,$B160,QuickLog!$O$2:$O$1000,$A160))</f>
        <v/>
      </c>
      <c r="I160" s="32">
        <f>IF($H160="","",$H160)</f>
        <v/>
      </c>
    </row>
    <row r="161">
      <c r="A161" s="29" t="n"/>
      <c r="B161" s="31" t="n"/>
      <c r="C161" s="31">
        <f>IF(OR($A161="",$B161=""),"",SUMIFS(QuickLog!$K$2:$K$1000,QuickLog!$B$2:$B$1000,$B161,QuickLog!$O$2:$O$1000,$A161,QuickLog!$G$2:$G$1000,"Routine"))</f>
        <v/>
      </c>
      <c r="D161" s="31">
        <f>IF(OR($A161="",$B161=""),"",SUMIFS(QuickLog!$K$2:$K$1000,QuickLog!$B$2:$B$1000,$B161,QuickLog!$O$2:$O$1000,$A161,QuickLog!$G$2:$G$1000,"&lt;&gt;Routine"))</f>
        <v/>
      </c>
      <c r="E161" s="31">
        <f>IF($C161="","",MIN($C161,Settings!$B$2))</f>
        <v/>
      </c>
      <c r="F161" s="31">
        <f>IF($C161="","",MAX(0,$C161-$E161))</f>
        <v/>
      </c>
      <c r="G161" s="31">
        <f>IF(OR($E161="",$D161=""),"", $E161+$D161)</f>
        <v/>
      </c>
      <c r="H161" s="31">
        <f>IF(OR($A161="",$B161=""),"",SUMIFS(QuickLog!$L$2:$L$1000,QuickLog!$B$2:$B$1000,$B161,QuickLog!$O$2:$O$1000,$A161))</f>
        <v/>
      </c>
      <c r="I161" s="32">
        <f>IF($H161="","",$H161)</f>
        <v/>
      </c>
    </row>
    <row r="162">
      <c r="A162" s="29" t="n"/>
      <c r="B162" s="31" t="n"/>
      <c r="C162" s="31">
        <f>IF(OR($A162="",$B162=""),"",SUMIFS(QuickLog!$K$2:$K$1000,QuickLog!$B$2:$B$1000,$B162,QuickLog!$O$2:$O$1000,$A162,QuickLog!$G$2:$G$1000,"Routine"))</f>
        <v/>
      </c>
      <c r="D162" s="31">
        <f>IF(OR($A162="",$B162=""),"",SUMIFS(QuickLog!$K$2:$K$1000,QuickLog!$B$2:$B$1000,$B162,QuickLog!$O$2:$O$1000,$A162,QuickLog!$G$2:$G$1000,"&lt;&gt;Routine"))</f>
        <v/>
      </c>
      <c r="E162" s="31">
        <f>IF($C162="","",MIN($C162,Settings!$B$2))</f>
        <v/>
      </c>
      <c r="F162" s="31">
        <f>IF($C162="","",MAX(0,$C162-$E162))</f>
        <v/>
      </c>
      <c r="G162" s="31">
        <f>IF(OR($E162="",$D162=""),"", $E162+$D162)</f>
        <v/>
      </c>
      <c r="H162" s="31">
        <f>IF(OR($A162="",$B162=""),"",SUMIFS(QuickLog!$L$2:$L$1000,QuickLog!$B$2:$B$1000,$B162,QuickLog!$O$2:$O$1000,$A162))</f>
        <v/>
      </c>
      <c r="I162" s="32">
        <f>IF($H162="","",$H162)</f>
        <v/>
      </c>
    </row>
    <row r="163">
      <c r="A163" s="29" t="n"/>
      <c r="B163" s="31" t="n"/>
      <c r="C163" s="31">
        <f>IF(OR($A163="",$B163=""),"",SUMIFS(QuickLog!$K$2:$K$1000,QuickLog!$B$2:$B$1000,$B163,QuickLog!$O$2:$O$1000,$A163,QuickLog!$G$2:$G$1000,"Routine"))</f>
        <v/>
      </c>
      <c r="D163" s="31">
        <f>IF(OR($A163="",$B163=""),"",SUMIFS(QuickLog!$K$2:$K$1000,QuickLog!$B$2:$B$1000,$B163,QuickLog!$O$2:$O$1000,$A163,QuickLog!$G$2:$G$1000,"&lt;&gt;Routine"))</f>
        <v/>
      </c>
      <c r="E163" s="31">
        <f>IF($C163="","",MIN($C163,Settings!$B$2))</f>
        <v/>
      </c>
      <c r="F163" s="31">
        <f>IF($C163="","",MAX(0,$C163-$E163))</f>
        <v/>
      </c>
      <c r="G163" s="31">
        <f>IF(OR($E163="",$D163=""),"", $E163+$D163)</f>
        <v/>
      </c>
      <c r="H163" s="31">
        <f>IF(OR($A163="",$B163=""),"",SUMIFS(QuickLog!$L$2:$L$1000,QuickLog!$B$2:$B$1000,$B163,QuickLog!$O$2:$O$1000,$A163))</f>
        <v/>
      </c>
      <c r="I163" s="32">
        <f>IF($H163="","",$H163)</f>
        <v/>
      </c>
    </row>
    <row r="164">
      <c r="A164" s="29" t="n"/>
      <c r="B164" s="31" t="n"/>
      <c r="C164" s="31">
        <f>IF(OR($A164="",$B164=""),"",SUMIFS(QuickLog!$K$2:$K$1000,QuickLog!$B$2:$B$1000,$B164,QuickLog!$O$2:$O$1000,$A164,QuickLog!$G$2:$G$1000,"Routine"))</f>
        <v/>
      </c>
      <c r="D164" s="31">
        <f>IF(OR($A164="",$B164=""),"",SUMIFS(QuickLog!$K$2:$K$1000,QuickLog!$B$2:$B$1000,$B164,QuickLog!$O$2:$O$1000,$A164,QuickLog!$G$2:$G$1000,"&lt;&gt;Routine"))</f>
        <v/>
      </c>
      <c r="E164" s="31">
        <f>IF($C164="","",MIN($C164,Settings!$B$2))</f>
        <v/>
      </c>
      <c r="F164" s="31">
        <f>IF($C164="","",MAX(0,$C164-$E164))</f>
        <v/>
      </c>
      <c r="G164" s="31">
        <f>IF(OR($E164="",$D164=""),"", $E164+$D164)</f>
        <v/>
      </c>
      <c r="H164" s="31">
        <f>IF(OR($A164="",$B164=""),"",SUMIFS(QuickLog!$L$2:$L$1000,QuickLog!$B$2:$B$1000,$B164,QuickLog!$O$2:$O$1000,$A164))</f>
        <v/>
      </c>
      <c r="I164" s="32">
        <f>IF($H164="","",$H164)</f>
        <v/>
      </c>
    </row>
    <row r="165">
      <c r="A165" s="29" t="n"/>
      <c r="B165" s="31" t="n"/>
      <c r="C165" s="31">
        <f>IF(OR($A165="",$B165=""),"",SUMIFS(QuickLog!$K$2:$K$1000,QuickLog!$B$2:$B$1000,$B165,QuickLog!$O$2:$O$1000,$A165,QuickLog!$G$2:$G$1000,"Routine"))</f>
        <v/>
      </c>
      <c r="D165" s="31">
        <f>IF(OR($A165="",$B165=""),"",SUMIFS(QuickLog!$K$2:$K$1000,QuickLog!$B$2:$B$1000,$B165,QuickLog!$O$2:$O$1000,$A165,QuickLog!$G$2:$G$1000,"&lt;&gt;Routine"))</f>
        <v/>
      </c>
      <c r="E165" s="31">
        <f>IF($C165="","",MIN($C165,Settings!$B$2))</f>
        <v/>
      </c>
      <c r="F165" s="31">
        <f>IF($C165="","",MAX(0,$C165-$E165))</f>
        <v/>
      </c>
      <c r="G165" s="31">
        <f>IF(OR($E165="",$D165=""),"", $E165+$D165)</f>
        <v/>
      </c>
      <c r="H165" s="31">
        <f>IF(OR($A165="",$B165=""),"",SUMIFS(QuickLog!$L$2:$L$1000,QuickLog!$B$2:$B$1000,$B165,QuickLog!$O$2:$O$1000,$A165))</f>
        <v/>
      </c>
      <c r="I165" s="32">
        <f>IF($H165="","",$H165)</f>
        <v/>
      </c>
    </row>
    <row r="166">
      <c r="A166" s="29" t="n"/>
      <c r="B166" s="31" t="n"/>
      <c r="C166" s="31">
        <f>IF(OR($A166="",$B166=""),"",SUMIFS(QuickLog!$K$2:$K$1000,QuickLog!$B$2:$B$1000,$B166,QuickLog!$O$2:$O$1000,$A166,QuickLog!$G$2:$G$1000,"Routine"))</f>
        <v/>
      </c>
      <c r="D166" s="31">
        <f>IF(OR($A166="",$B166=""),"",SUMIFS(QuickLog!$K$2:$K$1000,QuickLog!$B$2:$B$1000,$B166,QuickLog!$O$2:$O$1000,$A166,QuickLog!$G$2:$G$1000,"&lt;&gt;Routine"))</f>
        <v/>
      </c>
      <c r="E166" s="31">
        <f>IF($C166="","",MIN($C166,Settings!$B$2))</f>
        <v/>
      </c>
      <c r="F166" s="31">
        <f>IF($C166="","",MAX(0,$C166-$E166))</f>
        <v/>
      </c>
      <c r="G166" s="31">
        <f>IF(OR($E166="",$D166=""),"", $E166+$D166)</f>
        <v/>
      </c>
      <c r="H166" s="31">
        <f>IF(OR($A166="",$B166=""),"",SUMIFS(QuickLog!$L$2:$L$1000,QuickLog!$B$2:$B$1000,$B166,QuickLog!$O$2:$O$1000,$A166))</f>
        <v/>
      </c>
      <c r="I166" s="32">
        <f>IF($H166="","",$H166)</f>
        <v/>
      </c>
    </row>
    <row r="167">
      <c r="A167" s="29" t="n"/>
      <c r="B167" s="31" t="n"/>
      <c r="C167" s="31">
        <f>IF(OR($A167="",$B167=""),"",SUMIFS(QuickLog!$K$2:$K$1000,QuickLog!$B$2:$B$1000,$B167,QuickLog!$O$2:$O$1000,$A167,QuickLog!$G$2:$G$1000,"Routine"))</f>
        <v/>
      </c>
      <c r="D167" s="31">
        <f>IF(OR($A167="",$B167=""),"",SUMIFS(QuickLog!$K$2:$K$1000,QuickLog!$B$2:$B$1000,$B167,QuickLog!$O$2:$O$1000,$A167,QuickLog!$G$2:$G$1000,"&lt;&gt;Routine"))</f>
        <v/>
      </c>
      <c r="E167" s="31">
        <f>IF($C167="","",MIN($C167,Settings!$B$2))</f>
        <v/>
      </c>
      <c r="F167" s="31">
        <f>IF($C167="","",MAX(0,$C167-$E167))</f>
        <v/>
      </c>
      <c r="G167" s="31">
        <f>IF(OR($E167="",$D167=""),"", $E167+$D167)</f>
        <v/>
      </c>
      <c r="H167" s="31">
        <f>IF(OR($A167="",$B167=""),"",SUMIFS(QuickLog!$L$2:$L$1000,QuickLog!$B$2:$B$1000,$B167,QuickLog!$O$2:$O$1000,$A167))</f>
        <v/>
      </c>
      <c r="I167" s="32">
        <f>IF($H167="","",$H167)</f>
        <v/>
      </c>
    </row>
    <row r="168">
      <c r="A168" s="29" t="n"/>
      <c r="B168" s="31" t="n"/>
      <c r="C168" s="31">
        <f>IF(OR($A168="",$B168=""),"",SUMIFS(QuickLog!$K$2:$K$1000,QuickLog!$B$2:$B$1000,$B168,QuickLog!$O$2:$O$1000,$A168,QuickLog!$G$2:$G$1000,"Routine"))</f>
        <v/>
      </c>
      <c r="D168" s="31">
        <f>IF(OR($A168="",$B168=""),"",SUMIFS(QuickLog!$K$2:$K$1000,QuickLog!$B$2:$B$1000,$B168,QuickLog!$O$2:$O$1000,$A168,QuickLog!$G$2:$G$1000,"&lt;&gt;Routine"))</f>
        <v/>
      </c>
      <c r="E168" s="31">
        <f>IF($C168="","",MIN($C168,Settings!$B$2))</f>
        <v/>
      </c>
      <c r="F168" s="31">
        <f>IF($C168="","",MAX(0,$C168-$E168))</f>
        <v/>
      </c>
      <c r="G168" s="31">
        <f>IF(OR($E168="",$D168=""),"", $E168+$D168)</f>
        <v/>
      </c>
      <c r="H168" s="31">
        <f>IF(OR($A168="",$B168=""),"",SUMIFS(QuickLog!$L$2:$L$1000,QuickLog!$B$2:$B$1000,$B168,QuickLog!$O$2:$O$1000,$A168))</f>
        <v/>
      </c>
      <c r="I168" s="32">
        <f>IF($H168="","",$H168)</f>
        <v/>
      </c>
    </row>
    <row r="169">
      <c r="A169" s="29" t="n"/>
      <c r="B169" s="31" t="n"/>
      <c r="C169" s="31">
        <f>IF(OR($A169="",$B169=""),"",SUMIFS(QuickLog!$K$2:$K$1000,QuickLog!$B$2:$B$1000,$B169,QuickLog!$O$2:$O$1000,$A169,QuickLog!$G$2:$G$1000,"Routine"))</f>
        <v/>
      </c>
      <c r="D169" s="31">
        <f>IF(OR($A169="",$B169=""),"",SUMIFS(QuickLog!$K$2:$K$1000,QuickLog!$B$2:$B$1000,$B169,QuickLog!$O$2:$O$1000,$A169,QuickLog!$G$2:$G$1000,"&lt;&gt;Routine"))</f>
        <v/>
      </c>
      <c r="E169" s="31">
        <f>IF($C169="","",MIN($C169,Settings!$B$2))</f>
        <v/>
      </c>
      <c r="F169" s="31">
        <f>IF($C169="","",MAX(0,$C169-$E169))</f>
        <v/>
      </c>
      <c r="G169" s="31">
        <f>IF(OR($E169="",$D169=""),"", $E169+$D169)</f>
        <v/>
      </c>
      <c r="H169" s="31">
        <f>IF(OR($A169="",$B169=""),"",SUMIFS(QuickLog!$L$2:$L$1000,QuickLog!$B$2:$B$1000,$B169,QuickLog!$O$2:$O$1000,$A169))</f>
        <v/>
      </c>
      <c r="I169" s="32">
        <f>IF($H169="","",$H169)</f>
        <v/>
      </c>
    </row>
    <row r="170">
      <c r="A170" s="29" t="n"/>
      <c r="B170" s="31" t="n"/>
      <c r="C170" s="31">
        <f>IF(OR($A170="",$B170=""),"",SUMIFS(QuickLog!$K$2:$K$1000,QuickLog!$B$2:$B$1000,$B170,QuickLog!$O$2:$O$1000,$A170,QuickLog!$G$2:$G$1000,"Routine"))</f>
        <v/>
      </c>
      <c r="D170" s="31">
        <f>IF(OR($A170="",$B170=""),"",SUMIFS(QuickLog!$K$2:$K$1000,QuickLog!$B$2:$B$1000,$B170,QuickLog!$O$2:$O$1000,$A170,QuickLog!$G$2:$G$1000,"&lt;&gt;Routine"))</f>
        <v/>
      </c>
      <c r="E170" s="31">
        <f>IF($C170="","",MIN($C170,Settings!$B$2))</f>
        <v/>
      </c>
      <c r="F170" s="31">
        <f>IF($C170="","",MAX(0,$C170-$E170))</f>
        <v/>
      </c>
      <c r="G170" s="31">
        <f>IF(OR($E170="",$D170=""),"", $E170+$D170)</f>
        <v/>
      </c>
      <c r="H170" s="31">
        <f>IF(OR($A170="",$B170=""),"",SUMIFS(QuickLog!$L$2:$L$1000,QuickLog!$B$2:$B$1000,$B170,QuickLog!$O$2:$O$1000,$A170))</f>
        <v/>
      </c>
      <c r="I170" s="32">
        <f>IF($H170="","",$H170)</f>
        <v/>
      </c>
    </row>
    <row r="171">
      <c r="A171" s="29" t="n"/>
      <c r="B171" s="31" t="n"/>
      <c r="C171" s="31">
        <f>IF(OR($A171="",$B171=""),"",SUMIFS(QuickLog!$K$2:$K$1000,QuickLog!$B$2:$B$1000,$B171,QuickLog!$O$2:$O$1000,$A171,QuickLog!$G$2:$G$1000,"Routine"))</f>
        <v/>
      </c>
      <c r="D171" s="31">
        <f>IF(OR($A171="",$B171=""),"",SUMIFS(QuickLog!$K$2:$K$1000,QuickLog!$B$2:$B$1000,$B171,QuickLog!$O$2:$O$1000,$A171,QuickLog!$G$2:$G$1000,"&lt;&gt;Routine"))</f>
        <v/>
      </c>
      <c r="E171" s="31">
        <f>IF($C171="","",MIN($C171,Settings!$B$2))</f>
        <v/>
      </c>
      <c r="F171" s="31">
        <f>IF($C171="","",MAX(0,$C171-$E171))</f>
        <v/>
      </c>
      <c r="G171" s="31">
        <f>IF(OR($E171="",$D171=""),"", $E171+$D171)</f>
        <v/>
      </c>
      <c r="H171" s="31">
        <f>IF(OR($A171="",$B171=""),"",SUMIFS(QuickLog!$L$2:$L$1000,QuickLog!$B$2:$B$1000,$B171,QuickLog!$O$2:$O$1000,$A171))</f>
        <v/>
      </c>
      <c r="I171" s="32">
        <f>IF($H171="","",$H171)</f>
        <v/>
      </c>
    </row>
    <row r="172">
      <c r="A172" s="29" t="n"/>
      <c r="B172" s="31" t="n"/>
      <c r="C172" s="31">
        <f>IF(OR($A172="",$B172=""),"",SUMIFS(QuickLog!$K$2:$K$1000,QuickLog!$B$2:$B$1000,$B172,QuickLog!$O$2:$O$1000,$A172,QuickLog!$G$2:$G$1000,"Routine"))</f>
        <v/>
      </c>
      <c r="D172" s="31">
        <f>IF(OR($A172="",$B172=""),"",SUMIFS(QuickLog!$K$2:$K$1000,QuickLog!$B$2:$B$1000,$B172,QuickLog!$O$2:$O$1000,$A172,QuickLog!$G$2:$G$1000,"&lt;&gt;Routine"))</f>
        <v/>
      </c>
      <c r="E172" s="31">
        <f>IF($C172="","",MIN($C172,Settings!$B$2))</f>
        <v/>
      </c>
      <c r="F172" s="31">
        <f>IF($C172="","",MAX(0,$C172-$E172))</f>
        <v/>
      </c>
      <c r="G172" s="31">
        <f>IF(OR($E172="",$D172=""),"", $E172+$D172)</f>
        <v/>
      </c>
      <c r="H172" s="31">
        <f>IF(OR($A172="",$B172=""),"",SUMIFS(QuickLog!$L$2:$L$1000,QuickLog!$B$2:$B$1000,$B172,QuickLog!$O$2:$O$1000,$A172))</f>
        <v/>
      </c>
      <c r="I172" s="32">
        <f>IF($H172="","",$H172)</f>
        <v/>
      </c>
    </row>
    <row r="173">
      <c r="A173" s="29" t="n"/>
      <c r="B173" s="31" t="n"/>
      <c r="C173" s="31">
        <f>IF(OR($A173="",$B173=""),"",SUMIFS(QuickLog!$K$2:$K$1000,QuickLog!$B$2:$B$1000,$B173,QuickLog!$O$2:$O$1000,$A173,QuickLog!$G$2:$G$1000,"Routine"))</f>
        <v/>
      </c>
      <c r="D173" s="31">
        <f>IF(OR($A173="",$B173=""),"",SUMIFS(QuickLog!$K$2:$K$1000,QuickLog!$B$2:$B$1000,$B173,QuickLog!$O$2:$O$1000,$A173,QuickLog!$G$2:$G$1000,"&lt;&gt;Routine"))</f>
        <v/>
      </c>
      <c r="E173" s="31">
        <f>IF($C173="","",MIN($C173,Settings!$B$2))</f>
        <v/>
      </c>
      <c r="F173" s="31">
        <f>IF($C173="","",MAX(0,$C173-$E173))</f>
        <v/>
      </c>
      <c r="G173" s="31">
        <f>IF(OR($E173="",$D173=""),"", $E173+$D173)</f>
        <v/>
      </c>
      <c r="H173" s="31">
        <f>IF(OR($A173="",$B173=""),"",SUMIFS(QuickLog!$L$2:$L$1000,QuickLog!$B$2:$B$1000,$B173,QuickLog!$O$2:$O$1000,$A173))</f>
        <v/>
      </c>
      <c r="I173" s="32">
        <f>IF($H173="","",$H173)</f>
        <v/>
      </c>
    </row>
    <row r="174">
      <c r="A174" s="29" t="n"/>
      <c r="B174" s="31" t="n"/>
      <c r="C174" s="31">
        <f>IF(OR($A174="",$B174=""),"",SUMIFS(QuickLog!$K$2:$K$1000,QuickLog!$B$2:$B$1000,$B174,QuickLog!$O$2:$O$1000,$A174,QuickLog!$G$2:$G$1000,"Routine"))</f>
        <v/>
      </c>
      <c r="D174" s="31">
        <f>IF(OR($A174="",$B174=""),"",SUMIFS(QuickLog!$K$2:$K$1000,QuickLog!$B$2:$B$1000,$B174,QuickLog!$O$2:$O$1000,$A174,QuickLog!$G$2:$G$1000,"&lt;&gt;Routine"))</f>
        <v/>
      </c>
      <c r="E174" s="31">
        <f>IF($C174="","",MIN($C174,Settings!$B$2))</f>
        <v/>
      </c>
      <c r="F174" s="31">
        <f>IF($C174="","",MAX(0,$C174-$E174))</f>
        <v/>
      </c>
      <c r="G174" s="31">
        <f>IF(OR($E174="",$D174=""),"", $E174+$D174)</f>
        <v/>
      </c>
      <c r="H174" s="31">
        <f>IF(OR($A174="",$B174=""),"",SUMIFS(QuickLog!$L$2:$L$1000,QuickLog!$B$2:$B$1000,$B174,QuickLog!$O$2:$O$1000,$A174))</f>
        <v/>
      </c>
      <c r="I174" s="32">
        <f>IF($H174="","",$H174)</f>
        <v/>
      </c>
    </row>
    <row r="175">
      <c r="A175" s="29" t="n"/>
      <c r="B175" s="31" t="n"/>
      <c r="C175" s="31">
        <f>IF(OR($A175="",$B175=""),"",SUMIFS(QuickLog!$K$2:$K$1000,QuickLog!$B$2:$B$1000,$B175,QuickLog!$O$2:$O$1000,$A175,QuickLog!$G$2:$G$1000,"Routine"))</f>
        <v/>
      </c>
      <c r="D175" s="31">
        <f>IF(OR($A175="",$B175=""),"",SUMIFS(QuickLog!$K$2:$K$1000,QuickLog!$B$2:$B$1000,$B175,QuickLog!$O$2:$O$1000,$A175,QuickLog!$G$2:$G$1000,"&lt;&gt;Routine"))</f>
        <v/>
      </c>
      <c r="E175" s="31">
        <f>IF($C175="","",MIN($C175,Settings!$B$2))</f>
        <v/>
      </c>
      <c r="F175" s="31">
        <f>IF($C175="","",MAX(0,$C175-$E175))</f>
        <v/>
      </c>
      <c r="G175" s="31">
        <f>IF(OR($E175="",$D175=""),"", $E175+$D175)</f>
        <v/>
      </c>
      <c r="H175" s="31">
        <f>IF(OR($A175="",$B175=""),"",SUMIFS(QuickLog!$L$2:$L$1000,QuickLog!$B$2:$B$1000,$B175,QuickLog!$O$2:$O$1000,$A175))</f>
        <v/>
      </c>
      <c r="I175" s="32">
        <f>IF($H175="","",$H175)</f>
        <v/>
      </c>
    </row>
    <row r="176">
      <c r="A176" s="29" t="n"/>
      <c r="B176" s="31" t="n"/>
      <c r="C176" s="31">
        <f>IF(OR($A176="",$B176=""),"",SUMIFS(QuickLog!$K$2:$K$1000,QuickLog!$B$2:$B$1000,$B176,QuickLog!$O$2:$O$1000,$A176,QuickLog!$G$2:$G$1000,"Routine"))</f>
        <v/>
      </c>
      <c r="D176" s="31">
        <f>IF(OR($A176="",$B176=""),"",SUMIFS(QuickLog!$K$2:$K$1000,QuickLog!$B$2:$B$1000,$B176,QuickLog!$O$2:$O$1000,$A176,QuickLog!$G$2:$G$1000,"&lt;&gt;Routine"))</f>
        <v/>
      </c>
      <c r="E176" s="31">
        <f>IF($C176="","",MIN($C176,Settings!$B$2))</f>
        <v/>
      </c>
      <c r="F176" s="31">
        <f>IF($C176="","",MAX(0,$C176-$E176))</f>
        <v/>
      </c>
      <c r="G176" s="31">
        <f>IF(OR($E176="",$D176=""),"", $E176+$D176)</f>
        <v/>
      </c>
      <c r="H176" s="31">
        <f>IF(OR($A176="",$B176=""),"",SUMIFS(QuickLog!$L$2:$L$1000,QuickLog!$B$2:$B$1000,$B176,QuickLog!$O$2:$O$1000,$A176))</f>
        <v/>
      </c>
      <c r="I176" s="32">
        <f>IF($H176="","",$H176)</f>
        <v/>
      </c>
    </row>
    <row r="177">
      <c r="A177" s="29" t="n"/>
      <c r="B177" s="31" t="n"/>
      <c r="C177" s="31">
        <f>IF(OR($A177="",$B177=""),"",SUMIFS(QuickLog!$K$2:$K$1000,QuickLog!$B$2:$B$1000,$B177,QuickLog!$O$2:$O$1000,$A177,QuickLog!$G$2:$G$1000,"Routine"))</f>
        <v/>
      </c>
      <c r="D177" s="31">
        <f>IF(OR($A177="",$B177=""),"",SUMIFS(QuickLog!$K$2:$K$1000,QuickLog!$B$2:$B$1000,$B177,QuickLog!$O$2:$O$1000,$A177,QuickLog!$G$2:$G$1000,"&lt;&gt;Routine"))</f>
        <v/>
      </c>
      <c r="E177" s="31">
        <f>IF($C177="","",MIN($C177,Settings!$B$2))</f>
        <v/>
      </c>
      <c r="F177" s="31">
        <f>IF($C177="","",MAX(0,$C177-$E177))</f>
        <v/>
      </c>
      <c r="G177" s="31">
        <f>IF(OR($E177="",$D177=""),"", $E177+$D177)</f>
        <v/>
      </c>
      <c r="H177" s="31">
        <f>IF(OR($A177="",$B177=""),"",SUMIFS(QuickLog!$L$2:$L$1000,QuickLog!$B$2:$B$1000,$B177,QuickLog!$O$2:$O$1000,$A177))</f>
        <v/>
      </c>
      <c r="I177" s="32">
        <f>IF($H177="","",$H177)</f>
        <v/>
      </c>
    </row>
    <row r="178">
      <c r="A178" s="29" t="n"/>
      <c r="B178" s="31" t="n"/>
      <c r="C178" s="31">
        <f>IF(OR($A178="",$B178=""),"",SUMIFS(QuickLog!$K$2:$K$1000,QuickLog!$B$2:$B$1000,$B178,QuickLog!$O$2:$O$1000,$A178,QuickLog!$G$2:$G$1000,"Routine"))</f>
        <v/>
      </c>
      <c r="D178" s="31">
        <f>IF(OR($A178="",$B178=""),"",SUMIFS(QuickLog!$K$2:$K$1000,QuickLog!$B$2:$B$1000,$B178,QuickLog!$O$2:$O$1000,$A178,QuickLog!$G$2:$G$1000,"&lt;&gt;Routine"))</f>
        <v/>
      </c>
      <c r="E178" s="31">
        <f>IF($C178="","",MIN($C178,Settings!$B$2))</f>
        <v/>
      </c>
      <c r="F178" s="31">
        <f>IF($C178="","",MAX(0,$C178-$E178))</f>
        <v/>
      </c>
      <c r="G178" s="31">
        <f>IF(OR($E178="",$D178=""),"", $E178+$D178)</f>
        <v/>
      </c>
      <c r="H178" s="31">
        <f>IF(OR($A178="",$B178=""),"",SUMIFS(QuickLog!$L$2:$L$1000,QuickLog!$B$2:$B$1000,$B178,QuickLog!$O$2:$O$1000,$A178))</f>
        <v/>
      </c>
      <c r="I178" s="32">
        <f>IF($H178="","",$H178)</f>
        <v/>
      </c>
    </row>
    <row r="179">
      <c r="A179" s="29" t="n"/>
      <c r="B179" s="31" t="n"/>
      <c r="C179" s="31">
        <f>IF(OR($A179="",$B179=""),"",SUMIFS(QuickLog!$K$2:$K$1000,QuickLog!$B$2:$B$1000,$B179,QuickLog!$O$2:$O$1000,$A179,QuickLog!$G$2:$G$1000,"Routine"))</f>
        <v/>
      </c>
      <c r="D179" s="31">
        <f>IF(OR($A179="",$B179=""),"",SUMIFS(QuickLog!$K$2:$K$1000,QuickLog!$B$2:$B$1000,$B179,QuickLog!$O$2:$O$1000,$A179,QuickLog!$G$2:$G$1000,"&lt;&gt;Routine"))</f>
        <v/>
      </c>
      <c r="E179" s="31">
        <f>IF($C179="","",MIN($C179,Settings!$B$2))</f>
        <v/>
      </c>
      <c r="F179" s="31">
        <f>IF($C179="","",MAX(0,$C179-$E179))</f>
        <v/>
      </c>
      <c r="G179" s="31">
        <f>IF(OR($E179="",$D179=""),"", $E179+$D179)</f>
        <v/>
      </c>
      <c r="H179" s="31">
        <f>IF(OR($A179="",$B179=""),"",SUMIFS(QuickLog!$L$2:$L$1000,QuickLog!$B$2:$B$1000,$B179,QuickLog!$O$2:$O$1000,$A179))</f>
        <v/>
      </c>
      <c r="I179" s="32">
        <f>IF($H179="","",$H179)</f>
        <v/>
      </c>
    </row>
    <row r="180">
      <c r="A180" s="29" t="n"/>
      <c r="B180" s="31" t="n"/>
      <c r="C180" s="31">
        <f>IF(OR($A180="",$B180=""),"",SUMIFS(QuickLog!$K$2:$K$1000,QuickLog!$B$2:$B$1000,$B180,QuickLog!$O$2:$O$1000,$A180,QuickLog!$G$2:$G$1000,"Routine"))</f>
        <v/>
      </c>
      <c r="D180" s="31">
        <f>IF(OR($A180="",$B180=""),"",SUMIFS(QuickLog!$K$2:$K$1000,QuickLog!$B$2:$B$1000,$B180,QuickLog!$O$2:$O$1000,$A180,QuickLog!$G$2:$G$1000,"&lt;&gt;Routine"))</f>
        <v/>
      </c>
      <c r="E180" s="31">
        <f>IF($C180="","",MIN($C180,Settings!$B$2))</f>
        <v/>
      </c>
      <c r="F180" s="31">
        <f>IF($C180="","",MAX(0,$C180-$E180))</f>
        <v/>
      </c>
      <c r="G180" s="31">
        <f>IF(OR($E180="",$D180=""),"", $E180+$D180)</f>
        <v/>
      </c>
      <c r="H180" s="31">
        <f>IF(OR($A180="",$B180=""),"",SUMIFS(QuickLog!$L$2:$L$1000,QuickLog!$B$2:$B$1000,$B180,QuickLog!$O$2:$O$1000,$A180))</f>
        <v/>
      </c>
      <c r="I180" s="32">
        <f>IF($H180="","",$H180)</f>
        <v/>
      </c>
    </row>
    <row r="181">
      <c r="A181" s="29" t="n"/>
      <c r="B181" s="31" t="n"/>
      <c r="C181" s="31">
        <f>IF(OR($A181="",$B181=""),"",SUMIFS(QuickLog!$K$2:$K$1000,QuickLog!$B$2:$B$1000,$B181,QuickLog!$O$2:$O$1000,$A181,QuickLog!$G$2:$G$1000,"Routine"))</f>
        <v/>
      </c>
      <c r="D181" s="31">
        <f>IF(OR($A181="",$B181=""),"",SUMIFS(QuickLog!$K$2:$K$1000,QuickLog!$B$2:$B$1000,$B181,QuickLog!$O$2:$O$1000,$A181,QuickLog!$G$2:$G$1000,"&lt;&gt;Routine"))</f>
        <v/>
      </c>
      <c r="E181" s="31">
        <f>IF($C181="","",MIN($C181,Settings!$B$2))</f>
        <v/>
      </c>
      <c r="F181" s="31">
        <f>IF($C181="","",MAX(0,$C181-$E181))</f>
        <v/>
      </c>
      <c r="G181" s="31">
        <f>IF(OR($E181="",$D181=""),"", $E181+$D181)</f>
        <v/>
      </c>
      <c r="H181" s="31">
        <f>IF(OR($A181="",$B181=""),"",SUMIFS(QuickLog!$L$2:$L$1000,QuickLog!$B$2:$B$1000,$B181,QuickLog!$O$2:$O$1000,$A181))</f>
        <v/>
      </c>
      <c r="I181" s="32">
        <f>IF($H181="","",$H181)</f>
        <v/>
      </c>
    </row>
    <row r="182">
      <c r="A182" s="29" t="n"/>
      <c r="B182" s="31" t="n"/>
      <c r="C182" s="31">
        <f>IF(OR($A182="",$B182=""),"",SUMIFS(QuickLog!$K$2:$K$1000,QuickLog!$B$2:$B$1000,$B182,QuickLog!$O$2:$O$1000,$A182,QuickLog!$G$2:$G$1000,"Routine"))</f>
        <v/>
      </c>
      <c r="D182" s="31">
        <f>IF(OR($A182="",$B182=""),"",SUMIFS(QuickLog!$K$2:$K$1000,QuickLog!$B$2:$B$1000,$B182,QuickLog!$O$2:$O$1000,$A182,QuickLog!$G$2:$G$1000,"&lt;&gt;Routine"))</f>
        <v/>
      </c>
      <c r="E182" s="31">
        <f>IF($C182="","",MIN($C182,Settings!$B$2))</f>
        <v/>
      </c>
      <c r="F182" s="31">
        <f>IF($C182="","",MAX(0,$C182-$E182))</f>
        <v/>
      </c>
      <c r="G182" s="31">
        <f>IF(OR($E182="",$D182=""),"", $E182+$D182)</f>
        <v/>
      </c>
      <c r="H182" s="31">
        <f>IF(OR($A182="",$B182=""),"",SUMIFS(QuickLog!$L$2:$L$1000,QuickLog!$B$2:$B$1000,$B182,QuickLog!$O$2:$O$1000,$A182))</f>
        <v/>
      </c>
      <c r="I182" s="32">
        <f>IF($H182="","",$H182)</f>
        <v/>
      </c>
    </row>
    <row r="183">
      <c r="A183" s="29" t="n"/>
      <c r="B183" s="31" t="n"/>
      <c r="C183" s="31">
        <f>IF(OR($A183="",$B183=""),"",SUMIFS(QuickLog!$K$2:$K$1000,QuickLog!$B$2:$B$1000,$B183,QuickLog!$O$2:$O$1000,$A183,QuickLog!$G$2:$G$1000,"Routine"))</f>
        <v/>
      </c>
      <c r="D183" s="31">
        <f>IF(OR($A183="",$B183=""),"",SUMIFS(QuickLog!$K$2:$K$1000,QuickLog!$B$2:$B$1000,$B183,QuickLog!$O$2:$O$1000,$A183,QuickLog!$G$2:$G$1000,"&lt;&gt;Routine"))</f>
        <v/>
      </c>
      <c r="E183" s="31">
        <f>IF($C183="","",MIN($C183,Settings!$B$2))</f>
        <v/>
      </c>
      <c r="F183" s="31">
        <f>IF($C183="","",MAX(0,$C183-$E183))</f>
        <v/>
      </c>
      <c r="G183" s="31">
        <f>IF(OR($E183="",$D183=""),"", $E183+$D183)</f>
        <v/>
      </c>
      <c r="H183" s="31">
        <f>IF(OR($A183="",$B183=""),"",SUMIFS(QuickLog!$L$2:$L$1000,QuickLog!$B$2:$B$1000,$B183,QuickLog!$O$2:$O$1000,$A183))</f>
        <v/>
      </c>
      <c r="I183" s="32">
        <f>IF($H183="","",$H183)</f>
        <v/>
      </c>
    </row>
    <row r="184">
      <c r="A184" s="29" t="n"/>
      <c r="B184" s="31" t="n"/>
      <c r="C184" s="31">
        <f>IF(OR($A184="",$B184=""),"",SUMIFS(QuickLog!$K$2:$K$1000,QuickLog!$B$2:$B$1000,$B184,QuickLog!$O$2:$O$1000,$A184,QuickLog!$G$2:$G$1000,"Routine"))</f>
        <v/>
      </c>
      <c r="D184" s="31">
        <f>IF(OR($A184="",$B184=""),"",SUMIFS(QuickLog!$K$2:$K$1000,QuickLog!$B$2:$B$1000,$B184,QuickLog!$O$2:$O$1000,$A184,QuickLog!$G$2:$G$1000,"&lt;&gt;Routine"))</f>
        <v/>
      </c>
      <c r="E184" s="31">
        <f>IF($C184="","",MIN($C184,Settings!$B$2))</f>
        <v/>
      </c>
      <c r="F184" s="31">
        <f>IF($C184="","",MAX(0,$C184-$E184))</f>
        <v/>
      </c>
      <c r="G184" s="31">
        <f>IF(OR($E184="",$D184=""),"", $E184+$D184)</f>
        <v/>
      </c>
      <c r="H184" s="31">
        <f>IF(OR($A184="",$B184=""),"",SUMIFS(QuickLog!$L$2:$L$1000,QuickLog!$B$2:$B$1000,$B184,QuickLog!$O$2:$O$1000,$A184))</f>
        <v/>
      </c>
      <c r="I184" s="32">
        <f>IF($H184="","",$H184)</f>
        <v/>
      </c>
    </row>
    <row r="185">
      <c r="A185" s="29" t="n"/>
      <c r="B185" s="31" t="n"/>
      <c r="C185" s="31">
        <f>IF(OR($A185="",$B185=""),"",SUMIFS(QuickLog!$K$2:$K$1000,QuickLog!$B$2:$B$1000,$B185,QuickLog!$O$2:$O$1000,$A185,QuickLog!$G$2:$G$1000,"Routine"))</f>
        <v/>
      </c>
      <c r="D185" s="31">
        <f>IF(OR($A185="",$B185=""),"",SUMIFS(QuickLog!$K$2:$K$1000,QuickLog!$B$2:$B$1000,$B185,QuickLog!$O$2:$O$1000,$A185,QuickLog!$G$2:$G$1000,"&lt;&gt;Routine"))</f>
        <v/>
      </c>
      <c r="E185" s="31">
        <f>IF($C185="","",MIN($C185,Settings!$B$2))</f>
        <v/>
      </c>
      <c r="F185" s="31">
        <f>IF($C185="","",MAX(0,$C185-$E185))</f>
        <v/>
      </c>
      <c r="G185" s="31">
        <f>IF(OR($E185="",$D185=""),"", $E185+$D185)</f>
        <v/>
      </c>
      <c r="H185" s="31">
        <f>IF(OR($A185="",$B185=""),"",SUMIFS(QuickLog!$L$2:$L$1000,QuickLog!$B$2:$B$1000,$B185,QuickLog!$O$2:$O$1000,$A185))</f>
        <v/>
      </c>
      <c r="I185" s="32">
        <f>IF($H185="","",$H185)</f>
        <v/>
      </c>
    </row>
    <row r="186">
      <c r="A186" s="29" t="n"/>
      <c r="B186" s="31" t="n"/>
      <c r="C186" s="31">
        <f>IF(OR($A186="",$B186=""),"",SUMIFS(QuickLog!$K$2:$K$1000,QuickLog!$B$2:$B$1000,$B186,QuickLog!$O$2:$O$1000,$A186,QuickLog!$G$2:$G$1000,"Routine"))</f>
        <v/>
      </c>
      <c r="D186" s="31">
        <f>IF(OR($A186="",$B186=""),"",SUMIFS(QuickLog!$K$2:$K$1000,QuickLog!$B$2:$B$1000,$B186,QuickLog!$O$2:$O$1000,$A186,QuickLog!$G$2:$G$1000,"&lt;&gt;Routine"))</f>
        <v/>
      </c>
      <c r="E186" s="31">
        <f>IF($C186="","",MIN($C186,Settings!$B$2))</f>
        <v/>
      </c>
      <c r="F186" s="31">
        <f>IF($C186="","",MAX(0,$C186-$E186))</f>
        <v/>
      </c>
      <c r="G186" s="31">
        <f>IF(OR($E186="",$D186=""),"", $E186+$D186)</f>
        <v/>
      </c>
      <c r="H186" s="31">
        <f>IF(OR($A186="",$B186=""),"",SUMIFS(QuickLog!$L$2:$L$1000,QuickLog!$B$2:$B$1000,$B186,QuickLog!$O$2:$O$1000,$A186))</f>
        <v/>
      </c>
      <c r="I186" s="32">
        <f>IF($H186="","",$H186)</f>
        <v/>
      </c>
    </row>
    <row r="187">
      <c r="A187" s="29" t="n"/>
      <c r="B187" s="31" t="n"/>
      <c r="C187" s="31">
        <f>IF(OR($A187="",$B187=""),"",SUMIFS(QuickLog!$K$2:$K$1000,QuickLog!$B$2:$B$1000,$B187,QuickLog!$O$2:$O$1000,$A187,QuickLog!$G$2:$G$1000,"Routine"))</f>
        <v/>
      </c>
      <c r="D187" s="31">
        <f>IF(OR($A187="",$B187=""),"",SUMIFS(QuickLog!$K$2:$K$1000,QuickLog!$B$2:$B$1000,$B187,QuickLog!$O$2:$O$1000,$A187,QuickLog!$G$2:$G$1000,"&lt;&gt;Routine"))</f>
        <v/>
      </c>
      <c r="E187" s="31">
        <f>IF($C187="","",MIN($C187,Settings!$B$2))</f>
        <v/>
      </c>
      <c r="F187" s="31">
        <f>IF($C187="","",MAX(0,$C187-$E187))</f>
        <v/>
      </c>
      <c r="G187" s="31">
        <f>IF(OR($E187="",$D187=""),"", $E187+$D187)</f>
        <v/>
      </c>
      <c r="H187" s="31">
        <f>IF(OR($A187="",$B187=""),"",SUMIFS(QuickLog!$L$2:$L$1000,QuickLog!$B$2:$B$1000,$B187,QuickLog!$O$2:$O$1000,$A187))</f>
        <v/>
      </c>
      <c r="I187" s="32">
        <f>IF($H187="","",$H187)</f>
        <v/>
      </c>
    </row>
    <row r="188">
      <c r="A188" s="29" t="n"/>
      <c r="B188" s="31" t="n"/>
      <c r="C188" s="31">
        <f>IF(OR($A188="",$B188=""),"",SUMIFS(QuickLog!$K$2:$K$1000,QuickLog!$B$2:$B$1000,$B188,QuickLog!$O$2:$O$1000,$A188,QuickLog!$G$2:$G$1000,"Routine"))</f>
        <v/>
      </c>
      <c r="D188" s="31">
        <f>IF(OR($A188="",$B188=""),"",SUMIFS(QuickLog!$K$2:$K$1000,QuickLog!$B$2:$B$1000,$B188,QuickLog!$O$2:$O$1000,$A188,QuickLog!$G$2:$G$1000,"&lt;&gt;Routine"))</f>
        <v/>
      </c>
      <c r="E188" s="31">
        <f>IF($C188="","",MIN($C188,Settings!$B$2))</f>
        <v/>
      </c>
      <c r="F188" s="31">
        <f>IF($C188="","",MAX(0,$C188-$E188))</f>
        <v/>
      </c>
      <c r="G188" s="31">
        <f>IF(OR($E188="",$D188=""),"", $E188+$D188)</f>
        <v/>
      </c>
      <c r="H188" s="31">
        <f>IF(OR($A188="",$B188=""),"",SUMIFS(QuickLog!$L$2:$L$1000,QuickLog!$B$2:$B$1000,$B188,QuickLog!$O$2:$O$1000,$A188))</f>
        <v/>
      </c>
      <c r="I188" s="32">
        <f>IF($H188="","",$H188)</f>
        <v/>
      </c>
    </row>
    <row r="189">
      <c r="A189" s="29" t="n"/>
      <c r="B189" s="31" t="n"/>
      <c r="C189" s="31">
        <f>IF(OR($A189="",$B189=""),"",SUMIFS(QuickLog!$K$2:$K$1000,QuickLog!$B$2:$B$1000,$B189,QuickLog!$O$2:$O$1000,$A189,QuickLog!$G$2:$G$1000,"Routine"))</f>
        <v/>
      </c>
      <c r="D189" s="31">
        <f>IF(OR($A189="",$B189=""),"",SUMIFS(QuickLog!$K$2:$K$1000,QuickLog!$B$2:$B$1000,$B189,QuickLog!$O$2:$O$1000,$A189,QuickLog!$G$2:$G$1000,"&lt;&gt;Routine"))</f>
        <v/>
      </c>
      <c r="E189" s="31">
        <f>IF($C189="","",MIN($C189,Settings!$B$2))</f>
        <v/>
      </c>
      <c r="F189" s="31">
        <f>IF($C189="","",MAX(0,$C189-$E189))</f>
        <v/>
      </c>
      <c r="G189" s="31">
        <f>IF(OR($E189="",$D189=""),"", $E189+$D189)</f>
        <v/>
      </c>
      <c r="H189" s="31">
        <f>IF(OR($A189="",$B189=""),"",SUMIFS(QuickLog!$L$2:$L$1000,QuickLog!$B$2:$B$1000,$B189,QuickLog!$O$2:$O$1000,$A189))</f>
        <v/>
      </c>
      <c r="I189" s="32">
        <f>IF($H189="","",$H189)</f>
        <v/>
      </c>
    </row>
    <row r="190">
      <c r="A190" s="29" t="n"/>
      <c r="B190" s="31" t="n"/>
      <c r="C190" s="31">
        <f>IF(OR($A190="",$B190=""),"",SUMIFS(QuickLog!$K$2:$K$1000,QuickLog!$B$2:$B$1000,$B190,QuickLog!$O$2:$O$1000,$A190,QuickLog!$G$2:$G$1000,"Routine"))</f>
        <v/>
      </c>
      <c r="D190" s="31">
        <f>IF(OR($A190="",$B190=""),"",SUMIFS(QuickLog!$K$2:$K$1000,QuickLog!$B$2:$B$1000,$B190,QuickLog!$O$2:$O$1000,$A190,QuickLog!$G$2:$G$1000,"&lt;&gt;Routine"))</f>
        <v/>
      </c>
      <c r="E190" s="31">
        <f>IF($C190="","",MIN($C190,Settings!$B$2))</f>
        <v/>
      </c>
      <c r="F190" s="31">
        <f>IF($C190="","",MAX(0,$C190-$E190))</f>
        <v/>
      </c>
      <c r="G190" s="31">
        <f>IF(OR($E190="",$D190=""),"", $E190+$D190)</f>
        <v/>
      </c>
      <c r="H190" s="31">
        <f>IF(OR($A190="",$B190=""),"",SUMIFS(QuickLog!$L$2:$L$1000,QuickLog!$B$2:$B$1000,$B190,QuickLog!$O$2:$O$1000,$A190))</f>
        <v/>
      </c>
      <c r="I190" s="32">
        <f>IF($H190="","",$H190)</f>
        <v/>
      </c>
    </row>
    <row r="191">
      <c r="A191" s="29" t="n"/>
      <c r="B191" s="31" t="n"/>
      <c r="C191" s="31">
        <f>IF(OR($A191="",$B191=""),"",SUMIFS(QuickLog!$K$2:$K$1000,QuickLog!$B$2:$B$1000,$B191,QuickLog!$O$2:$O$1000,$A191,QuickLog!$G$2:$G$1000,"Routine"))</f>
        <v/>
      </c>
      <c r="D191" s="31">
        <f>IF(OR($A191="",$B191=""),"",SUMIFS(QuickLog!$K$2:$K$1000,QuickLog!$B$2:$B$1000,$B191,QuickLog!$O$2:$O$1000,$A191,QuickLog!$G$2:$G$1000,"&lt;&gt;Routine"))</f>
        <v/>
      </c>
      <c r="E191" s="31">
        <f>IF($C191="","",MIN($C191,Settings!$B$2))</f>
        <v/>
      </c>
      <c r="F191" s="31">
        <f>IF($C191="","",MAX(0,$C191-$E191))</f>
        <v/>
      </c>
      <c r="G191" s="31">
        <f>IF(OR($E191="",$D191=""),"", $E191+$D191)</f>
        <v/>
      </c>
      <c r="H191" s="31">
        <f>IF(OR($A191="",$B191=""),"",SUMIFS(QuickLog!$L$2:$L$1000,QuickLog!$B$2:$B$1000,$B191,QuickLog!$O$2:$O$1000,$A191))</f>
        <v/>
      </c>
      <c r="I191" s="32">
        <f>IF($H191="","",$H191)</f>
        <v/>
      </c>
    </row>
    <row r="192">
      <c r="A192" s="29" t="n"/>
      <c r="B192" s="31" t="n"/>
      <c r="C192" s="31">
        <f>IF(OR($A192="",$B192=""),"",SUMIFS(QuickLog!$K$2:$K$1000,QuickLog!$B$2:$B$1000,$B192,QuickLog!$O$2:$O$1000,$A192,QuickLog!$G$2:$G$1000,"Routine"))</f>
        <v/>
      </c>
      <c r="D192" s="31">
        <f>IF(OR($A192="",$B192=""),"",SUMIFS(QuickLog!$K$2:$K$1000,QuickLog!$B$2:$B$1000,$B192,QuickLog!$O$2:$O$1000,$A192,QuickLog!$G$2:$G$1000,"&lt;&gt;Routine"))</f>
        <v/>
      </c>
      <c r="E192" s="31">
        <f>IF($C192="","",MIN($C192,Settings!$B$2))</f>
        <v/>
      </c>
      <c r="F192" s="31">
        <f>IF($C192="","",MAX(0,$C192-$E192))</f>
        <v/>
      </c>
      <c r="G192" s="31">
        <f>IF(OR($E192="",$D192=""),"", $E192+$D192)</f>
        <v/>
      </c>
      <c r="H192" s="31">
        <f>IF(OR($A192="",$B192=""),"",SUMIFS(QuickLog!$L$2:$L$1000,QuickLog!$B$2:$B$1000,$B192,QuickLog!$O$2:$O$1000,$A192))</f>
        <v/>
      </c>
      <c r="I192" s="32">
        <f>IF($H192="","",$H192)</f>
        <v/>
      </c>
    </row>
    <row r="193">
      <c r="A193" s="29" t="n"/>
      <c r="B193" s="31" t="n"/>
      <c r="C193" s="31">
        <f>IF(OR($A193="",$B193=""),"",SUMIFS(QuickLog!$K$2:$K$1000,QuickLog!$B$2:$B$1000,$B193,QuickLog!$O$2:$O$1000,$A193,QuickLog!$G$2:$G$1000,"Routine"))</f>
        <v/>
      </c>
      <c r="D193" s="31">
        <f>IF(OR($A193="",$B193=""),"",SUMIFS(QuickLog!$K$2:$K$1000,QuickLog!$B$2:$B$1000,$B193,QuickLog!$O$2:$O$1000,$A193,QuickLog!$G$2:$G$1000,"&lt;&gt;Routine"))</f>
        <v/>
      </c>
      <c r="E193" s="31">
        <f>IF($C193="","",MIN($C193,Settings!$B$2))</f>
        <v/>
      </c>
      <c r="F193" s="31">
        <f>IF($C193="","",MAX(0,$C193-$E193))</f>
        <v/>
      </c>
      <c r="G193" s="31">
        <f>IF(OR($E193="",$D193=""),"", $E193+$D193)</f>
        <v/>
      </c>
      <c r="H193" s="31">
        <f>IF(OR($A193="",$B193=""),"",SUMIFS(QuickLog!$L$2:$L$1000,QuickLog!$B$2:$B$1000,$B193,QuickLog!$O$2:$O$1000,$A193))</f>
        <v/>
      </c>
      <c r="I193" s="32">
        <f>IF($H193="","",$H193)</f>
        <v/>
      </c>
    </row>
    <row r="194">
      <c r="A194" s="29" t="n"/>
      <c r="B194" s="31" t="n"/>
      <c r="C194" s="31">
        <f>IF(OR($A194="",$B194=""),"",SUMIFS(QuickLog!$K$2:$K$1000,QuickLog!$B$2:$B$1000,$B194,QuickLog!$O$2:$O$1000,$A194,QuickLog!$G$2:$G$1000,"Routine"))</f>
        <v/>
      </c>
      <c r="D194" s="31">
        <f>IF(OR($A194="",$B194=""),"",SUMIFS(QuickLog!$K$2:$K$1000,QuickLog!$B$2:$B$1000,$B194,QuickLog!$O$2:$O$1000,$A194,QuickLog!$G$2:$G$1000,"&lt;&gt;Routine"))</f>
        <v/>
      </c>
      <c r="E194" s="31">
        <f>IF($C194="","",MIN($C194,Settings!$B$2))</f>
        <v/>
      </c>
      <c r="F194" s="31">
        <f>IF($C194="","",MAX(0,$C194-$E194))</f>
        <v/>
      </c>
      <c r="G194" s="31">
        <f>IF(OR($E194="",$D194=""),"", $E194+$D194)</f>
        <v/>
      </c>
      <c r="H194" s="31">
        <f>IF(OR($A194="",$B194=""),"",SUMIFS(QuickLog!$L$2:$L$1000,QuickLog!$B$2:$B$1000,$B194,QuickLog!$O$2:$O$1000,$A194))</f>
        <v/>
      </c>
      <c r="I194" s="32">
        <f>IF($H194="","",$H194)</f>
        <v/>
      </c>
    </row>
    <row r="195">
      <c r="A195" s="29" t="n"/>
      <c r="B195" s="31" t="n"/>
      <c r="C195" s="31">
        <f>IF(OR($A195="",$B195=""),"",SUMIFS(QuickLog!$K$2:$K$1000,QuickLog!$B$2:$B$1000,$B195,QuickLog!$O$2:$O$1000,$A195,QuickLog!$G$2:$G$1000,"Routine"))</f>
        <v/>
      </c>
      <c r="D195" s="31">
        <f>IF(OR($A195="",$B195=""),"",SUMIFS(QuickLog!$K$2:$K$1000,QuickLog!$B$2:$B$1000,$B195,QuickLog!$O$2:$O$1000,$A195,QuickLog!$G$2:$G$1000,"&lt;&gt;Routine"))</f>
        <v/>
      </c>
      <c r="E195" s="31">
        <f>IF($C195="","",MIN($C195,Settings!$B$2))</f>
        <v/>
      </c>
      <c r="F195" s="31">
        <f>IF($C195="","",MAX(0,$C195-$E195))</f>
        <v/>
      </c>
      <c r="G195" s="31">
        <f>IF(OR($E195="",$D195=""),"", $E195+$D195)</f>
        <v/>
      </c>
      <c r="H195" s="31">
        <f>IF(OR($A195="",$B195=""),"",SUMIFS(QuickLog!$L$2:$L$1000,QuickLog!$B$2:$B$1000,$B195,QuickLog!$O$2:$O$1000,$A195))</f>
        <v/>
      </c>
      <c r="I195" s="32">
        <f>IF($H195="","",$H195)</f>
        <v/>
      </c>
    </row>
    <row r="196">
      <c r="A196" s="29" t="n"/>
      <c r="B196" s="31" t="n"/>
      <c r="C196" s="31">
        <f>IF(OR($A196="",$B196=""),"",SUMIFS(QuickLog!$K$2:$K$1000,QuickLog!$B$2:$B$1000,$B196,QuickLog!$O$2:$O$1000,$A196,QuickLog!$G$2:$G$1000,"Routine"))</f>
        <v/>
      </c>
      <c r="D196" s="31">
        <f>IF(OR($A196="",$B196=""),"",SUMIFS(QuickLog!$K$2:$K$1000,QuickLog!$B$2:$B$1000,$B196,QuickLog!$O$2:$O$1000,$A196,QuickLog!$G$2:$G$1000,"&lt;&gt;Routine"))</f>
        <v/>
      </c>
      <c r="E196" s="31">
        <f>IF($C196="","",MIN($C196,Settings!$B$2))</f>
        <v/>
      </c>
      <c r="F196" s="31">
        <f>IF($C196="","",MAX(0,$C196-$E196))</f>
        <v/>
      </c>
      <c r="G196" s="31">
        <f>IF(OR($E196="",$D196=""),"", $E196+$D196)</f>
        <v/>
      </c>
      <c r="H196" s="31">
        <f>IF(OR($A196="",$B196=""),"",SUMIFS(QuickLog!$L$2:$L$1000,QuickLog!$B$2:$B$1000,$B196,QuickLog!$O$2:$O$1000,$A196))</f>
        <v/>
      </c>
      <c r="I196" s="32">
        <f>IF($H196="","",$H196)</f>
        <v/>
      </c>
    </row>
    <row r="197">
      <c r="A197" s="29" t="n"/>
      <c r="B197" s="31" t="n"/>
      <c r="C197" s="31">
        <f>IF(OR($A197="",$B197=""),"",SUMIFS(QuickLog!$K$2:$K$1000,QuickLog!$B$2:$B$1000,$B197,QuickLog!$O$2:$O$1000,$A197,QuickLog!$G$2:$G$1000,"Routine"))</f>
        <v/>
      </c>
      <c r="D197" s="31">
        <f>IF(OR($A197="",$B197=""),"",SUMIFS(QuickLog!$K$2:$K$1000,QuickLog!$B$2:$B$1000,$B197,QuickLog!$O$2:$O$1000,$A197,QuickLog!$G$2:$G$1000,"&lt;&gt;Routine"))</f>
        <v/>
      </c>
      <c r="E197" s="31">
        <f>IF($C197="","",MIN($C197,Settings!$B$2))</f>
        <v/>
      </c>
      <c r="F197" s="31">
        <f>IF($C197="","",MAX(0,$C197-$E197))</f>
        <v/>
      </c>
      <c r="G197" s="31">
        <f>IF(OR($E197="",$D197=""),"", $E197+$D197)</f>
        <v/>
      </c>
      <c r="H197" s="31">
        <f>IF(OR($A197="",$B197=""),"",SUMIFS(QuickLog!$L$2:$L$1000,QuickLog!$B$2:$B$1000,$B197,QuickLog!$O$2:$O$1000,$A197))</f>
        <v/>
      </c>
      <c r="I197" s="32">
        <f>IF($H197="","",$H197)</f>
        <v/>
      </c>
    </row>
    <row r="198">
      <c r="A198" s="29" t="n"/>
      <c r="B198" s="31" t="n"/>
      <c r="C198" s="31">
        <f>IF(OR($A198="",$B198=""),"",SUMIFS(QuickLog!$K$2:$K$1000,QuickLog!$B$2:$B$1000,$B198,QuickLog!$O$2:$O$1000,$A198,QuickLog!$G$2:$G$1000,"Routine"))</f>
        <v/>
      </c>
      <c r="D198" s="31">
        <f>IF(OR($A198="",$B198=""),"",SUMIFS(QuickLog!$K$2:$K$1000,QuickLog!$B$2:$B$1000,$B198,QuickLog!$O$2:$O$1000,$A198,QuickLog!$G$2:$G$1000,"&lt;&gt;Routine"))</f>
        <v/>
      </c>
      <c r="E198" s="31">
        <f>IF($C198="","",MIN($C198,Settings!$B$2))</f>
        <v/>
      </c>
      <c r="F198" s="31">
        <f>IF($C198="","",MAX(0,$C198-$E198))</f>
        <v/>
      </c>
      <c r="G198" s="31">
        <f>IF(OR($E198="",$D198=""),"", $E198+$D198)</f>
        <v/>
      </c>
      <c r="H198" s="31">
        <f>IF(OR($A198="",$B198=""),"",SUMIFS(QuickLog!$L$2:$L$1000,QuickLog!$B$2:$B$1000,$B198,QuickLog!$O$2:$O$1000,$A198))</f>
        <v/>
      </c>
      <c r="I198" s="32">
        <f>IF($H198="","",$H198)</f>
        <v/>
      </c>
    </row>
    <row r="199">
      <c r="A199" s="29" t="n"/>
      <c r="B199" s="31" t="n"/>
      <c r="C199" s="31">
        <f>IF(OR($A199="",$B199=""),"",SUMIFS(QuickLog!$K$2:$K$1000,QuickLog!$B$2:$B$1000,$B199,QuickLog!$O$2:$O$1000,$A199,QuickLog!$G$2:$G$1000,"Routine"))</f>
        <v/>
      </c>
      <c r="D199" s="31">
        <f>IF(OR($A199="",$B199=""),"",SUMIFS(QuickLog!$K$2:$K$1000,QuickLog!$B$2:$B$1000,$B199,QuickLog!$O$2:$O$1000,$A199,QuickLog!$G$2:$G$1000,"&lt;&gt;Routine"))</f>
        <v/>
      </c>
      <c r="E199" s="31">
        <f>IF($C199="","",MIN($C199,Settings!$B$2))</f>
        <v/>
      </c>
      <c r="F199" s="31">
        <f>IF($C199="","",MAX(0,$C199-$E199))</f>
        <v/>
      </c>
      <c r="G199" s="31">
        <f>IF(OR($E199="",$D199=""),"", $E199+$D199)</f>
        <v/>
      </c>
      <c r="H199" s="31">
        <f>IF(OR($A199="",$B199=""),"",SUMIFS(QuickLog!$L$2:$L$1000,QuickLog!$B$2:$B$1000,$B199,QuickLog!$O$2:$O$1000,$A199))</f>
        <v/>
      </c>
      <c r="I199" s="32">
        <f>IF($H199="","",$H199)</f>
        <v/>
      </c>
    </row>
    <row r="200">
      <c r="A200" s="29" t="n"/>
      <c r="B200" s="31" t="n"/>
      <c r="C200" s="31">
        <f>IF(OR($A200="",$B200=""),"",SUMIFS(QuickLog!$K$2:$K$1000,QuickLog!$B$2:$B$1000,$B200,QuickLog!$O$2:$O$1000,$A200,QuickLog!$G$2:$G$1000,"Routine"))</f>
        <v/>
      </c>
      <c r="D200" s="31">
        <f>IF(OR($A200="",$B200=""),"",SUMIFS(QuickLog!$K$2:$K$1000,QuickLog!$B$2:$B$1000,$B200,QuickLog!$O$2:$O$1000,$A200,QuickLog!$G$2:$G$1000,"&lt;&gt;Routine"))</f>
        <v/>
      </c>
      <c r="E200" s="31">
        <f>IF($C200="","",MIN($C200,Settings!$B$2))</f>
        <v/>
      </c>
      <c r="F200" s="31">
        <f>IF($C200="","",MAX(0,$C200-$E200))</f>
        <v/>
      </c>
      <c r="G200" s="31">
        <f>IF(OR($E200="",$D200=""),"", $E200+$D200)</f>
        <v/>
      </c>
      <c r="H200" s="31">
        <f>IF(OR($A200="",$B200=""),"",SUMIFS(QuickLog!$L$2:$L$1000,QuickLog!$B$2:$B$1000,$B200,QuickLog!$O$2:$O$1000,$A200))</f>
        <v/>
      </c>
      <c r="I200" s="32">
        <f>IF($H200="","",$H200)</f>
        <v/>
      </c>
    </row>
    <row r="201">
      <c r="A201" s="29" t="n"/>
      <c r="B201" s="31" t="n"/>
      <c r="C201" s="31">
        <f>IF(OR($A201="",$B201=""),"",SUMIFS(QuickLog!$K$2:$K$1000,QuickLog!$B$2:$B$1000,$B201,QuickLog!$O$2:$O$1000,$A201,QuickLog!$G$2:$G$1000,"Routine"))</f>
        <v/>
      </c>
      <c r="D201" s="31">
        <f>IF(OR($A201="",$B201=""),"",SUMIFS(QuickLog!$K$2:$K$1000,QuickLog!$B$2:$B$1000,$B201,QuickLog!$O$2:$O$1000,$A201,QuickLog!$G$2:$G$1000,"&lt;&gt;Routine"))</f>
        <v/>
      </c>
      <c r="E201" s="31">
        <f>IF($C201="","",MIN($C201,Settings!$B$2))</f>
        <v/>
      </c>
      <c r="F201" s="31">
        <f>IF($C201="","",MAX(0,$C201-$E201))</f>
        <v/>
      </c>
      <c r="G201" s="31">
        <f>IF(OR($E201="",$D201=""),"", $E201+$D201)</f>
        <v/>
      </c>
      <c r="H201" s="31">
        <f>IF(OR($A201="",$B201=""),"",SUMIFS(QuickLog!$L$2:$L$1000,QuickLog!$B$2:$B$1000,$B201,QuickLog!$O$2:$O$1000,$A201))</f>
        <v/>
      </c>
      <c r="I201" s="32">
        <f>IF($H201="","",$H201)</f>
        <v/>
      </c>
    </row>
    <row r="202">
      <c r="A202" s="29" t="n"/>
      <c r="B202" s="31" t="n"/>
      <c r="C202" s="31">
        <f>IF(OR($A202="",$B202=""),"",SUMIFS(QuickLog!$K$2:$K$1000,QuickLog!$B$2:$B$1000,$B202,QuickLog!$O$2:$O$1000,$A202,QuickLog!$G$2:$G$1000,"Routine"))</f>
        <v/>
      </c>
      <c r="D202" s="31">
        <f>IF(OR($A202="",$B202=""),"",SUMIFS(QuickLog!$K$2:$K$1000,QuickLog!$B$2:$B$1000,$B202,QuickLog!$O$2:$O$1000,$A202,QuickLog!$G$2:$G$1000,"&lt;&gt;Routine"))</f>
        <v/>
      </c>
      <c r="E202" s="31">
        <f>IF($C202="","",MIN($C202,Settings!$B$2))</f>
        <v/>
      </c>
      <c r="F202" s="31">
        <f>IF($C202="","",MAX(0,$C202-$E202))</f>
        <v/>
      </c>
      <c r="G202" s="31">
        <f>IF(OR($E202="",$D202=""),"", $E202+$D202)</f>
        <v/>
      </c>
      <c r="H202" s="31">
        <f>IF(OR($A202="",$B202=""),"",SUMIFS(QuickLog!$L$2:$L$1000,QuickLog!$B$2:$B$1000,$B202,QuickLog!$O$2:$O$1000,$A202))</f>
        <v/>
      </c>
      <c r="I202" s="32">
        <f>IF($H202="","",$H202)</f>
        <v/>
      </c>
    </row>
    <row r="203">
      <c r="A203" s="29" t="n"/>
      <c r="B203" s="31" t="n"/>
      <c r="C203" s="31">
        <f>IF(OR($A203="",$B203=""),"",SUMIFS(QuickLog!$K$2:$K$1000,QuickLog!$B$2:$B$1000,$B203,QuickLog!$O$2:$O$1000,$A203,QuickLog!$G$2:$G$1000,"Routine"))</f>
        <v/>
      </c>
      <c r="D203" s="31">
        <f>IF(OR($A203="",$B203=""),"",SUMIFS(QuickLog!$K$2:$K$1000,QuickLog!$B$2:$B$1000,$B203,QuickLog!$O$2:$O$1000,$A203,QuickLog!$G$2:$G$1000,"&lt;&gt;Routine"))</f>
        <v/>
      </c>
      <c r="E203" s="31">
        <f>IF($C203="","",MIN($C203,Settings!$B$2))</f>
        <v/>
      </c>
      <c r="F203" s="31">
        <f>IF($C203="","",MAX(0,$C203-$E203))</f>
        <v/>
      </c>
      <c r="G203" s="31">
        <f>IF(OR($E203="",$D203=""),"", $E203+$D203)</f>
        <v/>
      </c>
      <c r="H203" s="31">
        <f>IF(OR($A203="",$B203=""),"",SUMIFS(QuickLog!$L$2:$L$1000,QuickLog!$B$2:$B$1000,$B203,QuickLog!$O$2:$O$1000,$A203))</f>
        <v/>
      </c>
      <c r="I203" s="32">
        <f>IF($H203="","",$H203)</f>
        <v/>
      </c>
    </row>
    <row r="204">
      <c r="A204" s="29" t="n"/>
      <c r="B204" s="31" t="n"/>
      <c r="C204" s="31">
        <f>IF(OR($A204="",$B204=""),"",SUMIFS(QuickLog!$K$2:$K$1000,QuickLog!$B$2:$B$1000,$B204,QuickLog!$O$2:$O$1000,$A204,QuickLog!$G$2:$G$1000,"Routine"))</f>
        <v/>
      </c>
      <c r="D204" s="31">
        <f>IF(OR($A204="",$B204=""),"",SUMIFS(QuickLog!$K$2:$K$1000,QuickLog!$B$2:$B$1000,$B204,QuickLog!$O$2:$O$1000,$A204,QuickLog!$G$2:$G$1000,"&lt;&gt;Routine"))</f>
        <v/>
      </c>
      <c r="E204" s="31">
        <f>IF($C204="","",MIN($C204,Settings!$B$2))</f>
        <v/>
      </c>
      <c r="F204" s="31">
        <f>IF($C204="","",MAX(0,$C204-$E204))</f>
        <v/>
      </c>
      <c r="G204" s="31">
        <f>IF(OR($E204="",$D204=""),"", $E204+$D204)</f>
        <v/>
      </c>
      <c r="H204" s="31">
        <f>IF(OR($A204="",$B204=""),"",SUMIFS(QuickLog!$L$2:$L$1000,QuickLog!$B$2:$B$1000,$B204,QuickLog!$O$2:$O$1000,$A204))</f>
        <v/>
      </c>
      <c r="I204" s="32">
        <f>IF($H204="","",$H204)</f>
        <v/>
      </c>
    </row>
    <row r="205">
      <c r="A205" s="29" t="n"/>
      <c r="B205" s="31" t="n"/>
      <c r="C205" s="31">
        <f>IF(OR($A205="",$B205=""),"",SUMIFS(QuickLog!$K$2:$K$1000,QuickLog!$B$2:$B$1000,$B205,QuickLog!$O$2:$O$1000,$A205,QuickLog!$G$2:$G$1000,"Routine"))</f>
        <v/>
      </c>
      <c r="D205" s="31">
        <f>IF(OR($A205="",$B205=""),"",SUMIFS(QuickLog!$K$2:$K$1000,QuickLog!$B$2:$B$1000,$B205,QuickLog!$O$2:$O$1000,$A205,QuickLog!$G$2:$G$1000,"&lt;&gt;Routine"))</f>
        <v/>
      </c>
      <c r="E205" s="31">
        <f>IF($C205="","",MIN($C205,Settings!$B$2))</f>
        <v/>
      </c>
      <c r="F205" s="31">
        <f>IF($C205="","",MAX(0,$C205-$E205))</f>
        <v/>
      </c>
      <c r="G205" s="31">
        <f>IF(OR($E205="",$D205=""),"", $E205+$D205)</f>
        <v/>
      </c>
      <c r="H205" s="31">
        <f>IF(OR($A205="",$B205=""),"",SUMIFS(QuickLog!$L$2:$L$1000,QuickLog!$B$2:$B$1000,$B205,QuickLog!$O$2:$O$1000,$A205))</f>
        <v/>
      </c>
      <c r="I205" s="32">
        <f>IF($H205="","",$H205)</f>
        <v/>
      </c>
    </row>
    <row r="206">
      <c r="A206" s="29" t="n"/>
      <c r="B206" s="31" t="n"/>
      <c r="C206" s="31">
        <f>IF(OR($A206="",$B206=""),"",SUMIFS(QuickLog!$K$2:$K$1000,QuickLog!$B$2:$B$1000,$B206,QuickLog!$O$2:$O$1000,$A206,QuickLog!$G$2:$G$1000,"Routine"))</f>
        <v/>
      </c>
      <c r="D206" s="31">
        <f>IF(OR($A206="",$B206=""),"",SUMIFS(QuickLog!$K$2:$K$1000,QuickLog!$B$2:$B$1000,$B206,QuickLog!$O$2:$O$1000,$A206,QuickLog!$G$2:$G$1000,"&lt;&gt;Routine"))</f>
        <v/>
      </c>
      <c r="E206" s="31">
        <f>IF($C206="","",MIN($C206,Settings!$B$2))</f>
        <v/>
      </c>
      <c r="F206" s="31">
        <f>IF($C206="","",MAX(0,$C206-$E206))</f>
        <v/>
      </c>
      <c r="G206" s="31">
        <f>IF(OR($E206="",$D206=""),"", $E206+$D206)</f>
        <v/>
      </c>
      <c r="H206" s="31">
        <f>IF(OR($A206="",$B206=""),"",SUMIFS(QuickLog!$L$2:$L$1000,QuickLog!$B$2:$B$1000,$B206,QuickLog!$O$2:$O$1000,$A206))</f>
        <v/>
      </c>
      <c r="I206" s="32">
        <f>IF($H206="","",$H206)</f>
        <v/>
      </c>
    </row>
    <row r="207">
      <c r="A207" s="29" t="n"/>
      <c r="B207" s="31" t="n"/>
      <c r="C207" s="31">
        <f>IF(OR($A207="",$B207=""),"",SUMIFS(QuickLog!$K$2:$K$1000,QuickLog!$B$2:$B$1000,$B207,QuickLog!$O$2:$O$1000,$A207,QuickLog!$G$2:$G$1000,"Routine"))</f>
        <v/>
      </c>
      <c r="D207" s="31">
        <f>IF(OR($A207="",$B207=""),"",SUMIFS(QuickLog!$K$2:$K$1000,QuickLog!$B$2:$B$1000,$B207,QuickLog!$O$2:$O$1000,$A207,QuickLog!$G$2:$G$1000,"&lt;&gt;Routine"))</f>
        <v/>
      </c>
      <c r="E207" s="31">
        <f>IF($C207="","",MIN($C207,Settings!$B$2))</f>
        <v/>
      </c>
      <c r="F207" s="31">
        <f>IF($C207="","",MAX(0,$C207-$E207))</f>
        <v/>
      </c>
      <c r="G207" s="31">
        <f>IF(OR($E207="",$D207=""),"", $E207+$D207)</f>
        <v/>
      </c>
      <c r="H207" s="31">
        <f>IF(OR($A207="",$B207=""),"",SUMIFS(QuickLog!$L$2:$L$1000,QuickLog!$B$2:$B$1000,$B207,QuickLog!$O$2:$O$1000,$A207))</f>
        <v/>
      </c>
      <c r="I207" s="32">
        <f>IF($H207="","",$H207)</f>
        <v/>
      </c>
    </row>
    <row r="208">
      <c r="A208" s="29" t="n"/>
      <c r="B208" s="31" t="n"/>
      <c r="C208" s="31">
        <f>IF(OR($A208="",$B208=""),"",SUMIFS(QuickLog!$K$2:$K$1000,QuickLog!$B$2:$B$1000,$B208,QuickLog!$O$2:$O$1000,$A208,QuickLog!$G$2:$G$1000,"Routine"))</f>
        <v/>
      </c>
      <c r="D208" s="31">
        <f>IF(OR($A208="",$B208=""),"",SUMIFS(QuickLog!$K$2:$K$1000,QuickLog!$B$2:$B$1000,$B208,QuickLog!$O$2:$O$1000,$A208,QuickLog!$G$2:$G$1000,"&lt;&gt;Routine"))</f>
        <v/>
      </c>
      <c r="E208" s="31">
        <f>IF($C208="","",MIN($C208,Settings!$B$2))</f>
        <v/>
      </c>
      <c r="F208" s="31">
        <f>IF($C208="","",MAX(0,$C208-$E208))</f>
        <v/>
      </c>
      <c r="G208" s="31">
        <f>IF(OR($E208="",$D208=""),"", $E208+$D208)</f>
        <v/>
      </c>
      <c r="H208" s="31">
        <f>IF(OR($A208="",$B208=""),"",SUMIFS(QuickLog!$L$2:$L$1000,QuickLog!$B$2:$B$1000,$B208,QuickLog!$O$2:$O$1000,$A208))</f>
        <v/>
      </c>
      <c r="I208" s="32">
        <f>IF($H208="","",$H208)</f>
        <v/>
      </c>
    </row>
    <row r="209">
      <c r="A209" s="29" t="n"/>
      <c r="B209" s="31" t="n"/>
      <c r="C209" s="31">
        <f>IF(OR($A209="",$B209=""),"",SUMIFS(QuickLog!$K$2:$K$1000,QuickLog!$B$2:$B$1000,$B209,QuickLog!$O$2:$O$1000,$A209,QuickLog!$G$2:$G$1000,"Routine"))</f>
        <v/>
      </c>
      <c r="D209" s="31">
        <f>IF(OR($A209="",$B209=""),"",SUMIFS(QuickLog!$K$2:$K$1000,QuickLog!$B$2:$B$1000,$B209,QuickLog!$O$2:$O$1000,$A209,QuickLog!$G$2:$G$1000,"&lt;&gt;Routine"))</f>
        <v/>
      </c>
      <c r="E209" s="31">
        <f>IF($C209="","",MIN($C209,Settings!$B$2))</f>
        <v/>
      </c>
      <c r="F209" s="31">
        <f>IF($C209="","",MAX(0,$C209-$E209))</f>
        <v/>
      </c>
      <c r="G209" s="31">
        <f>IF(OR($E209="",$D209=""),"", $E209+$D209)</f>
        <v/>
      </c>
      <c r="H209" s="31">
        <f>IF(OR($A209="",$B209=""),"",SUMIFS(QuickLog!$L$2:$L$1000,QuickLog!$B$2:$B$1000,$B209,QuickLog!$O$2:$O$1000,$A209))</f>
        <v/>
      </c>
      <c r="I209" s="32">
        <f>IF($H209="","",$H209)</f>
        <v/>
      </c>
    </row>
    <row r="210">
      <c r="A210" s="29" t="n"/>
      <c r="B210" s="31" t="n"/>
      <c r="C210" s="31">
        <f>IF(OR($A210="",$B210=""),"",SUMIFS(QuickLog!$K$2:$K$1000,QuickLog!$B$2:$B$1000,$B210,QuickLog!$O$2:$O$1000,$A210,QuickLog!$G$2:$G$1000,"Routine"))</f>
        <v/>
      </c>
      <c r="D210" s="31">
        <f>IF(OR($A210="",$B210=""),"",SUMIFS(QuickLog!$K$2:$K$1000,QuickLog!$B$2:$B$1000,$B210,QuickLog!$O$2:$O$1000,$A210,QuickLog!$G$2:$G$1000,"&lt;&gt;Routine"))</f>
        <v/>
      </c>
      <c r="E210" s="31">
        <f>IF($C210="","",MIN($C210,Settings!$B$2))</f>
        <v/>
      </c>
      <c r="F210" s="31">
        <f>IF($C210="","",MAX(0,$C210-$E210))</f>
        <v/>
      </c>
      <c r="G210" s="31">
        <f>IF(OR($E210="",$D210=""),"", $E210+$D210)</f>
        <v/>
      </c>
      <c r="H210" s="31">
        <f>IF(OR($A210="",$B210=""),"",SUMIFS(QuickLog!$L$2:$L$1000,QuickLog!$B$2:$B$1000,$B210,QuickLog!$O$2:$O$1000,$A210))</f>
        <v/>
      </c>
      <c r="I210" s="32">
        <f>IF($H210="","",$H210)</f>
        <v/>
      </c>
    </row>
    <row r="211">
      <c r="A211" s="29" t="n"/>
      <c r="B211" s="31" t="n"/>
      <c r="C211" s="31">
        <f>IF(OR($A211="",$B211=""),"",SUMIFS(QuickLog!$K$2:$K$1000,QuickLog!$B$2:$B$1000,$B211,QuickLog!$O$2:$O$1000,$A211,QuickLog!$G$2:$G$1000,"Routine"))</f>
        <v/>
      </c>
      <c r="D211" s="31">
        <f>IF(OR($A211="",$B211=""),"",SUMIFS(QuickLog!$K$2:$K$1000,QuickLog!$B$2:$B$1000,$B211,QuickLog!$O$2:$O$1000,$A211,QuickLog!$G$2:$G$1000,"&lt;&gt;Routine"))</f>
        <v/>
      </c>
      <c r="E211" s="31">
        <f>IF($C211="","",MIN($C211,Settings!$B$2))</f>
        <v/>
      </c>
      <c r="F211" s="31">
        <f>IF($C211="","",MAX(0,$C211-$E211))</f>
        <v/>
      </c>
      <c r="G211" s="31">
        <f>IF(OR($E211="",$D211=""),"", $E211+$D211)</f>
        <v/>
      </c>
      <c r="H211" s="31">
        <f>IF(OR($A211="",$B211=""),"",SUMIFS(QuickLog!$L$2:$L$1000,QuickLog!$B$2:$B$1000,$B211,QuickLog!$O$2:$O$1000,$A211))</f>
        <v/>
      </c>
      <c r="I211" s="32">
        <f>IF($H211="","",$H211)</f>
        <v/>
      </c>
    </row>
    <row r="212">
      <c r="A212" s="29" t="n"/>
      <c r="B212" s="31" t="n"/>
      <c r="C212" s="31">
        <f>IF(OR($A212="",$B212=""),"",SUMIFS(QuickLog!$K$2:$K$1000,QuickLog!$B$2:$B$1000,$B212,QuickLog!$O$2:$O$1000,$A212,QuickLog!$G$2:$G$1000,"Routine"))</f>
        <v/>
      </c>
      <c r="D212" s="31">
        <f>IF(OR($A212="",$B212=""),"",SUMIFS(QuickLog!$K$2:$K$1000,QuickLog!$B$2:$B$1000,$B212,QuickLog!$O$2:$O$1000,$A212,QuickLog!$G$2:$G$1000,"&lt;&gt;Routine"))</f>
        <v/>
      </c>
      <c r="E212" s="31">
        <f>IF($C212="","",MIN($C212,Settings!$B$2))</f>
        <v/>
      </c>
      <c r="F212" s="31">
        <f>IF($C212="","",MAX(0,$C212-$E212))</f>
        <v/>
      </c>
      <c r="G212" s="31">
        <f>IF(OR($E212="",$D212=""),"", $E212+$D212)</f>
        <v/>
      </c>
      <c r="H212" s="31">
        <f>IF(OR($A212="",$B212=""),"",SUMIFS(QuickLog!$L$2:$L$1000,QuickLog!$B$2:$B$1000,$B212,QuickLog!$O$2:$O$1000,$A212))</f>
        <v/>
      </c>
      <c r="I212" s="32">
        <f>IF($H212="","",$H212)</f>
        <v/>
      </c>
    </row>
    <row r="213">
      <c r="A213" s="29" t="n"/>
      <c r="B213" s="31" t="n"/>
      <c r="C213" s="31">
        <f>IF(OR($A213="",$B213=""),"",SUMIFS(QuickLog!$K$2:$K$1000,QuickLog!$B$2:$B$1000,$B213,QuickLog!$O$2:$O$1000,$A213,QuickLog!$G$2:$G$1000,"Routine"))</f>
        <v/>
      </c>
      <c r="D213" s="31">
        <f>IF(OR($A213="",$B213=""),"",SUMIFS(QuickLog!$K$2:$K$1000,QuickLog!$B$2:$B$1000,$B213,QuickLog!$O$2:$O$1000,$A213,QuickLog!$G$2:$G$1000,"&lt;&gt;Routine"))</f>
        <v/>
      </c>
      <c r="E213" s="31">
        <f>IF($C213="","",MIN($C213,Settings!$B$2))</f>
        <v/>
      </c>
      <c r="F213" s="31">
        <f>IF($C213="","",MAX(0,$C213-$E213))</f>
        <v/>
      </c>
      <c r="G213" s="31">
        <f>IF(OR($E213="",$D213=""),"", $E213+$D213)</f>
        <v/>
      </c>
      <c r="H213" s="31">
        <f>IF(OR($A213="",$B213=""),"",SUMIFS(QuickLog!$L$2:$L$1000,QuickLog!$B$2:$B$1000,$B213,QuickLog!$O$2:$O$1000,$A213))</f>
        <v/>
      </c>
      <c r="I213" s="32">
        <f>IF($H213="","",$H213)</f>
        <v/>
      </c>
    </row>
    <row r="214">
      <c r="A214" s="29" t="n"/>
      <c r="B214" s="31" t="n"/>
      <c r="C214" s="31">
        <f>IF(OR($A214="",$B214=""),"",SUMIFS(QuickLog!$K$2:$K$1000,QuickLog!$B$2:$B$1000,$B214,QuickLog!$O$2:$O$1000,$A214,QuickLog!$G$2:$G$1000,"Routine"))</f>
        <v/>
      </c>
      <c r="D214" s="31">
        <f>IF(OR($A214="",$B214=""),"",SUMIFS(QuickLog!$K$2:$K$1000,QuickLog!$B$2:$B$1000,$B214,QuickLog!$O$2:$O$1000,$A214,QuickLog!$G$2:$G$1000,"&lt;&gt;Routine"))</f>
        <v/>
      </c>
      <c r="E214" s="31">
        <f>IF($C214="","",MIN($C214,Settings!$B$2))</f>
        <v/>
      </c>
      <c r="F214" s="31">
        <f>IF($C214="","",MAX(0,$C214-$E214))</f>
        <v/>
      </c>
      <c r="G214" s="31">
        <f>IF(OR($E214="",$D214=""),"", $E214+$D214)</f>
        <v/>
      </c>
      <c r="H214" s="31">
        <f>IF(OR($A214="",$B214=""),"",SUMIFS(QuickLog!$L$2:$L$1000,QuickLog!$B$2:$B$1000,$B214,QuickLog!$O$2:$O$1000,$A214))</f>
        <v/>
      </c>
      <c r="I214" s="32">
        <f>IF($H214="","",$H214)</f>
        <v/>
      </c>
    </row>
    <row r="215">
      <c r="A215" s="29" t="n"/>
      <c r="B215" s="31" t="n"/>
      <c r="C215" s="31">
        <f>IF(OR($A215="",$B215=""),"",SUMIFS(QuickLog!$K$2:$K$1000,QuickLog!$B$2:$B$1000,$B215,QuickLog!$O$2:$O$1000,$A215,QuickLog!$G$2:$G$1000,"Routine"))</f>
        <v/>
      </c>
      <c r="D215" s="31">
        <f>IF(OR($A215="",$B215=""),"",SUMIFS(QuickLog!$K$2:$K$1000,QuickLog!$B$2:$B$1000,$B215,QuickLog!$O$2:$O$1000,$A215,QuickLog!$G$2:$G$1000,"&lt;&gt;Routine"))</f>
        <v/>
      </c>
      <c r="E215" s="31">
        <f>IF($C215="","",MIN($C215,Settings!$B$2))</f>
        <v/>
      </c>
      <c r="F215" s="31">
        <f>IF($C215="","",MAX(0,$C215-$E215))</f>
        <v/>
      </c>
      <c r="G215" s="31">
        <f>IF(OR($E215="",$D215=""),"", $E215+$D215)</f>
        <v/>
      </c>
      <c r="H215" s="31">
        <f>IF(OR($A215="",$B215=""),"",SUMIFS(QuickLog!$L$2:$L$1000,QuickLog!$B$2:$B$1000,$B215,QuickLog!$O$2:$O$1000,$A215))</f>
        <v/>
      </c>
      <c r="I215" s="32">
        <f>IF($H215="","",$H215)</f>
        <v/>
      </c>
    </row>
    <row r="216">
      <c r="A216" s="29" t="n"/>
      <c r="B216" s="31" t="n"/>
      <c r="C216" s="31">
        <f>IF(OR($A216="",$B216=""),"",SUMIFS(QuickLog!$K$2:$K$1000,QuickLog!$B$2:$B$1000,$B216,QuickLog!$O$2:$O$1000,$A216,QuickLog!$G$2:$G$1000,"Routine"))</f>
        <v/>
      </c>
      <c r="D216" s="31">
        <f>IF(OR($A216="",$B216=""),"",SUMIFS(QuickLog!$K$2:$K$1000,QuickLog!$B$2:$B$1000,$B216,QuickLog!$O$2:$O$1000,$A216,QuickLog!$G$2:$G$1000,"&lt;&gt;Routine"))</f>
        <v/>
      </c>
      <c r="E216" s="31">
        <f>IF($C216="","",MIN($C216,Settings!$B$2))</f>
        <v/>
      </c>
      <c r="F216" s="31">
        <f>IF($C216="","",MAX(0,$C216-$E216))</f>
        <v/>
      </c>
      <c r="G216" s="31">
        <f>IF(OR($E216="",$D216=""),"", $E216+$D216)</f>
        <v/>
      </c>
      <c r="H216" s="31">
        <f>IF(OR($A216="",$B216=""),"",SUMIFS(QuickLog!$L$2:$L$1000,QuickLog!$B$2:$B$1000,$B216,QuickLog!$O$2:$O$1000,$A216))</f>
        <v/>
      </c>
      <c r="I216" s="32">
        <f>IF($H216="","",$H216)</f>
        <v/>
      </c>
    </row>
    <row r="217">
      <c r="A217" s="29" t="n"/>
      <c r="B217" s="31" t="n"/>
      <c r="C217" s="31">
        <f>IF(OR($A217="",$B217=""),"",SUMIFS(QuickLog!$K$2:$K$1000,QuickLog!$B$2:$B$1000,$B217,QuickLog!$O$2:$O$1000,$A217,QuickLog!$G$2:$G$1000,"Routine"))</f>
        <v/>
      </c>
      <c r="D217" s="31">
        <f>IF(OR($A217="",$B217=""),"",SUMIFS(QuickLog!$K$2:$K$1000,QuickLog!$B$2:$B$1000,$B217,QuickLog!$O$2:$O$1000,$A217,QuickLog!$G$2:$G$1000,"&lt;&gt;Routine"))</f>
        <v/>
      </c>
      <c r="E217" s="31">
        <f>IF($C217="","",MIN($C217,Settings!$B$2))</f>
        <v/>
      </c>
      <c r="F217" s="31">
        <f>IF($C217="","",MAX(0,$C217-$E217))</f>
        <v/>
      </c>
      <c r="G217" s="31">
        <f>IF(OR($E217="",$D217=""),"", $E217+$D217)</f>
        <v/>
      </c>
      <c r="H217" s="31">
        <f>IF(OR($A217="",$B217=""),"",SUMIFS(QuickLog!$L$2:$L$1000,QuickLog!$B$2:$B$1000,$B217,QuickLog!$O$2:$O$1000,$A217))</f>
        <v/>
      </c>
      <c r="I217" s="32">
        <f>IF($H217="","",$H217)</f>
        <v/>
      </c>
    </row>
    <row r="218">
      <c r="A218" s="29" t="n"/>
      <c r="B218" s="31" t="n"/>
      <c r="C218" s="31">
        <f>IF(OR($A218="",$B218=""),"",SUMIFS(QuickLog!$K$2:$K$1000,QuickLog!$B$2:$B$1000,$B218,QuickLog!$O$2:$O$1000,$A218,QuickLog!$G$2:$G$1000,"Routine"))</f>
        <v/>
      </c>
      <c r="D218" s="31">
        <f>IF(OR($A218="",$B218=""),"",SUMIFS(QuickLog!$K$2:$K$1000,QuickLog!$B$2:$B$1000,$B218,QuickLog!$O$2:$O$1000,$A218,QuickLog!$G$2:$G$1000,"&lt;&gt;Routine"))</f>
        <v/>
      </c>
      <c r="E218" s="31">
        <f>IF($C218="","",MIN($C218,Settings!$B$2))</f>
        <v/>
      </c>
      <c r="F218" s="31">
        <f>IF($C218="","",MAX(0,$C218-$E218))</f>
        <v/>
      </c>
      <c r="G218" s="31">
        <f>IF(OR($E218="",$D218=""),"", $E218+$D218)</f>
        <v/>
      </c>
      <c r="H218" s="31">
        <f>IF(OR($A218="",$B218=""),"",SUMIFS(QuickLog!$L$2:$L$1000,QuickLog!$B$2:$B$1000,$B218,QuickLog!$O$2:$O$1000,$A218))</f>
        <v/>
      </c>
      <c r="I218" s="32">
        <f>IF($H218="","",$H218)</f>
        <v/>
      </c>
    </row>
    <row r="219">
      <c r="A219" s="29" t="n"/>
      <c r="B219" s="31" t="n"/>
      <c r="C219" s="31">
        <f>IF(OR($A219="",$B219=""),"",SUMIFS(QuickLog!$K$2:$K$1000,QuickLog!$B$2:$B$1000,$B219,QuickLog!$O$2:$O$1000,$A219,QuickLog!$G$2:$G$1000,"Routine"))</f>
        <v/>
      </c>
      <c r="D219" s="31">
        <f>IF(OR($A219="",$B219=""),"",SUMIFS(QuickLog!$K$2:$K$1000,QuickLog!$B$2:$B$1000,$B219,QuickLog!$O$2:$O$1000,$A219,QuickLog!$G$2:$G$1000,"&lt;&gt;Routine"))</f>
        <v/>
      </c>
      <c r="E219" s="31">
        <f>IF($C219="","",MIN($C219,Settings!$B$2))</f>
        <v/>
      </c>
      <c r="F219" s="31">
        <f>IF($C219="","",MAX(0,$C219-$E219))</f>
        <v/>
      </c>
      <c r="G219" s="31">
        <f>IF(OR($E219="",$D219=""),"", $E219+$D219)</f>
        <v/>
      </c>
      <c r="H219" s="31">
        <f>IF(OR($A219="",$B219=""),"",SUMIFS(QuickLog!$L$2:$L$1000,QuickLog!$B$2:$B$1000,$B219,QuickLog!$O$2:$O$1000,$A219))</f>
        <v/>
      </c>
      <c r="I219" s="32">
        <f>IF($H219="","",$H219)</f>
        <v/>
      </c>
    </row>
    <row r="220">
      <c r="A220" s="29" t="n"/>
      <c r="B220" s="31" t="n"/>
      <c r="C220" s="31">
        <f>IF(OR($A220="",$B220=""),"",SUMIFS(QuickLog!$K$2:$K$1000,QuickLog!$B$2:$B$1000,$B220,QuickLog!$O$2:$O$1000,$A220,QuickLog!$G$2:$G$1000,"Routine"))</f>
        <v/>
      </c>
      <c r="D220" s="31">
        <f>IF(OR($A220="",$B220=""),"",SUMIFS(QuickLog!$K$2:$K$1000,QuickLog!$B$2:$B$1000,$B220,QuickLog!$O$2:$O$1000,$A220,QuickLog!$G$2:$G$1000,"&lt;&gt;Routine"))</f>
        <v/>
      </c>
      <c r="E220" s="31">
        <f>IF($C220="","",MIN($C220,Settings!$B$2))</f>
        <v/>
      </c>
      <c r="F220" s="31">
        <f>IF($C220="","",MAX(0,$C220-$E220))</f>
        <v/>
      </c>
      <c r="G220" s="31">
        <f>IF(OR($E220="",$D220=""),"", $E220+$D220)</f>
        <v/>
      </c>
      <c r="H220" s="31">
        <f>IF(OR($A220="",$B220=""),"",SUMIFS(QuickLog!$L$2:$L$1000,QuickLog!$B$2:$B$1000,$B220,QuickLog!$O$2:$O$1000,$A220))</f>
        <v/>
      </c>
      <c r="I220" s="32">
        <f>IF($H220="","",$H220)</f>
        <v/>
      </c>
    </row>
    <row r="221">
      <c r="A221" s="29" t="n"/>
      <c r="B221" s="31" t="n"/>
      <c r="C221" s="31">
        <f>IF(OR($A221="",$B221=""),"",SUMIFS(QuickLog!$K$2:$K$1000,QuickLog!$B$2:$B$1000,$B221,QuickLog!$O$2:$O$1000,$A221,QuickLog!$G$2:$G$1000,"Routine"))</f>
        <v/>
      </c>
      <c r="D221" s="31">
        <f>IF(OR($A221="",$B221=""),"",SUMIFS(QuickLog!$K$2:$K$1000,QuickLog!$B$2:$B$1000,$B221,QuickLog!$O$2:$O$1000,$A221,QuickLog!$G$2:$G$1000,"&lt;&gt;Routine"))</f>
        <v/>
      </c>
      <c r="E221" s="31">
        <f>IF($C221="","",MIN($C221,Settings!$B$2))</f>
        <v/>
      </c>
      <c r="F221" s="31">
        <f>IF($C221="","",MAX(0,$C221-$E221))</f>
        <v/>
      </c>
      <c r="G221" s="31">
        <f>IF(OR($E221="",$D221=""),"", $E221+$D221)</f>
        <v/>
      </c>
      <c r="H221" s="31">
        <f>IF(OR($A221="",$B221=""),"",SUMIFS(QuickLog!$L$2:$L$1000,QuickLog!$B$2:$B$1000,$B221,QuickLog!$O$2:$O$1000,$A221))</f>
        <v/>
      </c>
      <c r="I221" s="32">
        <f>IF($H221="","",$H221)</f>
        <v/>
      </c>
    </row>
    <row r="222">
      <c r="A222" s="29" t="n"/>
      <c r="B222" s="31" t="n"/>
      <c r="C222" s="31">
        <f>IF(OR($A222="",$B222=""),"",SUMIFS(QuickLog!$K$2:$K$1000,QuickLog!$B$2:$B$1000,$B222,QuickLog!$O$2:$O$1000,$A222,QuickLog!$G$2:$G$1000,"Routine"))</f>
        <v/>
      </c>
      <c r="D222" s="31">
        <f>IF(OR($A222="",$B222=""),"",SUMIFS(QuickLog!$K$2:$K$1000,QuickLog!$B$2:$B$1000,$B222,QuickLog!$O$2:$O$1000,$A222,QuickLog!$G$2:$G$1000,"&lt;&gt;Routine"))</f>
        <v/>
      </c>
      <c r="E222" s="31">
        <f>IF($C222="","",MIN($C222,Settings!$B$2))</f>
        <v/>
      </c>
      <c r="F222" s="31">
        <f>IF($C222="","",MAX(0,$C222-$E222))</f>
        <v/>
      </c>
      <c r="G222" s="31">
        <f>IF(OR($E222="",$D222=""),"", $E222+$D222)</f>
        <v/>
      </c>
      <c r="H222" s="31">
        <f>IF(OR($A222="",$B222=""),"",SUMIFS(QuickLog!$L$2:$L$1000,QuickLog!$B$2:$B$1000,$B222,QuickLog!$O$2:$O$1000,$A222))</f>
        <v/>
      </c>
      <c r="I222" s="32">
        <f>IF($H222="","",$H222)</f>
        <v/>
      </c>
    </row>
    <row r="223">
      <c r="A223" s="29" t="n"/>
      <c r="B223" s="31" t="n"/>
      <c r="C223" s="31">
        <f>IF(OR($A223="",$B223=""),"",SUMIFS(QuickLog!$K$2:$K$1000,QuickLog!$B$2:$B$1000,$B223,QuickLog!$O$2:$O$1000,$A223,QuickLog!$G$2:$G$1000,"Routine"))</f>
        <v/>
      </c>
      <c r="D223" s="31">
        <f>IF(OR($A223="",$B223=""),"",SUMIFS(QuickLog!$K$2:$K$1000,QuickLog!$B$2:$B$1000,$B223,QuickLog!$O$2:$O$1000,$A223,QuickLog!$G$2:$G$1000,"&lt;&gt;Routine"))</f>
        <v/>
      </c>
      <c r="E223" s="31">
        <f>IF($C223="","",MIN($C223,Settings!$B$2))</f>
        <v/>
      </c>
      <c r="F223" s="31">
        <f>IF($C223="","",MAX(0,$C223-$E223))</f>
        <v/>
      </c>
      <c r="G223" s="31">
        <f>IF(OR($E223="",$D223=""),"", $E223+$D223)</f>
        <v/>
      </c>
      <c r="H223" s="31">
        <f>IF(OR($A223="",$B223=""),"",SUMIFS(QuickLog!$L$2:$L$1000,QuickLog!$B$2:$B$1000,$B223,QuickLog!$O$2:$O$1000,$A223))</f>
        <v/>
      </c>
      <c r="I223" s="32">
        <f>IF($H223="","",$H223)</f>
        <v/>
      </c>
    </row>
    <row r="224">
      <c r="A224" s="29" t="n"/>
      <c r="B224" s="31" t="n"/>
      <c r="C224" s="31">
        <f>IF(OR($A224="",$B224=""),"",SUMIFS(QuickLog!$K$2:$K$1000,QuickLog!$B$2:$B$1000,$B224,QuickLog!$O$2:$O$1000,$A224,QuickLog!$G$2:$G$1000,"Routine"))</f>
        <v/>
      </c>
      <c r="D224" s="31">
        <f>IF(OR($A224="",$B224=""),"",SUMIFS(QuickLog!$K$2:$K$1000,QuickLog!$B$2:$B$1000,$B224,QuickLog!$O$2:$O$1000,$A224,QuickLog!$G$2:$G$1000,"&lt;&gt;Routine"))</f>
        <v/>
      </c>
      <c r="E224" s="31">
        <f>IF($C224="","",MIN($C224,Settings!$B$2))</f>
        <v/>
      </c>
      <c r="F224" s="31">
        <f>IF($C224="","",MAX(0,$C224-$E224))</f>
        <v/>
      </c>
      <c r="G224" s="31">
        <f>IF(OR($E224="",$D224=""),"", $E224+$D224)</f>
        <v/>
      </c>
      <c r="H224" s="31">
        <f>IF(OR($A224="",$B224=""),"",SUMIFS(QuickLog!$L$2:$L$1000,QuickLog!$B$2:$B$1000,$B224,QuickLog!$O$2:$O$1000,$A224))</f>
        <v/>
      </c>
      <c r="I224" s="32">
        <f>IF($H224="","",$H224)</f>
        <v/>
      </c>
    </row>
    <row r="225">
      <c r="A225" s="29" t="n"/>
      <c r="B225" s="31" t="n"/>
      <c r="C225" s="31">
        <f>IF(OR($A225="",$B225=""),"",SUMIFS(QuickLog!$K$2:$K$1000,QuickLog!$B$2:$B$1000,$B225,QuickLog!$O$2:$O$1000,$A225,QuickLog!$G$2:$G$1000,"Routine"))</f>
        <v/>
      </c>
      <c r="D225" s="31">
        <f>IF(OR($A225="",$B225=""),"",SUMIFS(QuickLog!$K$2:$K$1000,QuickLog!$B$2:$B$1000,$B225,QuickLog!$O$2:$O$1000,$A225,QuickLog!$G$2:$G$1000,"&lt;&gt;Routine"))</f>
        <v/>
      </c>
      <c r="E225" s="31">
        <f>IF($C225="","",MIN($C225,Settings!$B$2))</f>
        <v/>
      </c>
      <c r="F225" s="31">
        <f>IF($C225="","",MAX(0,$C225-$E225))</f>
        <v/>
      </c>
      <c r="G225" s="31">
        <f>IF(OR($E225="",$D225=""),"", $E225+$D225)</f>
        <v/>
      </c>
      <c r="H225" s="31">
        <f>IF(OR($A225="",$B225=""),"",SUMIFS(QuickLog!$L$2:$L$1000,QuickLog!$B$2:$B$1000,$B225,QuickLog!$O$2:$O$1000,$A225))</f>
        <v/>
      </c>
      <c r="I225" s="32">
        <f>IF($H225="","",$H225)</f>
        <v/>
      </c>
    </row>
    <row r="226">
      <c r="A226" s="29" t="n"/>
      <c r="B226" s="31" t="n"/>
      <c r="C226" s="31">
        <f>IF(OR($A226="",$B226=""),"",SUMIFS(QuickLog!$K$2:$K$1000,QuickLog!$B$2:$B$1000,$B226,QuickLog!$O$2:$O$1000,$A226,QuickLog!$G$2:$G$1000,"Routine"))</f>
        <v/>
      </c>
      <c r="D226" s="31">
        <f>IF(OR($A226="",$B226=""),"",SUMIFS(QuickLog!$K$2:$K$1000,QuickLog!$B$2:$B$1000,$B226,QuickLog!$O$2:$O$1000,$A226,QuickLog!$G$2:$G$1000,"&lt;&gt;Routine"))</f>
        <v/>
      </c>
      <c r="E226" s="31">
        <f>IF($C226="","",MIN($C226,Settings!$B$2))</f>
        <v/>
      </c>
      <c r="F226" s="31">
        <f>IF($C226="","",MAX(0,$C226-$E226))</f>
        <v/>
      </c>
      <c r="G226" s="31">
        <f>IF(OR($E226="",$D226=""),"", $E226+$D226)</f>
        <v/>
      </c>
      <c r="H226" s="31">
        <f>IF(OR($A226="",$B226=""),"",SUMIFS(QuickLog!$L$2:$L$1000,QuickLog!$B$2:$B$1000,$B226,QuickLog!$O$2:$O$1000,$A226))</f>
        <v/>
      </c>
      <c r="I226" s="32">
        <f>IF($H226="","",$H226)</f>
        <v/>
      </c>
    </row>
    <row r="227">
      <c r="A227" s="29" t="n"/>
      <c r="B227" s="31" t="n"/>
      <c r="C227" s="31">
        <f>IF(OR($A227="",$B227=""),"",SUMIFS(QuickLog!$K$2:$K$1000,QuickLog!$B$2:$B$1000,$B227,QuickLog!$O$2:$O$1000,$A227,QuickLog!$G$2:$G$1000,"Routine"))</f>
        <v/>
      </c>
      <c r="D227" s="31">
        <f>IF(OR($A227="",$B227=""),"",SUMIFS(QuickLog!$K$2:$K$1000,QuickLog!$B$2:$B$1000,$B227,QuickLog!$O$2:$O$1000,$A227,QuickLog!$G$2:$G$1000,"&lt;&gt;Routine"))</f>
        <v/>
      </c>
      <c r="E227" s="31">
        <f>IF($C227="","",MIN($C227,Settings!$B$2))</f>
        <v/>
      </c>
      <c r="F227" s="31">
        <f>IF($C227="","",MAX(0,$C227-$E227))</f>
        <v/>
      </c>
      <c r="G227" s="31">
        <f>IF(OR($E227="",$D227=""),"", $E227+$D227)</f>
        <v/>
      </c>
      <c r="H227" s="31">
        <f>IF(OR($A227="",$B227=""),"",SUMIFS(QuickLog!$L$2:$L$1000,QuickLog!$B$2:$B$1000,$B227,QuickLog!$O$2:$O$1000,$A227))</f>
        <v/>
      </c>
      <c r="I227" s="32">
        <f>IF($H227="","",$H227)</f>
        <v/>
      </c>
    </row>
    <row r="228">
      <c r="A228" s="29" t="n"/>
      <c r="B228" s="31" t="n"/>
      <c r="C228" s="31">
        <f>IF(OR($A228="",$B228=""),"",SUMIFS(QuickLog!$K$2:$K$1000,QuickLog!$B$2:$B$1000,$B228,QuickLog!$O$2:$O$1000,$A228,QuickLog!$G$2:$G$1000,"Routine"))</f>
        <v/>
      </c>
      <c r="D228" s="31">
        <f>IF(OR($A228="",$B228=""),"",SUMIFS(QuickLog!$K$2:$K$1000,QuickLog!$B$2:$B$1000,$B228,QuickLog!$O$2:$O$1000,$A228,QuickLog!$G$2:$G$1000,"&lt;&gt;Routine"))</f>
        <v/>
      </c>
      <c r="E228" s="31">
        <f>IF($C228="","",MIN($C228,Settings!$B$2))</f>
        <v/>
      </c>
      <c r="F228" s="31">
        <f>IF($C228="","",MAX(0,$C228-$E228))</f>
        <v/>
      </c>
      <c r="G228" s="31">
        <f>IF(OR($E228="",$D228=""),"", $E228+$D228)</f>
        <v/>
      </c>
      <c r="H228" s="31">
        <f>IF(OR($A228="",$B228=""),"",SUMIFS(QuickLog!$L$2:$L$1000,QuickLog!$B$2:$B$1000,$B228,QuickLog!$O$2:$O$1000,$A228))</f>
        <v/>
      </c>
      <c r="I228" s="32">
        <f>IF($H228="","",$H228)</f>
        <v/>
      </c>
    </row>
    <row r="229">
      <c r="A229" s="29" t="n"/>
      <c r="B229" s="31" t="n"/>
      <c r="C229" s="31">
        <f>IF(OR($A229="",$B229=""),"",SUMIFS(QuickLog!$K$2:$K$1000,QuickLog!$B$2:$B$1000,$B229,QuickLog!$O$2:$O$1000,$A229,QuickLog!$G$2:$G$1000,"Routine"))</f>
        <v/>
      </c>
      <c r="D229" s="31">
        <f>IF(OR($A229="",$B229=""),"",SUMIFS(QuickLog!$K$2:$K$1000,QuickLog!$B$2:$B$1000,$B229,QuickLog!$O$2:$O$1000,$A229,QuickLog!$G$2:$G$1000,"&lt;&gt;Routine"))</f>
        <v/>
      </c>
      <c r="E229" s="31">
        <f>IF($C229="","",MIN($C229,Settings!$B$2))</f>
        <v/>
      </c>
      <c r="F229" s="31">
        <f>IF($C229="","",MAX(0,$C229-$E229))</f>
        <v/>
      </c>
      <c r="G229" s="31">
        <f>IF(OR($E229="",$D229=""),"", $E229+$D229)</f>
        <v/>
      </c>
      <c r="H229" s="31">
        <f>IF(OR($A229="",$B229=""),"",SUMIFS(QuickLog!$L$2:$L$1000,QuickLog!$B$2:$B$1000,$B229,QuickLog!$O$2:$O$1000,$A229))</f>
        <v/>
      </c>
      <c r="I229" s="32">
        <f>IF($H229="","",$H229)</f>
        <v/>
      </c>
    </row>
    <row r="230">
      <c r="A230" s="29" t="n"/>
      <c r="B230" s="31" t="n"/>
      <c r="C230" s="31">
        <f>IF(OR($A230="",$B230=""),"",SUMIFS(QuickLog!$K$2:$K$1000,QuickLog!$B$2:$B$1000,$B230,QuickLog!$O$2:$O$1000,$A230,QuickLog!$G$2:$G$1000,"Routine"))</f>
        <v/>
      </c>
      <c r="D230" s="31">
        <f>IF(OR($A230="",$B230=""),"",SUMIFS(QuickLog!$K$2:$K$1000,QuickLog!$B$2:$B$1000,$B230,QuickLog!$O$2:$O$1000,$A230,QuickLog!$G$2:$G$1000,"&lt;&gt;Routine"))</f>
        <v/>
      </c>
      <c r="E230" s="31">
        <f>IF($C230="","",MIN($C230,Settings!$B$2))</f>
        <v/>
      </c>
      <c r="F230" s="31">
        <f>IF($C230="","",MAX(0,$C230-$E230))</f>
        <v/>
      </c>
      <c r="G230" s="31">
        <f>IF(OR($E230="",$D230=""),"", $E230+$D230)</f>
        <v/>
      </c>
      <c r="H230" s="31">
        <f>IF(OR($A230="",$B230=""),"",SUMIFS(QuickLog!$L$2:$L$1000,QuickLog!$B$2:$B$1000,$B230,QuickLog!$O$2:$O$1000,$A230))</f>
        <v/>
      </c>
      <c r="I230" s="32">
        <f>IF($H230="","",$H230)</f>
        <v/>
      </c>
    </row>
    <row r="231">
      <c r="A231" s="29" t="n"/>
      <c r="B231" s="31" t="n"/>
      <c r="C231" s="31">
        <f>IF(OR($A231="",$B231=""),"",SUMIFS(QuickLog!$K$2:$K$1000,QuickLog!$B$2:$B$1000,$B231,QuickLog!$O$2:$O$1000,$A231,QuickLog!$G$2:$G$1000,"Routine"))</f>
        <v/>
      </c>
      <c r="D231" s="31">
        <f>IF(OR($A231="",$B231=""),"",SUMIFS(QuickLog!$K$2:$K$1000,QuickLog!$B$2:$B$1000,$B231,QuickLog!$O$2:$O$1000,$A231,QuickLog!$G$2:$G$1000,"&lt;&gt;Routine"))</f>
        <v/>
      </c>
      <c r="E231" s="31">
        <f>IF($C231="","",MIN($C231,Settings!$B$2))</f>
        <v/>
      </c>
      <c r="F231" s="31">
        <f>IF($C231="","",MAX(0,$C231-$E231))</f>
        <v/>
      </c>
      <c r="G231" s="31">
        <f>IF(OR($E231="",$D231=""),"", $E231+$D231)</f>
        <v/>
      </c>
      <c r="H231" s="31">
        <f>IF(OR($A231="",$B231=""),"",SUMIFS(QuickLog!$L$2:$L$1000,QuickLog!$B$2:$B$1000,$B231,QuickLog!$O$2:$O$1000,$A231))</f>
        <v/>
      </c>
      <c r="I231" s="32">
        <f>IF($H231="","",$H231)</f>
        <v/>
      </c>
    </row>
    <row r="232">
      <c r="A232" s="29" t="n"/>
      <c r="B232" s="31" t="n"/>
      <c r="C232" s="31">
        <f>IF(OR($A232="",$B232=""),"",SUMIFS(QuickLog!$K$2:$K$1000,QuickLog!$B$2:$B$1000,$B232,QuickLog!$O$2:$O$1000,$A232,QuickLog!$G$2:$G$1000,"Routine"))</f>
        <v/>
      </c>
      <c r="D232" s="31">
        <f>IF(OR($A232="",$B232=""),"",SUMIFS(QuickLog!$K$2:$K$1000,QuickLog!$B$2:$B$1000,$B232,QuickLog!$O$2:$O$1000,$A232,QuickLog!$G$2:$G$1000,"&lt;&gt;Routine"))</f>
        <v/>
      </c>
      <c r="E232" s="31">
        <f>IF($C232="","",MIN($C232,Settings!$B$2))</f>
        <v/>
      </c>
      <c r="F232" s="31">
        <f>IF($C232="","",MAX(0,$C232-$E232))</f>
        <v/>
      </c>
      <c r="G232" s="31">
        <f>IF(OR($E232="",$D232=""),"", $E232+$D232)</f>
        <v/>
      </c>
      <c r="H232" s="31">
        <f>IF(OR($A232="",$B232=""),"",SUMIFS(QuickLog!$L$2:$L$1000,QuickLog!$B$2:$B$1000,$B232,QuickLog!$O$2:$O$1000,$A232))</f>
        <v/>
      </c>
      <c r="I232" s="32">
        <f>IF($H232="","",$H232)</f>
        <v/>
      </c>
    </row>
    <row r="233">
      <c r="A233" s="29" t="n"/>
      <c r="B233" s="31" t="n"/>
      <c r="C233" s="31">
        <f>IF(OR($A233="",$B233=""),"",SUMIFS(QuickLog!$K$2:$K$1000,QuickLog!$B$2:$B$1000,$B233,QuickLog!$O$2:$O$1000,$A233,QuickLog!$G$2:$G$1000,"Routine"))</f>
        <v/>
      </c>
      <c r="D233" s="31">
        <f>IF(OR($A233="",$B233=""),"",SUMIFS(QuickLog!$K$2:$K$1000,QuickLog!$B$2:$B$1000,$B233,QuickLog!$O$2:$O$1000,$A233,QuickLog!$G$2:$G$1000,"&lt;&gt;Routine"))</f>
        <v/>
      </c>
      <c r="E233" s="31">
        <f>IF($C233="","",MIN($C233,Settings!$B$2))</f>
        <v/>
      </c>
      <c r="F233" s="31">
        <f>IF($C233="","",MAX(0,$C233-$E233))</f>
        <v/>
      </c>
      <c r="G233" s="31">
        <f>IF(OR($E233="",$D233=""),"", $E233+$D233)</f>
        <v/>
      </c>
      <c r="H233" s="31">
        <f>IF(OR($A233="",$B233=""),"",SUMIFS(QuickLog!$L$2:$L$1000,QuickLog!$B$2:$B$1000,$B233,QuickLog!$O$2:$O$1000,$A233))</f>
        <v/>
      </c>
      <c r="I233" s="32">
        <f>IF($H233="","",$H233)</f>
        <v/>
      </c>
    </row>
    <row r="234">
      <c r="A234" s="29" t="n"/>
      <c r="B234" s="31" t="n"/>
      <c r="C234" s="31">
        <f>IF(OR($A234="",$B234=""),"",SUMIFS(QuickLog!$K$2:$K$1000,QuickLog!$B$2:$B$1000,$B234,QuickLog!$O$2:$O$1000,$A234,QuickLog!$G$2:$G$1000,"Routine"))</f>
        <v/>
      </c>
      <c r="D234" s="31">
        <f>IF(OR($A234="",$B234=""),"",SUMIFS(QuickLog!$K$2:$K$1000,QuickLog!$B$2:$B$1000,$B234,QuickLog!$O$2:$O$1000,$A234,QuickLog!$G$2:$G$1000,"&lt;&gt;Routine"))</f>
        <v/>
      </c>
      <c r="E234" s="31">
        <f>IF($C234="","",MIN($C234,Settings!$B$2))</f>
        <v/>
      </c>
      <c r="F234" s="31">
        <f>IF($C234="","",MAX(0,$C234-$E234))</f>
        <v/>
      </c>
      <c r="G234" s="31">
        <f>IF(OR($E234="",$D234=""),"", $E234+$D234)</f>
        <v/>
      </c>
      <c r="H234" s="31">
        <f>IF(OR($A234="",$B234=""),"",SUMIFS(QuickLog!$L$2:$L$1000,QuickLog!$B$2:$B$1000,$B234,QuickLog!$O$2:$O$1000,$A234))</f>
        <v/>
      </c>
      <c r="I234" s="32">
        <f>IF($H234="","",$H234)</f>
        <v/>
      </c>
    </row>
    <row r="235">
      <c r="A235" s="29" t="n"/>
      <c r="B235" s="31" t="n"/>
      <c r="C235" s="31">
        <f>IF(OR($A235="",$B235=""),"",SUMIFS(QuickLog!$K$2:$K$1000,QuickLog!$B$2:$B$1000,$B235,QuickLog!$O$2:$O$1000,$A235,QuickLog!$G$2:$G$1000,"Routine"))</f>
        <v/>
      </c>
      <c r="D235" s="31">
        <f>IF(OR($A235="",$B235=""),"",SUMIFS(QuickLog!$K$2:$K$1000,QuickLog!$B$2:$B$1000,$B235,QuickLog!$O$2:$O$1000,$A235,QuickLog!$G$2:$G$1000,"&lt;&gt;Routine"))</f>
        <v/>
      </c>
      <c r="E235" s="31">
        <f>IF($C235="","",MIN($C235,Settings!$B$2))</f>
        <v/>
      </c>
      <c r="F235" s="31">
        <f>IF($C235="","",MAX(0,$C235-$E235))</f>
        <v/>
      </c>
      <c r="G235" s="31">
        <f>IF(OR($E235="",$D235=""),"", $E235+$D235)</f>
        <v/>
      </c>
      <c r="H235" s="31">
        <f>IF(OR($A235="",$B235=""),"",SUMIFS(QuickLog!$L$2:$L$1000,QuickLog!$B$2:$B$1000,$B235,QuickLog!$O$2:$O$1000,$A235))</f>
        <v/>
      </c>
      <c r="I235" s="32">
        <f>IF($H235="","",$H235)</f>
        <v/>
      </c>
    </row>
    <row r="236">
      <c r="A236" s="29" t="n"/>
      <c r="B236" s="31" t="n"/>
      <c r="C236" s="31">
        <f>IF(OR($A236="",$B236=""),"",SUMIFS(QuickLog!$K$2:$K$1000,QuickLog!$B$2:$B$1000,$B236,QuickLog!$O$2:$O$1000,$A236,QuickLog!$G$2:$G$1000,"Routine"))</f>
        <v/>
      </c>
      <c r="D236" s="31">
        <f>IF(OR($A236="",$B236=""),"",SUMIFS(QuickLog!$K$2:$K$1000,QuickLog!$B$2:$B$1000,$B236,QuickLog!$O$2:$O$1000,$A236,QuickLog!$G$2:$G$1000,"&lt;&gt;Routine"))</f>
        <v/>
      </c>
      <c r="E236" s="31">
        <f>IF($C236="","",MIN($C236,Settings!$B$2))</f>
        <v/>
      </c>
      <c r="F236" s="31">
        <f>IF($C236="","",MAX(0,$C236-$E236))</f>
        <v/>
      </c>
      <c r="G236" s="31">
        <f>IF(OR($E236="",$D236=""),"", $E236+$D236)</f>
        <v/>
      </c>
      <c r="H236" s="31">
        <f>IF(OR($A236="",$B236=""),"",SUMIFS(QuickLog!$L$2:$L$1000,QuickLog!$B$2:$B$1000,$B236,QuickLog!$O$2:$O$1000,$A236))</f>
        <v/>
      </c>
      <c r="I236" s="32">
        <f>IF($H236="","",$H236)</f>
        <v/>
      </c>
    </row>
    <row r="237">
      <c r="A237" s="29" t="n"/>
      <c r="B237" s="31" t="n"/>
      <c r="C237" s="31">
        <f>IF(OR($A237="",$B237=""),"",SUMIFS(QuickLog!$K$2:$K$1000,QuickLog!$B$2:$B$1000,$B237,QuickLog!$O$2:$O$1000,$A237,QuickLog!$G$2:$G$1000,"Routine"))</f>
        <v/>
      </c>
      <c r="D237" s="31">
        <f>IF(OR($A237="",$B237=""),"",SUMIFS(QuickLog!$K$2:$K$1000,QuickLog!$B$2:$B$1000,$B237,QuickLog!$O$2:$O$1000,$A237,QuickLog!$G$2:$G$1000,"&lt;&gt;Routine"))</f>
        <v/>
      </c>
      <c r="E237" s="31">
        <f>IF($C237="","",MIN($C237,Settings!$B$2))</f>
        <v/>
      </c>
      <c r="F237" s="31">
        <f>IF($C237="","",MAX(0,$C237-$E237))</f>
        <v/>
      </c>
      <c r="G237" s="31">
        <f>IF(OR($E237="",$D237=""),"", $E237+$D237)</f>
        <v/>
      </c>
      <c r="H237" s="31">
        <f>IF(OR($A237="",$B237=""),"",SUMIFS(QuickLog!$L$2:$L$1000,QuickLog!$B$2:$B$1000,$B237,QuickLog!$O$2:$O$1000,$A237))</f>
        <v/>
      </c>
      <c r="I237" s="32">
        <f>IF($H237="","",$H237)</f>
        <v/>
      </c>
    </row>
    <row r="238">
      <c r="A238" s="29" t="n"/>
      <c r="B238" s="31" t="n"/>
      <c r="C238" s="31">
        <f>IF(OR($A238="",$B238=""),"",SUMIFS(QuickLog!$K$2:$K$1000,QuickLog!$B$2:$B$1000,$B238,QuickLog!$O$2:$O$1000,$A238,QuickLog!$G$2:$G$1000,"Routine"))</f>
        <v/>
      </c>
      <c r="D238" s="31">
        <f>IF(OR($A238="",$B238=""),"",SUMIFS(QuickLog!$K$2:$K$1000,QuickLog!$B$2:$B$1000,$B238,QuickLog!$O$2:$O$1000,$A238,QuickLog!$G$2:$G$1000,"&lt;&gt;Routine"))</f>
        <v/>
      </c>
      <c r="E238" s="31">
        <f>IF($C238="","",MIN($C238,Settings!$B$2))</f>
        <v/>
      </c>
      <c r="F238" s="31">
        <f>IF($C238="","",MAX(0,$C238-$E238))</f>
        <v/>
      </c>
      <c r="G238" s="31">
        <f>IF(OR($E238="",$D238=""),"", $E238+$D238)</f>
        <v/>
      </c>
      <c r="H238" s="31">
        <f>IF(OR($A238="",$B238=""),"",SUMIFS(QuickLog!$L$2:$L$1000,QuickLog!$B$2:$B$1000,$B238,QuickLog!$O$2:$O$1000,$A238))</f>
        <v/>
      </c>
      <c r="I238" s="32">
        <f>IF($H238="","",$H238)</f>
        <v/>
      </c>
    </row>
    <row r="239">
      <c r="A239" s="29" t="n"/>
      <c r="B239" s="31" t="n"/>
      <c r="C239" s="31">
        <f>IF(OR($A239="",$B239=""),"",SUMIFS(QuickLog!$K$2:$K$1000,QuickLog!$B$2:$B$1000,$B239,QuickLog!$O$2:$O$1000,$A239,QuickLog!$G$2:$G$1000,"Routine"))</f>
        <v/>
      </c>
      <c r="D239" s="31">
        <f>IF(OR($A239="",$B239=""),"",SUMIFS(QuickLog!$K$2:$K$1000,QuickLog!$B$2:$B$1000,$B239,QuickLog!$O$2:$O$1000,$A239,QuickLog!$G$2:$G$1000,"&lt;&gt;Routine"))</f>
        <v/>
      </c>
      <c r="E239" s="31">
        <f>IF($C239="","",MIN($C239,Settings!$B$2))</f>
        <v/>
      </c>
      <c r="F239" s="31">
        <f>IF($C239="","",MAX(0,$C239-$E239))</f>
        <v/>
      </c>
      <c r="G239" s="31">
        <f>IF(OR($E239="",$D239=""),"", $E239+$D239)</f>
        <v/>
      </c>
      <c r="H239" s="31">
        <f>IF(OR($A239="",$B239=""),"",SUMIFS(QuickLog!$L$2:$L$1000,QuickLog!$B$2:$B$1000,$B239,QuickLog!$O$2:$O$1000,$A239))</f>
        <v/>
      </c>
      <c r="I239" s="32">
        <f>IF($H239="","",$H239)</f>
        <v/>
      </c>
    </row>
    <row r="240">
      <c r="A240" s="29" t="n"/>
      <c r="B240" s="31" t="n"/>
      <c r="C240" s="31">
        <f>IF(OR($A240="",$B240=""),"",SUMIFS(QuickLog!$K$2:$K$1000,QuickLog!$B$2:$B$1000,$B240,QuickLog!$O$2:$O$1000,$A240,QuickLog!$G$2:$G$1000,"Routine"))</f>
        <v/>
      </c>
      <c r="D240" s="31">
        <f>IF(OR($A240="",$B240=""),"",SUMIFS(QuickLog!$K$2:$K$1000,QuickLog!$B$2:$B$1000,$B240,QuickLog!$O$2:$O$1000,$A240,QuickLog!$G$2:$G$1000,"&lt;&gt;Routine"))</f>
        <v/>
      </c>
      <c r="E240" s="31">
        <f>IF($C240="","",MIN($C240,Settings!$B$2))</f>
        <v/>
      </c>
      <c r="F240" s="31">
        <f>IF($C240="","",MAX(0,$C240-$E240))</f>
        <v/>
      </c>
      <c r="G240" s="31">
        <f>IF(OR($E240="",$D240=""),"", $E240+$D240)</f>
        <v/>
      </c>
      <c r="H240" s="31">
        <f>IF(OR($A240="",$B240=""),"",SUMIFS(QuickLog!$L$2:$L$1000,QuickLog!$B$2:$B$1000,$B240,QuickLog!$O$2:$O$1000,$A240))</f>
        <v/>
      </c>
      <c r="I240" s="32">
        <f>IF($H240="","",$H240)</f>
        <v/>
      </c>
    </row>
    <row r="241">
      <c r="A241" s="29" t="n"/>
      <c r="B241" s="31" t="n"/>
      <c r="C241" s="31">
        <f>IF(OR($A241="",$B241=""),"",SUMIFS(QuickLog!$K$2:$K$1000,QuickLog!$B$2:$B$1000,$B241,QuickLog!$O$2:$O$1000,$A241,QuickLog!$G$2:$G$1000,"Routine"))</f>
        <v/>
      </c>
      <c r="D241" s="31">
        <f>IF(OR($A241="",$B241=""),"",SUMIFS(QuickLog!$K$2:$K$1000,QuickLog!$B$2:$B$1000,$B241,QuickLog!$O$2:$O$1000,$A241,QuickLog!$G$2:$G$1000,"&lt;&gt;Routine"))</f>
        <v/>
      </c>
      <c r="E241" s="31">
        <f>IF($C241="","",MIN($C241,Settings!$B$2))</f>
        <v/>
      </c>
      <c r="F241" s="31">
        <f>IF($C241="","",MAX(0,$C241-$E241))</f>
        <v/>
      </c>
      <c r="G241" s="31">
        <f>IF(OR($E241="",$D241=""),"", $E241+$D241)</f>
        <v/>
      </c>
      <c r="H241" s="31">
        <f>IF(OR($A241="",$B241=""),"",SUMIFS(QuickLog!$L$2:$L$1000,QuickLog!$B$2:$B$1000,$B241,QuickLog!$O$2:$O$1000,$A241))</f>
        <v/>
      </c>
      <c r="I241" s="32">
        <f>IF($H241="","",$H241)</f>
        <v/>
      </c>
    </row>
    <row r="242">
      <c r="A242" s="29" t="n"/>
      <c r="B242" s="31" t="n"/>
      <c r="C242" s="31">
        <f>IF(OR($A242="",$B242=""),"",SUMIFS(QuickLog!$K$2:$K$1000,QuickLog!$B$2:$B$1000,$B242,QuickLog!$O$2:$O$1000,$A242,QuickLog!$G$2:$G$1000,"Routine"))</f>
        <v/>
      </c>
      <c r="D242" s="31">
        <f>IF(OR($A242="",$B242=""),"",SUMIFS(QuickLog!$K$2:$K$1000,QuickLog!$B$2:$B$1000,$B242,QuickLog!$O$2:$O$1000,$A242,QuickLog!$G$2:$G$1000,"&lt;&gt;Routine"))</f>
        <v/>
      </c>
      <c r="E242" s="31">
        <f>IF($C242="","",MIN($C242,Settings!$B$2))</f>
        <v/>
      </c>
      <c r="F242" s="31">
        <f>IF($C242="","",MAX(0,$C242-$E242))</f>
        <v/>
      </c>
      <c r="G242" s="31">
        <f>IF(OR($E242="",$D242=""),"", $E242+$D242)</f>
        <v/>
      </c>
      <c r="H242" s="31">
        <f>IF(OR($A242="",$B242=""),"",SUMIFS(QuickLog!$L$2:$L$1000,QuickLog!$B$2:$B$1000,$B242,QuickLog!$O$2:$O$1000,$A242))</f>
        <v/>
      </c>
      <c r="I242" s="32">
        <f>IF($H242="","",$H242)</f>
        <v/>
      </c>
    </row>
    <row r="243">
      <c r="A243" s="29" t="n"/>
      <c r="B243" s="31" t="n"/>
      <c r="C243" s="31">
        <f>IF(OR($A243="",$B243=""),"",SUMIFS(QuickLog!$K$2:$K$1000,QuickLog!$B$2:$B$1000,$B243,QuickLog!$O$2:$O$1000,$A243,QuickLog!$G$2:$G$1000,"Routine"))</f>
        <v/>
      </c>
      <c r="D243" s="31">
        <f>IF(OR($A243="",$B243=""),"",SUMIFS(QuickLog!$K$2:$K$1000,QuickLog!$B$2:$B$1000,$B243,QuickLog!$O$2:$O$1000,$A243,QuickLog!$G$2:$G$1000,"&lt;&gt;Routine"))</f>
        <v/>
      </c>
      <c r="E243" s="31">
        <f>IF($C243="","",MIN($C243,Settings!$B$2))</f>
        <v/>
      </c>
      <c r="F243" s="31">
        <f>IF($C243="","",MAX(0,$C243-$E243))</f>
        <v/>
      </c>
      <c r="G243" s="31">
        <f>IF(OR($E243="",$D243=""),"", $E243+$D243)</f>
        <v/>
      </c>
      <c r="H243" s="31">
        <f>IF(OR($A243="",$B243=""),"",SUMIFS(QuickLog!$L$2:$L$1000,QuickLog!$B$2:$B$1000,$B243,QuickLog!$O$2:$O$1000,$A243))</f>
        <v/>
      </c>
      <c r="I243" s="32">
        <f>IF($H243="","",$H243)</f>
        <v/>
      </c>
    </row>
    <row r="244">
      <c r="A244" s="29" t="n"/>
      <c r="B244" s="31" t="n"/>
      <c r="C244" s="31">
        <f>IF(OR($A244="",$B244=""),"",SUMIFS(QuickLog!$K$2:$K$1000,QuickLog!$B$2:$B$1000,$B244,QuickLog!$O$2:$O$1000,$A244,QuickLog!$G$2:$G$1000,"Routine"))</f>
        <v/>
      </c>
      <c r="D244" s="31">
        <f>IF(OR($A244="",$B244=""),"",SUMIFS(QuickLog!$K$2:$K$1000,QuickLog!$B$2:$B$1000,$B244,QuickLog!$O$2:$O$1000,$A244,QuickLog!$G$2:$G$1000,"&lt;&gt;Routine"))</f>
        <v/>
      </c>
      <c r="E244" s="31">
        <f>IF($C244="","",MIN($C244,Settings!$B$2))</f>
        <v/>
      </c>
      <c r="F244" s="31">
        <f>IF($C244="","",MAX(0,$C244-$E244))</f>
        <v/>
      </c>
      <c r="G244" s="31">
        <f>IF(OR($E244="",$D244=""),"", $E244+$D244)</f>
        <v/>
      </c>
      <c r="H244" s="31">
        <f>IF(OR($A244="",$B244=""),"",SUMIFS(QuickLog!$L$2:$L$1000,QuickLog!$B$2:$B$1000,$B244,QuickLog!$O$2:$O$1000,$A244))</f>
        <v/>
      </c>
      <c r="I244" s="32">
        <f>IF($H244="","",$H244)</f>
        <v/>
      </c>
    </row>
    <row r="245">
      <c r="A245" s="29" t="n"/>
      <c r="B245" s="31" t="n"/>
      <c r="C245" s="31">
        <f>IF(OR($A245="",$B245=""),"",SUMIFS(QuickLog!$K$2:$K$1000,QuickLog!$B$2:$B$1000,$B245,QuickLog!$O$2:$O$1000,$A245,QuickLog!$G$2:$G$1000,"Routine"))</f>
        <v/>
      </c>
      <c r="D245" s="31">
        <f>IF(OR($A245="",$B245=""),"",SUMIFS(QuickLog!$K$2:$K$1000,QuickLog!$B$2:$B$1000,$B245,QuickLog!$O$2:$O$1000,$A245,QuickLog!$G$2:$G$1000,"&lt;&gt;Routine"))</f>
        <v/>
      </c>
      <c r="E245" s="31">
        <f>IF($C245="","",MIN($C245,Settings!$B$2))</f>
        <v/>
      </c>
      <c r="F245" s="31">
        <f>IF($C245="","",MAX(0,$C245-$E245))</f>
        <v/>
      </c>
      <c r="G245" s="31">
        <f>IF(OR($E245="",$D245=""),"", $E245+$D245)</f>
        <v/>
      </c>
      <c r="H245" s="31">
        <f>IF(OR($A245="",$B245=""),"",SUMIFS(QuickLog!$L$2:$L$1000,QuickLog!$B$2:$B$1000,$B245,QuickLog!$O$2:$O$1000,$A245))</f>
        <v/>
      </c>
      <c r="I245" s="32">
        <f>IF($H245="","",$H245)</f>
        <v/>
      </c>
    </row>
    <row r="246">
      <c r="A246" s="29" t="n"/>
      <c r="B246" s="31" t="n"/>
      <c r="C246" s="31">
        <f>IF(OR($A246="",$B246=""),"",SUMIFS(QuickLog!$K$2:$K$1000,QuickLog!$B$2:$B$1000,$B246,QuickLog!$O$2:$O$1000,$A246,QuickLog!$G$2:$G$1000,"Routine"))</f>
        <v/>
      </c>
      <c r="D246" s="31">
        <f>IF(OR($A246="",$B246=""),"",SUMIFS(QuickLog!$K$2:$K$1000,QuickLog!$B$2:$B$1000,$B246,QuickLog!$O$2:$O$1000,$A246,QuickLog!$G$2:$G$1000,"&lt;&gt;Routine"))</f>
        <v/>
      </c>
      <c r="E246" s="31">
        <f>IF($C246="","",MIN($C246,Settings!$B$2))</f>
        <v/>
      </c>
      <c r="F246" s="31">
        <f>IF($C246="","",MAX(0,$C246-$E246))</f>
        <v/>
      </c>
      <c r="G246" s="31">
        <f>IF(OR($E246="",$D246=""),"", $E246+$D246)</f>
        <v/>
      </c>
      <c r="H246" s="31">
        <f>IF(OR($A246="",$B246=""),"",SUMIFS(QuickLog!$L$2:$L$1000,QuickLog!$B$2:$B$1000,$B246,QuickLog!$O$2:$O$1000,$A246))</f>
        <v/>
      </c>
      <c r="I246" s="32">
        <f>IF($H246="","",$H246)</f>
        <v/>
      </c>
    </row>
    <row r="247">
      <c r="A247" s="29" t="n"/>
      <c r="B247" s="31" t="n"/>
      <c r="C247" s="31">
        <f>IF(OR($A247="",$B247=""),"",SUMIFS(QuickLog!$K$2:$K$1000,QuickLog!$B$2:$B$1000,$B247,QuickLog!$O$2:$O$1000,$A247,QuickLog!$G$2:$G$1000,"Routine"))</f>
        <v/>
      </c>
      <c r="D247" s="31">
        <f>IF(OR($A247="",$B247=""),"",SUMIFS(QuickLog!$K$2:$K$1000,QuickLog!$B$2:$B$1000,$B247,QuickLog!$O$2:$O$1000,$A247,QuickLog!$G$2:$G$1000,"&lt;&gt;Routine"))</f>
        <v/>
      </c>
      <c r="E247" s="31">
        <f>IF($C247="","",MIN($C247,Settings!$B$2))</f>
        <v/>
      </c>
      <c r="F247" s="31">
        <f>IF($C247="","",MAX(0,$C247-$E247))</f>
        <v/>
      </c>
      <c r="G247" s="31">
        <f>IF(OR($E247="",$D247=""),"", $E247+$D247)</f>
        <v/>
      </c>
      <c r="H247" s="31">
        <f>IF(OR($A247="",$B247=""),"",SUMIFS(QuickLog!$L$2:$L$1000,QuickLog!$B$2:$B$1000,$B247,QuickLog!$O$2:$O$1000,$A247))</f>
        <v/>
      </c>
      <c r="I247" s="32">
        <f>IF($H247="","",$H247)</f>
        <v/>
      </c>
    </row>
    <row r="248">
      <c r="A248" s="29" t="n"/>
      <c r="B248" s="31" t="n"/>
      <c r="C248" s="31">
        <f>IF(OR($A248="",$B248=""),"",SUMIFS(QuickLog!$K$2:$K$1000,QuickLog!$B$2:$B$1000,$B248,QuickLog!$O$2:$O$1000,$A248,QuickLog!$G$2:$G$1000,"Routine"))</f>
        <v/>
      </c>
      <c r="D248" s="31">
        <f>IF(OR($A248="",$B248=""),"",SUMIFS(QuickLog!$K$2:$K$1000,QuickLog!$B$2:$B$1000,$B248,QuickLog!$O$2:$O$1000,$A248,QuickLog!$G$2:$G$1000,"&lt;&gt;Routine"))</f>
        <v/>
      </c>
      <c r="E248" s="31">
        <f>IF($C248="","",MIN($C248,Settings!$B$2))</f>
        <v/>
      </c>
      <c r="F248" s="31">
        <f>IF($C248="","",MAX(0,$C248-$E248))</f>
        <v/>
      </c>
      <c r="G248" s="31">
        <f>IF(OR($E248="",$D248=""),"", $E248+$D248)</f>
        <v/>
      </c>
      <c r="H248" s="31">
        <f>IF(OR($A248="",$B248=""),"",SUMIFS(QuickLog!$L$2:$L$1000,QuickLog!$B$2:$B$1000,$B248,QuickLog!$O$2:$O$1000,$A248))</f>
        <v/>
      </c>
      <c r="I248" s="32">
        <f>IF($H248="","",$H248)</f>
        <v/>
      </c>
    </row>
    <row r="249">
      <c r="A249" s="29" t="n"/>
      <c r="B249" s="31" t="n"/>
      <c r="C249" s="31">
        <f>IF(OR($A249="",$B249=""),"",SUMIFS(QuickLog!$K$2:$K$1000,QuickLog!$B$2:$B$1000,$B249,QuickLog!$O$2:$O$1000,$A249,QuickLog!$G$2:$G$1000,"Routine"))</f>
        <v/>
      </c>
      <c r="D249" s="31">
        <f>IF(OR($A249="",$B249=""),"",SUMIFS(QuickLog!$K$2:$K$1000,QuickLog!$B$2:$B$1000,$B249,QuickLog!$O$2:$O$1000,$A249,QuickLog!$G$2:$G$1000,"&lt;&gt;Routine"))</f>
        <v/>
      </c>
      <c r="E249" s="31">
        <f>IF($C249="","",MIN($C249,Settings!$B$2))</f>
        <v/>
      </c>
      <c r="F249" s="31">
        <f>IF($C249="","",MAX(0,$C249-$E249))</f>
        <v/>
      </c>
      <c r="G249" s="31">
        <f>IF(OR($E249="",$D249=""),"", $E249+$D249)</f>
        <v/>
      </c>
      <c r="H249" s="31">
        <f>IF(OR($A249="",$B249=""),"",SUMIFS(QuickLog!$L$2:$L$1000,QuickLog!$B$2:$B$1000,$B249,QuickLog!$O$2:$O$1000,$A249))</f>
        <v/>
      </c>
      <c r="I249" s="32">
        <f>IF($H249="","",$H249)</f>
        <v/>
      </c>
    </row>
    <row r="250">
      <c r="A250" s="29" t="n"/>
      <c r="B250" s="31" t="n"/>
      <c r="C250" s="31">
        <f>IF(OR($A250="",$B250=""),"",SUMIFS(QuickLog!$K$2:$K$1000,QuickLog!$B$2:$B$1000,$B250,QuickLog!$O$2:$O$1000,$A250,QuickLog!$G$2:$G$1000,"Routine"))</f>
        <v/>
      </c>
      <c r="D250" s="31">
        <f>IF(OR($A250="",$B250=""),"",SUMIFS(QuickLog!$K$2:$K$1000,QuickLog!$B$2:$B$1000,$B250,QuickLog!$O$2:$O$1000,$A250,QuickLog!$G$2:$G$1000,"&lt;&gt;Routine"))</f>
        <v/>
      </c>
      <c r="E250" s="31">
        <f>IF($C250="","",MIN($C250,Settings!$B$2))</f>
        <v/>
      </c>
      <c r="F250" s="31">
        <f>IF($C250="","",MAX(0,$C250-$E250))</f>
        <v/>
      </c>
      <c r="G250" s="31">
        <f>IF(OR($E250="",$D250=""),"", $E250+$D250)</f>
        <v/>
      </c>
      <c r="H250" s="31">
        <f>IF(OR($A250="",$B250=""),"",SUMIFS(QuickLog!$L$2:$L$1000,QuickLog!$B$2:$B$1000,$B250,QuickLog!$O$2:$O$1000,$A250))</f>
        <v/>
      </c>
      <c r="I250" s="32">
        <f>IF($H250="","",$H250)</f>
        <v/>
      </c>
    </row>
    <row r="251">
      <c r="A251" s="29" t="n"/>
      <c r="B251" s="31" t="n"/>
      <c r="C251" s="31">
        <f>IF(OR($A251="",$B251=""),"",SUMIFS(QuickLog!$K$2:$K$1000,QuickLog!$B$2:$B$1000,$B251,QuickLog!$O$2:$O$1000,$A251,QuickLog!$G$2:$G$1000,"Routine"))</f>
        <v/>
      </c>
      <c r="D251" s="31">
        <f>IF(OR($A251="",$B251=""),"",SUMIFS(QuickLog!$K$2:$K$1000,QuickLog!$B$2:$B$1000,$B251,QuickLog!$O$2:$O$1000,$A251,QuickLog!$G$2:$G$1000,"&lt;&gt;Routine"))</f>
        <v/>
      </c>
      <c r="E251" s="31">
        <f>IF($C251="","",MIN($C251,Settings!$B$2))</f>
        <v/>
      </c>
      <c r="F251" s="31">
        <f>IF($C251="","",MAX(0,$C251-$E251))</f>
        <v/>
      </c>
      <c r="G251" s="31">
        <f>IF(OR($E251="",$D251=""),"", $E251+$D251)</f>
        <v/>
      </c>
      <c r="H251" s="31">
        <f>IF(OR($A251="",$B251=""),"",SUMIFS(QuickLog!$L$2:$L$1000,QuickLog!$B$2:$B$1000,$B251,QuickLog!$O$2:$O$1000,$A251))</f>
        <v/>
      </c>
      <c r="I251" s="32">
        <f>IF($H251="","",$H251)</f>
        <v/>
      </c>
    </row>
    <row r="252">
      <c r="A252" s="29" t="n"/>
      <c r="B252" s="31" t="n"/>
      <c r="C252" s="31">
        <f>IF(OR($A252="",$B252=""),"",SUMIFS(QuickLog!$K$2:$K$1000,QuickLog!$B$2:$B$1000,$B252,QuickLog!$O$2:$O$1000,$A252,QuickLog!$G$2:$G$1000,"Routine"))</f>
        <v/>
      </c>
      <c r="D252" s="31">
        <f>IF(OR($A252="",$B252=""),"",SUMIFS(QuickLog!$K$2:$K$1000,QuickLog!$B$2:$B$1000,$B252,QuickLog!$O$2:$O$1000,$A252,QuickLog!$G$2:$G$1000,"&lt;&gt;Routine"))</f>
        <v/>
      </c>
      <c r="E252" s="31">
        <f>IF($C252="","",MIN($C252,Settings!$B$2))</f>
        <v/>
      </c>
      <c r="F252" s="31">
        <f>IF($C252="","",MAX(0,$C252-$E252))</f>
        <v/>
      </c>
      <c r="G252" s="31">
        <f>IF(OR($E252="",$D252=""),"", $E252+$D252)</f>
        <v/>
      </c>
      <c r="H252" s="31">
        <f>IF(OR($A252="",$B252=""),"",SUMIFS(QuickLog!$L$2:$L$1000,QuickLog!$B$2:$B$1000,$B252,QuickLog!$O$2:$O$1000,$A252))</f>
        <v/>
      </c>
      <c r="I252" s="32">
        <f>IF($H252="","",$H252)</f>
        <v/>
      </c>
    </row>
    <row r="253">
      <c r="A253" s="29" t="n"/>
      <c r="B253" s="31" t="n"/>
      <c r="C253" s="31">
        <f>IF(OR($A253="",$B253=""),"",SUMIFS(QuickLog!$K$2:$K$1000,QuickLog!$B$2:$B$1000,$B253,QuickLog!$O$2:$O$1000,$A253,QuickLog!$G$2:$G$1000,"Routine"))</f>
        <v/>
      </c>
      <c r="D253" s="31">
        <f>IF(OR($A253="",$B253=""),"",SUMIFS(QuickLog!$K$2:$K$1000,QuickLog!$B$2:$B$1000,$B253,QuickLog!$O$2:$O$1000,$A253,QuickLog!$G$2:$G$1000,"&lt;&gt;Routine"))</f>
        <v/>
      </c>
      <c r="E253" s="31">
        <f>IF($C253="","",MIN($C253,Settings!$B$2))</f>
        <v/>
      </c>
      <c r="F253" s="31">
        <f>IF($C253="","",MAX(0,$C253-$E253))</f>
        <v/>
      </c>
      <c r="G253" s="31">
        <f>IF(OR($E253="",$D253=""),"", $E253+$D253)</f>
        <v/>
      </c>
      <c r="H253" s="31">
        <f>IF(OR($A253="",$B253=""),"",SUMIFS(QuickLog!$L$2:$L$1000,QuickLog!$B$2:$B$1000,$B253,QuickLog!$O$2:$O$1000,$A253))</f>
        <v/>
      </c>
      <c r="I253" s="32">
        <f>IF($H253="","",$H253)</f>
        <v/>
      </c>
    </row>
    <row r="254">
      <c r="A254" s="29" t="n"/>
      <c r="B254" s="31" t="n"/>
      <c r="C254" s="31">
        <f>IF(OR($A254="",$B254=""),"",SUMIFS(QuickLog!$K$2:$K$1000,QuickLog!$B$2:$B$1000,$B254,QuickLog!$O$2:$O$1000,$A254,QuickLog!$G$2:$G$1000,"Routine"))</f>
        <v/>
      </c>
      <c r="D254" s="31">
        <f>IF(OR($A254="",$B254=""),"",SUMIFS(QuickLog!$K$2:$K$1000,QuickLog!$B$2:$B$1000,$B254,QuickLog!$O$2:$O$1000,$A254,QuickLog!$G$2:$G$1000,"&lt;&gt;Routine"))</f>
        <v/>
      </c>
      <c r="E254" s="31">
        <f>IF($C254="","",MIN($C254,Settings!$B$2))</f>
        <v/>
      </c>
      <c r="F254" s="31">
        <f>IF($C254="","",MAX(0,$C254-$E254))</f>
        <v/>
      </c>
      <c r="G254" s="31">
        <f>IF(OR($E254="",$D254=""),"", $E254+$D254)</f>
        <v/>
      </c>
      <c r="H254" s="31">
        <f>IF(OR($A254="",$B254=""),"",SUMIFS(QuickLog!$L$2:$L$1000,QuickLog!$B$2:$B$1000,$B254,QuickLog!$O$2:$O$1000,$A254))</f>
        <v/>
      </c>
      <c r="I254" s="32">
        <f>IF($H254="","",$H254)</f>
        <v/>
      </c>
    </row>
    <row r="255">
      <c r="A255" s="29" t="n"/>
      <c r="B255" s="31" t="n"/>
      <c r="C255" s="31">
        <f>IF(OR($A255="",$B255=""),"",SUMIFS(QuickLog!$K$2:$K$1000,QuickLog!$B$2:$B$1000,$B255,QuickLog!$O$2:$O$1000,$A255,QuickLog!$G$2:$G$1000,"Routine"))</f>
        <v/>
      </c>
      <c r="D255" s="31">
        <f>IF(OR($A255="",$B255=""),"",SUMIFS(QuickLog!$K$2:$K$1000,QuickLog!$B$2:$B$1000,$B255,QuickLog!$O$2:$O$1000,$A255,QuickLog!$G$2:$G$1000,"&lt;&gt;Routine"))</f>
        <v/>
      </c>
      <c r="E255" s="31">
        <f>IF($C255="","",MIN($C255,Settings!$B$2))</f>
        <v/>
      </c>
      <c r="F255" s="31">
        <f>IF($C255="","",MAX(0,$C255-$E255))</f>
        <v/>
      </c>
      <c r="G255" s="31">
        <f>IF(OR($E255="",$D255=""),"", $E255+$D255)</f>
        <v/>
      </c>
      <c r="H255" s="31">
        <f>IF(OR($A255="",$B255=""),"",SUMIFS(QuickLog!$L$2:$L$1000,QuickLog!$B$2:$B$1000,$B255,QuickLog!$O$2:$O$1000,$A255))</f>
        <v/>
      </c>
      <c r="I255" s="32">
        <f>IF($H255="","",$H255)</f>
        <v/>
      </c>
    </row>
    <row r="256">
      <c r="A256" s="29" t="n"/>
      <c r="B256" s="31" t="n"/>
      <c r="C256" s="31">
        <f>IF(OR($A256="",$B256=""),"",SUMIFS(QuickLog!$K$2:$K$1000,QuickLog!$B$2:$B$1000,$B256,QuickLog!$O$2:$O$1000,$A256,QuickLog!$G$2:$G$1000,"Routine"))</f>
        <v/>
      </c>
      <c r="D256" s="31">
        <f>IF(OR($A256="",$B256=""),"",SUMIFS(QuickLog!$K$2:$K$1000,QuickLog!$B$2:$B$1000,$B256,QuickLog!$O$2:$O$1000,$A256,QuickLog!$G$2:$G$1000,"&lt;&gt;Routine"))</f>
        <v/>
      </c>
      <c r="E256" s="31">
        <f>IF($C256="","",MIN($C256,Settings!$B$2))</f>
        <v/>
      </c>
      <c r="F256" s="31">
        <f>IF($C256="","",MAX(0,$C256-$E256))</f>
        <v/>
      </c>
      <c r="G256" s="31">
        <f>IF(OR($E256="",$D256=""),"", $E256+$D256)</f>
        <v/>
      </c>
      <c r="H256" s="31">
        <f>IF(OR($A256="",$B256=""),"",SUMIFS(QuickLog!$L$2:$L$1000,QuickLog!$B$2:$B$1000,$B256,QuickLog!$O$2:$O$1000,$A256))</f>
        <v/>
      </c>
      <c r="I256" s="32">
        <f>IF($H256="","",$H256)</f>
        <v/>
      </c>
    </row>
    <row r="257">
      <c r="A257" s="29" t="n"/>
      <c r="B257" s="31" t="n"/>
      <c r="C257" s="31">
        <f>IF(OR($A257="",$B257=""),"",SUMIFS(QuickLog!$K$2:$K$1000,QuickLog!$B$2:$B$1000,$B257,QuickLog!$O$2:$O$1000,$A257,QuickLog!$G$2:$G$1000,"Routine"))</f>
        <v/>
      </c>
      <c r="D257" s="31">
        <f>IF(OR($A257="",$B257=""),"",SUMIFS(QuickLog!$K$2:$K$1000,QuickLog!$B$2:$B$1000,$B257,QuickLog!$O$2:$O$1000,$A257,QuickLog!$G$2:$G$1000,"&lt;&gt;Routine"))</f>
        <v/>
      </c>
      <c r="E257" s="31">
        <f>IF($C257="","",MIN($C257,Settings!$B$2))</f>
        <v/>
      </c>
      <c r="F257" s="31">
        <f>IF($C257="","",MAX(0,$C257-$E257))</f>
        <v/>
      </c>
      <c r="G257" s="31">
        <f>IF(OR($E257="",$D257=""),"", $E257+$D257)</f>
        <v/>
      </c>
      <c r="H257" s="31">
        <f>IF(OR($A257="",$B257=""),"",SUMIFS(QuickLog!$L$2:$L$1000,QuickLog!$B$2:$B$1000,$B257,QuickLog!$O$2:$O$1000,$A257))</f>
        <v/>
      </c>
      <c r="I257" s="32">
        <f>IF($H257="","",$H257)</f>
        <v/>
      </c>
    </row>
    <row r="258">
      <c r="A258" s="29" t="n"/>
      <c r="B258" s="31" t="n"/>
      <c r="C258" s="31">
        <f>IF(OR($A258="",$B258=""),"",SUMIFS(QuickLog!$K$2:$K$1000,QuickLog!$B$2:$B$1000,$B258,QuickLog!$O$2:$O$1000,$A258,QuickLog!$G$2:$G$1000,"Routine"))</f>
        <v/>
      </c>
      <c r="D258" s="31">
        <f>IF(OR($A258="",$B258=""),"",SUMIFS(QuickLog!$K$2:$K$1000,QuickLog!$B$2:$B$1000,$B258,QuickLog!$O$2:$O$1000,$A258,QuickLog!$G$2:$G$1000,"&lt;&gt;Routine"))</f>
        <v/>
      </c>
      <c r="E258" s="31">
        <f>IF($C258="","",MIN($C258,Settings!$B$2))</f>
        <v/>
      </c>
      <c r="F258" s="31">
        <f>IF($C258="","",MAX(0,$C258-$E258))</f>
        <v/>
      </c>
      <c r="G258" s="31">
        <f>IF(OR($E258="",$D258=""),"", $E258+$D258)</f>
        <v/>
      </c>
      <c r="H258" s="31">
        <f>IF(OR($A258="",$B258=""),"",SUMIFS(QuickLog!$L$2:$L$1000,QuickLog!$B$2:$B$1000,$B258,QuickLog!$O$2:$O$1000,$A258))</f>
        <v/>
      </c>
      <c r="I258" s="32">
        <f>IF($H258="","",$H258)</f>
        <v/>
      </c>
    </row>
    <row r="259">
      <c r="A259" s="29" t="n"/>
      <c r="B259" s="31" t="n"/>
      <c r="C259" s="31">
        <f>IF(OR($A259="",$B259=""),"",SUMIFS(QuickLog!$K$2:$K$1000,QuickLog!$B$2:$B$1000,$B259,QuickLog!$O$2:$O$1000,$A259,QuickLog!$G$2:$G$1000,"Routine"))</f>
        <v/>
      </c>
      <c r="D259" s="31">
        <f>IF(OR($A259="",$B259=""),"",SUMIFS(QuickLog!$K$2:$K$1000,QuickLog!$B$2:$B$1000,$B259,QuickLog!$O$2:$O$1000,$A259,QuickLog!$G$2:$G$1000,"&lt;&gt;Routine"))</f>
        <v/>
      </c>
      <c r="E259" s="31">
        <f>IF($C259="","",MIN($C259,Settings!$B$2))</f>
        <v/>
      </c>
      <c r="F259" s="31">
        <f>IF($C259="","",MAX(0,$C259-$E259))</f>
        <v/>
      </c>
      <c r="G259" s="31">
        <f>IF(OR($E259="",$D259=""),"", $E259+$D259)</f>
        <v/>
      </c>
      <c r="H259" s="31">
        <f>IF(OR($A259="",$B259=""),"",SUMIFS(QuickLog!$L$2:$L$1000,QuickLog!$B$2:$B$1000,$B259,QuickLog!$O$2:$O$1000,$A259))</f>
        <v/>
      </c>
      <c r="I259" s="32">
        <f>IF($H259="","",$H259)</f>
        <v/>
      </c>
    </row>
    <row r="260">
      <c r="A260" s="29" t="n"/>
      <c r="B260" s="31" t="n"/>
      <c r="C260" s="31">
        <f>IF(OR($A260="",$B260=""),"",SUMIFS(QuickLog!$K$2:$K$1000,QuickLog!$B$2:$B$1000,$B260,QuickLog!$O$2:$O$1000,$A260,QuickLog!$G$2:$G$1000,"Routine"))</f>
        <v/>
      </c>
      <c r="D260" s="31">
        <f>IF(OR($A260="",$B260=""),"",SUMIFS(QuickLog!$K$2:$K$1000,QuickLog!$B$2:$B$1000,$B260,QuickLog!$O$2:$O$1000,$A260,QuickLog!$G$2:$G$1000,"&lt;&gt;Routine"))</f>
        <v/>
      </c>
      <c r="E260" s="31">
        <f>IF($C260="","",MIN($C260,Settings!$B$2))</f>
        <v/>
      </c>
      <c r="F260" s="31">
        <f>IF($C260="","",MAX(0,$C260-$E260))</f>
        <v/>
      </c>
      <c r="G260" s="31">
        <f>IF(OR($E260="",$D260=""),"", $E260+$D260)</f>
        <v/>
      </c>
      <c r="H260" s="31">
        <f>IF(OR($A260="",$B260=""),"",SUMIFS(QuickLog!$L$2:$L$1000,QuickLog!$B$2:$B$1000,$B260,QuickLog!$O$2:$O$1000,$A260))</f>
        <v/>
      </c>
      <c r="I260" s="32">
        <f>IF($H260="","",$H260)</f>
        <v/>
      </c>
    </row>
    <row r="261">
      <c r="A261" s="29" t="n"/>
      <c r="B261" s="31" t="n"/>
      <c r="C261" s="31">
        <f>IF(OR($A261="",$B261=""),"",SUMIFS(QuickLog!$K$2:$K$1000,QuickLog!$B$2:$B$1000,$B261,QuickLog!$O$2:$O$1000,$A261,QuickLog!$G$2:$G$1000,"Routine"))</f>
        <v/>
      </c>
      <c r="D261" s="31">
        <f>IF(OR($A261="",$B261=""),"",SUMIFS(QuickLog!$K$2:$K$1000,QuickLog!$B$2:$B$1000,$B261,QuickLog!$O$2:$O$1000,$A261,QuickLog!$G$2:$G$1000,"&lt;&gt;Routine"))</f>
        <v/>
      </c>
      <c r="E261" s="31">
        <f>IF($C261="","",MIN($C261,Settings!$B$2))</f>
        <v/>
      </c>
      <c r="F261" s="31">
        <f>IF($C261="","",MAX(0,$C261-$E261))</f>
        <v/>
      </c>
      <c r="G261" s="31">
        <f>IF(OR($E261="",$D261=""),"", $E261+$D261)</f>
        <v/>
      </c>
      <c r="H261" s="31">
        <f>IF(OR($A261="",$B261=""),"",SUMIFS(QuickLog!$L$2:$L$1000,QuickLog!$B$2:$B$1000,$B261,QuickLog!$O$2:$O$1000,$A261))</f>
        <v/>
      </c>
      <c r="I261" s="32">
        <f>IF($H261="","",$H261)</f>
        <v/>
      </c>
    </row>
    <row r="262">
      <c r="A262" s="29" t="n"/>
      <c r="B262" s="31" t="n"/>
      <c r="C262" s="31">
        <f>IF(OR($A262="",$B262=""),"",SUMIFS(QuickLog!$K$2:$K$1000,QuickLog!$B$2:$B$1000,$B262,QuickLog!$O$2:$O$1000,$A262,QuickLog!$G$2:$G$1000,"Routine"))</f>
        <v/>
      </c>
      <c r="D262" s="31">
        <f>IF(OR($A262="",$B262=""),"",SUMIFS(QuickLog!$K$2:$K$1000,QuickLog!$B$2:$B$1000,$B262,QuickLog!$O$2:$O$1000,$A262,QuickLog!$G$2:$G$1000,"&lt;&gt;Routine"))</f>
        <v/>
      </c>
      <c r="E262" s="31">
        <f>IF($C262="","",MIN($C262,Settings!$B$2))</f>
        <v/>
      </c>
      <c r="F262" s="31">
        <f>IF($C262="","",MAX(0,$C262-$E262))</f>
        <v/>
      </c>
      <c r="G262" s="31">
        <f>IF(OR($E262="",$D262=""),"", $E262+$D262)</f>
        <v/>
      </c>
      <c r="H262" s="31">
        <f>IF(OR($A262="",$B262=""),"",SUMIFS(QuickLog!$L$2:$L$1000,QuickLog!$B$2:$B$1000,$B262,QuickLog!$O$2:$O$1000,$A262))</f>
        <v/>
      </c>
      <c r="I262" s="32">
        <f>IF($H262="","",$H262)</f>
        <v/>
      </c>
    </row>
    <row r="263">
      <c r="A263" s="29" t="n"/>
      <c r="B263" s="31" t="n"/>
      <c r="C263" s="31">
        <f>IF(OR($A263="",$B263=""),"",SUMIFS(QuickLog!$K$2:$K$1000,QuickLog!$B$2:$B$1000,$B263,QuickLog!$O$2:$O$1000,$A263,QuickLog!$G$2:$G$1000,"Routine"))</f>
        <v/>
      </c>
      <c r="D263" s="31">
        <f>IF(OR($A263="",$B263=""),"",SUMIFS(QuickLog!$K$2:$K$1000,QuickLog!$B$2:$B$1000,$B263,QuickLog!$O$2:$O$1000,$A263,QuickLog!$G$2:$G$1000,"&lt;&gt;Routine"))</f>
        <v/>
      </c>
      <c r="E263" s="31">
        <f>IF($C263="","",MIN($C263,Settings!$B$2))</f>
        <v/>
      </c>
      <c r="F263" s="31">
        <f>IF($C263="","",MAX(0,$C263-$E263))</f>
        <v/>
      </c>
      <c r="G263" s="31">
        <f>IF(OR($E263="",$D263=""),"", $E263+$D263)</f>
        <v/>
      </c>
      <c r="H263" s="31">
        <f>IF(OR($A263="",$B263=""),"",SUMIFS(QuickLog!$L$2:$L$1000,QuickLog!$B$2:$B$1000,$B263,QuickLog!$O$2:$O$1000,$A263))</f>
        <v/>
      </c>
      <c r="I263" s="32">
        <f>IF($H263="","",$H263)</f>
        <v/>
      </c>
    </row>
    <row r="264">
      <c r="A264" s="29" t="n"/>
      <c r="B264" s="31" t="n"/>
      <c r="C264" s="31">
        <f>IF(OR($A264="",$B264=""),"",SUMIFS(QuickLog!$K$2:$K$1000,QuickLog!$B$2:$B$1000,$B264,QuickLog!$O$2:$O$1000,$A264,QuickLog!$G$2:$G$1000,"Routine"))</f>
        <v/>
      </c>
      <c r="D264" s="31">
        <f>IF(OR($A264="",$B264=""),"",SUMIFS(QuickLog!$K$2:$K$1000,QuickLog!$B$2:$B$1000,$B264,QuickLog!$O$2:$O$1000,$A264,QuickLog!$G$2:$G$1000,"&lt;&gt;Routine"))</f>
        <v/>
      </c>
      <c r="E264" s="31">
        <f>IF($C264="","",MIN($C264,Settings!$B$2))</f>
        <v/>
      </c>
      <c r="F264" s="31">
        <f>IF($C264="","",MAX(0,$C264-$E264))</f>
        <v/>
      </c>
      <c r="G264" s="31">
        <f>IF(OR($E264="",$D264=""),"", $E264+$D264)</f>
        <v/>
      </c>
      <c r="H264" s="31">
        <f>IF(OR($A264="",$B264=""),"",SUMIFS(QuickLog!$L$2:$L$1000,QuickLog!$B$2:$B$1000,$B264,QuickLog!$O$2:$O$1000,$A264))</f>
        <v/>
      </c>
      <c r="I264" s="32">
        <f>IF($H264="","",$H264)</f>
        <v/>
      </c>
    </row>
    <row r="265">
      <c r="A265" s="29" t="n"/>
      <c r="B265" s="31" t="n"/>
      <c r="C265" s="31">
        <f>IF(OR($A265="",$B265=""),"",SUMIFS(QuickLog!$K$2:$K$1000,QuickLog!$B$2:$B$1000,$B265,QuickLog!$O$2:$O$1000,$A265,QuickLog!$G$2:$G$1000,"Routine"))</f>
        <v/>
      </c>
      <c r="D265" s="31">
        <f>IF(OR($A265="",$B265=""),"",SUMIFS(QuickLog!$K$2:$K$1000,QuickLog!$B$2:$B$1000,$B265,QuickLog!$O$2:$O$1000,$A265,QuickLog!$G$2:$G$1000,"&lt;&gt;Routine"))</f>
        <v/>
      </c>
      <c r="E265" s="31">
        <f>IF($C265="","",MIN($C265,Settings!$B$2))</f>
        <v/>
      </c>
      <c r="F265" s="31">
        <f>IF($C265="","",MAX(0,$C265-$E265))</f>
        <v/>
      </c>
      <c r="G265" s="31">
        <f>IF(OR($E265="",$D265=""),"", $E265+$D265)</f>
        <v/>
      </c>
      <c r="H265" s="31">
        <f>IF(OR($A265="",$B265=""),"",SUMIFS(QuickLog!$L$2:$L$1000,QuickLog!$B$2:$B$1000,$B265,QuickLog!$O$2:$O$1000,$A265))</f>
        <v/>
      </c>
      <c r="I265" s="32">
        <f>IF($H265="","",$H265)</f>
        <v/>
      </c>
    </row>
    <row r="266">
      <c r="A266" s="29" t="n"/>
      <c r="B266" s="31" t="n"/>
      <c r="C266" s="31">
        <f>IF(OR($A266="",$B266=""),"",SUMIFS(QuickLog!$K$2:$K$1000,QuickLog!$B$2:$B$1000,$B266,QuickLog!$O$2:$O$1000,$A266,QuickLog!$G$2:$G$1000,"Routine"))</f>
        <v/>
      </c>
      <c r="D266" s="31">
        <f>IF(OR($A266="",$B266=""),"",SUMIFS(QuickLog!$K$2:$K$1000,QuickLog!$B$2:$B$1000,$B266,QuickLog!$O$2:$O$1000,$A266,QuickLog!$G$2:$G$1000,"&lt;&gt;Routine"))</f>
        <v/>
      </c>
      <c r="E266" s="31">
        <f>IF($C266="","",MIN($C266,Settings!$B$2))</f>
        <v/>
      </c>
      <c r="F266" s="31">
        <f>IF($C266="","",MAX(0,$C266-$E266))</f>
        <v/>
      </c>
      <c r="G266" s="31">
        <f>IF(OR($E266="",$D266=""),"", $E266+$D266)</f>
        <v/>
      </c>
      <c r="H266" s="31">
        <f>IF(OR($A266="",$B266=""),"",SUMIFS(QuickLog!$L$2:$L$1000,QuickLog!$B$2:$B$1000,$B266,QuickLog!$O$2:$O$1000,$A266))</f>
        <v/>
      </c>
      <c r="I266" s="32">
        <f>IF($H266="","",$H266)</f>
        <v/>
      </c>
    </row>
    <row r="267">
      <c r="A267" s="29" t="n"/>
      <c r="B267" s="31" t="n"/>
      <c r="C267" s="31">
        <f>IF(OR($A267="",$B267=""),"",SUMIFS(QuickLog!$K$2:$K$1000,QuickLog!$B$2:$B$1000,$B267,QuickLog!$O$2:$O$1000,$A267,QuickLog!$G$2:$G$1000,"Routine"))</f>
        <v/>
      </c>
      <c r="D267" s="31">
        <f>IF(OR($A267="",$B267=""),"",SUMIFS(QuickLog!$K$2:$K$1000,QuickLog!$B$2:$B$1000,$B267,QuickLog!$O$2:$O$1000,$A267,QuickLog!$G$2:$G$1000,"&lt;&gt;Routine"))</f>
        <v/>
      </c>
      <c r="E267" s="31">
        <f>IF($C267="","",MIN($C267,Settings!$B$2))</f>
        <v/>
      </c>
      <c r="F267" s="31">
        <f>IF($C267="","",MAX(0,$C267-$E267))</f>
        <v/>
      </c>
      <c r="G267" s="31">
        <f>IF(OR($E267="",$D267=""),"", $E267+$D267)</f>
        <v/>
      </c>
      <c r="H267" s="31">
        <f>IF(OR($A267="",$B267=""),"",SUMIFS(QuickLog!$L$2:$L$1000,QuickLog!$B$2:$B$1000,$B267,QuickLog!$O$2:$O$1000,$A267))</f>
        <v/>
      </c>
      <c r="I267" s="32">
        <f>IF($H267="","",$H267)</f>
        <v/>
      </c>
    </row>
    <row r="268">
      <c r="A268" s="29" t="n"/>
      <c r="B268" s="31" t="n"/>
      <c r="C268" s="31">
        <f>IF(OR($A268="",$B268=""),"",SUMIFS(QuickLog!$K$2:$K$1000,QuickLog!$B$2:$B$1000,$B268,QuickLog!$O$2:$O$1000,$A268,QuickLog!$G$2:$G$1000,"Routine"))</f>
        <v/>
      </c>
      <c r="D268" s="31">
        <f>IF(OR($A268="",$B268=""),"",SUMIFS(QuickLog!$K$2:$K$1000,QuickLog!$B$2:$B$1000,$B268,QuickLog!$O$2:$O$1000,$A268,QuickLog!$G$2:$G$1000,"&lt;&gt;Routine"))</f>
        <v/>
      </c>
      <c r="E268" s="31">
        <f>IF($C268="","",MIN($C268,Settings!$B$2))</f>
        <v/>
      </c>
      <c r="F268" s="31">
        <f>IF($C268="","",MAX(0,$C268-$E268))</f>
        <v/>
      </c>
      <c r="G268" s="31">
        <f>IF(OR($E268="",$D268=""),"", $E268+$D268)</f>
        <v/>
      </c>
      <c r="H268" s="31">
        <f>IF(OR($A268="",$B268=""),"",SUMIFS(QuickLog!$L$2:$L$1000,QuickLog!$B$2:$B$1000,$B268,QuickLog!$O$2:$O$1000,$A268))</f>
        <v/>
      </c>
      <c r="I268" s="32">
        <f>IF($H268="","",$H268)</f>
        <v/>
      </c>
    </row>
    <row r="269">
      <c r="A269" s="29" t="n"/>
      <c r="B269" s="31" t="n"/>
      <c r="C269" s="31">
        <f>IF(OR($A269="",$B269=""),"",SUMIFS(QuickLog!$K$2:$K$1000,QuickLog!$B$2:$B$1000,$B269,QuickLog!$O$2:$O$1000,$A269,QuickLog!$G$2:$G$1000,"Routine"))</f>
        <v/>
      </c>
      <c r="D269" s="31">
        <f>IF(OR($A269="",$B269=""),"",SUMIFS(QuickLog!$K$2:$K$1000,QuickLog!$B$2:$B$1000,$B269,QuickLog!$O$2:$O$1000,$A269,QuickLog!$G$2:$G$1000,"&lt;&gt;Routine"))</f>
        <v/>
      </c>
      <c r="E269" s="31">
        <f>IF($C269="","",MIN($C269,Settings!$B$2))</f>
        <v/>
      </c>
      <c r="F269" s="31">
        <f>IF($C269="","",MAX(0,$C269-$E269))</f>
        <v/>
      </c>
      <c r="G269" s="31">
        <f>IF(OR($E269="",$D269=""),"", $E269+$D269)</f>
        <v/>
      </c>
      <c r="H269" s="31">
        <f>IF(OR($A269="",$B269=""),"",SUMIFS(QuickLog!$L$2:$L$1000,QuickLog!$B$2:$B$1000,$B269,QuickLog!$O$2:$O$1000,$A269))</f>
        <v/>
      </c>
      <c r="I269" s="32">
        <f>IF($H269="","",$H269)</f>
        <v/>
      </c>
    </row>
    <row r="270">
      <c r="A270" s="29" t="n"/>
      <c r="B270" s="31" t="n"/>
      <c r="C270" s="31">
        <f>IF(OR($A270="",$B270=""),"",SUMIFS(QuickLog!$K$2:$K$1000,QuickLog!$B$2:$B$1000,$B270,QuickLog!$O$2:$O$1000,$A270,QuickLog!$G$2:$G$1000,"Routine"))</f>
        <v/>
      </c>
      <c r="D270" s="31">
        <f>IF(OR($A270="",$B270=""),"",SUMIFS(QuickLog!$K$2:$K$1000,QuickLog!$B$2:$B$1000,$B270,QuickLog!$O$2:$O$1000,$A270,QuickLog!$G$2:$G$1000,"&lt;&gt;Routine"))</f>
        <v/>
      </c>
      <c r="E270" s="31">
        <f>IF($C270="","",MIN($C270,Settings!$B$2))</f>
        <v/>
      </c>
      <c r="F270" s="31">
        <f>IF($C270="","",MAX(0,$C270-$E270))</f>
        <v/>
      </c>
      <c r="G270" s="31">
        <f>IF(OR($E270="",$D270=""),"", $E270+$D270)</f>
        <v/>
      </c>
      <c r="H270" s="31">
        <f>IF(OR($A270="",$B270=""),"",SUMIFS(QuickLog!$L$2:$L$1000,QuickLog!$B$2:$B$1000,$B270,QuickLog!$O$2:$O$1000,$A270))</f>
        <v/>
      </c>
      <c r="I270" s="32">
        <f>IF($H270="","",$H270)</f>
        <v/>
      </c>
    </row>
    <row r="271">
      <c r="A271" s="29" t="n"/>
      <c r="B271" s="31" t="n"/>
      <c r="C271" s="31">
        <f>IF(OR($A271="",$B271=""),"",SUMIFS(QuickLog!$K$2:$K$1000,QuickLog!$B$2:$B$1000,$B271,QuickLog!$O$2:$O$1000,$A271,QuickLog!$G$2:$G$1000,"Routine"))</f>
        <v/>
      </c>
      <c r="D271" s="31">
        <f>IF(OR($A271="",$B271=""),"",SUMIFS(QuickLog!$K$2:$K$1000,QuickLog!$B$2:$B$1000,$B271,QuickLog!$O$2:$O$1000,$A271,QuickLog!$G$2:$G$1000,"&lt;&gt;Routine"))</f>
        <v/>
      </c>
      <c r="E271" s="31">
        <f>IF($C271="","",MIN($C271,Settings!$B$2))</f>
        <v/>
      </c>
      <c r="F271" s="31">
        <f>IF($C271="","",MAX(0,$C271-$E271))</f>
        <v/>
      </c>
      <c r="G271" s="31">
        <f>IF(OR($E271="",$D271=""),"", $E271+$D271)</f>
        <v/>
      </c>
      <c r="H271" s="31">
        <f>IF(OR($A271="",$B271=""),"",SUMIFS(QuickLog!$L$2:$L$1000,QuickLog!$B$2:$B$1000,$B271,QuickLog!$O$2:$O$1000,$A271))</f>
        <v/>
      </c>
      <c r="I271" s="32">
        <f>IF($H271="","",$H271)</f>
        <v/>
      </c>
    </row>
    <row r="272">
      <c r="A272" s="29" t="n"/>
      <c r="B272" s="31" t="n"/>
      <c r="C272" s="31">
        <f>IF(OR($A272="",$B272=""),"",SUMIFS(QuickLog!$K$2:$K$1000,QuickLog!$B$2:$B$1000,$B272,QuickLog!$O$2:$O$1000,$A272,QuickLog!$G$2:$G$1000,"Routine"))</f>
        <v/>
      </c>
      <c r="D272" s="31">
        <f>IF(OR($A272="",$B272=""),"",SUMIFS(QuickLog!$K$2:$K$1000,QuickLog!$B$2:$B$1000,$B272,QuickLog!$O$2:$O$1000,$A272,QuickLog!$G$2:$G$1000,"&lt;&gt;Routine"))</f>
        <v/>
      </c>
      <c r="E272" s="31">
        <f>IF($C272="","",MIN($C272,Settings!$B$2))</f>
        <v/>
      </c>
      <c r="F272" s="31">
        <f>IF($C272="","",MAX(0,$C272-$E272))</f>
        <v/>
      </c>
      <c r="G272" s="31">
        <f>IF(OR($E272="",$D272=""),"", $E272+$D272)</f>
        <v/>
      </c>
      <c r="H272" s="31">
        <f>IF(OR($A272="",$B272=""),"",SUMIFS(QuickLog!$L$2:$L$1000,QuickLog!$B$2:$B$1000,$B272,QuickLog!$O$2:$O$1000,$A272))</f>
        <v/>
      </c>
      <c r="I272" s="32">
        <f>IF($H272="","",$H272)</f>
        <v/>
      </c>
    </row>
    <row r="273">
      <c r="A273" s="29" t="n"/>
      <c r="B273" s="31" t="n"/>
      <c r="C273" s="31">
        <f>IF(OR($A273="",$B273=""),"",SUMIFS(QuickLog!$K$2:$K$1000,QuickLog!$B$2:$B$1000,$B273,QuickLog!$O$2:$O$1000,$A273,QuickLog!$G$2:$G$1000,"Routine"))</f>
        <v/>
      </c>
      <c r="D273" s="31">
        <f>IF(OR($A273="",$B273=""),"",SUMIFS(QuickLog!$K$2:$K$1000,QuickLog!$B$2:$B$1000,$B273,QuickLog!$O$2:$O$1000,$A273,QuickLog!$G$2:$G$1000,"&lt;&gt;Routine"))</f>
        <v/>
      </c>
      <c r="E273" s="31">
        <f>IF($C273="","",MIN($C273,Settings!$B$2))</f>
        <v/>
      </c>
      <c r="F273" s="31">
        <f>IF($C273="","",MAX(0,$C273-$E273))</f>
        <v/>
      </c>
      <c r="G273" s="31">
        <f>IF(OR($E273="",$D273=""),"", $E273+$D273)</f>
        <v/>
      </c>
      <c r="H273" s="31">
        <f>IF(OR($A273="",$B273=""),"",SUMIFS(QuickLog!$L$2:$L$1000,QuickLog!$B$2:$B$1000,$B273,QuickLog!$O$2:$O$1000,$A273))</f>
        <v/>
      </c>
      <c r="I273" s="32">
        <f>IF($H273="","",$H273)</f>
        <v/>
      </c>
    </row>
    <row r="274">
      <c r="A274" s="29" t="n"/>
      <c r="B274" s="31" t="n"/>
      <c r="C274" s="31">
        <f>IF(OR($A274="",$B274=""),"",SUMIFS(QuickLog!$K$2:$K$1000,QuickLog!$B$2:$B$1000,$B274,QuickLog!$O$2:$O$1000,$A274,QuickLog!$G$2:$G$1000,"Routine"))</f>
        <v/>
      </c>
      <c r="D274" s="31">
        <f>IF(OR($A274="",$B274=""),"",SUMIFS(QuickLog!$K$2:$K$1000,QuickLog!$B$2:$B$1000,$B274,QuickLog!$O$2:$O$1000,$A274,QuickLog!$G$2:$G$1000,"&lt;&gt;Routine"))</f>
        <v/>
      </c>
      <c r="E274" s="31">
        <f>IF($C274="","",MIN($C274,Settings!$B$2))</f>
        <v/>
      </c>
      <c r="F274" s="31">
        <f>IF($C274="","",MAX(0,$C274-$E274))</f>
        <v/>
      </c>
      <c r="G274" s="31">
        <f>IF(OR($E274="",$D274=""),"", $E274+$D274)</f>
        <v/>
      </c>
      <c r="H274" s="31">
        <f>IF(OR($A274="",$B274=""),"",SUMIFS(QuickLog!$L$2:$L$1000,QuickLog!$B$2:$B$1000,$B274,QuickLog!$O$2:$O$1000,$A274))</f>
        <v/>
      </c>
      <c r="I274" s="32">
        <f>IF($H274="","",$H274)</f>
        <v/>
      </c>
    </row>
    <row r="275">
      <c r="A275" s="29" t="n"/>
      <c r="B275" s="31" t="n"/>
      <c r="C275" s="31">
        <f>IF(OR($A275="",$B275=""),"",SUMIFS(QuickLog!$K$2:$K$1000,QuickLog!$B$2:$B$1000,$B275,QuickLog!$O$2:$O$1000,$A275,QuickLog!$G$2:$G$1000,"Routine"))</f>
        <v/>
      </c>
      <c r="D275" s="31">
        <f>IF(OR($A275="",$B275=""),"",SUMIFS(QuickLog!$K$2:$K$1000,QuickLog!$B$2:$B$1000,$B275,QuickLog!$O$2:$O$1000,$A275,QuickLog!$G$2:$G$1000,"&lt;&gt;Routine"))</f>
        <v/>
      </c>
      <c r="E275" s="31">
        <f>IF($C275="","",MIN($C275,Settings!$B$2))</f>
        <v/>
      </c>
      <c r="F275" s="31">
        <f>IF($C275="","",MAX(0,$C275-$E275))</f>
        <v/>
      </c>
      <c r="G275" s="31">
        <f>IF(OR($E275="",$D275=""),"", $E275+$D275)</f>
        <v/>
      </c>
      <c r="H275" s="31">
        <f>IF(OR($A275="",$B275=""),"",SUMIFS(QuickLog!$L$2:$L$1000,QuickLog!$B$2:$B$1000,$B275,QuickLog!$O$2:$O$1000,$A275))</f>
        <v/>
      </c>
      <c r="I275" s="32">
        <f>IF($H275="","",$H275)</f>
        <v/>
      </c>
    </row>
    <row r="276">
      <c r="A276" s="29" t="n"/>
      <c r="B276" s="31" t="n"/>
      <c r="C276" s="31">
        <f>IF(OR($A276="",$B276=""),"",SUMIFS(QuickLog!$K$2:$K$1000,QuickLog!$B$2:$B$1000,$B276,QuickLog!$O$2:$O$1000,$A276,QuickLog!$G$2:$G$1000,"Routine"))</f>
        <v/>
      </c>
      <c r="D276" s="31">
        <f>IF(OR($A276="",$B276=""),"",SUMIFS(QuickLog!$K$2:$K$1000,QuickLog!$B$2:$B$1000,$B276,QuickLog!$O$2:$O$1000,$A276,QuickLog!$G$2:$G$1000,"&lt;&gt;Routine"))</f>
        <v/>
      </c>
      <c r="E276" s="31">
        <f>IF($C276="","",MIN($C276,Settings!$B$2))</f>
        <v/>
      </c>
      <c r="F276" s="31">
        <f>IF($C276="","",MAX(0,$C276-$E276))</f>
        <v/>
      </c>
      <c r="G276" s="31">
        <f>IF(OR($E276="",$D276=""),"", $E276+$D276)</f>
        <v/>
      </c>
      <c r="H276" s="31">
        <f>IF(OR($A276="",$B276=""),"",SUMIFS(QuickLog!$L$2:$L$1000,QuickLog!$B$2:$B$1000,$B276,QuickLog!$O$2:$O$1000,$A276))</f>
        <v/>
      </c>
      <c r="I276" s="32">
        <f>IF($H276="","",$H276)</f>
        <v/>
      </c>
    </row>
    <row r="277">
      <c r="A277" s="29" t="n"/>
      <c r="B277" s="31" t="n"/>
      <c r="C277" s="31">
        <f>IF(OR($A277="",$B277=""),"",SUMIFS(QuickLog!$K$2:$K$1000,QuickLog!$B$2:$B$1000,$B277,QuickLog!$O$2:$O$1000,$A277,QuickLog!$G$2:$G$1000,"Routine"))</f>
        <v/>
      </c>
      <c r="D277" s="31">
        <f>IF(OR($A277="",$B277=""),"",SUMIFS(QuickLog!$K$2:$K$1000,QuickLog!$B$2:$B$1000,$B277,QuickLog!$O$2:$O$1000,$A277,QuickLog!$G$2:$G$1000,"&lt;&gt;Routine"))</f>
        <v/>
      </c>
      <c r="E277" s="31">
        <f>IF($C277="","",MIN($C277,Settings!$B$2))</f>
        <v/>
      </c>
      <c r="F277" s="31">
        <f>IF($C277="","",MAX(0,$C277-$E277))</f>
        <v/>
      </c>
      <c r="G277" s="31">
        <f>IF(OR($E277="",$D277=""),"", $E277+$D277)</f>
        <v/>
      </c>
      <c r="H277" s="31">
        <f>IF(OR($A277="",$B277=""),"",SUMIFS(QuickLog!$L$2:$L$1000,QuickLog!$B$2:$B$1000,$B277,QuickLog!$O$2:$O$1000,$A277))</f>
        <v/>
      </c>
      <c r="I277" s="32">
        <f>IF($H277="","",$H277)</f>
        <v/>
      </c>
    </row>
    <row r="278">
      <c r="A278" s="29" t="n"/>
      <c r="B278" s="31" t="n"/>
      <c r="C278" s="31">
        <f>IF(OR($A278="",$B278=""),"",SUMIFS(QuickLog!$K$2:$K$1000,QuickLog!$B$2:$B$1000,$B278,QuickLog!$O$2:$O$1000,$A278,QuickLog!$G$2:$G$1000,"Routine"))</f>
        <v/>
      </c>
      <c r="D278" s="31">
        <f>IF(OR($A278="",$B278=""),"",SUMIFS(QuickLog!$K$2:$K$1000,QuickLog!$B$2:$B$1000,$B278,QuickLog!$O$2:$O$1000,$A278,QuickLog!$G$2:$G$1000,"&lt;&gt;Routine"))</f>
        <v/>
      </c>
      <c r="E278" s="31">
        <f>IF($C278="","",MIN($C278,Settings!$B$2))</f>
        <v/>
      </c>
      <c r="F278" s="31">
        <f>IF($C278="","",MAX(0,$C278-$E278))</f>
        <v/>
      </c>
      <c r="G278" s="31">
        <f>IF(OR($E278="",$D278=""),"", $E278+$D278)</f>
        <v/>
      </c>
      <c r="H278" s="31">
        <f>IF(OR($A278="",$B278=""),"",SUMIFS(QuickLog!$L$2:$L$1000,QuickLog!$B$2:$B$1000,$B278,QuickLog!$O$2:$O$1000,$A278))</f>
        <v/>
      </c>
      <c r="I278" s="32">
        <f>IF($H278="","",$H278)</f>
        <v/>
      </c>
    </row>
    <row r="279">
      <c r="A279" s="29" t="n"/>
      <c r="B279" s="31" t="n"/>
      <c r="C279" s="31">
        <f>IF(OR($A279="",$B279=""),"",SUMIFS(QuickLog!$K$2:$K$1000,QuickLog!$B$2:$B$1000,$B279,QuickLog!$O$2:$O$1000,$A279,QuickLog!$G$2:$G$1000,"Routine"))</f>
        <v/>
      </c>
      <c r="D279" s="31">
        <f>IF(OR($A279="",$B279=""),"",SUMIFS(QuickLog!$K$2:$K$1000,QuickLog!$B$2:$B$1000,$B279,QuickLog!$O$2:$O$1000,$A279,QuickLog!$G$2:$G$1000,"&lt;&gt;Routine"))</f>
        <v/>
      </c>
      <c r="E279" s="31">
        <f>IF($C279="","",MIN($C279,Settings!$B$2))</f>
        <v/>
      </c>
      <c r="F279" s="31">
        <f>IF($C279="","",MAX(0,$C279-$E279))</f>
        <v/>
      </c>
      <c r="G279" s="31">
        <f>IF(OR($E279="",$D279=""),"", $E279+$D279)</f>
        <v/>
      </c>
      <c r="H279" s="31">
        <f>IF(OR($A279="",$B279=""),"",SUMIFS(QuickLog!$L$2:$L$1000,QuickLog!$B$2:$B$1000,$B279,QuickLog!$O$2:$O$1000,$A279))</f>
        <v/>
      </c>
      <c r="I279" s="32">
        <f>IF($H279="","",$H279)</f>
        <v/>
      </c>
    </row>
    <row r="280">
      <c r="A280" s="29" t="n"/>
      <c r="B280" s="31" t="n"/>
      <c r="C280" s="31">
        <f>IF(OR($A280="",$B280=""),"",SUMIFS(QuickLog!$K$2:$K$1000,QuickLog!$B$2:$B$1000,$B280,QuickLog!$O$2:$O$1000,$A280,QuickLog!$G$2:$G$1000,"Routine"))</f>
        <v/>
      </c>
      <c r="D280" s="31">
        <f>IF(OR($A280="",$B280=""),"",SUMIFS(QuickLog!$K$2:$K$1000,QuickLog!$B$2:$B$1000,$B280,QuickLog!$O$2:$O$1000,$A280,QuickLog!$G$2:$G$1000,"&lt;&gt;Routine"))</f>
        <v/>
      </c>
      <c r="E280" s="31">
        <f>IF($C280="","",MIN($C280,Settings!$B$2))</f>
        <v/>
      </c>
      <c r="F280" s="31">
        <f>IF($C280="","",MAX(0,$C280-$E280))</f>
        <v/>
      </c>
      <c r="G280" s="31">
        <f>IF(OR($E280="",$D280=""),"", $E280+$D280)</f>
        <v/>
      </c>
      <c r="H280" s="31">
        <f>IF(OR($A280="",$B280=""),"",SUMIFS(QuickLog!$L$2:$L$1000,QuickLog!$B$2:$B$1000,$B280,QuickLog!$O$2:$O$1000,$A280))</f>
        <v/>
      </c>
      <c r="I280" s="32">
        <f>IF($H280="","",$H280)</f>
        <v/>
      </c>
    </row>
    <row r="281">
      <c r="A281" s="29" t="n"/>
      <c r="B281" s="31" t="n"/>
      <c r="C281" s="31">
        <f>IF(OR($A281="",$B281=""),"",SUMIFS(QuickLog!$K$2:$K$1000,QuickLog!$B$2:$B$1000,$B281,QuickLog!$O$2:$O$1000,$A281,QuickLog!$G$2:$G$1000,"Routine"))</f>
        <v/>
      </c>
      <c r="D281" s="31">
        <f>IF(OR($A281="",$B281=""),"",SUMIFS(QuickLog!$K$2:$K$1000,QuickLog!$B$2:$B$1000,$B281,QuickLog!$O$2:$O$1000,$A281,QuickLog!$G$2:$G$1000,"&lt;&gt;Routine"))</f>
        <v/>
      </c>
      <c r="E281" s="31">
        <f>IF($C281="","",MIN($C281,Settings!$B$2))</f>
        <v/>
      </c>
      <c r="F281" s="31">
        <f>IF($C281="","",MAX(0,$C281-$E281))</f>
        <v/>
      </c>
      <c r="G281" s="31">
        <f>IF(OR($E281="",$D281=""),"", $E281+$D281)</f>
        <v/>
      </c>
      <c r="H281" s="31">
        <f>IF(OR($A281="",$B281=""),"",SUMIFS(QuickLog!$L$2:$L$1000,QuickLog!$B$2:$B$1000,$B281,QuickLog!$O$2:$O$1000,$A281))</f>
        <v/>
      </c>
      <c r="I281" s="32">
        <f>IF($H281="","",$H281)</f>
        <v/>
      </c>
    </row>
    <row r="282">
      <c r="A282" s="29" t="n"/>
      <c r="B282" s="31" t="n"/>
      <c r="C282" s="31">
        <f>IF(OR($A282="",$B282=""),"",SUMIFS(QuickLog!$K$2:$K$1000,QuickLog!$B$2:$B$1000,$B282,QuickLog!$O$2:$O$1000,$A282,QuickLog!$G$2:$G$1000,"Routine"))</f>
        <v/>
      </c>
      <c r="D282" s="31">
        <f>IF(OR($A282="",$B282=""),"",SUMIFS(QuickLog!$K$2:$K$1000,QuickLog!$B$2:$B$1000,$B282,QuickLog!$O$2:$O$1000,$A282,QuickLog!$G$2:$G$1000,"&lt;&gt;Routine"))</f>
        <v/>
      </c>
      <c r="E282" s="31">
        <f>IF($C282="","",MIN($C282,Settings!$B$2))</f>
        <v/>
      </c>
      <c r="F282" s="31">
        <f>IF($C282="","",MAX(0,$C282-$E282))</f>
        <v/>
      </c>
      <c r="G282" s="31">
        <f>IF(OR($E282="",$D282=""),"", $E282+$D282)</f>
        <v/>
      </c>
      <c r="H282" s="31">
        <f>IF(OR($A282="",$B282=""),"",SUMIFS(QuickLog!$L$2:$L$1000,QuickLog!$B$2:$B$1000,$B282,QuickLog!$O$2:$O$1000,$A282))</f>
        <v/>
      </c>
      <c r="I282" s="32">
        <f>IF($H282="","",$H282)</f>
        <v/>
      </c>
    </row>
    <row r="283">
      <c r="A283" s="29" t="n"/>
      <c r="B283" s="31" t="n"/>
      <c r="C283" s="31">
        <f>IF(OR($A283="",$B283=""),"",SUMIFS(QuickLog!$K$2:$K$1000,QuickLog!$B$2:$B$1000,$B283,QuickLog!$O$2:$O$1000,$A283,QuickLog!$G$2:$G$1000,"Routine"))</f>
        <v/>
      </c>
      <c r="D283" s="31">
        <f>IF(OR($A283="",$B283=""),"",SUMIFS(QuickLog!$K$2:$K$1000,QuickLog!$B$2:$B$1000,$B283,QuickLog!$O$2:$O$1000,$A283,QuickLog!$G$2:$G$1000,"&lt;&gt;Routine"))</f>
        <v/>
      </c>
      <c r="E283" s="31">
        <f>IF($C283="","",MIN($C283,Settings!$B$2))</f>
        <v/>
      </c>
      <c r="F283" s="31">
        <f>IF($C283="","",MAX(0,$C283-$E283))</f>
        <v/>
      </c>
      <c r="G283" s="31">
        <f>IF(OR($E283="",$D283=""),"", $E283+$D283)</f>
        <v/>
      </c>
      <c r="H283" s="31">
        <f>IF(OR($A283="",$B283=""),"",SUMIFS(QuickLog!$L$2:$L$1000,QuickLog!$B$2:$B$1000,$B283,QuickLog!$O$2:$O$1000,$A283))</f>
        <v/>
      </c>
      <c r="I283" s="32">
        <f>IF($H283="","",$H283)</f>
        <v/>
      </c>
    </row>
    <row r="284">
      <c r="A284" s="29" t="n"/>
      <c r="B284" s="31" t="n"/>
      <c r="C284" s="31">
        <f>IF(OR($A284="",$B284=""),"",SUMIFS(QuickLog!$K$2:$K$1000,QuickLog!$B$2:$B$1000,$B284,QuickLog!$O$2:$O$1000,$A284,QuickLog!$G$2:$G$1000,"Routine"))</f>
        <v/>
      </c>
      <c r="D284" s="31">
        <f>IF(OR($A284="",$B284=""),"",SUMIFS(QuickLog!$K$2:$K$1000,QuickLog!$B$2:$B$1000,$B284,QuickLog!$O$2:$O$1000,$A284,QuickLog!$G$2:$G$1000,"&lt;&gt;Routine"))</f>
        <v/>
      </c>
      <c r="E284" s="31">
        <f>IF($C284="","",MIN($C284,Settings!$B$2))</f>
        <v/>
      </c>
      <c r="F284" s="31">
        <f>IF($C284="","",MAX(0,$C284-$E284))</f>
        <v/>
      </c>
      <c r="G284" s="31">
        <f>IF(OR($E284="",$D284=""),"", $E284+$D284)</f>
        <v/>
      </c>
      <c r="H284" s="31">
        <f>IF(OR($A284="",$B284=""),"",SUMIFS(QuickLog!$L$2:$L$1000,QuickLog!$B$2:$B$1000,$B284,QuickLog!$O$2:$O$1000,$A284))</f>
        <v/>
      </c>
      <c r="I284" s="32">
        <f>IF($H284="","",$H284)</f>
        <v/>
      </c>
    </row>
    <row r="285">
      <c r="A285" s="29" t="n"/>
      <c r="B285" s="31" t="n"/>
      <c r="C285" s="31">
        <f>IF(OR($A285="",$B285=""),"",SUMIFS(QuickLog!$K$2:$K$1000,QuickLog!$B$2:$B$1000,$B285,QuickLog!$O$2:$O$1000,$A285,QuickLog!$G$2:$G$1000,"Routine"))</f>
        <v/>
      </c>
      <c r="D285" s="31">
        <f>IF(OR($A285="",$B285=""),"",SUMIFS(QuickLog!$K$2:$K$1000,QuickLog!$B$2:$B$1000,$B285,QuickLog!$O$2:$O$1000,$A285,QuickLog!$G$2:$G$1000,"&lt;&gt;Routine"))</f>
        <v/>
      </c>
      <c r="E285" s="31">
        <f>IF($C285="","",MIN($C285,Settings!$B$2))</f>
        <v/>
      </c>
      <c r="F285" s="31">
        <f>IF($C285="","",MAX(0,$C285-$E285))</f>
        <v/>
      </c>
      <c r="G285" s="31">
        <f>IF(OR($E285="",$D285=""),"", $E285+$D285)</f>
        <v/>
      </c>
      <c r="H285" s="31">
        <f>IF(OR($A285="",$B285=""),"",SUMIFS(QuickLog!$L$2:$L$1000,QuickLog!$B$2:$B$1000,$B285,QuickLog!$O$2:$O$1000,$A285))</f>
        <v/>
      </c>
      <c r="I285" s="32">
        <f>IF($H285="","",$H285)</f>
        <v/>
      </c>
    </row>
    <row r="286">
      <c r="A286" s="29" t="n"/>
      <c r="B286" s="31" t="n"/>
      <c r="C286" s="31">
        <f>IF(OR($A286="",$B286=""),"",SUMIFS(QuickLog!$K$2:$K$1000,QuickLog!$B$2:$B$1000,$B286,QuickLog!$O$2:$O$1000,$A286,QuickLog!$G$2:$G$1000,"Routine"))</f>
        <v/>
      </c>
      <c r="D286" s="31">
        <f>IF(OR($A286="",$B286=""),"",SUMIFS(QuickLog!$K$2:$K$1000,QuickLog!$B$2:$B$1000,$B286,QuickLog!$O$2:$O$1000,$A286,QuickLog!$G$2:$G$1000,"&lt;&gt;Routine"))</f>
        <v/>
      </c>
      <c r="E286" s="31">
        <f>IF($C286="","",MIN($C286,Settings!$B$2))</f>
        <v/>
      </c>
      <c r="F286" s="31">
        <f>IF($C286="","",MAX(0,$C286-$E286))</f>
        <v/>
      </c>
      <c r="G286" s="31">
        <f>IF(OR($E286="",$D286=""),"", $E286+$D286)</f>
        <v/>
      </c>
      <c r="H286" s="31">
        <f>IF(OR($A286="",$B286=""),"",SUMIFS(QuickLog!$L$2:$L$1000,QuickLog!$B$2:$B$1000,$B286,QuickLog!$O$2:$O$1000,$A286))</f>
        <v/>
      </c>
      <c r="I286" s="32">
        <f>IF($H286="","",$H286)</f>
        <v/>
      </c>
    </row>
    <row r="287">
      <c r="A287" s="29" t="n"/>
      <c r="B287" s="31" t="n"/>
      <c r="C287" s="31">
        <f>IF(OR($A287="",$B287=""),"",SUMIFS(QuickLog!$K$2:$K$1000,QuickLog!$B$2:$B$1000,$B287,QuickLog!$O$2:$O$1000,$A287,QuickLog!$G$2:$G$1000,"Routine"))</f>
        <v/>
      </c>
      <c r="D287" s="31">
        <f>IF(OR($A287="",$B287=""),"",SUMIFS(QuickLog!$K$2:$K$1000,QuickLog!$B$2:$B$1000,$B287,QuickLog!$O$2:$O$1000,$A287,QuickLog!$G$2:$G$1000,"&lt;&gt;Routine"))</f>
        <v/>
      </c>
      <c r="E287" s="31">
        <f>IF($C287="","",MIN($C287,Settings!$B$2))</f>
        <v/>
      </c>
      <c r="F287" s="31">
        <f>IF($C287="","",MAX(0,$C287-$E287))</f>
        <v/>
      </c>
      <c r="G287" s="31">
        <f>IF(OR($E287="",$D287=""),"", $E287+$D287)</f>
        <v/>
      </c>
      <c r="H287" s="31">
        <f>IF(OR($A287="",$B287=""),"",SUMIFS(QuickLog!$L$2:$L$1000,QuickLog!$B$2:$B$1000,$B287,QuickLog!$O$2:$O$1000,$A287))</f>
        <v/>
      </c>
      <c r="I287" s="32">
        <f>IF($H287="","",$H287)</f>
        <v/>
      </c>
    </row>
    <row r="288">
      <c r="A288" s="29" t="n"/>
      <c r="B288" s="31" t="n"/>
      <c r="C288" s="31">
        <f>IF(OR($A288="",$B288=""),"",SUMIFS(QuickLog!$K$2:$K$1000,QuickLog!$B$2:$B$1000,$B288,QuickLog!$O$2:$O$1000,$A288,QuickLog!$G$2:$G$1000,"Routine"))</f>
        <v/>
      </c>
      <c r="D288" s="31">
        <f>IF(OR($A288="",$B288=""),"",SUMIFS(QuickLog!$K$2:$K$1000,QuickLog!$B$2:$B$1000,$B288,QuickLog!$O$2:$O$1000,$A288,QuickLog!$G$2:$G$1000,"&lt;&gt;Routine"))</f>
        <v/>
      </c>
      <c r="E288" s="31">
        <f>IF($C288="","",MIN($C288,Settings!$B$2))</f>
        <v/>
      </c>
      <c r="F288" s="31">
        <f>IF($C288="","",MAX(0,$C288-$E288))</f>
        <v/>
      </c>
      <c r="G288" s="31">
        <f>IF(OR($E288="",$D288=""),"", $E288+$D288)</f>
        <v/>
      </c>
      <c r="H288" s="31">
        <f>IF(OR($A288="",$B288=""),"",SUMIFS(QuickLog!$L$2:$L$1000,QuickLog!$B$2:$B$1000,$B288,QuickLog!$O$2:$O$1000,$A288))</f>
        <v/>
      </c>
      <c r="I288" s="32">
        <f>IF($H288="","",$H288)</f>
        <v/>
      </c>
    </row>
    <row r="289">
      <c r="A289" s="29" t="n"/>
      <c r="B289" s="31" t="n"/>
      <c r="C289" s="31">
        <f>IF(OR($A289="",$B289=""),"",SUMIFS(QuickLog!$K$2:$K$1000,QuickLog!$B$2:$B$1000,$B289,QuickLog!$O$2:$O$1000,$A289,QuickLog!$G$2:$G$1000,"Routine"))</f>
        <v/>
      </c>
      <c r="D289" s="31">
        <f>IF(OR($A289="",$B289=""),"",SUMIFS(QuickLog!$K$2:$K$1000,QuickLog!$B$2:$B$1000,$B289,QuickLog!$O$2:$O$1000,$A289,QuickLog!$G$2:$G$1000,"&lt;&gt;Routine"))</f>
        <v/>
      </c>
      <c r="E289" s="31">
        <f>IF($C289="","",MIN($C289,Settings!$B$2))</f>
        <v/>
      </c>
      <c r="F289" s="31">
        <f>IF($C289="","",MAX(0,$C289-$E289))</f>
        <v/>
      </c>
      <c r="G289" s="31">
        <f>IF(OR($E289="",$D289=""),"", $E289+$D289)</f>
        <v/>
      </c>
      <c r="H289" s="31">
        <f>IF(OR($A289="",$B289=""),"",SUMIFS(QuickLog!$L$2:$L$1000,QuickLog!$B$2:$B$1000,$B289,QuickLog!$O$2:$O$1000,$A289))</f>
        <v/>
      </c>
      <c r="I289" s="32">
        <f>IF($H289="","",$H289)</f>
        <v/>
      </c>
    </row>
    <row r="290">
      <c r="A290" s="29" t="n"/>
      <c r="B290" s="31" t="n"/>
      <c r="C290" s="31">
        <f>IF(OR($A290="",$B290=""),"",SUMIFS(QuickLog!$K$2:$K$1000,QuickLog!$B$2:$B$1000,$B290,QuickLog!$O$2:$O$1000,$A290,QuickLog!$G$2:$G$1000,"Routine"))</f>
        <v/>
      </c>
      <c r="D290" s="31">
        <f>IF(OR($A290="",$B290=""),"",SUMIFS(QuickLog!$K$2:$K$1000,QuickLog!$B$2:$B$1000,$B290,QuickLog!$O$2:$O$1000,$A290,QuickLog!$G$2:$G$1000,"&lt;&gt;Routine"))</f>
        <v/>
      </c>
      <c r="E290" s="31">
        <f>IF($C290="","",MIN($C290,Settings!$B$2))</f>
        <v/>
      </c>
      <c r="F290" s="31">
        <f>IF($C290="","",MAX(0,$C290-$E290))</f>
        <v/>
      </c>
      <c r="G290" s="31">
        <f>IF(OR($E290="",$D290=""),"", $E290+$D290)</f>
        <v/>
      </c>
      <c r="H290" s="31">
        <f>IF(OR($A290="",$B290=""),"",SUMIFS(QuickLog!$L$2:$L$1000,QuickLog!$B$2:$B$1000,$B290,QuickLog!$O$2:$O$1000,$A290))</f>
        <v/>
      </c>
      <c r="I290" s="32">
        <f>IF($H290="","",$H290)</f>
        <v/>
      </c>
    </row>
    <row r="291">
      <c r="A291" s="29" t="n"/>
      <c r="B291" s="31" t="n"/>
      <c r="C291" s="31">
        <f>IF(OR($A291="",$B291=""),"",SUMIFS(QuickLog!$K$2:$K$1000,QuickLog!$B$2:$B$1000,$B291,QuickLog!$O$2:$O$1000,$A291,QuickLog!$G$2:$G$1000,"Routine"))</f>
        <v/>
      </c>
      <c r="D291" s="31">
        <f>IF(OR($A291="",$B291=""),"",SUMIFS(QuickLog!$K$2:$K$1000,QuickLog!$B$2:$B$1000,$B291,QuickLog!$O$2:$O$1000,$A291,QuickLog!$G$2:$G$1000,"&lt;&gt;Routine"))</f>
        <v/>
      </c>
      <c r="E291" s="31">
        <f>IF($C291="","",MIN($C291,Settings!$B$2))</f>
        <v/>
      </c>
      <c r="F291" s="31">
        <f>IF($C291="","",MAX(0,$C291-$E291))</f>
        <v/>
      </c>
      <c r="G291" s="31">
        <f>IF(OR($E291="",$D291=""),"", $E291+$D291)</f>
        <v/>
      </c>
      <c r="H291" s="31">
        <f>IF(OR($A291="",$B291=""),"",SUMIFS(QuickLog!$L$2:$L$1000,QuickLog!$B$2:$B$1000,$B291,QuickLog!$O$2:$O$1000,$A291))</f>
        <v/>
      </c>
      <c r="I291" s="32">
        <f>IF($H291="","",$H291)</f>
        <v/>
      </c>
    </row>
    <row r="292">
      <c r="A292" s="29" t="n"/>
      <c r="B292" s="31" t="n"/>
      <c r="C292" s="31">
        <f>IF(OR($A292="",$B292=""),"",SUMIFS(QuickLog!$K$2:$K$1000,QuickLog!$B$2:$B$1000,$B292,QuickLog!$O$2:$O$1000,$A292,QuickLog!$G$2:$G$1000,"Routine"))</f>
        <v/>
      </c>
      <c r="D292" s="31">
        <f>IF(OR($A292="",$B292=""),"",SUMIFS(QuickLog!$K$2:$K$1000,QuickLog!$B$2:$B$1000,$B292,QuickLog!$O$2:$O$1000,$A292,QuickLog!$G$2:$G$1000,"&lt;&gt;Routine"))</f>
        <v/>
      </c>
      <c r="E292" s="31">
        <f>IF($C292="","",MIN($C292,Settings!$B$2))</f>
        <v/>
      </c>
      <c r="F292" s="31">
        <f>IF($C292="","",MAX(0,$C292-$E292))</f>
        <v/>
      </c>
      <c r="G292" s="31">
        <f>IF(OR($E292="",$D292=""),"", $E292+$D292)</f>
        <v/>
      </c>
      <c r="H292" s="31">
        <f>IF(OR($A292="",$B292=""),"",SUMIFS(QuickLog!$L$2:$L$1000,QuickLog!$B$2:$B$1000,$B292,QuickLog!$O$2:$O$1000,$A292))</f>
        <v/>
      </c>
      <c r="I292" s="32">
        <f>IF($H292="","",$H292)</f>
        <v/>
      </c>
    </row>
    <row r="293">
      <c r="A293" s="29" t="n"/>
      <c r="B293" s="31" t="n"/>
      <c r="C293" s="31">
        <f>IF(OR($A293="",$B293=""),"",SUMIFS(QuickLog!$K$2:$K$1000,QuickLog!$B$2:$B$1000,$B293,QuickLog!$O$2:$O$1000,$A293,QuickLog!$G$2:$G$1000,"Routine"))</f>
        <v/>
      </c>
      <c r="D293" s="31">
        <f>IF(OR($A293="",$B293=""),"",SUMIFS(QuickLog!$K$2:$K$1000,QuickLog!$B$2:$B$1000,$B293,QuickLog!$O$2:$O$1000,$A293,QuickLog!$G$2:$G$1000,"&lt;&gt;Routine"))</f>
        <v/>
      </c>
      <c r="E293" s="31">
        <f>IF($C293="","",MIN($C293,Settings!$B$2))</f>
        <v/>
      </c>
      <c r="F293" s="31">
        <f>IF($C293="","",MAX(0,$C293-$E293))</f>
        <v/>
      </c>
      <c r="G293" s="31">
        <f>IF(OR($E293="",$D293=""),"", $E293+$D293)</f>
        <v/>
      </c>
      <c r="H293" s="31">
        <f>IF(OR($A293="",$B293=""),"",SUMIFS(QuickLog!$L$2:$L$1000,QuickLog!$B$2:$B$1000,$B293,QuickLog!$O$2:$O$1000,$A293))</f>
        <v/>
      </c>
      <c r="I293" s="32">
        <f>IF($H293="","",$H293)</f>
        <v/>
      </c>
    </row>
    <row r="294">
      <c r="A294" s="29" t="n"/>
      <c r="B294" s="31" t="n"/>
      <c r="C294" s="31">
        <f>IF(OR($A294="",$B294=""),"",SUMIFS(QuickLog!$K$2:$K$1000,QuickLog!$B$2:$B$1000,$B294,QuickLog!$O$2:$O$1000,$A294,QuickLog!$G$2:$G$1000,"Routine"))</f>
        <v/>
      </c>
      <c r="D294" s="31">
        <f>IF(OR($A294="",$B294=""),"",SUMIFS(QuickLog!$K$2:$K$1000,QuickLog!$B$2:$B$1000,$B294,QuickLog!$O$2:$O$1000,$A294,QuickLog!$G$2:$G$1000,"&lt;&gt;Routine"))</f>
        <v/>
      </c>
      <c r="E294" s="31">
        <f>IF($C294="","",MIN($C294,Settings!$B$2))</f>
        <v/>
      </c>
      <c r="F294" s="31">
        <f>IF($C294="","",MAX(0,$C294-$E294))</f>
        <v/>
      </c>
      <c r="G294" s="31">
        <f>IF(OR($E294="",$D294=""),"", $E294+$D294)</f>
        <v/>
      </c>
      <c r="H294" s="31">
        <f>IF(OR($A294="",$B294=""),"",SUMIFS(QuickLog!$L$2:$L$1000,QuickLog!$B$2:$B$1000,$B294,QuickLog!$O$2:$O$1000,$A294))</f>
        <v/>
      </c>
      <c r="I294" s="32">
        <f>IF($H294="","",$H294)</f>
        <v/>
      </c>
    </row>
    <row r="295">
      <c r="A295" s="29" t="n"/>
      <c r="B295" s="31" t="n"/>
      <c r="C295" s="31">
        <f>IF(OR($A295="",$B295=""),"",SUMIFS(QuickLog!$K$2:$K$1000,QuickLog!$B$2:$B$1000,$B295,QuickLog!$O$2:$O$1000,$A295,QuickLog!$G$2:$G$1000,"Routine"))</f>
        <v/>
      </c>
      <c r="D295" s="31">
        <f>IF(OR($A295="",$B295=""),"",SUMIFS(QuickLog!$K$2:$K$1000,QuickLog!$B$2:$B$1000,$B295,QuickLog!$O$2:$O$1000,$A295,QuickLog!$G$2:$G$1000,"&lt;&gt;Routine"))</f>
        <v/>
      </c>
      <c r="E295" s="31">
        <f>IF($C295="","",MIN($C295,Settings!$B$2))</f>
        <v/>
      </c>
      <c r="F295" s="31">
        <f>IF($C295="","",MAX(0,$C295-$E295))</f>
        <v/>
      </c>
      <c r="G295" s="31">
        <f>IF(OR($E295="",$D295=""),"", $E295+$D295)</f>
        <v/>
      </c>
      <c r="H295" s="31">
        <f>IF(OR($A295="",$B295=""),"",SUMIFS(QuickLog!$L$2:$L$1000,QuickLog!$B$2:$B$1000,$B295,QuickLog!$O$2:$O$1000,$A295))</f>
        <v/>
      </c>
      <c r="I295" s="32">
        <f>IF($H295="","",$H295)</f>
        <v/>
      </c>
    </row>
    <row r="296">
      <c r="A296" s="29" t="n"/>
      <c r="B296" s="31" t="n"/>
      <c r="C296" s="31">
        <f>IF(OR($A296="",$B296=""),"",SUMIFS(QuickLog!$K$2:$K$1000,QuickLog!$B$2:$B$1000,$B296,QuickLog!$O$2:$O$1000,$A296,QuickLog!$G$2:$G$1000,"Routine"))</f>
        <v/>
      </c>
      <c r="D296" s="31">
        <f>IF(OR($A296="",$B296=""),"",SUMIFS(QuickLog!$K$2:$K$1000,QuickLog!$B$2:$B$1000,$B296,QuickLog!$O$2:$O$1000,$A296,QuickLog!$G$2:$G$1000,"&lt;&gt;Routine"))</f>
        <v/>
      </c>
      <c r="E296" s="31">
        <f>IF($C296="","",MIN($C296,Settings!$B$2))</f>
        <v/>
      </c>
      <c r="F296" s="31">
        <f>IF($C296="","",MAX(0,$C296-$E296))</f>
        <v/>
      </c>
      <c r="G296" s="31">
        <f>IF(OR($E296="",$D296=""),"", $E296+$D296)</f>
        <v/>
      </c>
      <c r="H296" s="31">
        <f>IF(OR($A296="",$B296=""),"",SUMIFS(QuickLog!$L$2:$L$1000,QuickLog!$B$2:$B$1000,$B296,QuickLog!$O$2:$O$1000,$A296))</f>
        <v/>
      </c>
      <c r="I296" s="32">
        <f>IF($H296="","",$H296)</f>
        <v/>
      </c>
    </row>
    <row r="297">
      <c r="A297" s="29" t="n"/>
      <c r="B297" s="31" t="n"/>
      <c r="C297" s="31">
        <f>IF(OR($A297="",$B297=""),"",SUMIFS(QuickLog!$K$2:$K$1000,QuickLog!$B$2:$B$1000,$B297,QuickLog!$O$2:$O$1000,$A297,QuickLog!$G$2:$G$1000,"Routine"))</f>
        <v/>
      </c>
      <c r="D297" s="31">
        <f>IF(OR($A297="",$B297=""),"",SUMIFS(QuickLog!$K$2:$K$1000,QuickLog!$B$2:$B$1000,$B297,QuickLog!$O$2:$O$1000,$A297,QuickLog!$G$2:$G$1000,"&lt;&gt;Routine"))</f>
        <v/>
      </c>
      <c r="E297" s="31">
        <f>IF($C297="","",MIN($C297,Settings!$B$2))</f>
        <v/>
      </c>
      <c r="F297" s="31">
        <f>IF($C297="","",MAX(0,$C297-$E297))</f>
        <v/>
      </c>
      <c r="G297" s="31">
        <f>IF(OR($E297="",$D297=""),"", $E297+$D297)</f>
        <v/>
      </c>
      <c r="H297" s="31">
        <f>IF(OR($A297="",$B297=""),"",SUMIFS(QuickLog!$L$2:$L$1000,QuickLog!$B$2:$B$1000,$B297,QuickLog!$O$2:$O$1000,$A297))</f>
        <v/>
      </c>
      <c r="I297" s="32">
        <f>IF($H297="","",$H297)</f>
        <v/>
      </c>
    </row>
    <row r="298">
      <c r="A298" s="29" t="n"/>
      <c r="B298" s="31" t="n"/>
      <c r="C298" s="31">
        <f>IF(OR($A298="",$B298=""),"",SUMIFS(QuickLog!$K$2:$K$1000,QuickLog!$B$2:$B$1000,$B298,QuickLog!$O$2:$O$1000,$A298,QuickLog!$G$2:$G$1000,"Routine"))</f>
        <v/>
      </c>
      <c r="D298" s="31">
        <f>IF(OR($A298="",$B298=""),"",SUMIFS(QuickLog!$K$2:$K$1000,QuickLog!$B$2:$B$1000,$B298,QuickLog!$O$2:$O$1000,$A298,QuickLog!$G$2:$G$1000,"&lt;&gt;Routine"))</f>
        <v/>
      </c>
      <c r="E298" s="31">
        <f>IF($C298="","",MIN($C298,Settings!$B$2))</f>
        <v/>
      </c>
      <c r="F298" s="31">
        <f>IF($C298="","",MAX(0,$C298-$E298))</f>
        <v/>
      </c>
      <c r="G298" s="31">
        <f>IF(OR($E298="",$D298=""),"", $E298+$D298)</f>
        <v/>
      </c>
      <c r="H298" s="31">
        <f>IF(OR($A298="",$B298=""),"",SUMIFS(QuickLog!$L$2:$L$1000,QuickLog!$B$2:$B$1000,$B298,QuickLog!$O$2:$O$1000,$A298))</f>
        <v/>
      </c>
      <c r="I298" s="32">
        <f>IF($H298="","",$H298)</f>
        <v/>
      </c>
    </row>
    <row r="299">
      <c r="A299" s="29" t="n"/>
      <c r="B299" s="31" t="n"/>
      <c r="C299" s="31">
        <f>IF(OR($A299="",$B299=""),"",SUMIFS(QuickLog!$K$2:$K$1000,QuickLog!$B$2:$B$1000,$B299,QuickLog!$O$2:$O$1000,$A299,QuickLog!$G$2:$G$1000,"Routine"))</f>
        <v/>
      </c>
      <c r="D299" s="31">
        <f>IF(OR($A299="",$B299=""),"",SUMIFS(QuickLog!$K$2:$K$1000,QuickLog!$B$2:$B$1000,$B299,QuickLog!$O$2:$O$1000,$A299,QuickLog!$G$2:$G$1000,"&lt;&gt;Routine"))</f>
        <v/>
      </c>
      <c r="E299" s="31">
        <f>IF($C299="","",MIN($C299,Settings!$B$2))</f>
        <v/>
      </c>
      <c r="F299" s="31">
        <f>IF($C299="","",MAX(0,$C299-$E299))</f>
        <v/>
      </c>
      <c r="G299" s="31">
        <f>IF(OR($E299="",$D299=""),"", $E299+$D299)</f>
        <v/>
      </c>
      <c r="H299" s="31">
        <f>IF(OR($A299="",$B299=""),"",SUMIFS(QuickLog!$L$2:$L$1000,QuickLog!$B$2:$B$1000,$B299,QuickLog!$O$2:$O$1000,$A299))</f>
        <v/>
      </c>
      <c r="I299" s="32">
        <f>IF($H299="","",$H299)</f>
        <v/>
      </c>
    </row>
    <row r="300">
      <c r="A300" s="29" t="n"/>
      <c r="B300" s="31" t="n"/>
      <c r="C300" s="31">
        <f>IF(OR($A300="",$B300=""),"",SUMIFS(QuickLog!$K$2:$K$1000,QuickLog!$B$2:$B$1000,$B300,QuickLog!$O$2:$O$1000,$A300,QuickLog!$G$2:$G$1000,"Routine"))</f>
        <v/>
      </c>
      <c r="D300" s="31">
        <f>IF(OR($A300="",$B300=""),"",SUMIFS(QuickLog!$K$2:$K$1000,QuickLog!$B$2:$B$1000,$B300,QuickLog!$O$2:$O$1000,$A300,QuickLog!$G$2:$G$1000,"&lt;&gt;Routine"))</f>
        <v/>
      </c>
      <c r="E300" s="31">
        <f>IF($C300="","",MIN($C300,Settings!$B$2))</f>
        <v/>
      </c>
      <c r="F300" s="31">
        <f>IF($C300="","",MAX(0,$C300-$E300))</f>
        <v/>
      </c>
      <c r="G300" s="31">
        <f>IF(OR($E300="",$D300=""),"", $E300+$D300)</f>
        <v/>
      </c>
      <c r="H300" s="31">
        <f>IF(OR($A300="",$B300=""),"",SUMIFS(QuickLog!$L$2:$L$1000,QuickLog!$B$2:$B$1000,$B300,QuickLog!$O$2:$O$1000,$A300))</f>
        <v/>
      </c>
      <c r="I300" s="32">
        <f>IF($H300="","",$H300)</f>
        <v/>
      </c>
    </row>
    <row r="301">
      <c r="A301" s="29" t="n"/>
      <c r="B301" s="31" t="n"/>
      <c r="C301" s="31">
        <f>IF(OR($A301="",$B301=""),"",SUMIFS(QuickLog!$K$2:$K$1000,QuickLog!$B$2:$B$1000,$B301,QuickLog!$O$2:$O$1000,$A301,QuickLog!$G$2:$G$1000,"Routine"))</f>
        <v/>
      </c>
      <c r="D301" s="31">
        <f>IF(OR($A301="",$B301=""),"",SUMIFS(QuickLog!$K$2:$K$1000,QuickLog!$B$2:$B$1000,$B301,QuickLog!$O$2:$O$1000,$A301,QuickLog!$G$2:$G$1000,"&lt;&gt;Routine"))</f>
        <v/>
      </c>
      <c r="E301" s="31">
        <f>IF($C301="","",MIN($C301,Settings!$B$2))</f>
        <v/>
      </c>
      <c r="F301" s="31">
        <f>IF($C301="","",MAX(0,$C301-$E301))</f>
        <v/>
      </c>
      <c r="G301" s="31">
        <f>IF(OR($E301="",$D301=""),"", $E301+$D301)</f>
        <v/>
      </c>
      <c r="H301" s="31">
        <f>IF(OR($A301="",$B301=""),"",SUMIFS(QuickLog!$L$2:$L$1000,QuickLog!$B$2:$B$1000,$B301,QuickLog!$O$2:$O$1000,$A301))</f>
        <v/>
      </c>
      <c r="I301" s="32">
        <f>IF($H301="","",$H301)</f>
        <v/>
      </c>
    </row>
    <row r="302">
      <c r="A302" s="29" t="n"/>
      <c r="B302" s="31" t="n"/>
      <c r="C302" s="31">
        <f>IF(OR($A302="",$B302=""),"",SUMIFS(QuickLog!$K$2:$K$1000,QuickLog!$B$2:$B$1000,$B302,QuickLog!$O$2:$O$1000,$A302,QuickLog!$G$2:$G$1000,"Routine"))</f>
        <v/>
      </c>
      <c r="D302" s="31">
        <f>IF(OR($A302="",$B302=""),"",SUMIFS(QuickLog!$K$2:$K$1000,QuickLog!$B$2:$B$1000,$B302,QuickLog!$O$2:$O$1000,$A302,QuickLog!$G$2:$G$1000,"&lt;&gt;Routine"))</f>
        <v/>
      </c>
      <c r="E302" s="31">
        <f>IF($C302="","",MIN($C302,Settings!$B$2))</f>
        <v/>
      </c>
      <c r="F302" s="31">
        <f>IF($C302="","",MAX(0,$C302-$E302))</f>
        <v/>
      </c>
      <c r="G302" s="31">
        <f>IF(OR($E302="",$D302=""),"", $E302+$D302)</f>
        <v/>
      </c>
      <c r="H302" s="31">
        <f>IF(OR($A302="",$B302=""),"",SUMIFS(QuickLog!$L$2:$L$1000,QuickLog!$B$2:$B$1000,$B302,QuickLog!$O$2:$O$1000,$A302))</f>
        <v/>
      </c>
      <c r="I302" s="32">
        <f>IF($H302="","",$H302)</f>
        <v/>
      </c>
    </row>
    <row r="303">
      <c r="A303" s="29" t="n"/>
      <c r="B303" s="31" t="n"/>
      <c r="C303" s="31">
        <f>IF(OR($A303="",$B303=""),"",SUMIFS(QuickLog!$K$2:$K$1000,QuickLog!$B$2:$B$1000,$B303,QuickLog!$O$2:$O$1000,$A303,QuickLog!$G$2:$G$1000,"Routine"))</f>
        <v/>
      </c>
      <c r="D303" s="31">
        <f>IF(OR($A303="",$B303=""),"",SUMIFS(QuickLog!$K$2:$K$1000,QuickLog!$B$2:$B$1000,$B303,QuickLog!$O$2:$O$1000,$A303,QuickLog!$G$2:$G$1000,"&lt;&gt;Routine"))</f>
        <v/>
      </c>
      <c r="E303" s="31">
        <f>IF($C303="","",MIN($C303,Settings!$B$2))</f>
        <v/>
      </c>
      <c r="F303" s="31">
        <f>IF($C303="","",MAX(0,$C303-$E303))</f>
        <v/>
      </c>
      <c r="G303" s="31">
        <f>IF(OR($E303="",$D303=""),"", $E303+$D303)</f>
        <v/>
      </c>
      <c r="H303" s="31">
        <f>IF(OR($A303="",$B303=""),"",SUMIFS(QuickLog!$L$2:$L$1000,QuickLog!$B$2:$B$1000,$B303,QuickLog!$O$2:$O$1000,$A303))</f>
        <v/>
      </c>
      <c r="I303" s="32">
        <f>IF($H303="","",$H303)</f>
        <v/>
      </c>
    </row>
    <row r="304">
      <c r="A304" s="29" t="n"/>
      <c r="B304" s="31" t="n"/>
      <c r="C304" s="31">
        <f>IF(OR($A304="",$B304=""),"",SUMIFS(QuickLog!$K$2:$K$1000,QuickLog!$B$2:$B$1000,$B304,QuickLog!$O$2:$O$1000,$A304,QuickLog!$G$2:$G$1000,"Routine"))</f>
        <v/>
      </c>
      <c r="D304" s="31">
        <f>IF(OR($A304="",$B304=""),"",SUMIFS(QuickLog!$K$2:$K$1000,QuickLog!$B$2:$B$1000,$B304,QuickLog!$O$2:$O$1000,$A304,QuickLog!$G$2:$G$1000,"&lt;&gt;Routine"))</f>
        <v/>
      </c>
      <c r="E304" s="31">
        <f>IF($C304="","",MIN($C304,Settings!$B$2))</f>
        <v/>
      </c>
      <c r="F304" s="31">
        <f>IF($C304="","",MAX(0,$C304-$E304))</f>
        <v/>
      </c>
      <c r="G304" s="31">
        <f>IF(OR($E304="",$D304=""),"", $E304+$D304)</f>
        <v/>
      </c>
      <c r="H304" s="31">
        <f>IF(OR($A304="",$B304=""),"",SUMIFS(QuickLog!$L$2:$L$1000,QuickLog!$B$2:$B$1000,$B304,QuickLog!$O$2:$O$1000,$A304))</f>
        <v/>
      </c>
      <c r="I304" s="32">
        <f>IF($H304="","",$H304)</f>
        <v/>
      </c>
    </row>
    <row r="305">
      <c r="A305" s="29" t="n"/>
      <c r="B305" s="31" t="n"/>
      <c r="C305" s="31">
        <f>IF(OR($A305="",$B305=""),"",SUMIFS(QuickLog!$K$2:$K$1000,QuickLog!$B$2:$B$1000,$B305,QuickLog!$O$2:$O$1000,$A305,QuickLog!$G$2:$G$1000,"Routine"))</f>
        <v/>
      </c>
      <c r="D305" s="31">
        <f>IF(OR($A305="",$B305=""),"",SUMIFS(QuickLog!$K$2:$K$1000,QuickLog!$B$2:$B$1000,$B305,QuickLog!$O$2:$O$1000,$A305,QuickLog!$G$2:$G$1000,"&lt;&gt;Routine"))</f>
        <v/>
      </c>
      <c r="E305" s="31">
        <f>IF($C305="","",MIN($C305,Settings!$B$2))</f>
        <v/>
      </c>
      <c r="F305" s="31">
        <f>IF($C305="","",MAX(0,$C305-$E305))</f>
        <v/>
      </c>
      <c r="G305" s="31">
        <f>IF(OR($E305="",$D305=""),"", $E305+$D305)</f>
        <v/>
      </c>
      <c r="H305" s="31">
        <f>IF(OR($A305="",$B305=""),"",SUMIFS(QuickLog!$L$2:$L$1000,QuickLog!$B$2:$B$1000,$B305,QuickLog!$O$2:$O$1000,$A305))</f>
        <v/>
      </c>
      <c r="I305" s="32">
        <f>IF($H305="","",$H305)</f>
        <v/>
      </c>
    </row>
    <row r="306">
      <c r="A306" s="29" t="n"/>
      <c r="B306" s="31" t="n"/>
      <c r="C306" s="31">
        <f>IF(OR($A306="",$B306=""),"",SUMIFS(QuickLog!$K$2:$K$1000,QuickLog!$B$2:$B$1000,$B306,QuickLog!$O$2:$O$1000,$A306,QuickLog!$G$2:$G$1000,"Routine"))</f>
        <v/>
      </c>
      <c r="D306" s="31">
        <f>IF(OR($A306="",$B306=""),"",SUMIFS(QuickLog!$K$2:$K$1000,QuickLog!$B$2:$B$1000,$B306,QuickLog!$O$2:$O$1000,$A306,QuickLog!$G$2:$G$1000,"&lt;&gt;Routine"))</f>
        <v/>
      </c>
      <c r="E306" s="31">
        <f>IF($C306="","",MIN($C306,Settings!$B$2))</f>
        <v/>
      </c>
      <c r="F306" s="31">
        <f>IF($C306="","",MAX(0,$C306-$E306))</f>
        <v/>
      </c>
      <c r="G306" s="31">
        <f>IF(OR($E306="",$D306=""),"", $E306+$D306)</f>
        <v/>
      </c>
      <c r="H306" s="31">
        <f>IF(OR($A306="",$B306=""),"",SUMIFS(QuickLog!$L$2:$L$1000,QuickLog!$B$2:$B$1000,$B306,QuickLog!$O$2:$O$1000,$A306))</f>
        <v/>
      </c>
      <c r="I306" s="32">
        <f>IF($H306="","",$H306)</f>
        <v/>
      </c>
    </row>
    <row r="307">
      <c r="A307" s="29" t="n"/>
      <c r="B307" s="31" t="n"/>
      <c r="C307" s="31">
        <f>IF(OR($A307="",$B307=""),"",SUMIFS(QuickLog!$K$2:$K$1000,QuickLog!$B$2:$B$1000,$B307,QuickLog!$O$2:$O$1000,$A307,QuickLog!$G$2:$G$1000,"Routine"))</f>
        <v/>
      </c>
      <c r="D307" s="31">
        <f>IF(OR($A307="",$B307=""),"",SUMIFS(QuickLog!$K$2:$K$1000,QuickLog!$B$2:$B$1000,$B307,QuickLog!$O$2:$O$1000,$A307,QuickLog!$G$2:$G$1000,"&lt;&gt;Routine"))</f>
        <v/>
      </c>
      <c r="E307" s="31">
        <f>IF($C307="","",MIN($C307,Settings!$B$2))</f>
        <v/>
      </c>
      <c r="F307" s="31">
        <f>IF($C307="","",MAX(0,$C307-$E307))</f>
        <v/>
      </c>
      <c r="G307" s="31">
        <f>IF(OR($E307="",$D307=""),"", $E307+$D307)</f>
        <v/>
      </c>
      <c r="H307" s="31">
        <f>IF(OR($A307="",$B307=""),"",SUMIFS(QuickLog!$L$2:$L$1000,QuickLog!$B$2:$B$1000,$B307,QuickLog!$O$2:$O$1000,$A307))</f>
        <v/>
      </c>
      <c r="I307" s="32">
        <f>IF($H307="","",$H307)</f>
        <v/>
      </c>
    </row>
    <row r="308">
      <c r="A308" s="29" t="n"/>
      <c r="B308" s="31" t="n"/>
      <c r="C308" s="31">
        <f>IF(OR($A308="",$B308=""),"",SUMIFS(QuickLog!$K$2:$K$1000,QuickLog!$B$2:$B$1000,$B308,QuickLog!$O$2:$O$1000,$A308,QuickLog!$G$2:$G$1000,"Routine"))</f>
        <v/>
      </c>
      <c r="D308" s="31">
        <f>IF(OR($A308="",$B308=""),"",SUMIFS(QuickLog!$K$2:$K$1000,QuickLog!$B$2:$B$1000,$B308,QuickLog!$O$2:$O$1000,$A308,QuickLog!$G$2:$G$1000,"&lt;&gt;Routine"))</f>
        <v/>
      </c>
      <c r="E308" s="31">
        <f>IF($C308="","",MIN($C308,Settings!$B$2))</f>
        <v/>
      </c>
      <c r="F308" s="31">
        <f>IF($C308="","",MAX(0,$C308-$E308))</f>
        <v/>
      </c>
      <c r="G308" s="31">
        <f>IF(OR($E308="",$D308=""),"", $E308+$D308)</f>
        <v/>
      </c>
      <c r="H308" s="31">
        <f>IF(OR($A308="",$B308=""),"",SUMIFS(QuickLog!$L$2:$L$1000,QuickLog!$B$2:$B$1000,$B308,QuickLog!$O$2:$O$1000,$A308))</f>
        <v/>
      </c>
      <c r="I308" s="32">
        <f>IF($H308="","",$H308)</f>
        <v/>
      </c>
    </row>
    <row r="309">
      <c r="A309" s="29" t="n"/>
      <c r="B309" s="31" t="n"/>
      <c r="C309" s="31">
        <f>IF(OR($A309="",$B309=""),"",SUMIFS(QuickLog!$K$2:$K$1000,QuickLog!$B$2:$B$1000,$B309,QuickLog!$O$2:$O$1000,$A309,QuickLog!$G$2:$G$1000,"Routine"))</f>
        <v/>
      </c>
      <c r="D309" s="31">
        <f>IF(OR($A309="",$B309=""),"",SUMIFS(QuickLog!$K$2:$K$1000,QuickLog!$B$2:$B$1000,$B309,QuickLog!$O$2:$O$1000,$A309,QuickLog!$G$2:$G$1000,"&lt;&gt;Routine"))</f>
        <v/>
      </c>
      <c r="E309" s="31">
        <f>IF($C309="","",MIN($C309,Settings!$B$2))</f>
        <v/>
      </c>
      <c r="F309" s="31">
        <f>IF($C309="","",MAX(0,$C309-$E309))</f>
        <v/>
      </c>
      <c r="G309" s="31">
        <f>IF(OR($E309="",$D309=""),"", $E309+$D309)</f>
        <v/>
      </c>
      <c r="H309" s="31">
        <f>IF(OR($A309="",$B309=""),"",SUMIFS(QuickLog!$L$2:$L$1000,QuickLog!$B$2:$B$1000,$B309,QuickLog!$O$2:$O$1000,$A309))</f>
        <v/>
      </c>
      <c r="I309" s="32">
        <f>IF($H309="","",$H309)</f>
        <v/>
      </c>
    </row>
    <row r="310">
      <c r="A310" s="29" t="n"/>
      <c r="B310" s="31" t="n"/>
      <c r="C310" s="31">
        <f>IF(OR($A310="",$B310=""),"",SUMIFS(QuickLog!$K$2:$K$1000,QuickLog!$B$2:$B$1000,$B310,QuickLog!$O$2:$O$1000,$A310,QuickLog!$G$2:$G$1000,"Routine"))</f>
        <v/>
      </c>
      <c r="D310" s="31">
        <f>IF(OR($A310="",$B310=""),"",SUMIFS(QuickLog!$K$2:$K$1000,QuickLog!$B$2:$B$1000,$B310,QuickLog!$O$2:$O$1000,$A310,QuickLog!$G$2:$G$1000,"&lt;&gt;Routine"))</f>
        <v/>
      </c>
      <c r="E310" s="31">
        <f>IF($C310="","",MIN($C310,Settings!$B$2))</f>
        <v/>
      </c>
      <c r="F310" s="31">
        <f>IF($C310="","",MAX(0,$C310-$E310))</f>
        <v/>
      </c>
      <c r="G310" s="31">
        <f>IF(OR($E310="",$D310=""),"", $E310+$D310)</f>
        <v/>
      </c>
      <c r="H310" s="31">
        <f>IF(OR($A310="",$B310=""),"",SUMIFS(QuickLog!$L$2:$L$1000,QuickLog!$B$2:$B$1000,$B310,QuickLog!$O$2:$O$1000,$A310))</f>
        <v/>
      </c>
      <c r="I310" s="32">
        <f>IF($H310="","",$H310)</f>
        <v/>
      </c>
    </row>
    <row r="311">
      <c r="A311" s="29" t="n"/>
      <c r="B311" s="31" t="n"/>
      <c r="C311" s="31">
        <f>IF(OR($A311="",$B311=""),"",SUMIFS(QuickLog!$K$2:$K$1000,QuickLog!$B$2:$B$1000,$B311,QuickLog!$O$2:$O$1000,$A311,QuickLog!$G$2:$G$1000,"Routine"))</f>
        <v/>
      </c>
      <c r="D311" s="31">
        <f>IF(OR($A311="",$B311=""),"",SUMIFS(QuickLog!$K$2:$K$1000,QuickLog!$B$2:$B$1000,$B311,QuickLog!$O$2:$O$1000,$A311,QuickLog!$G$2:$G$1000,"&lt;&gt;Routine"))</f>
        <v/>
      </c>
      <c r="E311" s="31">
        <f>IF($C311="","",MIN($C311,Settings!$B$2))</f>
        <v/>
      </c>
      <c r="F311" s="31">
        <f>IF($C311="","",MAX(0,$C311-$E311))</f>
        <v/>
      </c>
      <c r="G311" s="31">
        <f>IF(OR($E311="",$D311=""),"", $E311+$D311)</f>
        <v/>
      </c>
      <c r="H311" s="31">
        <f>IF(OR($A311="",$B311=""),"",SUMIFS(QuickLog!$L$2:$L$1000,QuickLog!$B$2:$B$1000,$B311,QuickLog!$O$2:$O$1000,$A311))</f>
        <v/>
      </c>
      <c r="I311" s="32">
        <f>IF($H311="","",$H311)</f>
        <v/>
      </c>
    </row>
    <row r="312">
      <c r="A312" s="29" t="n"/>
      <c r="B312" s="31" t="n"/>
      <c r="C312" s="31">
        <f>IF(OR($A312="",$B312=""),"",SUMIFS(QuickLog!$K$2:$K$1000,QuickLog!$B$2:$B$1000,$B312,QuickLog!$O$2:$O$1000,$A312,QuickLog!$G$2:$G$1000,"Routine"))</f>
        <v/>
      </c>
      <c r="D312" s="31">
        <f>IF(OR($A312="",$B312=""),"",SUMIFS(QuickLog!$K$2:$K$1000,QuickLog!$B$2:$B$1000,$B312,QuickLog!$O$2:$O$1000,$A312,QuickLog!$G$2:$G$1000,"&lt;&gt;Routine"))</f>
        <v/>
      </c>
      <c r="E312" s="31">
        <f>IF($C312="","",MIN($C312,Settings!$B$2))</f>
        <v/>
      </c>
      <c r="F312" s="31">
        <f>IF($C312="","",MAX(0,$C312-$E312))</f>
        <v/>
      </c>
      <c r="G312" s="31">
        <f>IF(OR($E312="",$D312=""),"", $E312+$D312)</f>
        <v/>
      </c>
      <c r="H312" s="31">
        <f>IF(OR($A312="",$B312=""),"",SUMIFS(QuickLog!$L$2:$L$1000,QuickLog!$B$2:$B$1000,$B312,QuickLog!$O$2:$O$1000,$A312))</f>
        <v/>
      </c>
      <c r="I312" s="32">
        <f>IF($H312="","",$H312)</f>
        <v/>
      </c>
    </row>
    <row r="313">
      <c r="A313" s="29" t="n"/>
      <c r="B313" s="31" t="n"/>
      <c r="C313" s="31">
        <f>IF(OR($A313="",$B313=""),"",SUMIFS(QuickLog!$K$2:$K$1000,QuickLog!$B$2:$B$1000,$B313,QuickLog!$O$2:$O$1000,$A313,QuickLog!$G$2:$G$1000,"Routine"))</f>
        <v/>
      </c>
      <c r="D313" s="31">
        <f>IF(OR($A313="",$B313=""),"",SUMIFS(QuickLog!$K$2:$K$1000,QuickLog!$B$2:$B$1000,$B313,QuickLog!$O$2:$O$1000,$A313,QuickLog!$G$2:$G$1000,"&lt;&gt;Routine"))</f>
        <v/>
      </c>
      <c r="E313" s="31">
        <f>IF($C313="","",MIN($C313,Settings!$B$2))</f>
        <v/>
      </c>
      <c r="F313" s="31">
        <f>IF($C313="","",MAX(0,$C313-$E313))</f>
        <v/>
      </c>
      <c r="G313" s="31">
        <f>IF(OR($E313="",$D313=""),"", $E313+$D313)</f>
        <v/>
      </c>
      <c r="H313" s="31">
        <f>IF(OR($A313="",$B313=""),"",SUMIFS(QuickLog!$L$2:$L$1000,QuickLog!$B$2:$B$1000,$B313,QuickLog!$O$2:$O$1000,$A313))</f>
        <v/>
      </c>
      <c r="I313" s="32">
        <f>IF($H313="","",$H313)</f>
        <v/>
      </c>
    </row>
    <row r="314">
      <c r="A314" s="29" t="n"/>
      <c r="B314" s="31" t="n"/>
      <c r="C314" s="31">
        <f>IF(OR($A314="",$B314=""),"",SUMIFS(QuickLog!$K$2:$K$1000,QuickLog!$B$2:$B$1000,$B314,QuickLog!$O$2:$O$1000,$A314,QuickLog!$G$2:$G$1000,"Routine"))</f>
        <v/>
      </c>
      <c r="D314" s="31">
        <f>IF(OR($A314="",$B314=""),"",SUMIFS(QuickLog!$K$2:$K$1000,QuickLog!$B$2:$B$1000,$B314,QuickLog!$O$2:$O$1000,$A314,QuickLog!$G$2:$G$1000,"&lt;&gt;Routine"))</f>
        <v/>
      </c>
      <c r="E314" s="31">
        <f>IF($C314="","",MIN($C314,Settings!$B$2))</f>
        <v/>
      </c>
      <c r="F314" s="31">
        <f>IF($C314="","",MAX(0,$C314-$E314))</f>
        <v/>
      </c>
      <c r="G314" s="31">
        <f>IF(OR($E314="",$D314=""),"", $E314+$D314)</f>
        <v/>
      </c>
      <c r="H314" s="31">
        <f>IF(OR($A314="",$B314=""),"",SUMIFS(QuickLog!$L$2:$L$1000,QuickLog!$B$2:$B$1000,$B314,QuickLog!$O$2:$O$1000,$A314))</f>
        <v/>
      </c>
      <c r="I314" s="32">
        <f>IF($H314="","",$H314)</f>
        <v/>
      </c>
    </row>
    <row r="315">
      <c r="A315" s="29" t="n"/>
      <c r="B315" s="31" t="n"/>
      <c r="C315" s="31">
        <f>IF(OR($A315="",$B315=""),"",SUMIFS(QuickLog!$K$2:$K$1000,QuickLog!$B$2:$B$1000,$B315,QuickLog!$O$2:$O$1000,$A315,QuickLog!$G$2:$G$1000,"Routine"))</f>
        <v/>
      </c>
      <c r="D315" s="31">
        <f>IF(OR($A315="",$B315=""),"",SUMIFS(QuickLog!$K$2:$K$1000,QuickLog!$B$2:$B$1000,$B315,QuickLog!$O$2:$O$1000,$A315,QuickLog!$G$2:$G$1000,"&lt;&gt;Routine"))</f>
        <v/>
      </c>
      <c r="E315" s="31">
        <f>IF($C315="","",MIN($C315,Settings!$B$2))</f>
        <v/>
      </c>
      <c r="F315" s="31">
        <f>IF($C315="","",MAX(0,$C315-$E315))</f>
        <v/>
      </c>
      <c r="G315" s="31">
        <f>IF(OR($E315="",$D315=""),"", $E315+$D315)</f>
        <v/>
      </c>
      <c r="H315" s="31">
        <f>IF(OR($A315="",$B315=""),"",SUMIFS(QuickLog!$L$2:$L$1000,QuickLog!$B$2:$B$1000,$B315,QuickLog!$O$2:$O$1000,$A315))</f>
        <v/>
      </c>
      <c r="I315" s="32">
        <f>IF($H315="","",$H315)</f>
        <v/>
      </c>
    </row>
    <row r="316">
      <c r="A316" s="29" t="n"/>
      <c r="B316" s="31" t="n"/>
      <c r="C316" s="31">
        <f>IF(OR($A316="",$B316=""),"",SUMIFS(QuickLog!$K$2:$K$1000,QuickLog!$B$2:$B$1000,$B316,QuickLog!$O$2:$O$1000,$A316,QuickLog!$G$2:$G$1000,"Routine"))</f>
        <v/>
      </c>
      <c r="D316" s="31">
        <f>IF(OR($A316="",$B316=""),"",SUMIFS(QuickLog!$K$2:$K$1000,QuickLog!$B$2:$B$1000,$B316,QuickLog!$O$2:$O$1000,$A316,QuickLog!$G$2:$G$1000,"&lt;&gt;Routine"))</f>
        <v/>
      </c>
      <c r="E316" s="31">
        <f>IF($C316="","",MIN($C316,Settings!$B$2))</f>
        <v/>
      </c>
      <c r="F316" s="31">
        <f>IF($C316="","",MAX(0,$C316-$E316))</f>
        <v/>
      </c>
      <c r="G316" s="31">
        <f>IF(OR($E316="",$D316=""),"", $E316+$D316)</f>
        <v/>
      </c>
      <c r="H316" s="31">
        <f>IF(OR($A316="",$B316=""),"",SUMIFS(QuickLog!$L$2:$L$1000,QuickLog!$B$2:$B$1000,$B316,QuickLog!$O$2:$O$1000,$A316))</f>
        <v/>
      </c>
      <c r="I316" s="32">
        <f>IF($H316="","",$H316)</f>
        <v/>
      </c>
    </row>
    <row r="317">
      <c r="A317" s="29" t="n"/>
      <c r="B317" s="31" t="n"/>
      <c r="C317" s="31">
        <f>IF(OR($A317="",$B317=""),"",SUMIFS(QuickLog!$K$2:$K$1000,QuickLog!$B$2:$B$1000,$B317,QuickLog!$O$2:$O$1000,$A317,QuickLog!$G$2:$G$1000,"Routine"))</f>
        <v/>
      </c>
      <c r="D317" s="31">
        <f>IF(OR($A317="",$B317=""),"",SUMIFS(QuickLog!$K$2:$K$1000,QuickLog!$B$2:$B$1000,$B317,QuickLog!$O$2:$O$1000,$A317,QuickLog!$G$2:$G$1000,"&lt;&gt;Routine"))</f>
        <v/>
      </c>
      <c r="E317" s="31">
        <f>IF($C317="","",MIN($C317,Settings!$B$2))</f>
        <v/>
      </c>
      <c r="F317" s="31">
        <f>IF($C317="","",MAX(0,$C317-$E317))</f>
        <v/>
      </c>
      <c r="G317" s="31">
        <f>IF(OR($E317="",$D317=""),"", $E317+$D317)</f>
        <v/>
      </c>
      <c r="H317" s="31">
        <f>IF(OR($A317="",$B317=""),"",SUMIFS(QuickLog!$L$2:$L$1000,QuickLog!$B$2:$B$1000,$B317,QuickLog!$O$2:$O$1000,$A317))</f>
        <v/>
      </c>
      <c r="I317" s="32">
        <f>IF($H317="","",$H317)</f>
        <v/>
      </c>
    </row>
    <row r="318">
      <c r="A318" s="29" t="n"/>
      <c r="B318" s="31" t="n"/>
      <c r="C318" s="31">
        <f>IF(OR($A318="",$B318=""),"",SUMIFS(QuickLog!$K$2:$K$1000,QuickLog!$B$2:$B$1000,$B318,QuickLog!$O$2:$O$1000,$A318,QuickLog!$G$2:$G$1000,"Routine"))</f>
        <v/>
      </c>
      <c r="D318" s="31">
        <f>IF(OR($A318="",$B318=""),"",SUMIFS(QuickLog!$K$2:$K$1000,QuickLog!$B$2:$B$1000,$B318,QuickLog!$O$2:$O$1000,$A318,QuickLog!$G$2:$G$1000,"&lt;&gt;Routine"))</f>
        <v/>
      </c>
      <c r="E318" s="31">
        <f>IF($C318="","",MIN($C318,Settings!$B$2))</f>
        <v/>
      </c>
      <c r="F318" s="31">
        <f>IF($C318="","",MAX(0,$C318-$E318))</f>
        <v/>
      </c>
      <c r="G318" s="31">
        <f>IF(OR($E318="",$D318=""),"", $E318+$D318)</f>
        <v/>
      </c>
      <c r="H318" s="31">
        <f>IF(OR($A318="",$B318=""),"",SUMIFS(QuickLog!$L$2:$L$1000,QuickLog!$B$2:$B$1000,$B318,QuickLog!$O$2:$O$1000,$A318))</f>
        <v/>
      </c>
      <c r="I318" s="32">
        <f>IF($H318="","",$H318)</f>
        <v/>
      </c>
    </row>
    <row r="319">
      <c r="A319" s="29" t="n"/>
      <c r="B319" s="31" t="n"/>
      <c r="C319" s="31">
        <f>IF(OR($A319="",$B319=""),"",SUMIFS(QuickLog!$K$2:$K$1000,QuickLog!$B$2:$B$1000,$B319,QuickLog!$O$2:$O$1000,$A319,QuickLog!$G$2:$G$1000,"Routine"))</f>
        <v/>
      </c>
      <c r="D319" s="31">
        <f>IF(OR($A319="",$B319=""),"",SUMIFS(QuickLog!$K$2:$K$1000,QuickLog!$B$2:$B$1000,$B319,QuickLog!$O$2:$O$1000,$A319,QuickLog!$G$2:$G$1000,"&lt;&gt;Routine"))</f>
        <v/>
      </c>
      <c r="E319" s="31">
        <f>IF($C319="","",MIN($C319,Settings!$B$2))</f>
        <v/>
      </c>
      <c r="F319" s="31">
        <f>IF($C319="","",MAX(0,$C319-$E319))</f>
        <v/>
      </c>
      <c r="G319" s="31">
        <f>IF(OR($E319="",$D319=""),"", $E319+$D319)</f>
        <v/>
      </c>
      <c r="H319" s="31">
        <f>IF(OR($A319="",$B319=""),"",SUMIFS(QuickLog!$L$2:$L$1000,QuickLog!$B$2:$B$1000,$B319,QuickLog!$O$2:$O$1000,$A319))</f>
        <v/>
      </c>
      <c r="I319" s="32">
        <f>IF($H319="","",$H319)</f>
        <v/>
      </c>
    </row>
    <row r="320">
      <c r="A320" s="29" t="n"/>
      <c r="B320" s="31" t="n"/>
      <c r="C320" s="31">
        <f>IF(OR($A320="",$B320=""),"",SUMIFS(QuickLog!$K$2:$K$1000,QuickLog!$B$2:$B$1000,$B320,QuickLog!$O$2:$O$1000,$A320,QuickLog!$G$2:$G$1000,"Routine"))</f>
        <v/>
      </c>
      <c r="D320" s="31">
        <f>IF(OR($A320="",$B320=""),"",SUMIFS(QuickLog!$K$2:$K$1000,QuickLog!$B$2:$B$1000,$B320,QuickLog!$O$2:$O$1000,$A320,QuickLog!$G$2:$G$1000,"&lt;&gt;Routine"))</f>
        <v/>
      </c>
      <c r="E320" s="31">
        <f>IF($C320="","",MIN($C320,Settings!$B$2))</f>
        <v/>
      </c>
      <c r="F320" s="31">
        <f>IF($C320="","",MAX(0,$C320-$E320))</f>
        <v/>
      </c>
      <c r="G320" s="31">
        <f>IF(OR($E320="",$D320=""),"", $E320+$D320)</f>
        <v/>
      </c>
      <c r="H320" s="31">
        <f>IF(OR($A320="",$B320=""),"",SUMIFS(QuickLog!$L$2:$L$1000,QuickLog!$B$2:$B$1000,$B320,QuickLog!$O$2:$O$1000,$A320))</f>
        <v/>
      </c>
      <c r="I320" s="32">
        <f>IF($H320="","",$H320)</f>
        <v/>
      </c>
    </row>
    <row r="321">
      <c r="A321" s="29" t="n"/>
      <c r="B321" s="31" t="n"/>
      <c r="C321" s="31">
        <f>IF(OR($A321="",$B321=""),"",SUMIFS(QuickLog!$K$2:$K$1000,QuickLog!$B$2:$B$1000,$B321,QuickLog!$O$2:$O$1000,$A321,QuickLog!$G$2:$G$1000,"Routine"))</f>
        <v/>
      </c>
      <c r="D321" s="31">
        <f>IF(OR($A321="",$B321=""),"",SUMIFS(QuickLog!$K$2:$K$1000,QuickLog!$B$2:$B$1000,$B321,QuickLog!$O$2:$O$1000,$A321,QuickLog!$G$2:$G$1000,"&lt;&gt;Routine"))</f>
        <v/>
      </c>
      <c r="E321" s="31">
        <f>IF($C321="","",MIN($C321,Settings!$B$2))</f>
        <v/>
      </c>
      <c r="F321" s="31">
        <f>IF($C321="","",MAX(0,$C321-$E321))</f>
        <v/>
      </c>
      <c r="G321" s="31">
        <f>IF(OR($E321="",$D321=""),"", $E321+$D321)</f>
        <v/>
      </c>
      <c r="H321" s="31">
        <f>IF(OR($A321="",$B321=""),"",SUMIFS(QuickLog!$L$2:$L$1000,QuickLog!$B$2:$B$1000,$B321,QuickLog!$O$2:$O$1000,$A321))</f>
        <v/>
      </c>
      <c r="I321" s="32">
        <f>IF($H321="","",$H321)</f>
        <v/>
      </c>
    </row>
    <row r="322">
      <c r="A322" s="29" t="n"/>
      <c r="B322" s="31" t="n"/>
      <c r="C322" s="31">
        <f>IF(OR($A322="",$B322=""),"",SUMIFS(QuickLog!$K$2:$K$1000,QuickLog!$B$2:$B$1000,$B322,QuickLog!$O$2:$O$1000,$A322,QuickLog!$G$2:$G$1000,"Routine"))</f>
        <v/>
      </c>
      <c r="D322" s="31">
        <f>IF(OR($A322="",$B322=""),"",SUMIFS(QuickLog!$K$2:$K$1000,QuickLog!$B$2:$B$1000,$B322,QuickLog!$O$2:$O$1000,$A322,QuickLog!$G$2:$G$1000,"&lt;&gt;Routine"))</f>
        <v/>
      </c>
      <c r="E322" s="31">
        <f>IF($C322="","",MIN($C322,Settings!$B$2))</f>
        <v/>
      </c>
      <c r="F322" s="31">
        <f>IF($C322="","",MAX(0,$C322-$E322))</f>
        <v/>
      </c>
      <c r="G322" s="31">
        <f>IF(OR($E322="",$D322=""),"", $E322+$D322)</f>
        <v/>
      </c>
      <c r="H322" s="31">
        <f>IF(OR($A322="",$B322=""),"",SUMIFS(QuickLog!$L$2:$L$1000,QuickLog!$B$2:$B$1000,$B322,QuickLog!$O$2:$O$1000,$A322))</f>
        <v/>
      </c>
      <c r="I322" s="32">
        <f>IF($H322="","",$H322)</f>
        <v/>
      </c>
    </row>
    <row r="323">
      <c r="A323" s="29" t="n"/>
      <c r="B323" s="31" t="n"/>
      <c r="C323" s="31">
        <f>IF(OR($A323="",$B323=""),"",SUMIFS(QuickLog!$K$2:$K$1000,QuickLog!$B$2:$B$1000,$B323,QuickLog!$O$2:$O$1000,$A323,QuickLog!$G$2:$G$1000,"Routine"))</f>
        <v/>
      </c>
      <c r="D323" s="31">
        <f>IF(OR($A323="",$B323=""),"",SUMIFS(QuickLog!$K$2:$K$1000,QuickLog!$B$2:$B$1000,$B323,QuickLog!$O$2:$O$1000,$A323,QuickLog!$G$2:$G$1000,"&lt;&gt;Routine"))</f>
        <v/>
      </c>
      <c r="E323" s="31">
        <f>IF($C323="","",MIN($C323,Settings!$B$2))</f>
        <v/>
      </c>
      <c r="F323" s="31">
        <f>IF($C323="","",MAX(0,$C323-$E323))</f>
        <v/>
      </c>
      <c r="G323" s="31">
        <f>IF(OR($E323="",$D323=""),"", $E323+$D323)</f>
        <v/>
      </c>
      <c r="H323" s="31">
        <f>IF(OR($A323="",$B323=""),"",SUMIFS(QuickLog!$L$2:$L$1000,QuickLog!$B$2:$B$1000,$B323,QuickLog!$O$2:$O$1000,$A323))</f>
        <v/>
      </c>
      <c r="I323" s="32">
        <f>IF($H323="","",$H323)</f>
        <v/>
      </c>
    </row>
    <row r="324">
      <c r="A324" s="29" t="n"/>
      <c r="B324" s="31" t="n"/>
      <c r="C324" s="31">
        <f>IF(OR($A324="",$B324=""),"",SUMIFS(QuickLog!$K$2:$K$1000,QuickLog!$B$2:$B$1000,$B324,QuickLog!$O$2:$O$1000,$A324,QuickLog!$G$2:$G$1000,"Routine"))</f>
        <v/>
      </c>
      <c r="D324" s="31">
        <f>IF(OR($A324="",$B324=""),"",SUMIFS(QuickLog!$K$2:$K$1000,QuickLog!$B$2:$B$1000,$B324,QuickLog!$O$2:$O$1000,$A324,QuickLog!$G$2:$G$1000,"&lt;&gt;Routine"))</f>
        <v/>
      </c>
      <c r="E324" s="31">
        <f>IF($C324="","",MIN($C324,Settings!$B$2))</f>
        <v/>
      </c>
      <c r="F324" s="31">
        <f>IF($C324="","",MAX(0,$C324-$E324))</f>
        <v/>
      </c>
      <c r="G324" s="31">
        <f>IF(OR($E324="",$D324=""),"", $E324+$D324)</f>
        <v/>
      </c>
      <c r="H324" s="31">
        <f>IF(OR($A324="",$B324=""),"",SUMIFS(QuickLog!$L$2:$L$1000,QuickLog!$B$2:$B$1000,$B324,QuickLog!$O$2:$O$1000,$A324))</f>
        <v/>
      </c>
      <c r="I324" s="32">
        <f>IF($H324="","",$H324)</f>
        <v/>
      </c>
    </row>
    <row r="325">
      <c r="A325" s="29" t="n"/>
      <c r="B325" s="31" t="n"/>
      <c r="C325" s="31">
        <f>IF(OR($A325="",$B325=""),"",SUMIFS(QuickLog!$K$2:$K$1000,QuickLog!$B$2:$B$1000,$B325,QuickLog!$O$2:$O$1000,$A325,QuickLog!$G$2:$G$1000,"Routine"))</f>
        <v/>
      </c>
      <c r="D325" s="31">
        <f>IF(OR($A325="",$B325=""),"",SUMIFS(QuickLog!$K$2:$K$1000,QuickLog!$B$2:$B$1000,$B325,QuickLog!$O$2:$O$1000,$A325,QuickLog!$G$2:$G$1000,"&lt;&gt;Routine"))</f>
        <v/>
      </c>
      <c r="E325" s="31">
        <f>IF($C325="","",MIN($C325,Settings!$B$2))</f>
        <v/>
      </c>
      <c r="F325" s="31">
        <f>IF($C325="","",MAX(0,$C325-$E325))</f>
        <v/>
      </c>
      <c r="G325" s="31">
        <f>IF(OR($E325="",$D325=""),"", $E325+$D325)</f>
        <v/>
      </c>
      <c r="H325" s="31">
        <f>IF(OR($A325="",$B325=""),"",SUMIFS(QuickLog!$L$2:$L$1000,QuickLog!$B$2:$B$1000,$B325,QuickLog!$O$2:$O$1000,$A325))</f>
        <v/>
      </c>
      <c r="I325" s="32">
        <f>IF($H325="","",$H325)</f>
        <v/>
      </c>
    </row>
    <row r="326">
      <c r="A326" s="29" t="n"/>
      <c r="B326" s="31" t="n"/>
      <c r="C326" s="31">
        <f>IF(OR($A326="",$B326=""),"",SUMIFS(QuickLog!$K$2:$K$1000,QuickLog!$B$2:$B$1000,$B326,QuickLog!$O$2:$O$1000,$A326,QuickLog!$G$2:$G$1000,"Routine"))</f>
        <v/>
      </c>
      <c r="D326" s="31">
        <f>IF(OR($A326="",$B326=""),"",SUMIFS(QuickLog!$K$2:$K$1000,QuickLog!$B$2:$B$1000,$B326,QuickLog!$O$2:$O$1000,$A326,QuickLog!$G$2:$G$1000,"&lt;&gt;Routine"))</f>
        <v/>
      </c>
      <c r="E326" s="31">
        <f>IF($C326="","",MIN($C326,Settings!$B$2))</f>
        <v/>
      </c>
      <c r="F326" s="31">
        <f>IF($C326="","",MAX(0,$C326-$E326))</f>
        <v/>
      </c>
      <c r="G326" s="31">
        <f>IF(OR($E326="",$D326=""),"", $E326+$D326)</f>
        <v/>
      </c>
      <c r="H326" s="31">
        <f>IF(OR($A326="",$B326=""),"",SUMIFS(QuickLog!$L$2:$L$1000,QuickLog!$B$2:$B$1000,$B326,QuickLog!$O$2:$O$1000,$A326))</f>
        <v/>
      </c>
      <c r="I326" s="32">
        <f>IF($H326="","",$H326)</f>
        <v/>
      </c>
    </row>
    <row r="327">
      <c r="A327" s="29" t="n"/>
      <c r="B327" s="31" t="n"/>
      <c r="C327" s="31">
        <f>IF(OR($A327="",$B327=""),"",SUMIFS(QuickLog!$K$2:$K$1000,QuickLog!$B$2:$B$1000,$B327,QuickLog!$O$2:$O$1000,$A327,QuickLog!$G$2:$G$1000,"Routine"))</f>
        <v/>
      </c>
      <c r="D327" s="31">
        <f>IF(OR($A327="",$B327=""),"",SUMIFS(QuickLog!$K$2:$K$1000,QuickLog!$B$2:$B$1000,$B327,QuickLog!$O$2:$O$1000,$A327,QuickLog!$G$2:$G$1000,"&lt;&gt;Routine"))</f>
        <v/>
      </c>
      <c r="E327" s="31">
        <f>IF($C327="","",MIN($C327,Settings!$B$2))</f>
        <v/>
      </c>
      <c r="F327" s="31">
        <f>IF($C327="","",MAX(0,$C327-$E327))</f>
        <v/>
      </c>
      <c r="G327" s="31">
        <f>IF(OR($E327="",$D327=""),"", $E327+$D327)</f>
        <v/>
      </c>
      <c r="H327" s="31">
        <f>IF(OR($A327="",$B327=""),"",SUMIFS(QuickLog!$L$2:$L$1000,QuickLog!$B$2:$B$1000,$B327,QuickLog!$O$2:$O$1000,$A327))</f>
        <v/>
      </c>
      <c r="I327" s="32">
        <f>IF($H327="","",$H327)</f>
        <v/>
      </c>
    </row>
    <row r="328">
      <c r="A328" s="29" t="n"/>
      <c r="B328" s="31" t="n"/>
      <c r="C328" s="31">
        <f>IF(OR($A328="",$B328=""),"",SUMIFS(QuickLog!$K$2:$K$1000,QuickLog!$B$2:$B$1000,$B328,QuickLog!$O$2:$O$1000,$A328,QuickLog!$G$2:$G$1000,"Routine"))</f>
        <v/>
      </c>
      <c r="D328" s="31">
        <f>IF(OR($A328="",$B328=""),"",SUMIFS(QuickLog!$K$2:$K$1000,QuickLog!$B$2:$B$1000,$B328,QuickLog!$O$2:$O$1000,$A328,QuickLog!$G$2:$G$1000,"&lt;&gt;Routine"))</f>
        <v/>
      </c>
      <c r="E328" s="31">
        <f>IF($C328="","",MIN($C328,Settings!$B$2))</f>
        <v/>
      </c>
      <c r="F328" s="31">
        <f>IF($C328="","",MAX(0,$C328-$E328))</f>
        <v/>
      </c>
      <c r="G328" s="31">
        <f>IF(OR($E328="",$D328=""),"", $E328+$D328)</f>
        <v/>
      </c>
      <c r="H328" s="31">
        <f>IF(OR($A328="",$B328=""),"",SUMIFS(QuickLog!$L$2:$L$1000,QuickLog!$B$2:$B$1000,$B328,QuickLog!$O$2:$O$1000,$A328))</f>
        <v/>
      </c>
      <c r="I328" s="32">
        <f>IF($H328="","",$H328)</f>
        <v/>
      </c>
    </row>
    <row r="329">
      <c r="A329" s="29" t="n"/>
      <c r="B329" s="31" t="n"/>
      <c r="C329" s="31">
        <f>IF(OR($A329="",$B329=""),"",SUMIFS(QuickLog!$K$2:$K$1000,QuickLog!$B$2:$B$1000,$B329,QuickLog!$O$2:$O$1000,$A329,QuickLog!$G$2:$G$1000,"Routine"))</f>
        <v/>
      </c>
      <c r="D329" s="31">
        <f>IF(OR($A329="",$B329=""),"",SUMIFS(QuickLog!$K$2:$K$1000,QuickLog!$B$2:$B$1000,$B329,QuickLog!$O$2:$O$1000,$A329,QuickLog!$G$2:$G$1000,"&lt;&gt;Routine"))</f>
        <v/>
      </c>
      <c r="E329" s="31">
        <f>IF($C329="","",MIN($C329,Settings!$B$2))</f>
        <v/>
      </c>
      <c r="F329" s="31">
        <f>IF($C329="","",MAX(0,$C329-$E329))</f>
        <v/>
      </c>
      <c r="G329" s="31">
        <f>IF(OR($E329="",$D329=""),"", $E329+$D329)</f>
        <v/>
      </c>
      <c r="H329" s="31">
        <f>IF(OR($A329="",$B329=""),"",SUMIFS(QuickLog!$L$2:$L$1000,QuickLog!$B$2:$B$1000,$B329,QuickLog!$O$2:$O$1000,$A329))</f>
        <v/>
      </c>
      <c r="I329" s="32">
        <f>IF($H329="","",$H329)</f>
        <v/>
      </c>
    </row>
    <row r="330">
      <c r="A330" s="29" t="n"/>
      <c r="B330" s="31" t="n"/>
      <c r="C330" s="31">
        <f>IF(OR($A330="",$B330=""),"",SUMIFS(QuickLog!$K$2:$K$1000,QuickLog!$B$2:$B$1000,$B330,QuickLog!$O$2:$O$1000,$A330,QuickLog!$G$2:$G$1000,"Routine"))</f>
        <v/>
      </c>
      <c r="D330" s="31">
        <f>IF(OR($A330="",$B330=""),"",SUMIFS(QuickLog!$K$2:$K$1000,QuickLog!$B$2:$B$1000,$B330,QuickLog!$O$2:$O$1000,$A330,QuickLog!$G$2:$G$1000,"&lt;&gt;Routine"))</f>
        <v/>
      </c>
      <c r="E330" s="31">
        <f>IF($C330="","",MIN($C330,Settings!$B$2))</f>
        <v/>
      </c>
      <c r="F330" s="31">
        <f>IF($C330="","",MAX(0,$C330-$E330))</f>
        <v/>
      </c>
      <c r="G330" s="31">
        <f>IF(OR($E330="",$D330=""),"", $E330+$D330)</f>
        <v/>
      </c>
      <c r="H330" s="31">
        <f>IF(OR($A330="",$B330=""),"",SUMIFS(QuickLog!$L$2:$L$1000,QuickLog!$B$2:$B$1000,$B330,QuickLog!$O$2:$O$1000,$A330))</f>
        <v/>
      </c>
      <c r="I330" s="32">
        <f>IF($H330="","",$H330)</f>
        <v/>
      </c>
    </row>
    <row r="331">
      <c r="A331" s="29" t="n"/>
      <c r="B331" s="31" t="n"/>
      <c r="C331" s="31">
        <f>IF(OR($A331="",$B331=""),"",SUMIFS(QuickLog!$K$2:$K$1000,QuickLog!$B$2:$B$1000,$B331,QuickLog!$O$2:$O$1000,$A331,QuickLog!$G$2:$G$1000,"Routine"))</f>
        <v/>
      </c>
      <c r="D331" s="31">
        <f>IF(OR($A331="",$B331=""),"",SUMIFS(QuickLog!$K$2:$K$1000,QuickLog!$B$2:$B$1000,$B331,QuickLog!$O$2:$O$1000,$A331,QuickLog!$G$2:$G$1000,"&lt;&gt;Routine"))</f>
        <v/>
      </c>
      <c r="E331" s="31">
        <f>IF($C331="","",MIN($C331,Settings!$B$2))</f>
        <v/>
      </c>
      <c r="F331" s="31">
        <f>IF($C331="","",MAX(0,$C331-$E331))</f>
        <v/>
      </c>
      <c r="G331" s="31">
        <f>IF(OR($E331="",$D331=""),"", $E331+$D331)</f>
        <v/>
      </c>
      <c r="H331" s="31">
        <f>IF(OR($A331="",$B331=""),"",SUMIFS(QuickLog!$L$2:$L$1000,QuickLog!$B$2:$B$1000,$B331,QuickLog!$O$2:$O$1000,$A331))</f>
        <v/>
      </c>
      <c r="I331" s="32">
        <f>IF($H331="","",$H331)</f>
        <v/>
      </c>
    </row>
    <row r="332">
      <c r="A332" s="29" t="n"/>
      <c r="B332" s="31" t="n"/>
      <c r="C332" s="31">
        <f>IF(OR($A332="",$B332=""),"",SUMIFS(QuickLog!$K$2:$K$1000,QuickLog!$B$2:$B$1000,$B332,QuickLog!$O$2:$O$1000,$A332,QuickLog!$G$2:$G$1000,"Routine"))</f>
        <v/>
      </c>
      <c r="D332" s="31">
        <f>IF(OR($A332="",$B332=""),"",SUMIFS(QuickLog!$K$2:$K$1000,QuickLog!$B$2:$B$1000,$B332,QuickLog!$O$2:$O$1000,$A332,QuickLog!$G$2:$G$1000,"&lt;&gt;Routine"))</f>
        <v/>
      </c>
      <c r="E332" s="31">
        <f>IF($C332="","",MIN($C332,Settings!$B$2))</f>
        <v/>
      </c>
      <c r="F332" s="31">
        <f>IF($C332="","",MAX(0,$C332-$E332))</f>
        <v/>
      </c>
      <c r="G332" s="31">
        <f>IF(OR($E332="",$D332=""),"", $E332+$D332)</f>
        <v/>
      </c>
      <c r="H332" s="31">
        <f>IF(OR($A332="",$B332=""),"",SUMIFS(QuickLog!$L$2:$L$1000,QuickLog!$B$2:$B$1000,$B332,QuickLog!$O$2:$O$1000,$A332))</f>
        <v/>
      </c>
      <c r="I332" s="32">
        <f>IF($H332="","",$H332)</f>
        <v/>
      </c>
    </row>
    <row r="333">
      <c r="A333" s="29" t="n"/>
      <c r="B333" s="31" t="n"/>
      <c r="C333" s="31">
        <f>IF(OR($A333="",$B333=""),"",SUMIFS(QuickLog!$K$2:$K$1000,QuickLog!$B$2:$B$1000,$B333,QuickLog!$O$2:$O$1000,$A333,QuickLog!$G$2:$G$1000,"Routine"))</f>
        <v/>
      </c>
      <c r="D333" s="31">
        <f>IF(OR($A333="",$B333=""),"",SUMIFS(QuickLog!$K$2:$K$1000,QuickLog!$B$2:$B$1000,$B333,QuickLog!$O$2:$O$1000,$A333,QuickLog!$G$2:$G$1000,"&lt;&gt;Routine"))</f>
        <v/>
      </c>
      <c r="E333" s="31">
        <f>IF($C333="","",MIN($C333,Settings!$B$2))</f>
        <v/>
      </c>
      <c r="F333" s="31">
        <f>IF($C333="","",MAX(0,$C333-$E333))</f>
        <v/>
      </c>
      <c r="G333" s="31">
        <f>IF(OR($E333="",$D333=""),"", $E333+$D333)</f>
        <v/>
      </c>
      <c r="H333" s="31">
        <f>IF(OR($A333="",$B333=""),"",SUMIFS(QuickLog!$L$2:$L$1000,QuickLog!$B$2:$B$1000,$B333,QuickLog!$O$2:$O$1000,$A333))</f>
        <v/>
      </c>
      <c r="I333" s="32">
        <f>IF($H333="","",$H333)</f>
        <v/>
      </c>
    </row>
    <row r="334">
      <c r="A334" s="29" t="n"/>
      <c r="B334" s="31" t="n"/>
      <c r="C334" s="31">
        <f>IF(OR($A334="",$B334=""),"",SUMIFS(QuickLog!$K$2:$K$1000,QuickLog!$B$2:$B$1000,$B334,QuickLog!$O$2:$O$1000,$A334,QuickLog!$G$2:$G$1000,"Routine"))</f>
        <v/>
      </c>
      <c r="D334" s="31">
        <f>IF(OR($A334="",$B334=""),"",SUMIFS(QuickLog!$K$2:$K$1000,QuickLog!$B$2:$B$1000,$B334,QuickLog!$O$2:$O$1000,$A334,QuickLog!$G$2:$G$1000,"&lt;&gt;Routine"))</f>
        <v/>
      </c>
      <c r="E334" s="31">
        <f>IF($C334="","",MIN($C334,Settings!$B$2))</f>
        <v/>
      </c>
      <c r="F334" s="31">
        <f>IF($C334="","",MAX(0,$C334-$E334))</f>
        <v/>
      </c>
      <c r="G334" s="31">
        <f>IF(OR($E334="",$D334=""),"", $E334+$D334)</f>
        <v/>
      </c>
      <c r="H334" s="31">
        <f>IF(OR($A334="",$B334=""),"",SUMIFS(QuickLog!$L$2:$L$1000,QuickLog!$B$2:$B$1000,$B334,QuickLog!$O$2:$O$1000,$A334))</f>
        <v/>
      </c>
      <c r="I334" s="32">
        <f>IF($H334="","",$H334)</f>
        <v/>
      </c>
    </row>
    <row r="335">
      <c r="A335" s="29" t="n"/>
      <c r="B335" s="31" t="n"/>
      <c r="C335" s="31">
        <f>IF(OR($A335="",$B335=""),"",SUMIFS(QuickLog!$K$2:$K$1000,QuickLog!$B$2:$B$1000,$B335,QuickLog!$O$2:$O$1000,$A335,QuickLog!$G$2:$G$1000,"Routine"))</f>
        <v/>
      </c>
      <c r="D335" s="31">
        <f>IF(OR($A335="",$B335=""),"",SUMIFS(QuickLog!$K$2:$K$1000,QuickLog!$B$2:$B$1000,$B335,QuickLog!$O$2:$O$1000,$A335,QuickLog!$G$2:$G$1000,"&lt;&gt;Routine"))</f>
        <v/>
      </c>
      <c r="E335" s="31">
        <f>IF($C335="","",MIN($C335,Settings!$B$2))</f>
        <v/>
      </c>
      <c r="F335" s="31">
        <f>IF($C335="","",MAX(0,$C335-$E335))</f>
        <v/>
      </c>
      <c r="G335" s="31">
        <f>IF(OR($E335="",$D335=""),"", $E335+$D335)</f>
        <v/>
      </c>
      <c r="H335" s="31">
        <f>IF(OR($A335="",$B335=""),"",SUMIFS(QuickLog!$L$2:$L$1000,QuickLog!$B$2:$B$1000,$B335,QuickLog!$O$2:$O$1000,$A335))</f>
        <v/>
      </c>
      <c r="I335" s="32">
        <f>IF($H335="","",$H335)</f>
        <v/>
      </c>
    </row>
    <row r="336">
      <c r="A336" s="29" t="n"/>
      <c r="B336" s="31" t="n"/>
      <c r="C336" s="31">
        <f>IF(OR($A336="",$B336=""),"",SUMIFS(QuickLog!$K$2:$K$1000,QuickLog!$B$2:$B$1000,$B336,QuickLog!$O$2:$O$1000,$A336,QuickLog!$G$2:$G$1000,"Routine"))</f>
        <v/>
      </c>
      <c r="D336" s="31">
        <f>IF(OR($A336="",$B336=""),"",SUMIFS(QuickLog!$K$2:$K$1000,QuickLog!$B$2:$B$1000,$B336,QuickLog!$O$2:$O$1000,$A336,QuickLog!$G$2:$G$1000,"&lt;&gt;Routine"))</f>
        <v/>
      </c>
      <c r="E336" s="31">
        <f>IF($C336="","",MIN($C336,Settings!$B$2))</f>
        <v/>
      </c>
      <c r="F336" s="31">
        <f>IF($C336="","",MAX(0,$C336-$E336))</f>
        <v/>
      </c>
      <c r="G336" s="31">
        <f>IF(OR($E336="",$D336=""),"", $E336+$D336)</f>
        <v/>
      </c>
      <c r="H336" s="31">
        <f>IF(OR($A336="",$B336=""),"",SUMIFS(QuickLog!$L$2:$L$1000,QuickLog!$B$2:$B$1000,$B336,QuickLog!$O$2:$O$1000,$A336))</f>
        <v/>
      </c>
      <c r="I336" s="32">
        <f>IF($H336="","",$H336)</f>
        <v/>
      </c>
    </row>
    <row r="337">
      <c r="A337" s="29" t="n"/>
      <c r="B337" s="31" t="n"/>
      <c r="C337" s="31">
        <f>IF(OR($A337="",$B337=""),"",SUMIFS(QuickLog!$K$2:$K$1000,QuickLog!$B$2:$B$1000,$B337,QuickLog!$O$2:$O$1000,$A337,QuickLog!$G$2:$G$1000,"Routine"))</f>
        <v/>
      </c>
      <c r="D337" s="31">
        <f>IF(OR($A337="",$B337=""),"",SUMIFS(QuickLog!$K$2:$K$1000,QuickLog!$B$2:$B$1000,$B337,QuickLog!$O$2:$O$1000,$A337,QuickLog!$G$2:$G$1000,"&lt;&gt;Routine"))</f>
        <v/>
      </c>
      <c r="E337" s="31">
        <f>IF($C337="","",MIN($C337,Settings!$B$2))</f>
        <v/>
      </c>
      <c r="F337" s="31">
        <f>IF($C337="","",MAX(0,$C337-$E337))</f>
        <v/>
      </c>
      <c r="G337" s="31">
        <f>IF(OR($E337="",$D337=""),"", $E337+$D337)</f>
        <v/>
      </c>
      <c r="H337" s="31">
        <f>IF(OR($A337="",$B337=""),"",SUMIFS(QuickLog!$L$2:$L$1000,QuickLog!$B$2:$B$1000,$B337,QuickLog!$O$2:$O$1000,$A337))</f>
        <v/>
      </c>
      <c r="I337" s="32">
        <f>IF($H337="","",$H337)</f>
        <v/>
      </c>
    </row>
    <row r="338">
      <c r="A338" s="29" t="n"/>
      <c r="B338" s="31" t="n"/>
      <c r="C338" s="31">
        <f>IF(OR($A338="",$B338=""),"",SUMIFS(QuickLog!$K$2:$K$1000,QuickLog!$B$2:$B$1000,$B338,QuickLog!$O$2:$O$1000,$A338,QuickLog!$G$2:$G$1000,"Routine"))</f>
        <v/>
      </c>
      <c r="D338" s="31">
        <f>IF(OR($A338="",$B338=""),"",SUMIFS(QuickLog!$K$2:$K$1000,QuickLog!$B$2:$B$1000,$B338,QuickLog!$O$2:$O$1000,$A338,QuickLog!$G$2:$G$1000,"&lt;&gt;Routine"))</f>
        <v/>
      </c>
      <c r="E338" s="31">
        <f>IF($C338="","",MIN($C338,Settings!$B$2))</f>
        <v/>
      </c>
      <c r="F338" s="31">
        <f>IF($C338="","",MAX(0,$C338-$E338))</f>
        <v/>
      </c>
      <c r="G338" s="31">
        <f>IF(OR($E338="",$D338=""),"", $E338+$D338)</f>
        <v/>
      </c>
      <c r="H338" s="31">
        <f>IF(OR($A338="",$B338=""),"",SUMIFS(QuickLog!$L$2:$L$1000,QuickLog!$B$2:$B$1000,$B338,QuickLog!$O$2:$O$1000,$A338))</f>
        <v/>
      </c>
      <c r="I338" s="32">
        <f>IF($H338="","",$H338)</f>
        <v/>
      </c>
    </row>
    <row r="339">
      <c r="A339" s="29" t="n"/>
      <c r="B339" s="31" t="n"/>
      <c r="C339" s="31">
        <f>IF(OR($A339="",$B339=""),"",SUMIFS(QuickLog!$K$2:$K$1000,QuickLog!$B$2:$B$1000,$B339,QuickLog!$O$2:$O$1000,$A339,QuickLog!$G$2:$G$1000,"Routine"))</f>
        <v/>
      </c>
      <c r="D339" s="31">
        <f>IF(OR($A339="",$B339=""),"",SUMIFS(QuickLog!$K$2:$K$1000,QuickLog!$B$2:$B$1000,$B339,QuickLog!$O$2:$O$1000,$A339,QuickLog!$G$2:$G$1000,"&lt;&gt;Routine"))</f>
        <v/>
      </c>
      <c r="E339" s="31">
        <f>IF($C339="","",MIN($C339,Settings!$B$2))</f>
        <v/>
      </c>
      <c r="F339" s="31">
        <f>IF($C339="","",MAX(0,$C339-$E339))</f>
        <v/>
      </c>
      <c r="G339" s="31">
        <f>IF(OR($E339="",$D339=""),"", $E339+$D339)</f>
        <v/>
      </c>
      <c r="H339" s="31">
        <f>IF(OR($A339="",$B339=""),"",SUMIFS(QuickLog!$L$2:$L$1000,QuickLog!$B$2:$B$1000,$B339,QuickLog!$O$2:$O$1000,$A339))</f>
        <v/>
      </c>
      <c r="I339" s="32">
        <f>IF($H339="","",$H339)</f>
        <v/>
      </c>
    </row>
    <row r="340">
      <c r="A340" s="29" t="n"/>
      <c r="B340" s="31" t="n"/>
      <c r="C340" s="31">
        <f>IF(OR($A340="",$B340=""),"",SUMIFS(QuickLog!$K$2:$K$1000,QuickLog!$B$2:$B$1000,$B340,QuickLog!$O$2:$O$1000,$A340,QuickLog!$G$2:$G$1000,"Routine"))</f>
        <v/>
      </c>
      <c r="D340" s="31">
        <f>IF(OR($A340="",$B340=""),"",SUMIFS(QuickLog!$K$2:$K$1000,QuickLog!$B$2:$B$1000,$B340,QuickLog!$O$2:$O$1000,$A340,QuickLog!$G$2:$G$1000,"&lt;&gt;Routine"))</f>
        <v/>
      </c>
      <c r="E340" s="31">
        <f>IF($C340="","",MIN($C340,Settings!$B$2))</f>
        <v/>
      </c>
      <c r="F340" s="31">
        <f>IF($C340="","",MAX(0,$C340-$E340))</f>
        <v/>
      </c>
      <c r="G340" s="31">
        <f>IF(OR($E340="",$D340=""),"", $E340+$D340)</f>
        <v/>
      </c>
      <c r="H340" s="31">
        <f>IF(OR($A340="",$B340=""),"",SUMIFS(QuickLog!$L$2:$L$1000,QuickLog!$B$2:$B$1000,$B340,QuickLog!$O$2:$O$1000,$A340))</f>
        <v/>
      </c>
      <c r="I340" s="32">
        <f>IF($H340="","",$H340)</f>
        <v/>
      </c>
    </row>
    <row r="341">
      <c r="A341" s="29" t="n"/>
      <c r="B341" s="31" t="n"/>
      <c r="C341" s="31">
        <f>IF(OR($A341="",$B341=""),"",SUMIFS(QuickLog!$K$2:$K$1000,QuickLog!$B$2:$B$1000,$B341,QuickLog!$O$2:$O$1000,$A341,QuickLog!$G$2:$G$1000,"Routine"))</f>
        <v/>
      </c>
      <c r="D341" s="31">
        <f>IF(OR($A341="",$B341=""),"",SUMIFS(QuickLog!$K$2:$K$1000,QuickLog!$B$2:$B$1000,$B341,QuickLog!$O$2:$O$1000,$A341,QuickLog!$G$2:$G$1000,"&lt;&gt;Routine"))</f>
        <v/>
      </c>
      <c r="E341" s="31">
        <f>IF($C341="","",MIN($C341,Settings!$B$2))</f>
        <v/>
      </c>
      <c r="F341" s="31">
        <f>IF($C341="","",MAX(0,$C341-$E341))</f>
        <v/>
      </c>
      <c r="G341" s="31">
        <f>IF(OR($E341="",$D341=""),"", $E341+$D341)</f>
        <v/>
      </c>
      <c r="H341" s="31">
        <f>IF(OR($A341="",$B341=""),"",SUMIFS(QuickLog!$L$2:$L$1000,QuickLog!$B$2:$B$1000,$B341,QuickLog!$O$2:$O$1000,$A341))</f>
        <v/>
      </c>
      <c r="I341" s="32">
        <f>IF($H341="","",$H341)</f>
        <v/>
      </c>
    </row>
    <row r="342">
      <c r="A342" s="29" t="n"/>
      <c r="B342" s="31" t="n"/>
      <c r="C342" s="31">
        <f>IF(OR($A342="",$B342=""),"",SUMIFS(QuickLog!$K$2:$K$1000,QuickLog!$B$2:$B$1000,$B342,QuickLog!$O$2:$O$1000,$A342,QuickLog!$G$2:$G$1000,"Routine"))</f>
        <v/>
      </c>
      <c r="D342" s="31">
        <f>IF(OR($A342="",$B342=""),"",SUMIFS(QuickLog!$K$2:$K$1000,QuickLog!$B$2:$B$1000,$B342,QuickLog!$O$2:$O$1000,$A342,QuickLog!$G$2:$G$1000,"&lt;&gt;Routine"))</f>
        <v/>
      </c>
      <c r="E342" s="31">
        <f>IF($C342="","",MIN($C342,Settings!$B$2))</f>
        <v/>
      </c>
      <c r="F342" s="31">
        <f>IF($C342="","",MAX(0,$C342-$E342))</f>
        <v/>
      </c>
      <c r="G342" s="31">
        <f>IF(OR($E342="",$D342=""),"", $E342+$D342)</f>
        <v/>
      </c>
      <c r="H342" s="31">
        <f>IF(OR($A342="",$B342=""),"",SUMIFS(QuickLog!$L$2:$L$1000,QuickLog!$B$2:$B$1000,$B342,QuickLog!$O$2:$O$1000,$A342))</f>
        <v/>
      </c>
      <c r="I342" s="32">
        <f>IF($H342="","",$H342)</f>
        <v/>
      </c>
    </row>
    <row r="343">
      <c r="A343" s="29" t="n"/>
      <c r="B343" s="31" t="n"/>
      <c r="C343" s="31">
        <f>IF(OR($A343="",$B343=""),"",SUMIFS(QuickLog!$K$2:$K$1000,QuickLog!$B$2:$B$1000,$B343,QuickLog!$O$2:$O$1000,$A343,QuickLog!$G$2:$G$1000,"Routine"))</f>
        <v/>
      </c>
      <c r="D343" s="31">
        <f>IF(OR($A343="",$B343=""),"",SUMIFS(QuickLog!$K$2:$K$1000,QuickLog!$B$2:$B$1000,$B343,QuickLog!$O$2:$O$1000,$A343,QuickLog!$G$2:$G$1000,"&lt;&gt;Routine"))</f>
        <v/>
      </c>
      <c r="E343" s="31">
        <f>IF($C343="","",MIN($C343,Settings!$B$2))</f>
        <v/>
      </c>
      <c r="F343" s="31">
        <f>IF($C343="","",MAX(0,$C343-$E343))</f>
        <v/>
      </c>
      <c r="G343" s="31">
        <f>IF(OR($E343="",$D343=""),"", $E343+$D343)</f>
        <v/>
      </c>
      <c r="H343" s="31">
        <f>IF(OR($A343="",$B343=""),"",SUMIFS(QuickLog!$L$2:$L$1000,QuickLog!$B$2:$B$1000,$B343,QuickLog!$O$2:$O$1000,$A343))</f>
        <v/>
      </c>
      <c r="I343" s="32">
        <f>IF($H343="","",$H343)</f>
        <v/>
      </c>
    </row>
    <row r="344">
      <c r="A344" s="29" t="n"/>
      <c r="B344" s="31" t="n"/>
      <c r="C344" s="31">
        <f>IF(OR($A344="",$B344=""),"",SUMIFS(QuickLog!$K$2:$K$1000,QuickLog!$B$2:$B$1000,$B344,QuickLog!$O$2:$O$1000,$A344,QuickLog!$G$2:$G$1000,"Routine"))</f>
        <v/>
      </c>
      <c r="D344" s="31">
        <f>IF(OR($A344="",$B344=""),"",SUMIFS(QuickLog!$K$2:$K$1000,QuickLog!$B$2:$B$1000,$B344,QuickLog!$O$2:$O$1000,$A344,QuickLog!$G$2:$G$1000,"&lt;&gt;Routine"))</f>
        <v/>
      </c>
      <c r="E344" s="31">
        <f>IF($C344="","",MIN($C344,Settings!$B$2))</f>
        <v/>
      </c>
      <c r="F344" s="31">
        <f>IF($C344="","",MAX(0,$C344-$E344))</f>
        <v/>
      </c>
      <c r="G344" s="31">
        <f>IF(OR($E344="",$D344=""),"", $E344+$D344)</f>
        <v/>
      </c>
      <c r="H344" s="31">
        <f>IF(OR($A344="",$B344=""),"",SUMIFS(QuickLog!$L$2:$L$1000,QuickLog!$B$2:$B$1000,$B344,QuickLog!$O$2:$O$1000,$A344))</f>
        <v/>
      </c>
      <c r="I344" s="32">
        <f>IF($H344="","",$H344)</f>
        <v/>
      </c>
    </row>
    <row r="345">
      <c r="A345" s="29" t="n"/>
      <c r="B345" s="31" t="n"/>
      <c r="C345" s="31">
        <f>IF(OR($A345="",$B345=""),"",SUMIFS(QuickLog!$K$2:$K$1000,QuickLog!$B$2:$B$1000,$B345,QuickLog!$O$2:$O$1000,$A345,QuickLog!$G$2:$G$1000,"Routine"))</f>
        <v/>
      </c>
      <c r="D345" s="31">
        <f>IF(OR($A345="",$B345=""),"",SUMIFS(QuickLog!$K$2:$K$1000,QuickLog!$B$2:$B$1000,$B345,QuickLog!$O$2:$O$1000,$A345,QuickLog!$G$2:$G$1000,"&lt;&gt;Routine"))</f>
        <v/>
      </c>
      <c r="E345" s="31">
        <f>IF($C345="","",MIN($C345,Settings!$B$2))</f>
        <v/>
      </c>
      <c r="F345" s="31">
        <f>IF($C345="","",MAX(0,$C345-$E345))</f>
        <v/>
      </c>
      <c r="G345" s="31">
        <f>IF(OR($E345="",$D345=""),"", $E345+$D345)</f>
        <v/>
      </c>
      <c r="H345" s="31">
        <f>IF(OR($A345="",$B345=""),"",SUMIFS(QuickLog!$L$2:$L$1000,QuickLog!$B$2:$B$1000,$B345,QuickLog!$O$2:$O$1000,$A345))</f>
        <v/>
      </c>
      <c r="I345" s="32">
        <f>IF($H345="","",$H345)</f>
        <v/>
      </c>
    </row>
    <row r="346">
      <c r="A346" s="29" t="n"/>
      <c r="B346" s="31" t="n"/>
      <c r="C346" s="31">
        <f>IF(OR($A346="",$B346=""),"",SUMIFS(QuickLog!$K$2:$K$1000,QuickLog!$B$2:$B$1000,$B346,QuickLog!$O$2:$O$1000,$A346,QuickLog!$G$2:$G$1000,"Routine"))</f>
        <v/>
      </c>
      <c r="D346" s="31">
        <f>IF(OR($A346="",$B346=""),"",SUMIFS(QuickLog!$K$2:$K$1000,QuickLog!$B$2:$B$1000,$B346,QuickLog!$O$2:$O$1000,$A346,QuickLog!$G$2:$G$1000,"&lt;&gt;Routine"))</f>
        <v/>
      </c>
      <c r="E346" s="31">
        <f>IF($C346="","",MIN($C346,Settings!$B$2))</f>
        <v/>
      </c>
      <c r="F346" s="31">
        <f>IF($C346="","",MAX(0,$C346-$E346))</f>
        <v/>
      </c>
      <c r="G346" s="31">
        <f>IF(OR($E346="",$D346=""),"", $E346+$D346)</f>
        <v/>
      </c>
      <c r="H346" s="31">
        <f>IF(OR($A346="",$B346=""),"",SUMIFS(QuickLog!$L$2:$L$1000,QuickLog!$B$2:$B$1000,$B346,QuickLog!$O$2:$O$1000,$A346))</f>
        <v/>
      </c>
      <c r="I346" s="32">
        <f>IF($H346="","",$H346)</f>
        <v/>
      </c>
    </row>
    <row r="347">
      <c r="A347" s="29" t="n"/>
      <c r="B347" s="31" t="n"/>
      <c r="C347" s="31">
        <f>IF(OR($A347="",$B347=""),"",SUMIFS(QuickLog!$K$2:$K$1000,QuickLog!$B$2:$B$1000,$B347,QuickLog!$O$2:$O$1000,$A347,QuickLog!$G$2:$G$1000,"Routine"))</f>
        <v/>
      </c>
      <c r="D347" s="31">
        <f>IF(OR($A347="",$B347=""),"",SUMIFS(QuickLog!$K$2:$K$1000,QuickLog!$B$2:$B$1000,$B347,QuickLog!$O$2:$O$1000,$A347,QuickLog!$G$2:$G$1000,"&lt;&gt;Routine"))</f>
        <v/>
      </c>
      <c r="E347" s="31">
        <f>IF($C347="","",MIN($C347,Settings!$B$2))</f>
        <v/>
      </c>
      <c r="F347" s="31">
        <f>IF($C347="","",MAX(0,$C347-$E347))</f>
        <v/>
      </c>
      <c r="G347" s="31">
        <f>IF(OR($E347="",$D347=""),"", $E347+$D347)</f>
        <v/>
      </c>
      <c r="H347" s="31">
        <f>IF(OR($A347="",$B347=""),"",SUMIFS(QuickLog!$L$2:$L$1000,QuickLog!$B$2:$B$1000,$B347,QuickLog!$O$2:$O$1000,$A347))</f>
        <v/>
      </c>
      <c r="I347" s="32">
        <f>IF($H347="","",$H347)</f>
        <v/>
      </c>
    </row>
    <row r="348">
      <c r="A348" s="29" t="n"/>
      <c r="B348" s="31" t="n"/>
      <c r="C348" s="31">
        <f>IF(OR($A348="",$B348=""),"",SUMIFS(QuickLog!$K$2:$K$1000,QuickLog!$B$2:$B$1000,$B348,QuickLog!$O$2:$O$1000,$A348,QuickLog!$G$2:$G$1000,"Routine"))</f>
        <v/>
      </c>
      <c r="D348" s="31">
        <f>IF(OR($A348="",$B348=""),"",SUMIFS(QuickLog!$K$2:$K$1000,QuickLog!$B$2:$B$1000,$B348,QuickLog!$O$2:$O$1000,$A348,QuickLog!$G$2:$G$1000,"&lt;&gt;Routine"))</f>
        <v/>
      </c>
      <c r="E348" s="31">
        <f>IF($C348="","",MIN($C348,Settings!$B$2))</f>
        <v/>
      </c>
      <c r="F348" s="31">
        <f>IF($C348="","",MAX(0,$C348-$E348))</f>
        <v/>
      </c>
      <c r="G348" s="31">
        <f>IF(OR($E348="",$D348=""),"", $E348+$D348)</f>
        <v/>
      </c>
      <c r="H348" s="31">
        <f>IF(OR($A348="",$B348=""),"",SUMIFS(QuickLog!$L$2:$L$1000,QuickLog!$B$2:$B$1000,$B348,QuickLog!$O$2:$O$1000,$A348))</f>
        <v/>
      </c>
      <c r="I348" s="32">
        <f>IF($H348="","",$H348)</f>
        <v/>
      </c>
    </row>
    <row r="349">
      <c r="A349" s="29" t="n"/>
      <c r="B349" s="31" t="n"/>
      <c r="C349" s="31">
        <f>IF(OR($A349="",$B349=""),"",SUMIFS(QuickLog!$K$2:$K$1000,QuickLog!$B$2:$B$1000,$B349,QuickLog!$O$2:$O$1000,$A349,QuickLog!$G$2:$G$1000,"Routine"))</f>
        <v/>
      </c>
      <c r="D349" s="31">
        <f>IF(OR($A349="",$B349=""),"",SUMIFS(QuickLog!$K$2:$K$1000,QuickLog!$B$2:$B$1000,$B349,QuickLog!$O$2:$O$1000,$A349,QuickLog!$G$2:$G$1000,"&lt;&gt;Routine"))</f>
        <v/>
      </c>
      <c r="E349" s="31">
        <f>IF($C349="","",MIN($C349,Settings!$B$2))</f>
        <v/>
      </c>
      <c r="F349" s="31">
        <f>IF($C349="","",MAX(0,$C349-$E349))</f>
        <v/>
      </c>
      <c r="G349" s="31">
        <f>IF(OR($E349="",$D349=""),"", $E349+$D349)</f>
        <v/>
      </c>
      <c r="H349" s="31">
        <f>IF(OR($A349="",$B349=""),"",SUMIFS(QuickLog!$L$2:$L$1000,QuickLog!$B$2:$B$1000,$B349,QuickLog!$O$2:$O$1000,$A349))</f>
        <v/>
      </c>
      <c r="I349" s="32">
        <f>IF($H349="","",$H349)</f>
        <v/>
      </c>
    </row>
    <row r="350">
      <c r="A350" s="29" t="n"/>
      <c r="B350" s="31" t="n"/>
      <c r="C350" s="31">
        <f>IF(OR($A350="",$B350=""),"",SUMIFS(QuickLog!$K$2:$K$1000,QuickLog!$B$2:$B$1000,$B350,QuickLog!$O$2:$O$1000,$A350,QuickLog!$G$2:$G$1000,"Routine"))</f>
        <v/>
      </c>
      <c r="D350" s="31">
        <f>IF(OR($A350="",$B350=""),"",SUMIFS(QuickLog!$K$2:$K$1000,QuickLog!$B$2:$B$1000,$B350,QuickLog!$O$2:$O$1000,$A350,QuickLog!$G$2:$G$1000,"&lt;&gt;Routine"))</f>
        <v/>
      </c>
      <c r="E350" s="31">
        <f>IF($C350="","",MIN($C350,Settings!$B$2))</f>
        <v/>
      </c>
      <c r="F350" s="31">
        <f>IF($C350="","",MAX(0,$C350-$E350))</f>
        <v/>
      </c>
      <c r="G350" s="31">
        <f>IF(OR($E350="",$D350=""),"", $E350+$D350)</f>
        <v/>
      </c>
      <c r="H350" s="31">
        <f>IF(OR($A350="",$B350=""),"",SUMIFS(QuickLog!$L$2:$L$1000,QuickLog!$B$2:$B$1000,$B350,QuickLog!$O$2:$O$1000,$A350))</f>
        <v/>
      </c>
      <c r="I350" s="32">
        <f>IF($H350="","",$H350)</f>
        <v/>
      </c>
    </row>
    <row r="351">
      <c r="A351" s="29" t="n"/>
      <c r="B351" s="31" t="n"/>
      <c r="C351" s="31">
        <f>IF(OR($A351="",$B351=""),"",SUMIFS(QuickLog!$K$2:$K$1000,QuickLog!$B$2:$B$1000,$B351,QuickLog!$O$2:$O$1000,$A351,QuickLog!$G$2:$G$1000,"Routine"))</f>
        <v/>
      </c>
      <c r="D351" s="31">
        <f>IF(OR($A351="",$B351=""),"",SUMIFS(QuickLog!$K$2:$K$1000,QuickLog!$B$2:$B$1000,$B351,QuickLog!$O$2:$O$1000,$A351,QuickLog!$G$2:$G$1000,"&lt;&gt;Routine"))</f>
        <v/>
      </c>
      <c r="E351" s="31">
        <f>IF($C351="","",MIN($C351,Settings!$B$2))</f>
        <v/>
      </c>
      <c r="F351" s="31">
        <f>IF($C351="","",MAX(0,$C351-$E351))</f>
        <v/>
      </c>
      <c r="G351" s="31">
        <f>IF(OR($E351="",$D351=""),"", $E351+$D351)</f>
        <v/>
      </c>
      <c r="H351" s="31">
        <f>IF(OR($A351="",$B351=""),"",SUMIFS(QuickLog!$L$2:$L$1000,QuickLog!$B$2:$B$1000,$B351,QuickLog!$O$2:$O$1000,$A351))</f>
        <v/>
      </c>
      <c r="I351" s="32">
        <f>IF($H351="","",$H351)</f>
        <v/>
      </c>
    </row>
    <row r="352">
      <c r="A352" s="29" t="n"/>
      <c r="B352" s="31" t="n"/>
      <c r="C352" s="31">
        <f>IF(OR($A352="",$B352=""),"",SUMIFS(QuickLog!$K$2:$K$1000,QuickLog!$B$2:$B$1000,$B352,QuickLog!$O$2:$O$1000,$A352,QuickLog!$G$2:$G$1000,"Routine"))</f>
        <v/>
      </c>
      <c r="D352" s="31">
        <f>IF(OR($A352="",$B352=""),"",SUMIFS(QuickLog!$K$2:$K$1000,QuickLog!$B$2:$B$1000,$B352,QuickLog!$O$2:$O$1000,$A352,QuickLog!$G$2:$G$1000,"&lt;&gt;Routine"))</f>
        <v/>
      </c>
      <c r="E352" s="31">
        <f>IF($C352="","",MIN($C352,Settings!$B$2))</f>
        <v/>
      </c>
      <c r="F352" s="31">
        <f>IF($C352="","",MAX(0,$C352-$E352))</f>
        <v/>
      </c>
      <c r="G352" s="31">
        <f>IF(OR($E352="",$D352=""),"", $E352+$D352)</f>
        <v/>
      </c>
      <c r="H352" s="31">
        <f>IF(OR($A352="",$B352=""),"",SUMIFS(QuickLog!$L$2:$L$1000,QuickLog!$B$2:$B$1000,$B352,QuickLog!$O$2:$O$1000,$A352))</f>
        <v/>
      </c>
      <c r="I352" s="32">
        <f>IF($H352="","",$H352)</f>
        <v/>
      </c>
    </row>
    <row r="353">
      <c r="A353" s="29" t="n"/>
      <c r="B353" s="31" t="n"/>
      <c r="C353" s="31">
        <f>IF(OR($A353="",$B353=""),"",SUMIFS(QuickLog!$K$2:$K$1000,QuickLog!$B$2:$B$1000,$B353,QuickLog!$O$2:$O$1000,$A353,QuickLog!$G$2:$G$1000,"Routine"))</f>
        <v/>
      </c>
      <c r="D353" s="31">
        <f>IF(OR($A353="",$B353=""),"",SUMIFS(QuickLog!$K$2:$K$1000,QuickLog!$B$2:$B$1000,$B353,QuickLog!$O$2:$O$1000,$A353,QuickLog!$G$2:$G$1000,"&lt;&gt;Routine"))</f>
        <v/>
      </c>
      <c r="E353" s="31">
        <f>IF($C353="","",MIN($C353,Settings!$B$2))</f>
        <v/>
      </c>
      <c r="F353" s="31">
        <f>IF($C353="","",MAX(0,$C353-$E353))</f>
        <v/>
      </c>
      <c r="G353" s="31">
        <f>IF(OR($E353="",$D353=""),"", $E353+$D353)</f>
        <v/>
      </c>
      <c r="H353" s="31">
        <f>IF(OR($A353="",$B353=""),"",SUMIFS(QuickLog!$L$2:$L$1000,QuickLog!$B$2:$B$1000,$B353,QuickLog!$O$2:$O$1000,$A353))</f>
        <v/>
      </c>
      <c r="I353" s="32">
        <f>IF($H353="","",$H353)</f>
        <v/>
      </c>
    </row>
    <row r="354">
      <c r="A354" s="29" t="n"/>
      <c r="B354" s="31" t="n"/>
      <c r="C354" s="31">
        <f>IF(OR($A354="",$B354=""),"",SUMIFS(QuickLog!$K$2:$K$1000,QuickLog!$B$2:$B$1000,$B354,QuickLog!$O$2:$O$1000,$A354,QuickLog!$G$2:$G$1000,"Routine"))</f>
        <v/>
      </c>
      <c r="D354" s="31">
        <f>IF(OR($A354="",$B354=""),"",SUMIFS(QuickLog!$K$2:$K$1000,QuickLog!$B$2:$B$1000,$B354,QuickLog!$O$2:$O$1000,$A354,QuickLog!$G$2:$G$1000,"&lt;&gt;Routine"))</f>
        <v/>
      </c>
      <c r="E354" s="31">
        <f>IF($C354="","",MIN($C354,Settings!$B$2))</f>
        <v/>
      </c>
      <c r="F354" s="31">
        <f>IF($C354="","",MAX(0,$C354-$E354))</f>
        <v/>
      </c>
      <c r="G354" s="31">
        <f>IF(OR($E354="",$D354=""),"", $E354+$D354)</f>
        <v/>
      </c>
      <c r="H354" s="31">
        <f>IF(OR($A354="",$B354=""),"",SUMIFS(QuickLog!$L$2:$L$1000,QuickLog!$B$2:$B$1000,$B354,QuickLog!$O$2:$O$1000,$A354))</f>
        <v/>
      </c>
      <c r="I354" s="32">
        <f>IF($H354="","",$H354)</f>
        <v/>
      </c>
    </row>
    <row r="355">
      <c r="A355" s="29" t="n"/>
      <c r="B355" s="31" t="n"/>
      <c r="C355" s="31">
        <f>IF(OR($A355="",$B355=""),"",SUMIFS(QuickLog!$K$2:$K$1000,QuickLog!$B$2:$B$1000,$B355,QuickLog!$O$2:$O$1000,$A355,QuickLog!$G$2:$G$1000,"Routine"))</f>
        <v/>
      </c>
      <c r="D355" s="31">
        <f>IF(OR($A355="",$B355=""),"",SUMIFS(QuickLog!$K$2:$K$1000,QuickLog!$B$2:$B$1000,$B355,QuickLog!$O$2:$O$1000,$A355,QuickLog!$G$2:$G$1000,"&lt;&gt;Routine"))</f>
        <v/>
      </c>
      <c r="E355" s="31">
        <f>IF($C355="","",MIN($C355,Settings!$B$2))</f>
        <v/>
      </c>
      <c r="F355" s="31">
        <f>IF($C355="","",MAX(0,$C355-$E355))</f>
        <v/>
      </c>
      <c r="G355" s="31">
        <f>IF(OR($E355="",$D355=""),"", $E355+$D355)</f>
        <v/>
      </c>
      <c r="H355" s="31">
        <f>IF(OR($A355="",$B355=""),"",SUMIFS(QuickLog!$L$2:$L$1000,QuickLog!$B$2:$B$1000,$B355,QuickLog!$O$2:$O$1000,$A355))</f>
        <v/>
      </c>
      <c r="I355" s="32">
        <f>IF($H355="","",$H355)</f>
        <v/>
      </c>
    </row>
    <row r="356">
      <c r="A356" s="29" t="n"/>
      <c r="B356" s="31" t="n"/>
      <c r="C356" s="31">
        <f>IF(OR($A356="",$B356=""),"",SUMIFS(QuickLog!$K$2:$K$1000,QuickLog!$B$2:$B$1000,$B356,QuickLog!$O$2:$O$1000,$A356,QuickLog!$G$2:$G$1000,"Routine"))</f>
        <v/>
      </c>
      <c r="D356" s="31">
        <f>IF(OR($A356="",$B356=""),"",SUMIFS(QuickLog!$K$2:$K$1000,QuickLog!$B$2:$B$1000,$B356,QuickLog!$O$2:$O$1000,$A356,QuickLog!$G$2:$G$1000,"&lt;&gt;Routine"))</f>
        <v/>
      </c>
      <c r="E356" s="31">
        <f>IF($C356="","",MIN($C356,Settings!$B$2))</f>
        <v/>
      </c>
      <c r="F356" s="31">
        <f>IF($C356="","",MAX(0,$C356-$E356))</f>
        <v/>
      </c>
      <c r="G356" s="31">
        <f>IF(OR($E356="",$D356=""),"", $E356+$D356)</f>
        <v/>
      </c>
      <c r="H356" s="31">
        <f>IF(OR($A356="",$B356=""),"",SUMIFS(QuickLog!$L$2:$L$1000,QuickLog!$B$2:$B$1000,$B356,QuickLog!$O$2:$O$1000,$A356))</f>
        <v/>
      </c>
      <c r="I356" s="32">
        <f>IF($H356="","",$H356)</f>
        <v/>
      </c>
    </row>
    <row r="357">
      <c r="A357" s="29" t="n"/>
      <c r="B357" s="31" t="n"/>
      <c r="C357" s="31">
        <f>IF(OR($A357="",$B357=""),"",SUMIFS(QuickLog!$K$2:$K$1000,QuickLog!$B$2:$B$1000,$B357,QuickLog!$O$2:$O$1000,$A357,QuickLog!$G$2:$G$1000,"Routine"))</f>
        <v/>
      </c>
      <c r="D357" s="31">
        <f>IF(OR($A357="",$B357=""),"",SUMIFS(QuickLog!$K$2:$K$1000,QuickLog!$B$2:$B$1000,$B357,QuickLog!$O$2:$O$1000,$A357,QuickLog!$G$2:$G$1000,"&lt;&gt;Routine"))</f>
        <v/>
      </c>
      <c r="E357" s="31">
        <f>IF($C357="","",MIN($C357,Settings!$B$2))</f>
        <v/>
      </c>
      <c r="F357" s="31">
        <f>IF($C357="","",MAX(0,$C357-$E357))</f>
        <v/>
      </c>
      <c r="G357" s="31">
        <f>IF(OR($E357="",$D357=""),"", $E357+$D357)</f>
        <v/>
      </c>
      <c r="H357" s="31">
        <f>IF(OR($A357="",$B357=""),"",SUMIFS(QuickLog!$L$2:$L$1000,QuickLog!$B$2:$B$1000,$B357,QuickLog!$O$2:$O$1000,$A357))</f>
        <v/>
      </c>
      <c r="I357" s="32">
        <f>IF($H357="","",$H357)</f>
        <v/>
      </c>
    </row>
    <row r="358">
      <c r="A358" s="29" t="n"/>
      <c r="B358" s="31" t="n"/>
      <c r="C358" s="31">
        <f>IF(OR($A358="",$B358=""),"",SUMIFS(QuickLog!$K$2:$K$1000,QuickLog!$B$2:$B$1000,$B358,QuickLog!$O$2:$O$1000,$A358,QuickLog!$G$2:$G$1000,"Routine"))</f>
        <v/>
      </c>
      <c r="D358" s="31">
        <f>IF(OR($A358="",$B358=""),"",SUMIFS(QuickLog!$K$2:$K$1000,QuickLog!$B$2:$B$1000,$B358,QuickLog!$O$2:$O$1000,$A358,QuickLog!$G$2:$G$1000,"&lt;&gt;Routine"))</f>
        <v/>
      </c>
      <c r="E358" s="31">
        <f>IF($C358="","",MIN($C358,Settings!$B$2))</f>
        <v/>
      </c>
      <c r="F358" s="31">
        <f>IF($C358="","",MAX(0,$C358-$E358))</f>
        <v/>
      </c>
      <c r="G358" s="31">
        <f>IF(OR($E358="",$D358=""),"", $E358+$D358)</f>
        <v/>
      </c>
      <c r="H358" s="31">
        <f>IF(OR($A358="",$B358=""),"",SUMIFS(QuickLog!$L$2:$L$1000,QuickLog!$B$2:$B$1000,$B358,QuickLog!$O$2:$O$1000,$A358))</f>
        <v/>
      </c>
      <c r="I358" s="32">
        <f>IF($H358="","",$H358)</f>
        <v/>
      </c>
    </row>
    <row r="359">
      <c r="A359" s="29" t="n"/>
      <c r="B359" s="31" t="n"/>
      <c r="C359" s="31">
        <f>IF(OR($A359="",$B359=""),"",SUMIFS(QuickLog!$K$2:$K$1000,QuickLog!$B$2:$B$1000,$B359,QuickLog!$O$2:$O$1000,$A359,QuickLog!$G$2:$G$1000,"Routine"))</f>
        <v/>
      </c>
      <c r="D359" s="31">
        <f>IF(OR($A359="",$B359=""),"",SUMIFS(QuickLog!$K$2:$K$1000,QuickLog!$B$2:$B$1000,$B359,QuickLog!$O$2:$O$1000,$A359,QuickLog!$G$2:$G$1000,"&lt;&gt;Routine"))</f>
        <v/>
      </c>
      <c r="E359" s="31">
        <f>IF($C359="","",MIN($C359,Settings!$B$2))</f>
        <v/>
      </c>
      <c r="F359" s="31">
        <f>IF($C359="","",MAX(0,$C359-$E359))</f>
        <v/>
      </c>
      <c r="G359" s="31">
        <f>IF(OR($E359="",$D359=""),"", $E359+$D359)</f>
        <v/>
      </c>
      <c r="H359" s="31">
        <f>IF(OR($A359="",$B359=""),"",SUMIFS(QuickLog!$L$2:$L$1000,QuickLog!$B$2:$B$1000,$B359,QuickLog!$O$2:$O$1000,$A359))</f>
        <v/>
      </c>
      <c r="I359" s="32">
        <f>IF($H359="","",$H359)</f>
        <v/>
      </c>
    </row>
    <row r="360">
      <c r="A360" s="29" t="n"/>
      <c r="B360" s="31" t="n"/>
      <c r="C360" s="31">
        <f>IF(OR($A360="",$B360=""),"",SUMIFS(QuickLog!$K$2:$K$1000,QuickLog!$B$2:$B$1000,$B360,QuickLog!$O$2:$O$1000,$A360,QuickLog!$G$2:$G$1000,"Routine"))</f>
        <v/>
      </c>
      <c r="D360" s="31">
        <f>IF(OR($A360="",$B360=""),"",SUMIFS(QuickLog!$K$2:$K$1000,QuickLog!$B$2:$B$1000,$B360,QuickLog!$O$2:$O$1000,$A360,QuickLog!$G$2:$G$1000,"&lt;&gt;Routine"))</f>
        <v/>
      </c>
      <c r="E360" s="31">
        <f>IF($C360="","",MIN($C360,Settings!$B$2))</f>
        <v/>
      </c>
      <c r="F360" s="31">
        <f>IF($C360="","",MAX(0,$C360-$E360))</f>
        <v/>
      </c>
      <c r="G360" s="31">
        <f>IF(OR($E360="",$D360=""),"", $E360+$D360)</f>
        <v/>
      </c>
      <c r="H360" s="31">
        <f>IF(OR($A360="",$B360=""),"",SUMIFS(QuickLog!$L$2:$L$1000,QuickLog!$B$2:$B$1000,$B360,QuickLog!$O$2:$O$1000,$A360))</f>
        <v/>
      </c>
      <c r="I360" s="32">
        <f>IF($H360="","",$H360)</f>
        <v/>
      </c>
    </row>
    <row r="361">
      <c r="A361" s="29" t="n"/>
      <c r="B361" s="31" t="n"/>
      <c r="C361" s="31">
        <f>IF(OR($A361="",$B361=""),"",SUMIFS(QuickLog!$K$2:$K$1000,QuickLog!$B$2:$B$1000,$B361,QuickLog!$O$2:$O$1000,$A361,QuickLog!$G$2:$G$1000,"Routine"))</f>
        <v/>
      </c>
      <c r="D361" s="31">
        <f>IF(OR($A361="",$B361=""),"",SUMIFS(QuickLog!$K$2:$K$1000,QuickLog!$B$2:$B$1000,$B361,QuickLog!$O$2:$O$1000,$A361,QuickLog!$G$2:$G$1000,"&lt;&gt;Routine"))</f>
        <v/>
      </c>
      <c r="E361" s="31">
        <f>IF($C361="","",MIN($C361,Settings!$B$2))</f>
        <v/>
      </c>
      <c r="F361" s="31">
        <f>IF($C361="","",MAX(0,$C361-$E361))</f>
        <v/>
      </c>
      <c r="G361" s="31">
        <f>IF(OR($E361="",$D361=""),"", $E361+$D361)</f>
        <v/>
      </c>
      <c r="H361" s="31">
        <f>IF(OR($A361="",$B361=""),"",SUMIFS(QuickLog!$L$2:$L$1000,QuickLog!$B$2:$B$1000,$B361,QuickLog!$O$2:$O$1000,$A361))</f>
        <v/>
      </c>
      <c r="I361" s="32">
        <f>IF($H361="","",$H361)</f>
        <v/>
      </c>
    </row>
    <row r="362">
      <c r="A362" s="29" t="n"/>
      <c r="B362" s="31" t="n"/>
      <c r="C362" s="31">
        <f>IF(OR($A362="",$B362=""),"",SUMIFS(QuickLog!$K$2:$K$1000,QuickLog!$B$2:$B$1000,$B362,QuickLog!$O$2:$O$1000,$A362,QuickLog!$G$2:$G$1000,"Routine"))</f>
        <v/>
      </c>
      <c r="D362" s="31">
        <f>IF(OR($A362="",$B362=""),"",SUMIFS(QuickLog!$K$2:$K$1000,QuickLog!$B$2:$B$1000,$B362,QuickLog!$O$2:$O$1000,$A362,QuickLog!$G$2:$G$1000,"&lt;&gt;Routine"))</f>
        <v/>
      </c>
      <c r="E362" s="31">
        <f>IF($C362="","",MIN($C362,Settings!$B$2))</f>
        <v/>
      </c>
      <c r="F362" s="31">
        <f>IF($C362="","",MAX(0,$C362-$E362))</f>
        <v/>
      </c>
      <c r="G362" s="31">
        <f>IF(OR($E362="",$D362=""),"", $E362+$D362)</f>
        <v/>
      </c>
      <c r="H362" s="31">
        <f>IF(OR($A362="",$B362=""),"",SUMIFS(QuickLog!$L$2:$L$1000,QuickLog!$B$2:$B$1000,$B362,QuickLog!$O$2:$O$1000,$A362))</f>
        <v/>
      </c>
      <c r="I362" s="32">
        <f>IF($H362="","",$H362)</f>
        <v/>
      </c>
    </row>
    <row r="363">
      <c r="A363" s="29" t="n"/>
      <c r="B363" s="31" t="n"/>
      <c r="C363" s="31">
        <f>IF(OR($A363="",$B363=""),"",SUMIFS(QuickLog!$K$2:$K$1000,QuickLog!$B$2:$B$1000,$B363,QuickLog!$O$2:$O$1000,$A363,QuickLog!$G$2:$G$1000,"Routine"))</f>
        <v/>
      </c>
      <c r="D363" s="31">
        <f>IF(OR($A363="",$B363=""),"",SUMIFS(QuickLog!$K$2:$K$1000,QuickLog!$B$2:$B$1000,$B363,QuickLog!$O$2:$O$1000,$A363,QuickLog!$G$2:$G$1000,"&lt;&gt;Routine"))</f>
        <v/>
      </c>
      <c r="E363" s="31">
        <f>IF($C363="","",MIN($C363,Settings!$B$2))</f>
        <v/>
      </c>
      <c r="F363" s="31">
        <f>IF($C363="","",MAX(0,$C363-$E363))</f>
        <v/>
      </c>
      <c r="G363" s="31">
        <f>IF(OR($E363="",$D363=""),"", $E363+$D363)</f>
        <v/>
      </c>
      <c r="H363" s="31">
        <f>IF(OR($A363="",$B363=""),"",SUMIFS(QuickLog!$L$2:$L$1000,QuickLog!$B$2:$B$1000,$B363,QuickLog!$O$2:$O$1000,$A363))</f>
        <v/>
      </c>
      <c r="I363" s="32">
        <f>IF($H363="","",$H363)</f>
        <v/>
      </c>
    </row>
    <row r="364">
      <c r="A364" s="29" t="n"/>
      <c r="B364" s="31" t="n"/>
      <c r="C364" s="31">
        <f>IF(OR($A364="",$B364=""),"",SUMIFS(QuickLog!$K$2:$K$1000,QuickLog!$B$2:$B$1000,$B364,QuickLog!$O$2:$O$1000,$A364,QuickLog!$G$2:$G$1000,"Routine"))</f>
        <v/>
      </c>
      <c r="D364" s="31">
        <f>IF(OR($A364="",$B364=""),"",SUMIFS(QuickLog!$K$2:$K$1000,QuickLog!$B$2:$B$1000,$B364,QuickLog!$O$2:$O$1000,$A364,QuickLog!$G$2:$G$1000,"&lt;&gt;Routine"))</f>
        <v/>
      </c>
      <c r="E364" s="31">
        <f>IF($C364="","",MIN($C364,Settings!$B$2))</f>
        <v/>
      </c>
      <c r="F364" s="31">
        <f>IF($C364="","",MAX(0,$C364-$E364))</f>
        <v/>
      </c>
      <c r="G364" s="31">
        <f>IF(OR($E364="",$D364=""),"", $E364+$D364)</f>
        <v/>
      </c>
      <c r="H364" s="31">
        <f>IF(OR($A364="",$B364=""),"",SUMIFS(QuickLog!$L$2:$L$1000,QuickLog!$B$2:$B$1000,$B364,QuickLog!$O$2:$O$1000,$A364))</f>
        <v/>
      </c>
      <c r="I364" s="32">
        <f>IF($H364="","",$H364)</f>
        <v/>
      </c>
    </row>
    <row r="365">
      <c r="A365" s="29" t="n"/>
      <c r="B365" s="31" t="n"/>
      <c r="C365" s="31">
        <f>IF(OR($A365="",$B365=""),"",SUMIFS(QuickLog!$K$2:$K$1000,QuickLog!$B$2:$B$1000,$B365,QuickLog!$O$2:$O$1000,$A365,QuickLog!$G$2:$G$1000,"Routine"))</f>
        <v/>
      </c>
      <c r="D365" s="31">
        <f>IF(OR($A365="",$B365=""),"",SUMIFS(QuickLog!$K$2:$K$1000,QuickLog!$B$2:$B$1000,$B365,QuickLog!$O$2:$O$1000,$A365,QuickLog!$G$2:$G$1000,"&lt;&gt;Routine"))</f>
        <v/>
      </c>
      <c r="E365" s="31">
        <f>IF($C365="","",MIN($C365,Settings!$B$2))</f>
        <v/>
      </c>
      <c r="F365" s="31">
        <f>IF($C365="","",MAX(0,$C365-$E365))</f>
        <v/>
      </c>
      <c r="G365" s="31">
        <f>IF(OR($E365="",$D365=""),"", $E365+$D365)</f>
        <v/>
      </c>
      <c r="H365" s="31">
        <f>IF(OR($A365="",$B365=""),"",SUMIFS(QuickLog!$L$2:$L$1000,QuickLog!$B$2:$B$1000,$B365,QuickLog!$O$2:$O$1000,$A365))</f>
        <v/>
      </c>
      <c r="I365" s="32">
        <f>IF($H365="","",$H365)</f>
        <v/>
      </c>
    </row>
    <row r="366">
      <c r="A366" s="29" t="n"/>
      <c r="B366" s="31" t="n"/>
      <c r="C366" s="31">
        <f>IF(OR($A366="",$B366=""),"",SUMIFS(QuickLog!$K$2:$K$1000,QuickLog!$B$2:$B$1000,$B366,QuickLog!$O$2:$O$1000,$A366,QuickLog!$G$2:$G$1000,"Routine"))</f>
        <v/>
      </c>
      <c r="D366" s="31">
        <f>IF(OR($A366="",$B366=""),"",SUMIFS(QuickLog!$K$2:$K$1000,QuickLog!$B$2:$B$1000,$B366,QuickLog!$O$2:$O$1000,$A366,QuickLog!$G$2:$G$1000,"&lt;&gt;Routine"))</f>
        <v/>
      </c>
      <c r="E366" s="31">
        <f>IF($C366="","",MIN($C366,Settings!$B$2))</f>
        <v/>
      </c>
      <c r="F366" s="31">
        <f>IF($C366="","",MAX(0,$C366-$E366))</f>
        <v/>
      </c>
      <c r="G366" s="31">
        <f>IF(OR($E366="",$D366=""),"", $E366+$D366)</f>
        <v/>
      </c>
      <c r="H366" s="31">
        <f>IF(OR($A366="",$B366=""),"",SUMIFS(QuickLog!$L$2:$L$1000,QuickLog!$B$2:$B$1000,$B366,QuickLog!$O$2:$O$1000,$A366))</f>
        <v/>
      </c>
      <c r="I366" s="32">
        <f>IF($H366="","",$H366)</f>
        <v/>
      </c>
    </row>
    <row r="367">
      <c r="A367" s="29" t="n"/>
      <c r="B367" s="31" t="n"/>
      <c r="C367" s="31">
        <f>IF(OR($A367="",$B367=""),"",SUMIFS(QuickLog!$K$2:$K$1000,QuickLog!$B$2:$B$1000,$B367,QuickLog!$O$2:$O$1000,$A367,QuickLog!$G$2:$G$1000,"Routine"))</f>
        <v/>
      </c>
      <c r="D367" s="31">
        <f>IF(OR($A367="",$B367=""),"",SUMIFS(QuickLog!$K$2:$K$1000,QuickLog!$B$2:$B$1000,$B367,QuickLog!$O$2:$O$1000,$A367,QuickLog!$G$2:$G$1000,"&lt;&gt;Routine"))</f>
        <v/>
      </c>
      <c r="E367" s="31">
        <f>IF($C367="","",MIN($C367,Settings!$B$2))</f>
        <v/>
      </c>
      <c r="F367" s="31">
        <f>IF($C367="","",MAX(0,$C367-$E367))</f>
        <v/>
      </c>
      <c r="G367" s="31">
        <f>IF(OR($E367="",$D367=""),"", $E367+$D367)</f>
        <v/>
      </c>
      <c r="H367" s="31">
        <f>IF(OR($A367="",$B367=""),"",SUMIFS(QuickLog!$L$2:$L$1000,QuickLog!$B$2:$B$1000,$B367,QuickLog!$O$2:$O$1000,$A367))</f>
        <v/>
      </c>
      <c r="I367" s="32">
        <f>IF($H367="","",$H367)</f>
        <v/>
      </c>
    </row>
    <row r="368">
      <c r="A368" s="29" t="n"/>
      <c r="B368" s="31" t="n"/>
      <c r="C368" s="31">
        <f>IF(OR($A368="",$B368=""),"",SUMIFS(QuickLog!$K$2:$K$1000,QuickLog!$B$2:$B$1000,$B368,QuickLog!$O$2:$O$1000,$A368,QuickLog!$G$2:$G$1000,"Routine"))</f>
        <v/>
      </c>
      <c r="D368" s="31">
        <f>IF(OR($A368="",$B368=""),"",SUMIFS(QuickLog!$K$2:$K$1000,QuickLog!$B$2:$B$1000,$B368,QuickLog!$O$2:$O$1000,$A368,QuickLog!$G$2:$G$1000,"&lt;&gt;Routine"))</f>
        <v/>
      </c>
      <c r="E368" s="31">
        <f>IF($C368="","",MIN($C368,Settings!$B$2))</f>
        <v/>
      </c>
      <c r="F368" s="31">
        <f>IF($C368="","",MAX(0,$C368-$E368))</f>
        <v/>
      </c>
      <c r="G368" s="31">
        <f>IF(OR($E368="",$D368=""),"", $E368+$D368)</f>
        <v/>
      </c>
      <c r="H368" s="31">
        <f>IF(OR($A368="",$B368=""),"",SUMIFS(QuickLog!$L$2:$L$1000,QuickLog!$B$2:$B$1000,$B368,QuickLog!$O$2:$O$1000,$A368))</f>
        <v/>
      </c>
      <c r="I368" s="32">
        <f>IF($H368="","",$H368)</f>
        <v/>
      </c>
    </row>
    <row r="369">
      <c r="A369" s="29" t="n"/>
      <c r="B369" s="31" t="n"/>
      <c r="C369" s="31">
        <f>IF(OR($A369="",$B369=""),"",SUMIFS(QuickLog!$K$2:$K$1000,QuickLog!$B$2:$B$1000,$B369,QuickLog!$O$2:$O$1000,$A369,QuickLog!$G$2:$G$1000,"Routine"))</f>
        <v/>
      </c>
      <c r="D369" s="31">
        <f>IF(OR($A369="",$B369=""),"",SUMIFS(QuickLog!$K$2:$K$1000,QuickLog!$B$2:$B$1000,$B369,QuickLog!$O$2:$O$1000,$A369,QuickLog!$G$2:$G$1000,"&lt;&gt;Routine"))</f>
        <v/>
      </c>
      <c r="E369" s="31">
        <f>IF($C369="","",MIN($C369,Settings!$B$2))</f>
        <v/>
      </c>
      <c r="F369" s="31">
        <f>IF($C369="","",MAX(0,$C369-$E369))</f>
        <v/>
      </c>
      <c r="G369" s="31">
        <f>IF(OR($E369="",$D369=""),"", $E369+$D369)</f>
        <v/>
      </c>
      <c r="H369" s="31">
        <f>IF(OR($A369="",$B369=""),"",SUMIFS(QuickLog!$L$2:$L$1000,QuickLog!$B$2:$B$1000,$B369,QuickLog!$O$2:$O$1000,$A369))</f>
        <v/>
      </c>
      <c r="I369" s="32">
        <f>IF($H369="","",$H369)</f>
        <v/>
      </c>
    </row>
    <row r="370">
      <c r="A370" s="29" t="n"/>
      <c r="B370" s="31" t="n"/>
      <c r="C370" s="31">
        <f>IF(OR($A370="",$B370=""),"",SUMIFS(QuickLog!$K$2:$K$1000,QuickLog!$B$2:$B$1000,$B370,QuickLog!$O$2:$O$1000,$A370,QuickLog!$G$2:$G$1000,"Routine"))</f>
        <v/>
      </c>
      <c r="D370" s="31">
        <f>IF(OR($A370="",$B370=""),"",SUMIFS(QuickLog!$K$2:$K$1000,QuickLog!$B$2:$B$1000,$B370,QuickLog!$O$2:$O$1000,$A370,QuickLog!$G$2:$G$1000,"&lt;&gt;Routine"))</f>
        <v/>
      </c>
      <c r="E370" s="31">
        <f>IF($C370="","",MIN($C370,Settings!$B$2))</f>
        <v/>
      </c>
      <c r="F370" s="31">
        <f>IF($C370="","",MAX(0,$C370-$E370))</f>
        <v/>
      </c>
      <c r="G370" s="31">
        <f>IF(OR($E370="",$D370=""),"", $E370+$D370)</f>
        <v/>
      </c>
      <c r="H370" s="31">
        <f>IF(OR($A370="",$B370=""),"",SUMIFS(QuickLog!$L$2:$L$1000,QuickLog!$B$2:$B$1000,$B370,QuickLog!$O$2:$O$1000,$A370))</f>
        <v/>
      </c>
      <c r="I370" s="32">
        <f>IF($H370="","",$H370)</f>
        <v/>
      </c>
    </row>
    <row r="371">
      <c r="A371" s="29" t="n"/>
      <c r="B371" s="31" t="n"/>
      <c r="C371" s="31">
        <f>IF(OR($A371="",$B371=""),"",SUMIFS(QuickLog!$K$2:$K$1000,QuickLog!$B$2:$B$1000,$B371,QuickLog!$O$2:$O$1000,$A371,QuickLog!$G$2:$G$1000,"Routine"))</f>
        <v/>
      </c>
      <c r="D371" s="31">
        <f>IF(OR($A371="",$B371=""),"",SUMIFS(QuickLog!$K$2:$K$1000,QuickLog!$B$2:$B$1000,$B371,QuickLog!$O$2:$O$1000,$A371,QuickLog!$G$2:$G$1000,"&lt;&gt;Routine"))</f>
        <v/>
      </c>
      <c r="E371" s="31">
        <f>IF($C371="","",MIN($C371,Settings!$B$2))</f>
        <v/>
      </c>
      <c r="F371" s="31">
        <f>IF($C371="","",MAX(0,$C371-$E371))</f>
        <v/>
      </c>
      <c r="G371" s="31">
        <f>IF(OR($E371="",$D371=""),"", $E371+$D371)</f>
        <v/>
      </c>
      <c r="H371" s="31">
        <f>IF(OR($A371="",$B371=""),"",SUMIFS(QuickLog!$L$2:$L$1000,QuickLog!$B$2:$B$1000,$B371,QuickLog!$O$2:$O$1000,$A371))</f>
        <v/>
      </c>
      <c r="I371" s="32">
        <f>IF($H371="","",$H371)</f>
        <v/>
      </c>
    </row>
    <row r="372">
      <c r="A372" s="29" t="n"/>
      <c r="B372" s="31" t="n"/>
      <c r="C372" s="31">
        <f>IF(OR($A372="",$B372=""),"",SUMIFS(QuickLog!$K$2:$K$1000,QuickLog!$B$2:$B$1000,$B372,QuickLog!$O$2:$O$1000,$A372,QuickLog!$G$2:$G$1000,"Routine"))</f>
        <v/>
      </c>
      <c r="D372" s="31">
        <f>IF(OR($A372="",$B372=""),"",SUMIFS(QuickLog!$K$2:$K$1000,QuickLog!$B$2:$B$1000,$B372,QuickLog!$O$2:$O$1000,$A372,QuickLog!$G$2:$G$1000,"&lt;&gt;Routine"))</f>
        <v/>
      </c>
      <c r="E372" s="31">
        <f>IF($C372="","",MIN($C372,Settings!$B$2))</f>
        <v/>
      </c>
      <c r="F372" s="31">
        <f>IF($C372="","",MAX(0,$C372-$E372))</f>
        <v/>
      </c>
      <c r="G372" s="31">
        <f>IF(OR($E372="",$D372=""),"", $E372+$D372)</f>
        <v/>
      </c>
      <c r="H372" s="31">
        <f>IF(OR($A372="",$B372=""),"",SUMIFS(QuickLog!$L$2:$L$1000,QuickLog!$B$2:$B$1000,$B372,QuickLog!$O$2:$O$1000,$A372))</f>
        <v/>
      </c>
      <c r="I372" s="32">
        <f>IF($H372="","",$H372)</f>
        <v/>
      </c>
    </row>
    <row r="373">
      <c r="A373" s="29" t="n"/>
      <c r="B373" s="31" t="n"/>
      <c r="C373" s="31">
        <f>IF(OR($A373="",$B373=""),"",SUMIFS(QuickLog!$K$2:$K$1000,QuickLog!$B$2:$B$1000,$B373,QuickLog!$O$2:$O$1000,$A373,QuickLog!$G$2:$G$1000,"Routine"))</f>
        <v/>
      </c>
      <c r="D373" s="31">
        <f>IF(OR($A373="",$B373=""),"",SUMIFS(QuickLog!$K$2:$K$1000,QuickLog!$B$2:$B$1000,$B373,QuickLog!$O$2:$O$1000,$A373,QuickLog!$G$2:$G$1000,"&lt;&gt;Routine"))</f>
        <v/>
      </c>
      <c r="E373" s="31">
        <f>IF($C373="","",MIN($C373,Settings!$B$2))</f>
        <v/>
      </c>
      <c r="F373" s="31">
        <f>IF($C373="","",MAX(0,$C373-$E373))</f>
        <v/>
      </c>
      <c r="G373" s="31">
        <f>IF(OR($E373="",$D373=""),"", $E373+$D373)</f>
        <v/>
      </c>
      <c r="H373" s="31">
        <f>IF(OR($A373="",$B373=""),"",SUMIFS(QuickLog!$L$2:$L$1000,QuickLog!$B$2:$B$1000,$B373,QuickLog!$O$2:$O$1000,$A373))</f>
        <v/>
      </c>
      <c r="I373" s="32">
        <f>IF($H373="","",$H373)</f>
        <v/>
      </c>
    </row>
    <row r="374">
      <c r="A374" s="29" t="n"/>
      <c r="B374" s="31" t="n"/>
      <c r="C374" s="31">
        <f>IF(OR($A374="",$B374=""),"",SUMIFS(QuickLog!$K$2:$K$1000,QuickLog!$B$2:$B$1000,$B374,QuickLog!$O$2:$O$1000,$A374,QuickLog!$G$2:$G$1000,"Routine"))</f>
        <v/>
      </c>
      <c r="D374" s="31">
        <f>IF(OR($A374="",$B374=""),"",SUMIFS(QuickLog!$K$2:$K$1000,QuickLog!$B$2:$B$1000,$B374,QuickLog!$O$2:$O$1000,$A374,QuickLog!$G$2:$G$1000,"&lt;&gt;Routine"))</f>
        <v/>
      </c>
      <c r="E374" s="31">
        <f>IF($C374="","",MIN($C374,Settings!$B$2))</f>
        <v/>
      </c>
      <c r="F374" s="31">
        <f>IF($C374="","",MAX(0,$C374-$E374))</f>
        <v/>
      </c>
      <c r="G374" s="31">
        <f>IF(OR($E374="",$D374=""),"", $E374+$D374)</f>
        <v/>
      </c>
      <c r="H374" s="31">
        <f>IF(OR($A374="",$B374=""),"",SUMIFS(QuickLog!$L$2:$L$1000,QuickLog!$B$2:$B$1000,$B374,QuickLog!$O$2:$O$1000,$A374))</f>
        <v/>
      </c>
      <c r="I374" s="32">
        <f>IF($H374="","",$H374)</f>
        <v/>
      </c>
    </row>
    <row r="375">
      <c r="A375" s="29" t="n"/>
      <c r="B375" s="31" t="n"/>
      <c r="C375" s="31">
        <f>IF(OR($A375="",$B375=""),"",SUMIFS(QuickLog!$K$2:$K$1000,QuickLog!$B$2:$B$1000,$B375,QuickLog!$O$2:$O$1000,$A375,QuickLog!$G$2:$G$1000,"Routine"))</f>
        <v/>
      </c>
      <c r="D375" s="31">
        <f>IF(OR($A375="",$B375=""),"",SUMIFS(QuickLog!$K$2:$K$1000,QuickLog!$B$2:$B$1000,$B375,QuickLog!$O$2:$O$1000,$A375,QuickLog!$G$2:$G$1000,"&lt;&gt;Routine"))</f>
        <v/>
      </c>
      <c r="E375" s="31">
        <f>IF($C375="","",MIN($C375,Settings!$B$2))</f>
        <v/>
      </c>
      <c r="F375" s="31">
        <f>IF($C375="","",MAX(0,$C375-$E375))</f>
        <v/>
      </c>
      <c r="G375" s="31">
        <f>IF(OR($E375="",$D375=""),"", $E375+$D375)</f>
        <v/>
      </c>
      <c r="H375" s="31">
        <f>IF(OR($A375="",$B375=""),"",SUMIFS(QuickLog!$L$2:$L$1000,QuickLog!$B$2:$B$1000,$B375,QuickLog!$O$2:$O$1000,$A375))</f>
        <v/>
      </c>
      <c r="I375" s="32">
        <f>IF($H375="","",$H375)</f>
        <v/>
      </c>
    </row>
    <row r="376">
      <c r="A376" s="29" t="n"/>
      <c r="B376" s="31" t="n"/>
      <c r="C376" s="31">
        <f>IF(OR($A376="",$B376=""),"",SUMIFS(QuickLog!$K$2:$K$1000,QuickLog!$B$2:$B$1000,$B376,QuickLog!$O$2:$O$1000,$A376,QuickLog!$G$2:$G$1000,"Routine"))</f>
        <v/>
      </c>
      <c r="D376" s="31">
        <f>IF(OR($A376="",$B376=""),"",SUMIFS(QuickLog!$K$2:$K$1000,QuickLog!$B$2:$B$1000,$B376,QuickLog!$O$2:$O$1000,$A376,QuickLog!$G$2:$G$1000,"&lt;&gt;Routine"))</f>
        <v/>
      </c>
      <c r="E376" s="31">
        <f>IF($C376="","",MIN($C376,Settings!$B$2))</f>
        <v/>
      </c>
      <c r="F376" s="31">
        <f>IF($C376="","",MAX(0,$C376-$E376))</f>
        <v/>
      </c>
      <c r="G376" s="31">
        <f>IF(OR($E376="",$D376=""),"", $E376+$D376)</f>
        <v/>
      </c>
      <c r="H376" s="31">
        <f>IF(OR($A376="",$B376=""),"",SUMIFS(QuickLog!$L$2:$L$1000,QuickLog!$B$2:$B$1000,$B376,QuickLog!$O$2:$O$1000,$A376))</f>
        <v/>
      </c>
      <c r="I376" s="32">
        <f>IF($H376="","",$H376)</f>
        <v/>
      </c>
    </row>
    <row r="377">
      <c r="A377" s="29" t="n"/>
      <c r="B377" s="31" t="n"/>
      <c r="C377" s="31">
        <f>IF(OR($A377="",$B377=""),"",SUMIFS(QuickLog!$K$2:$K$1000,QuickLog!$B$2:$B$1000,$B377,QuickLog!$O$2:$O$1000,$A377,QuickLog!$G$2:$G$1000,"Routine"))</f>
        <v/>
      </c>
      <c r="D377" s="31">
        <f>IF(OR($A377="",$B377=""),"",SUMIFS(QuickLog!$K$2:$K$1000,QuickLog!$B$2:$B$1000,$B377,QuickLog!$O$2:$O$1000,$A377,QuickLog!$G$2:$G$1000,"&lt;&gt;Routine"))</f>
        <v/>
      </c>
      <c r="E377" s="31">
        <f>IF($C377="","",MIN($C377,Settings!$B$2))</f>
        <v/>
      </c>
      <c r="F377" s="31">
        <f>IF($C377="","",MAX(0,$C377-$E377))</f>
        <v/>
      </c>
      <c r="G377" s="31">
        <f>IF(OR($E377="",$D377=""),"", $E377+$D377)</f>
        <v/>
      </c>
      <c r="H377" s="31">
        <f>IF(OR($A377="",$B377=""),"",SUMIFS(QuickLog!$L$2:$L$1000,QuickLog!$B$2:$B$1000,$B377,QuickLog!$O$2:$O$1000,$A377))</f>
        <v/>
      </c>
      <c r="I377" s="32">
        <f>IF($H377="","",$H377)</f>
        <v/>
      </c>
    </row>
    <row r="378">
      <c r="A378" s="29" t="n"/>
      <c r="B378" s="31" t="n"/>
      <c r="C378" s="31">
        <f>IF(OR($A378="",$B378=""),"",SUMIFS(QuickLog!$K$2:$K$1000,QuickLog!$B$2:$B$1000,$B378,QuickLog!$O$2:$O$1000,$A378,QuickLog!$G$2:$G$1000,"Routine"))</f>
        <v/>
      </c>
      <c r="D378" s="31">
        <f>IF(OR($A378="",$B378=""),"",SUMIFS(QuickLog!$K$2:$K$1000,QuickLog!$B$2:$B$1000,$B378,QuickLog!$O$2:$O$1000,$A378,QuickLog!$G$2:$G$1000,"&lt;&gt;Routine"))</f>
        <v/>
      </c>
      <c r="E378" s="31">
        <f>IF($C378="","",MIN($C378,Settings!$B$2))</f>
        <v/>
      </c>
      <c r="F378" s="31">
        <f>IF($C378="","",MAX(0,$C378-$E378))</f>
        <v/>
      </c>
      <c r="G378" s="31">
        <f>IF(OR($E378="",$D378=""),"", $E378+$D378)</f>
        <v/>
      </c>
      <c r="H378" s="31">
        <f>IF(OR($A378="",$B378=""),"",SUMIFS(QuickLog!$L$2:$L$1000,QuickLog!$B$2:$B$1000,$B378,QuickLog!$O$2:$O$1000,$A378))</f>
        <v/>
      </c>
      <c r="I378" s="32">
        <f>IF($H378="","",$H378)</f>
        <v/>
      </c>
    </row>
    <row r="379">
      <c r="A379" s="29" t="n"/>
      <c r="B379" s="31" t="n"/>
      <c r="C379" s="31">
        <f>IF(OR($A379="",$B379=""),"",SUMIFS(QuickLog!$K$2:$K$1000,QuickLog!$B$2:$B$1000,$B379,QuickLog!$O$2:$O$1000,$A379,QuickLog!$G$2:$G$1000,"Routine"))</f>
        <v/>
      </c>
      <c r="D379" s="31">
        <f>IF(OR($A379="",$B379=""),"",SUMIFS(QuickLog!$K$2:$K$1000,QuickLog!$B$2:$B$1000,$B379,QuickLog!$O$2:$O$1000,$A379,QuickLog!$G$2:$G$1000,"&lt;&gt;Routine"))</f>
        <v/>
      </c>
      <c r="E379" s="31">
        <f>IF($C379="","",MIN($C379,Settings!$B$2))</f>
        <v/>
      </c>
      <c r="F379" s="31">
        <f>IF($C379="","",MAX(0,$C379-$E379))</f>
        <v/>
      </c>
      <c r="G379" s="31">
        <f>IF(OR($E379="",$D379=""),"", $E379+$D379)</f>
        <v/>
      </c>
      <c r="H379" s="31">
        <f>IF(OR($A379="",$B379=""),"",SUMIFS(QuickLog!$L$2:$L$1000,QuickLog!$B$2:$B$1000,$B379,QuickLog!$O$2:$O$1000,$A379))</f>
        <v/>
      </c>
      <c r="I379" s="32">
        <f>IF($H379="","",$H379)</f>
        <v/>
      </c>
    </row>
    <row r="380">
      <c r="A380" s="29" t="n"/>
      <c r="B380" s="31" t="n"/>
      <c r="C380" s="31">
        <f>IF(OR($A380="",$B380=""),"",SUMIFS(QuickLog!$K$2:$K$1000,QuickLog!$B$2:$B$1000,$B380,QuickLog!$O$2:$O$1000,$A380,QuickLog!$G$2:$G$1000,"Routine"))</f>
        <v/>
      </c>
      <c r="D380" s="31">
        <f>IF(OR($A380="",$B380=""),"",SUMIFS(QuickLog!$K$2:$K$1000,QuickLog!$B$2:$B$1000,$B380,QuickLog!$O$2:$O$1000,$A380,QuickLog!$G$2:$G$1000,"&lt;&gt;Routine"))</f>
        <v/>
      </c>
      <c r="E380" s="31">
        <f>IF($C380="","",MIN($C380,Settings!$B$2))</f>
        <v/>
      </c>
      <c r="F380" s="31">
        <f>IF($C380="","",MAX(0,$C380-$E380))</f>
        <v/>
      </c>
      <c r="G380" s="31">
        <f>IF(OR($E380="",$D380=""),"", $E380+$D380)</f>
        <v/>
      </c>
      <c r="H380" s="31">
        <f>IF(OR($A380="",$B380=""),"",SUMIFS(QuickLog!$L$2:$L$1000,QuickLog!$B$2:$B$1000,$B380,QuickLog!$O$2:$O$1000,$A380))</f>
        <v/>
      </c>
      <c r="I380" s="32">
        <f>IF($H380="","",$H380)</f>
        <v/>
      </c>
    </row>
    <row r="381">
      <c r="A381" s="29" t="n"/>
      <c r="B381" s="31" t="n"/>
      <c r="C381" s="31">
        <f>IF(OR($A381="",$B381=""),"",SUMIFS(QuickLog!$K$2:$K$1000,QuickLog!$B$2:$B$1000,$B381,QuickLog!$O$2:$O$1000,$A381,QuickLog!$G$2:$G$1000,"Routine"))</f>
        <v/>
      </c>
      <c r="D381" s="31">
        <f>IF(OR($A381="",$B381=""),"",SUMIFS(QuickLog!$K$2:$K$1000,QuickLog!$B$2:$B$1000,$B381,QuickLog!$O$2:$O$1000,$A381,QuickLog!$G$2:$G$1000,"&lt;&gt;Routine"))</f>
        <v/>
      </c>
      <c r="E381" s="31">
        <f>IF($C381="","",MIN($C381,Settings!$B$2))</f>
        <v/>
      </c>
      <c r="F381" s="31">
        <f>IF($C381="","",MAX(0,$C381-$E381))</f>
        <v/>
      </c>
      <c r="G381" s="31">
        <f>IF(OR($E381="",$D381=""),"", $E381+$D381)</f>
        <v/>
      </c>
      <c r="H381" s="31">
        <f>IF(OR($A381="",$B381=""),"",SUMIFS(QuickLog!$L$2:$L$1000,QuickLog!$B$2:$B$1000,$B381,QuickLog!$O$2:$O$1000,$A381))</f>
        <v/>
      </c>
      <c r="I381" s="32">
        <f>IF($H381="","",$H381)</f>
        <v/>
      </c>
    </row>
    <row r="382">
      <c r="A382" s="29" t="n"/>
      <c r="B382" s="31" t="n"/>
      <c r="C382" s="31">
        <f>IF(OR($A382="",$B382=""),"",SUMIFS(QuickLog!$K$2:$K$1000,QuickLog!$B$2:$B$1000,$B382,QuickLog!$O$2:$O$1000,$A382,QuickLog!$G$2:$G$1000,"Routine"))</f>
        <v/>
      </c>
      <c r="D382" s="31">
        <f>IF(OR($A382="",$B382=""),"",SUMIFS(QuickLog!$K$2:$K$1000,QuickLog!$B$2:$B$1000,$B382,QuickLog!$O$2:$O$1000,$A382,QuickLog!$G$2:$G$1000,"&lt;&gt;Routine"))</f>
        <v/>
      </c>
      <c r="E382" s="31">
        <f>IF($C382="","",MIN($C382,Settings!$B$2))</f>
        <v/>
      </c>
      <c r="F382" s="31">
        <f>IF($C382="","",MAX(0,$C382-$E382))</f>
        <v/>
      </c>
      <c r="G382" s="31">
        <f>IF(OR($E382="",$D382=""),"", $E382+$D382)</f>
        <v/>
      </c>
      <c r="H382" s="31">
        <f>IF(OR($A382="",$B382=""),"",SUMIFS(QuickLog!$L$2:$L$1000,QuickLog!$B$2:$B$1000,$B382,QuickLog!$O$2:$O$1000,$A382))</f>
        <v/>
      </c>
      <c r="I382" s="32">
        <f>IF($H382="","",$H382)</f>
        <v/>
      </c>
    </row>
    <row r="383">
      <c r="A383" s="29" t="n"/>
      <c r="B383" s="31" t="n"/>
      <c r="C383" s="31">
        <f>IF(OR($A383="",$B383=""),"",SUMIFS(QuickLog!$K$2:$K$1000,QuickLog!$B$2:$B$1000,$B383,QuickLog!$O$2:$O$1000,$A383,QuickLog!$G$2:$G$1000,"Routine"))</f>
        <v/>
      </c>
      <c r="D383" s="31">
        <f>IF(OR($A383="",$B383=""),"",SUMIFS(QuickLog!$K$2:$K$1000,QuickLog!$B$2:$B$1000,$B383,QuickLog!$O$2:$O$1000,$A383,QuickLog!$G$2:$G$1000,"&lt;&gt;Routine"))</f>
        <v/>
      </c>
      <c r="E383" s="31">
        <f>IF($C383="","",MIN($C383,Settings!$B$2))</f>
        <v/>
      </c>
      <c r="F383" s="31">
        <f>IF($C383="","",MAX(0,$C383-$E383))</f>
        <v/>
      </c>
      <c r="G383" s="31">
        <f>IF(OR($E383="",$D383=""),"", $E383+$D383)</f>
        <v/>
      </c>
      <c r="H383" s="31">
        <f>IF(OR($A383="",$B383=""),"",SUMIFS(QuickLog!$L$2:$L$1000,QuickLog!$B$2:$B$1000,$B383,QuickLog!$O$2:$O$1000,$A383))</f>
        <v/>
      </c>
      <c r="I383" s="32">
        <f>IF($H383="","",$H383)</f>
        <v/>
      </c>
    </row>
    <row r="384">
      <c r="A384" s="29" t="n"/>
      <c r="B384" s="31" t="n"/>
      <c r="C384" s="31">
        <f>IF(OR($A384="",$B384=""),"",SUMIFS(QuickLog!$K$2:$K$1000,QuickLog!$B$2:$B$1000,$B384,QuickLog!$O$2:$O$1000,$A384,QuickLog!$G$2:$G$1000,"Routine"))</f>
        <v/>
      </c>
      <c r="D384" s="31">
        <f>IF(OR($A384="",$B384=""),"",SUMIFS(QuickLog!$K$2:$K$1000,QuickLog!$B$2:$B$1000,$B384,QuickLog!$O$2:$O$1000,$A384,QuickLog!$G$2:$G$1000,"&lt;&gt;Routine"))</f>
        <v/>
      </c>
      <c r="E384" s="31">
        <f>IF($C384="","",MIN($C384,Settings!$B$2))</f>
        <v/>
      </c>
      <c r="F384" s="31">
        <f>IF($C384="","",MAX(0,$C384-$E384))</f>
        <v/>
      </c>
      <c r="G384" s="31">
        <f>IF(OR($E384="",$D384=""),"", $E384+$D384)</f>
        <v/>
      </c>
      <c r="H384" s="31">
        <f>IF(OR($A384="",$B384=""),"",SUMIFS(QuickLog!$L$2:$L$1000,QuickLog!$B$2:$B$1000,$B384,QuickLog!$O$2:$O$1000,$A384))</f>
        <v/>
      </c>
      <c r="I384" s="32">
        <f>IF($H384="","",$H384)</f>
        <v/>
      </c>
    </row>
    <row r="385">
      <c r="A385" s="29" t="n"/>
      <c r="B385" s="31" t="n"/>
      <c r="C385" s="31">
        <f>IF(OR($A385="",$B385=""),"",SUMIFS(QuickLog!$K$2:$K$1000,QuickLog!$B$2:$B$1000,$B385,QuickLog!$O$2:$O$1000,$A385,QuickLog!$G$2:$G$1000,"Routine"))</f>
        <v/>
      </c>
      <c r="D385" s="31">
        <f>IF(OR($A385="",$B385=""),"",SUMIFS(QuickLog!$K$2:$K$1000,QuickLog!$B$2:$B$1000,$B385,QuickLog!$O$2:$O$1000,$A385,QuickLog!$G$2:$G$1000,"&lt;&gt;Routine"))</f>
        <v/>
      </c>
      <c r="E385" s="31">
        <f>IF($C385="","",MIN($C385,Settings!$B$2))</f>
        <v/>
      </c>
      <c r="F385" s="31">
        <f>IF($C385="","",MAX(0,$C385-$E385))</f>
        <v/>
      </c>
      <c r="G385" s="31">
        <f>IF(OR($E385="",$D385=""),"", $E385+$D385)</f>
        <v/>
      </c>
      <c r="H385" s="31">
        <f>IF(OR($A385="",$B385=""),"",SUMIFS(QuickLog!$L$2:$L$1000,QuickLog!$B$2:$B$1000,$B385,QuickLog!$O$2:$O$1000,$A385))</f>
        <v/>
      </c>
      <c r="I385" s="32">
        <f>IF($H385="","",$H385)</f>
        <v/>
      </c>
    </row>
    <row r="386">
      <c r="A386" s="29" t="n"/>
      <c r="B386" s="31" t="n"/>
      <c r="C386" s="31">
        <f>IF(OR($A386="",$B386=""),"",SUMIFS(QuickLog!$K$2:$K$1000,QuickLog!$B$2:$B$1000,$B386,QuickLog!$O$2:$O$1000,$A386,QuickLog!$G$2:$G$1000,"Routine"))</f>
        <v/>
      </c>
      <c r="D386" s="31">
        <f>IF(OR($A386="",$B386=""),"",SUMIFS(QuickLog!$K$2:$K$1000,QuickLog!$B$2:$B$1000,$B386,QuickLog!$O$2:$O$1000,$A386,QuickLog!$G$2:$G$1000,"&lt;&gt;Routine"))</f>
        <v/>
      </c>
      <c r="E386" s="31">
        <f>IF($C386="","",MIN($C386,Settings!$B$2))</f>
        <v/>
      </c>
      <c r="F386" s="31">
        <f>IF($C386="","",MAX(0,$C386-$E386))</f>
        <v/>
      </c>
      <c r="G386" s="31">
        <f>IF(OR($E386="",$D386=""),"", $E386+$D386)</f>
        <v/>
      </c>
      <c r="H386" s="31">
        <f>IF(OR($A386="",$B386=""),"",SUMIFS(QuickLog!$L$2:$L$1000,QuickLog!$B$2:$B$1000,$B386,QuickLog!$O$2:$O$1000,$A386))</f>
        <v/>
      </c>
      <c r="I386" s="32">
        <f>IF($H386="","",$H386)</f>
        <v/>
      </c>
    </row>
    <row r="387">
      <c r="A387" s="29" t="n"/>
      <c r="B387" s="31" t="n"/>
      <c r="C387" s="31">
        <f>IF(OR($A387="",$B387=""),"",SUMIFS(QuickLog!$K$2:$K$1000,QuickLog!$B$2:$B$1000,$B387,QuickLog!$O$2:$O$1000,$A387,QuickLog!$G$2:$G$1000,"Routine"))</f>
        <v/>
      </c>
      <c r="D387" s="31">
        <f>IF(OR($A387="",$B387=""),"",SUMIFS(QuickLog!$K$2:$K$1000,QuickLog!$B$2:$B$1000,$B387,QuickLog!$O$2:$O$1000,$A387,QuickLog!$G$2:$G$1000,"&lt;&gt;Routine"))</f>
        <v/>
      </c>
      <c r="E387" s="31">
        <f>IF($C387="","",MIN($C387,Settings!$B$2))</f>
        <v/>
      </c>
      <c r="F387" s="31">
        <f>IF($C387="","",MAX(0,$C387-$E387))</f>
        <v/>
      </c>
      <c r="G387" s="31">
        <f>IF(OR($E387="",$D387=""),"", $E387+$D387)</f>
        <v/>
      </c>
      <c r="H387" s="31">
        <f>IF(OR($A387="",$B387=""),"",SUMIFS(QuickLog!$L$2:$L$1000,QuickLog!$B$2:$B$1000,$B387,QuickLog!$O$2:$O$1000,$A387))</f>
        <v/>
      </c>
      <c r="I387" s="32">
        <f>IF($H387="","",$H387)</f>
        <v/>
      </c>
    </row>
    <row r="388">
      <c r="A388" s="29" t="n"/>
      <c r="B388" s="31" t="n"/>
      <c r="C388" s="31">
        <f>IF(OR($A388="",$B388=""),"",SUMIFS(QuickLog!$K$2:$K$1000,QuickLog!$B$2:$B$1000,$B388,QuickLog!$O$2:$O$1000,$A388,QuickLog!$G$2:$G$1000,"Routine"))</f>
        <v/>
      </c>
      <c r="D388" s="31">
        <f>IF(OR($A388="",$B388=""),"",SUMIFS(QuickLog!$K$2:$K$1000,QuickLog!$B$2:$B$1000,$B388,QuickLog!$O$2:$O$1000,$A388,QuickLog!$G$2:$G$1000,"&lt;&gt;Routine"))</f>
        <v/>
      </c>
      <c r="E388" s="31">
        <f>IF($C388="","",MIN($C388,Settings!$B$2))</f>
        <v/>
      </c>
      <c r="F388" s="31">
        <f>IF($C388="","",MAX(0,$C388-$E388))</f>
        <v/>
      </c>
      <c r="G388" s="31">
        <f>IF(OR($E388="",$D388=""),"", $E388+$D388)</f>
        <v/>
      </c>
      <c r="H388" s="31">
        <f>IF(OR($A388="",$B388=""),"",SUMIFS(QuickLog!$L$2:$L$1000,QuickLog!$B$2:$B$1000,$B388,QuickLog!$O$2:$O$1000,$A388))</f>
        <v/>
      </c>
      <c r="I388" s="32">
        <f>IF($H388="","",$H388)</f>
        <v/>
      </c>
    </row>
    <row r="389">
      <c r="A389" s="29" t="n"/>
      <c r="B389" s="31" t="n"/>
      <c r="C389" s="31">
        <f>IF(OR($A389="",$B389=""),"",SUMIFS(QuickLog!$K$2:$K$1000,QuickLog!$B$2:$B$1000,$B389,QuickLog!$O$2:$O$1000,$A389,QuickLog!$G$2:$G$1000,"Routine"))</f>
        <v/>
      </c>
      <c r="D389" s="31">
        <f>IF(OR($A389="",$B389=""),"",SUMIFS(QuickLog!$K$2:$K$1000,QuickLog!$B$2:$B$1000,$B389,QuickLog!$O$2:$O$1000,$A389,QuickLog!$G$2:$G$1000,"&lt;&gt;Routine"))</f>
        <v/>
      </c>
      <c r="E389" s="31">
        <f>IF($C389="","",MIN($C389,Settings!$B$2))</f>
        <v/>
      </c>
      <c r="F389" s="31">
        <f>IF($C389="","",MAX(0,$C389-$E389))</f>
        <v/>
      </c>
      <c r="G389" s="31">
        <f>IF(OR($E389="",$D389=""),"", $E389+$D389)</f>
        <v/>
      </c>
      <c r="H389" s="31">
        <f>IF(OR($A389="",$B389=""),"",SUMIFS(QuickLog!$L$2:$L$1000,QuickLog!$B$2:$B$1000,$B389,QuickLog!$O$2:$O$1000,$A389))</f>
        <v/>
      </c>
      <c r="I389" s="32">
        <f>IF($H389="","",$H389)</f>
        <v/>
      </c>
    </row>
    <row r="390">
      <c r="A390" s="29" t="n"/>
      <c r="B390" s="31" t="n"/>
      <c r="C390" s="31">
        <f>IF(OR($A390="",$B390=""),"",SUMIFS(QuickLog!$K$2:$K$1000,QuickLog!$B$2:$B$1000,$B390,QuickLog!$O$2:$O$1000,$A390,QuickLog!$G$2:$G$1000,"Routine"))</f>
        <v/>
      </c>
      <c r="D390" s="31">
        <f>IF(OR($A390="",$B390=""),"",SUMIFS(QuickLog!$K$2:$K$1000,QuickLog!$B$2:$B$1000,$B390,QuickLog!$O$2:$O$1000,$A390,QuickLog!$G$2:$G$1000,"&lt;&gt;Routine"))</f>
        <v/>
      </c>
      <c r="E390" s="31">
        <f>IF($C390="","",MIN($C390,Settings!$B$2))</f>
        <v/>
      </c>
      <c r="F390" s="31">
        <f>IF($C390="","",MAX(0,$C390-$E390))</f>
        <v/>
      </c>
      <c r="G390" s="31">
        <f>IF(OR($E390="",$D390=""),"", $E390+$D390)</f>
        <v/>
      </c>
      <c r="H390" s="31">
        <f>IF(OR($A390="",$B390=""),"",SUMIFS(QuickLog!$L$2:$L$1000,QuickLog!$B$2:$B$1000,$B390,QuickLog!$O$2:$O$1000,$A390))</f>
        <v/>
      </c>
      <c r="I390" s="32">
        <f>IF($H390="","",$H390)</f>
        <v/>
      </c>
    </row>
    <row r="391">
      <c r="A391" s="29" t="n"/>
      <c r="B391" s="31" t="n"/>
      <c r="C391" s="31">
        <f>IF(OR($A391="",$B391=""),"",SUMIFS(QuickLog!$K$2:$K$1000,QuickLog!$B$2:$B$1000,$B391,QuickLog!$O$2:$O$1000,$A391,QuickLog!$G$2:$G$1000,"Routine"))</f>
        <v/>
      </c>
      <c r="D391" s="31">
        <f>IF(OR($A391="",$B391=""),"",SUMIFS(QuickLog!$K$2:$K$1000,QuickLog!$B$2:$B$1000,$B391,QuickLog!$O$2:$O$1000,$A391,QuickLog!$G$2:$G$1000,"&lt;&gt;Routine"))</f>
        <v/>
      </c>
      <c r="E391" s="31">
        <f>IF($C391="","",MIN($C391,Settings!$B$2))</f>
        <v/>
      </c>
      <c r="F391" s="31">
        <f>IF($C391="","",MAX(0,$C391-$E391))</f>
        <v/>
      </c>
      <c r="G391" s="31">
        <f>IF(OR($E391="",$D391=""),"", $E391+$D391)</f>
        <v/>
      </c>
      <c r="H391" s="31">
        <f>IF(OR($A391="",$B391=""),"",SUMIFS(QuickLog!$L$2:$L$1000,QuickLog!$B$2:$B$1000,$B391,QuickLog!$O$2:$O$1000,$A391))</f>
        <v/>
      </c>
      <c r="I391" s="32">
        <f>IF($H391="","",$H391)</f>
        <v/>
      </c>
    </row>
    <row r="392">
      <c r="A392" s="29" t="n"/>
      <c r="B392" s="31" t="n"/>
      <c r="C392" s="31">
        <f>IF(OR($A392="",$B392=""),"",SUMIFS(QuickLog!$K$2:$K$1000,QuickLog!$B$2:$B$1000,$B392,QuickLog!$O$2:$O$1000,$A392,QuickLog!$G$2:$G$1000,"Routine"))</f>
        <v/>
      </c>
      <c r="D392" s="31">
        <f>IF(OR($A392="",$B392=""),"",SUMIFS(QuickLog!$K$2:$K$1000,QuickLog!$B$2:$B$1000,$B392,QuickLog!$O$2:$O$1000,$A392,QuickLog!$G$2:$G$1000,"&lt;&gt;Routine"))</f>
        <v/>
      </c>
      <c r="E392" s="31">
        <f>IF($C392="","",MIN($C392,Settings!$B$2))</f>
        <v/>
      </c>
      <c r="F392" s="31">
        <f>IF($C392="","",MAX(0,$C392-$E392))</f>
        <v/>
      </c>
      <c r="G392" s="31">
        <f>IF(OR($E392="",$D392=""),"", $E392+$D392)</f>
        <v/>
      </c>
      <c r="H392" s="31">
        <f>IF(OR($A392="",$B392=""),"",SUMIFS(QuickLog!$L$2:$L$1000,QuickLog!$B$2:$B$1000,$B392,QuickLog!$O$2:$O$1000,$A392))</f>
        <v/>
      </c>
      <c r="I392" s="32">
        <f>IF($H392="","",$H392)</f>
        <v/>
      </c>
    </row>
    <row r="393">
      <c r="A393" s="29" t="n"/>
      <c r="B393" s="31" t="n"/>
      <c r="C393" s="31">
        <f>IF(OR($A393="",$B393=""),"",SUMIFS(QuickLog!$K$2:$K$1000,QuickLog!$B$2:$B$1000,$B393,QuickLog!$O$2:$O$1000,$A393,QuickLog!$G$2:$G$1000,"Routine"))</f>
        <v/>
      </c>
      <c r="D393" s="31">
        <f>IF(OR($A393="",$B393=""),"",SUMIFS(QuickLog!$K$2:$K$1000,QuickLog!$B$2:$B$1000,$B393,QuickLog!$O$2:$O$1000,$A393,QuickLog!$G$2:$G$1000,"&lt;&gt;Routine"))</f>
        <v/>
      </c>
      <c r="E393" s="31">
        <f>IF($C393="","",MIN($C393,Settings!$B$2))</f>
        <v/>
      </c>
      <c r="F393" s="31">
        <f>IF($C393="","",MAX(0,$C393-$E393))</f>
        <v/>
      </c>
      <c r="G393" s="31">
        <f>IF(OR($E393="",$D393=""),"", $E393+$D393)</f>
        <v/>
      </c>
      <c r="H393" s="31">
        <f>IF(OR($A393="",$B393=""),"",SUMIFS(QuickLog!$L$2:$L$1000,QuickLog!$B$2:$B$1000,$B393,QuickLog!$O$2:$O$1000,$A393))</f>
        <v/>
      </c>
      <c r="I393" s="32">
        <f>IF($H393="","",$H393)</f>
        <v/>
      </c>
    </row>
    <row r="394">
      <c r="A394" s="29" t="n"/>
      <c r="B394" s="31" t="n"/>
      <c r="C394" s="31">
        <f>IF(OR($A394="",$B394=""),"",SUMIFS(QuickLog!$K$2:$K$1000,QuickLog!$B$2:$B$1000,$B394,QuickLog!$O$2:$O$1000,$A394,QuickLog!$G$2:$G$1000,"Routine"))</f>
        <v/>
      </c>
      <c r="D394" s="31">
        <f>IF(OR($A394="",$B394=""),"",SUMIFS(QuickLog!$K$2:$K$1000,QuickLog!$B$2:$B$1000,$B394,QuickLog!$O$2:$O$1000,$A394,QuickLog!$G$2:$G$1000,"&lt;&gt;Routine"))</f>
        <v/>
      </c>
      <c r="E394" s="31">
        <f>IF($C394="","",MIN($C394,Settings!$B$2))</f>
        <v/>
      </c>
      <c r="F394" s="31">
        <f>IF($C394="","",MAX(0,$C394-$E394))</f>
        <v/>
      </c>
      <c r="G394" s="31">
        <f>IF(OR($E394="",$D394=""),"", $E394+$D394)</f>
        <v/>
      </c>
      <c r="H394" s="31">
        <f>IF(OR($A394="",$B394=""),"",SUMIFS(QuickLog!$L$2:$L$1000,QuickLog!$B$2:$B$1000,$B394,QuickLog!$O$2:$O$1000,$A394))</f>
        <v/>
      </c>
      <c r="I394" s="32">
        <f>IF($H394="","",$H394)</f>
        <v/>
      </c>
    </row>
    <row r="395">
      <c r="A395" s="29" t="n"/>
      <c r="B395" s="31" t="n"/>
      <c r="C395" s="31">
        <f>IF(OR($A395="",$B395=""),"",SUMIFS(QuickLog!$K$2:$K$1000,QuickLog!$B$2:$B$1000,$B395,QuickLog!$O$2:$O$1000,$A395,QuickLog!$G$2:$G$1000,"Routine"))</f>
        <v/>
      </c>
      <c r="D395" s="31">
        <f>IF(OR($A395="",$B395=""),"",SUMIFS(QuickLog!$K$2:$K$1000,QuickLog!$B$2:$B$1000,$B395,QuickLog!$O$2:$O$1000,$A395,QuickLog!$G$2:$G$1000,"&lt;&gt;Routine"))</f>
        <v/>
      </c>
      <c r="E395" s="31">
        <f>IF($C395="","",MIN($C395,Settings!$B$2))</f>
        <v/>
      </c>
      <c r="F395" s="31">
        <f>IF($C395="","",MAX(0,$C395-$E395))</f>
        <v/>
      </c>
      <c r="G395" s="31">
        <f>IF(OR($E395="",$D395=""),"", $E395+$D395)</f>
        <v/>
      </c>
      <c r="H395" s="31">
        <f>IF(OR($A395="",$B395=""),"",SUMIFS(QuickLog!$L$2:$L$1000,QuickLog!$B$2:$B$1000,$B395,QuickLog!$O$2:$O$1000,$A395))</f>
        <v/>
      </c>
      <c r="I395" s="32">
        <f>IF($H395="","",$H395)</f>
        <v/>
      </c>
    </row>
    <row r="396">
      <c r="A396" s="29" t="n"/>
      <c r="B396" s="31" t="n"/>
      <c r="C396" s="31">
        <f>IF(OR($A396="",$B396=""),"",SUMIFS(QuickLog!$K$2:$K$1000,QuickLog!$B$2:$B$1000,$B396,QuickLog!$O$2:$O$1000,$A396,QuickLog!$G$2:$G$1000,"Routine"))</f>
        <v/>
      </c>
      <c r="D396" s="31">
        <f>IF(OR($A396="",$B396=""),"",SUMIFS(QuickLog!$K$2:$K$1000,QuickLog!$B$2:$B$1000,$B396,QuickLog!$O$2:$O$1000,$A396,QuickLog!$G$2:$G$1000,"&lt;&gt;Routine"))</f>
        <v/>
      </c>
      <c r="E396" s="31">
        <f>IF($C396="","",MIN($C396,Settings!$B$2))</f>
        <v/>
      </c>
      <c r="F396" s="31">
        <f>IF($C396="","",MAX(0,$C396-$E396))</f>
        <v/>
      </c>
      <c r="G396" s="31">
        <f>IF(OR($E396="",$D396=""),"", $E396+$D396)</f>
        <v/>
      </c>
      <c r="H396" s="31">
        <f>IF(OR($A396="",$B396=""),"",SUMIFS(QuickLog!$L$2:$L$1000,QuickLog!$B$2:$B$1000,$B396,QuickLog!$O$2:$O$1000,$A396))</f>
        <v/>
      </c>
      <c r="I396" s="32">
        <f>IF($H396="","",$H396)</f>
        <v/>
      </c>
    </row>
    <row r="397">
      <c r="A397" s="29" t="n"/>
      <c r="B397" s="31" t="n"/>
      <c r="C397" s="31">
        <f>IF(OR($A397="",$B397=""),"",SUMIFS(QuickLog!$K$2:$K$1000,QuickLog!$B$2:$B$1000,$B397,QuickLog!$O$2:$O$1000,$A397,QuickLog!$G$2:$G$1000,"Routine"))</f>
        <v/>
      </c>
      <c r="D397" s="31">
        <f>IF(OR($A397="",$B397=""),"",SUMIFS(QuickLog!$K$2:$K$1000,QuickLog!$B$2:$B$1000,$B397,QuickLog!$O$2:$O$1000,$A397,QuickLog!$G$2:$G$1000,"&lt;&gt;Routine"))</f>
        <v/>
      </c>
      <c r="E397" s="31">
        <f>IF($C397="","",MIN($C397,Settings!$B$2))</f>
        <v/>
      </c>
      <c r="F397" s="31">
        <f>IF($C397="","",MAX(0,$C397-$E397))</f>
        <v/>
      </c>
      <c r="G397" s="31">
        <f>IF(OR($E397="",$D397=""),"", $E397+$D397)</f>
        <v/>
      </c>
      <c r="H397" s="31">
        <f>IF(OR($A397="",$B397=""),"",SUMIFS(QuickLog!$L$2:$L$1000,QuickLog!$B$2:$B$1000,$B397,QuickLog!$O$2:$O$1000,$A397))</f>
        <v/>
      </c>
      <c r="I397" s="32">
        <f>IF($H397="","",$H397)</f>
        <v/>
      </c>
    </row>
    <row r="398">
      <c r="A398" s="29" t="n"/>
      <c r="B398" s="31" t="n"/>
      <c r="C398" s="31">
        <f>IF(OR($A398="",$B398=""),"",SUMIFS(QuickLog!$K$2:$K$1000,QuickLog!$B$2:$B$1000,$B398,QuickLog!$O$2:$O$1000,$A398,QuickLog!$G$2:$G$1000,"Routine"))</f>
        <v/>
      </c>
      <c r="D398" s="31">
        <f>IF(OR($A398="",$B398=""),"",SUMIFS(QuickLog!$K$2:$K$1000,QuickLog!$B$2:$B$1000,$B398,QuickLog!$O$2:$O$1000,$A398,QuickLog!$G$2:$G$1000,"&lt;&gt;Routine"))</f>
        <v/>
      </c>
      <c r="E398" s="31">
        <f>IF($C398="","",MIN($C398,Settings!$B$2))</f>
        <v/>
      </c>
      <c r="F398" s="31">
        <f>IF($C398="","",MAX(0,$C398-$E398))</f>
        <v/>
      </c>
      <c r="G398" s="31">
        <f>IF(OR($E398="",$D398=""),"", $E398+$D398)</f>
        <v/>
      </c>
      <c r="H398" s="31">
        <f>IF(OR($A398="",$B398=""),"",SUMIFS(QuickLog!$L$2:$L$1000,QuickLog!$B$2:$B$1000,$B398,QuickLog!$O$2:$O$1000,$A398))</f>
        <v/>
      </c>
      <c r="I398" s="32">
        <f>IF($H398="","",$H398)</f>
        <v/>
      </c>
    </row>
    <row r="399">
      <c r="A399" s="29" t="n"/>
      <c r="B399" s="31" t="n"/>
      <c r="C399" s="31">
        <f>IF(OR($A399="",$B399=""),"",SUMIFS(QuickLog!$K$2:$K$1000,QuickLog!$B$2:$B$1000,$B399,QuickLog!$O$2:$O$1000,$A399,QuickLog!$G$2:$G$1000,"Routine"))</f>
        <v/>
      </c>
      <c r="D399" s="31">
        <f>IF(OR($A399="",$B399=""),"",SUMIFS(QuickLog!$K$2:$K$1000,QuickLog!$B$2:$B$1000,$B399,QuickLog!$O$2:$O$1000,$A399,QuickLog!$G$2:$G$1000,"&lt;&gt;Routine"))</f>
        <v/>
      </c>
      <c r="E399" s="31">
        <f>IF($C399="","",MIN($C399,Settings!$B$2))</f>
        <v/>
      </c>
      <c r="F399" s="31">
        <f>IF($C399="","",MAX(0,$C399-$E399))</f>
        <v/>
      </c>
      <c r="G399" s="31">
        <f>IF(OR($E399="",$D399=""),"", $E399+$D399)</f>
        <v/>
      </c>
      <c r="H399" s="31">
        <f>IF(OR($A399="",$B399=""),"",SUMIFS(QuickLog!$L$2:$L$1000,QuickLog!$B$2:$B$1000,$B399,QuickLog!$O$2:$O$1000,$A399))</f>
        <v/>
      </c>
      <c r="I399" s="32">
        <f>IF($H399="","",$H399)</f>
        <v/>
      </c>
    </row>
    <row r="400">
      <c r="A400" s="29" t="n"/>
      <c r="B400" s="31" t="n"/>
      <c r="C400" s="31">
        <f>IF(OR($A400="",$B400=""),"",SUMIFS(QuickLog!$K$2:$K$1000,QuickLog!$B$2:$B$1000,$B400,QuickLog!$O$2:$O$1000,$A400,QuickLog!$G$2:$G$1000,"Routine"))</f>
        <v/>
      </c>
      <c r="D400" s="31">
        <f>IF(OR($A400="",$B400=""),"",SUMIFS(QuickLog!$K$2:$K$1000,QuickLog!$B$2:$B$1000,$B400,QuickLog!$O$2:$O$1000,$A400,QuickLog!$G$2:$G$1000,"&lt;&gt;Routine"))</f>
        <v/>
      </c>
      <c r="E400" s="31">
        <f>IF($C400="","",MIN($C400,Settings!$B$2))</f>
        <v/>
      </c>
      <c r="F400" s="31">
        <f>IF($C400="","",MAX(0,$C400-$E400))</f>
        <v/>
      </c>
      <c r="G400" s="31">
        <f>IF(OR($E400="",$D400=""),"", $E400+$D400)</f>
        <v/>
      </c>
      <c r="H400" s="31">
        <f>IF(OR($A400="",$B400=""),"",SUMIFS(QuickLog!$L$2:$L$1000,QuickLog!$B$2:$B$1000,$B400,QuickLog!$O$2:$O$1000,$A400))</f>
        <v/>
      </c>
      <c r="I400" s="32">
        <f>IF($H400="","",$H400)</f>
        <v/>
      </c>
    </row>
    <row r="401">
      <c r="A401" s="29" t="n"/>
      <c r="B401" s="31" t="n"/>
      <c r="C401" s="31">
        <f>IF(OR($A401="",$B401=""),"",SUMIFS(QuickLog!$K$2:$K$1000,QuickLog!$B$2:$B$1000,$B401,QuickLog!$O$2:$O$1000,$A401,QuickLog!$G$2:$G$1000,"Routine"))</f>
        <v/>
      </c>
      <c r="D401" s="31">
        <f>IF(OR($A401="",$B401=""),"",SUMIFS(QuickLog!$K$2:$K$1000,QuickLog!$B$2:$B$1000,$B401,QuickLog!$O$2:$O$1000,$A401,QuickLog!$G$2:$G$1000,"&lt;&gt;Routine"))</f>
        <v/>
      </c>
      <c r="E401" s="31">
        <f>IF($C401="","",MIN($C401,Settings!$B$2))</f>
        <v/>
      </c>
      <c r="F401" s="31">
        <f>IF($C401="","",MAX(0,$C401-$E401))</f>
        <v/>
      </c>
      <c r="G401" s="31">
        <f>IF(OR($E401="",$D401=""),"", $E401+$D401)</f>
        <v/>
      </c>
      <c r="H401" s="31">
        <f>IF(OR($A401="",$B401=""),"",SUMIFS(QuickLog!$L$2:$L$1000,QuickLog!$B$2:$B$1000,$B401,QuickLog!$O$2:$O$1000,$A401))</f>
        <v/>
      </c>
      <c r="I401" s="32">
        <f>IF($H401="","",$H401)</f>
        <v/>
      </c>
    </row>
    <row r="402">
      <c r="A402" s="29" t="n"/>
      <c r="B402" s="31" t="n"/>
      <c r="C402" s="31">
        <f>IF(OR($A402="",$B402=""),"",SUMIFS(QuickLog!$K$2:$K$1000,QuickLog!$B$2:$B$1000,$B402,QuickLog!$O$2:$O$1000,$A402,QuickLog!$G$2:$G$1000,"Routine"))</f>
        <v/>
      </c>
      <c r="D402" s="31">
        <f>IF(OR($A402="",$B402=""),"",SUMIFS(QuickLog!$K$2:$K$1000,QuickLog!$B$2:$B$1000,$B402,QuickLog!$O$2:$O$1000,$A402,QuickLog!$G$2:$G$1000,"&lt;&gt;Routine"))</f>
        <v/>
      </c>
      <c r="E402" s="31">
        <f>IF($C402="","",MIN($C402,Settings!$B$2))</f>
        <v/>
      </c>
      <c r="F402" s="31">
        <f>IF($C402="","",MAX(0,$C402-$E402))</f>
        <v/>
      </c>
      <c r="G402" s="31">
        <f>IF(OR($E402="",$D402=""),"", $E402+$D402)</f>
        <v/>
      </c>
      <c r="H402" s="31">
        <f>IF(OR($A402="",$B402=""),"",SUMIFS(QuickLog!$L$2:$L$1000,QuickLog!$B$2:$B$1000,$B402,QuickLog!$O$2:$O$1000,$A402))</f>
        <v/>
      </c>
      <c r="I402" s="32">
        <f>IF($H402="","",$H402)</f>
        <v/>
      </c>
    </row>
    <row r="403">
      <c r="A403" s="29" t="n"/>
      <c r="B403" s="31" t="n"/>
      <c r="C403" s="31">
        <f>IF(OR($A403="",$B403=""),"",SUMIFS(QuickLog!$K$2:$K$1000,QuickLog!$B$2:$B$1000,$B403,QuickLog!$O$2:$O$1000,$A403,QuickLog!$G$2:$G$1000,"Routine"))</f>
        <v/>
      </c>
      <c r="D403" s="31">
        <f>IF(OR($A403="",$B403=""),"",SUMIFS(QuickLog!$K$2:$K$1000,QuickLog!$B$2:$B$1000,$B403,QuickLog!$O$2:$O$1000,$A403,QuickLog!$G$2:$G$1000,"&lt;&gt;Routine"))</f>
        <v/>
      </c>
      <c r="E403" s="31">
        <f>IF($C403="","",MIN($C403,Settings!$B$2))</f>
        <v/>
      </c>
      <c r="F403" s="31">
        <f>IF($C403="","",MAX(0,$C403-$E403))</f>
        <v/>
      </c>
      <c r="G403" s="31">
        <f>IF(OR($E403="",$D403=""),"", $E403+$D403)</f>
        <v/>
      </c>
      <c r="H403" s="31">
        <f>IF(OR($A403="",$B403=""),"",SUMIFS(QuickLog!$L$2:$L$1000,QuickLog!$B$2:$B$1000,$B403,QuickLog!$O$2:$O$1000,$A403))</f>
        <v/>
      </c>
      <c r="I403" s="32">
        <f>IF($H403="","",$H403)</f>
        <v/>
      </c>
    </row>
    <row r="404">
      <c r="A404" s="29" t="n"/>
      <c r="B404" s="31" t="n"/>
      <c r="C404" s="31">
        <f>IF(OR($A404="",$B404=""),"",SUMIFS(QuickLog!$K$2:$K$1000,QuickLog!$B$2:$B$1000,$B404,QuickLog!$O$2:$O$1000,$A404,QuickLog!$G$2:$G$1000,"Routine"))</f>
        <v/>
      </c>
      <c r="D404" s="31">
        <f>IF(OR($A404="",$B404=""),"",SUMIFS(QuickLog!$K$2:$K$1000,QuickLog!$B$2:$B$1000,$B404,QuickLog!$O$2:$O$1000,$A404,QuickLog!$G$2:$G$1000,"&lt;&gt;Routine"))</f>
        <v/>
      </c>
      <c r="E404" s="31">
        <f>IF($C404="","",MIN($C404,Settings!$B$2))</f>
        <v/>
      </c>
      <c r="F404" s="31">
        <f>IF($C404="","",MAX(0,$C404-$E404))</f>
        <v/>
      </c>
      <c r="G404" s="31">
        <f>IF(OR($E404="",$D404=""),"", $E404+$D404)</f>
        <v/>
      </c>
      <c r="H404" s="31">
        <f>IF(OR($A404="",$B404=""),"",SUMIFS(QuickLog!$L$2:$L$1000,QuickLog!$B$2:$B$1000,$B404,QuickLog!$O$2:$O$1000,$A404))</f>
        <v/>
      </c>
      <c r="I404" s="32">
        <f>IF($H404="","",$H404)</f>
        <v/>
      </c>
    </row>
    <row r="405">
      <c r="A405" s="29" t="n"/>
      <c r="B405" s="31" t="n"/>
      <c r="C405" s="31">
        <f>IF(OR($A405="",$B405=""),"",SUMIFS(QuickLog!$K$2:$K$1000,QuickLog!$B$2:$B$1000,$B405,QuickLog!$O$2:$O$1000,$A405,QuickLog!$G$2:$G$1000,"Routine"))</f>
        <v/>
      </c>
      <c r="D405" s="31">
        <f>IF(OR($A405="",$B405=""),"",SUMIFS(QuickLog!$K$2:$K$1000,QuickLog!$B$2:$B$1000,$B405,QuickLog!$O$2:$O$1000,$A405,QuickLog!$G$2:$G$1000,"&lt;&gt;Routine"))</f>
        <v/>
      </c>
      <c r="E405" s="31">
        <f>IF($C405="","",MIN($C405,Settings!$B$2))</f>
        <v/>
      </c>
      <c r="F405" s="31">
        <f>IF($C405="","",MAX(0,$C405-$E405))</f>
        <v/>
      </c>
      <c r="G405" s="31">
        <f>IF(OR($E405="",$D405=""),"", $E405+$D405)</f>
        <v/>
      </c>
      <c r="H405" s="31">
        <f>IF(OR($A405="",$B405=""),"",SUMIFS(QuickLog!$L$2:$L$1000,QuickLog!$B$2:$B$1000,$B405,QuickLog!$O$2:$O$1000,$A405))</f>
        <v/>
      </c>
      <c r="I405" s="32">
        <f>IF($H405="","",$H405)</f>
        <v/>
      </c>
    </row>
    <row r="406">
      <c r="A406" s="29" t="n"/>
      <c r="B406" s="31" t="n"/>
      <c r="C406" s="31">
        <f>IF(OR($A406="",$B406=""),"",SUMIFS(QuickLog!$K$2:$K$1000,QuickLog!$B$2:$B$1000,$B406,QuickLog!$O$2:$O$1000,$A406,QuickLog!$G$2:$G$1000,"Routine"))</f>
        <v/>
      </c>
      <c r="D406" s="31">
        <f>IF(OR($A406="",$B406=""),"",SUMIFS(QuickLog!$K$2:$K$1000,QuickLog!$B$2:$B$1000,$B406,QuickLog!$O$2:$O$1000,$A406,QuickLog!$G$2:$G$1000,"&lt;&gt;Routine"))</f>
        <v/>
      </c>
      <c r="E406" s="31">
        <f>IF($C406="","",MIN($C406,Settings!$B$2))</f>
        <v/>
      </c>
      <c r="F406" s="31">
        <f>IF($C406="","",MAX(0,$C406-$E406))</f>
        <v/>
      </c>
      <c r="G406" s="31">
        <f>IF(OR($E406="",$D406=""),"", $E406+$D406)</f>
        <v/>
      </c>
      <c r="H406" s="31">
        <f>IF(OR($A406="",$B406=""),"",SUMIFS(QuickLog!$L$2:$L$1000,QuickLog!$B$2:$B$1000,$B406,QuickLog!$O$2:$O$1000,$A406))</f>
        <v/>
      </c>
      <c r="I406" s="32">
        <f>IF($H406="","",$H406)</f>
        <v/>
      </c>
    </row>
    <row r="407">
      <c r="A407" s="29" t="n"/>
      <c r="B407" s="31" t="n"/>
      <c r="C407" s="31">
        <f>IF(OR($A407="",$B407=""),"",SUMIFS(QuickLog!$K$2:$K$1000,QuickLog!$B$2:$B$1000,$B407,QuickLog!$O$2:$O$1000,$A407,QuickLog!$G$2:$G$1000,"Routine"))</f>
        <v/>
      </c>
      <c r="D407" s="31">
        <f>IF(OR($A407="",$B407=""),"",SUMIFS(QuickLog!$K$2:$K$1000,QuickLog!$B$2:$B$1000,$B407,QuickLog!$O$2:$O$1000,$A407,QuickLog!$G$2:$G$1000,"&lt;&gt;Routine"))</f>
        <v/>
      </c>
      <c r="E407" s="31">
        <f>IF($C407="","",MIN($C407,Settings!$B$2))</f>
        <v/>
      </c>
      <c r="F407" s="31">
        <f>IF($C407="","",MAX(0,$C407-$E407))</f>
        <v/>
      </c>
      <c r="G407" s="31">
        <f>IF(OR($E407="",$D407=""),"", $E407+$D407)</f>
        <v/>
      </c>
      <c r="H407" s="31">
        <f>IF(OR($A407="",$B407=""),"",SUMIFS(QuickLog!$L$2:$L$1000,QuickLog!$B$2:$B$1000,$B407,QuickLog!$O$2:$O$1000,$A407))</f>
        <v/>
      </c>
      <c r="I407" s="32">
        <f>IF($H407="","",$H407)</f>
        <v/>
      </c>
    </row>
    <row r="408">
      <c r="A408" s="29" t="n"/>
      <c r="B408" s="31" t="n"/>
      <c r="C408" s="31">
        <f>IF(OR($A408="",$B408=""),"",SUMIFS(QuickLog!$K$2:$K$1000,QuickLog!$B$2:$B$1000,$B408,QuickLog!$O$2:$O$1000,$A408,QuickLog!$G$2:$G$1000,"Routine"))</f>
        <v/>
      </c>
      <c r="D408" s="31">
        <f>IF(OR($A408="",$B408=""),"",SUMIFS(QuickLog!$K$2:$K$1000,QuickLog!$B$2:$B$1000,$B408,QuickLog!$O$2:$O$1000,$A408,QuickLog!$G$2:$G$1000,"&lt;&gt;Routine"))</f>
        <v/>
      </c>
      <c r="E408" s="31">
        <f>IF($C408="","",MIN($C408,Settings!$B$2))</f>
        <v/>
      </c>
      <c r="F408" s="31">
        <f>IF($C408="","",MAX(0,$C408-$E408))</f>
        <v/>
      </c>
      <c r="G408" s="31">
        <f>IF(OR($E408="",$D408=""),"", $E408+$D408)</f>
        <v/>
      </c>
      <c r="H408" s="31">
        <f>IF(OR($A408="",$B408=""),"",SUMIFS(QuickLog!$L$2:$L$1000,QuickLog!$B$2:$B$1000,$B408,QuickLog!$O$2:$O$1000,$A408))</f>
        <v/>
      </c>
      <c r="I408" s="32">
        <f>IF($H408="","",$H408)</f>
        <v/>
      </c>
    </row>
    <row r="409">
      <c r="A409" s="29" t="n"/>
      <c r="B409" s="31" t="n"/>
      <c r="C409" s="31">
        <f>IF(OR($A409="",$B409=""),"",SUMIFS(QuickLog!$K$2:$K$1000,QuickLog!$B$2:$B$1000,$B409,QuickLog!$O$2:$O$1000,$A409,QuickLog!$G$2:$G$1000,"Routine"))</f>
        <v/>
      </c>
      <c r="D409" s="31">
        <f>IF(OR($A409="",$B409=""),"",SUMIFS(QuickLog!$K$2:$K$1000,QuickLog!$B$2:$B$1000,$B409,QuickLog!$O$2:$O$1000,$A409,QuickLog!$G$2:$G$1000,"&lt;&gt;Routine"))</f>
        <v/>
      </c>
      <c r="E409" s="31">
        <f>IF($C409="","",MIN($C409,Settings!$B$2))</f>
        <v/>
      </c>
      <c r="F409" s="31">
        <f>IF($C409="","",MAX(0,$C409-$E409))</f>
        <v/>
      </c>
      <c r="G409" s="31">
        <f>IF(OR($E409="",$D409=""),"", $E409+$D409)</f>
        <v/>
      </c>
      <c r="H409" s="31">
        <f>IF(OR($A409="",$B409=""),"",SUMIFS(QuickLog!$L$2:$L$1000,QuickLog!$B$2:$B$1000,$B409,QuickLog!$O$2:$O$1000,$A409))</f>
        <v/>
      </c>
      <c r="I409" s="32">
        <f>IF($H409="","",$H409)</f>
        <v/>
      </c>
    </row>
    <row r="410">
      <c r="A410" s="29" t="n"/>
      <c r="B410" s="31" t="n"/>
      <c r="C410" s="31">
        <f>IF(OR($A410="",$B410=""),"",SUMIFS(QuickLog!$K$2:$K$1000,QuickLog!$B$2:$B$1000,$B410,QuickLog!$O$2:$O$1000,$A410,QuickLog!$G$2:$G$1000,"Routine"))</f>
        <v/>
      </c>
      <c r="D410" s="31">
        <f>IF(OR($A410="",$B410=""),"",SUMIFS(QuickLog!$K$2:$K$1000,QuickLog!$B$2:$B$1000,$B410,QuickLog!$O$2:$O$1000,$A410,QuickLog!$G$2:$G$1000,"&lt;&gt;Routine"))</f>
        <v/>
      </c>
      <c r="E410" s="31">
        <f>IF($C410="","",MIN($C410,Settings!$B$2))</f>
        <v/>
      </c>
      <c r="F410" s="31">
        <f>IF($C410="","",MAX(0,$C410-$E410))</f>
        <v/>
      </c>
      <c r="G410" s="31">
        <f>IF(OR($E410="",$D410=""),"", $E410+$D410)</f>
        <v/>
      </c>
      <c r="H410" s="31">
        <f>IF(OR($A410="",$B410=""),"",SUMIFS(QuickLog!$L$2:$L$1000,QuickLog!$B$2:$B$1000,$B410,QuickLog!$O$2:$O$1000,$A410))</f>
        <v/>
      </c>
      <c r="I410" s="32">
        <f>IF($H410="","",$H410)</f>
        <v/>
      </c>
    </row>
    <row r="411">
      <c r="A411" s="29" t="n"/>
      <c r="B411" s="31" t="n"/>
      <c r="C411" s="31">
        <f>IF(OR($A411="",$B411=""),"",SUMIFS(QuickLog!$K$2:$K$1000,QuickLog!$B$2:$B$1000,$B411,QuickLog!$O$2:$O$1000,$A411,QuickLog!$G$2:$G$1000,"Routine"))</f>
        <v/>
      </c>
      <c r="D411" s="31">
        <f>IF(OR($A411="",$B411=""),"",SUMIFS(QuickLog!$K$2:$K$1000,QuickLog!$B$2:$B$1000,$B411,QuickLog!$O$2:$O$1000,$A411,QuickLog!$G$2:$G$1000,"&lt;&gt;Routine"))</f>
        <v/>
      </c>
      <c r="E411" s="31">
        <f>IF($C411="","",MIN($C411,Settings!$B$2))</f>
        <v/>
      </c>
      <c r="F411" s="31">
        <f>IF($C411="","",MAX(0,$C411-$E411))</f>
        <v/>
      </c>
      <c r="G411" s="31">
        <f>IF(OR($E411="",$D411=""),"", $E411+$D411)</f>
        <v/>
      </c>
      <c r="H411" s="31">
        <f>IF(OR($A411="",$B411=""),"",SUMIFS(QuickLog!$L$2:$L$1000,QuickLog!$B$2:$B$1000,$B411,QuickLog!$O$2:$O$1000,$A411))</f>
        <v/>
      </c>
      <c r="I411" s="32">
        <f>IF($H411="","",$H411)</f>
        <v/>
      </c>
    </row>
    <row r="412">
      <c r="A412" s="29" t="n"/>
      <c r="B412" s="31" t="n"/>
      <c r="C412" s="31">
        <f>IF(OR($A412="",$B412=""),"",SUMIFS(QuickLog!$K$2:$K$1000,QuickLog!$B$2:$B$1000,$B412,QuickLog!$O$2:$O$1000,$A412,QuickLog!$G$2:$G$1000,"Routine"))</f>
        <v/>
      </c>
      <c r="D412" s="31">
        <f>IF(OR($A412="",$B412=""),"",SUMIFS(QuickLog!$K$2:$K$1000,QuickLog!$B$2:$B$1000,$B412,QuickLog!$O$2:$O$1000,$A412,QuickLog!$G$2:$G$1000,"&lt;&gt;Routine"))</f>
        <v/>
      </c>
      <c r="E412" s="31">
        <f>IF($C412="","",MIN($C412,Settings!$B$2))</f>
        <v/>
      </c>
      <c r="F412" s="31">
        <f>IF($C412="","",MAX(0,$C412-$E412))</f>
        <v/>
      </c>
      <c r="G412" s="31">
        <f>IF(OR($E412="",$D412=""),"", $E412+$D412)</f>
        <v/>
      </c>
      <c r="H412" s="31">
        <f>IF(OR($A412="",$B412=""),"",SUMIFS(QuickLog!$L$2:$L$1000,QuickLog!$B$2:$B$1000,$B412,QuickLog!$O$2:$O$1000,$A412))</f>
        <v/>
      </c>
      <c r="I412" s="32">
        <f>IF($H412="","",$H412)</f>
        <v/>
      </c>
    </row>
    <row r="413">
      <c r="A413" s="29" t="n"/>
      <c r="B413" s="31" t="n"/>
      <c r="C413" s="31">
        <f>IF(OR($A413="",$B413=""),"",SUMIFS(QuickLog!$K$2:$K$1000,QuickLog!$B$2:$B$1000,$B413,QuickLog!$O$2:$O$1000,$A413,QuickLog!$G$2:$G$1000,"Routine"))</f>
        <v/>
      </c>
      <c r="D413" s="31">
        <f>IF(OR($A413="",$B413=""),"",SUMIFS(QuickLog!$K$2:$K$1000,QuickLog!$B$2:$B$1000,$B413,QuickLog!$O$2:$O$1000,$A413,QuickLog!$G$2:$G$1000,"&lt;&gt;Routine"))</f>
        <v/>
      </c>
      <c r="E413" s="31">
        <f>IF($C413="","",MIN($C413,Settings!$B$2))</f>
        <v/>
      </c>
      <c r="F413" s="31">
        <f>IF($C413="","",MAX(0,$C413-$E413))</f>
        <v/>
      </c>
      <c r="G413" s="31">
        <f>IF(OR($E413="",$D413=""),"", $E413+$D413)</f>
        <v/>
      </c>
      <c r="H413" s="31">
        <f>IF(OR($A413="",$B413=""),"",SUMIFS(QuickLog!$L$2:$L$1000,QuickLog!$B$2:$B$1000,$B413,QuickLog!$O$2:$O$1000,$A413))</f>
        <v/>
      </c>
      <c r="I413" s="32">
        <f>IF($H413="","",$H413)</f>
        <v/>
      </c>
    </row>
    <row r="414">
      <c r="A414" s="29" t="n"/>
      <c r="B414" s="31" t="n"/>
      <c r="C414" s="31">
        <f>IF(OR($A414="",$B414=""),"",SUMIFS(QuickLog!$K$2:$K$1000,QuickLog!$B$2:$B$1000,$B414,QuickLog!$O$2:$O$1000,$A414,QuickLog!$G$2:$G$1000,"Routine"))</f>
        <v/>
      </c>
      <c r="D414" s="31">
        <f>IF(OR($A414="",$B414=""),"",SUMIFS(QuickLog!$K$2:$K$1000,QuickLog!$B$2:$B$1000,$B414,QuickLog!$O$2:$O$1000,$A414,QuickLog!$G$2:$G$1000,"&lt;&gt;Routine"))</f>
        <v/>
      </c>
      <c r="E414" s="31">
        <f>IF($C414="","",MIN($C414,Settings!$B$2))</f>
        <v/>
      </c>
      <c r="F414" s="31">
        <f>IF($C414="","",MAX(0,$C414-$E414))</f>
        <v/>
      </c>
      <c r="G414" s="31">
        <f>IF(OR($E414="",$D414=""),"", $E414+$D414)</f>
        <v/>
      </c>
      <c r="H414" s="31">
        <f>IF(OR($A414="",$B414=""),"",SUMIFS(QuickLog!$L$2:$L$1000,QuickLog!$B$2:$B$1000,$B414,QuickLog!$O$2:$O$1000,$A414))</f>
        <v/>
      </c>
      <c r="I414" s="32">
        <f>IF($H414="","",$H414)</f>
        <v/>
      </c>
    </row>
    <row r="415">
      <c r="A415" s="29" t="n"/>
      <c r="B415" s="31" t="n"/>
      <c r="C415" s="31">
        <f>IF(OR($A415="",$B415=""),"",SUMIFS(QuickLog!$K$2:$K$1000,QuickLog!$B$2:$B$1000,$B415,QuickLog!$O$2:$O$1000,$A415,QuickLog!$G$2:$G$1000,"Routine"))</f>
        <v/>
      </c>
      <c r="D415" s="31">
        <f>IF(OR($A415="",$B415=""),"",SUMIFS(QuickLog!$K$2:$K$1000,QuickLog!$B$2:$B$1000,$B415,QuickLog!$O$2:$O$1000,$A415,QuickLog!$G$2:$G$1000,"&lt;&gt;Routine"))</f>
        <v/>
      </c>
      <c r="E415" s="31">
        <f>IF($C415="","",MIN($C415,Settings!$B$2))</f>
        <v/>
      </c>
      <c r="F415" s="31">
        <f>IF($C415="","",MAX(0,$C415-$E415))</f>
        <v/>
      </c>
      <c r="G415" s="31">
        <f>IF(OR($E415="",$D415=""),"", $E415+$D415)</f>
        <v/>
      </c>
      <c r="H415" s="31">
        <f>IF(OR($A415="",$B415=""),"",SUMIFS(QuickLog!$L$2:$L$1000,QuickLog!$B$2:$B$1000,$B415,QuickLog!$O$2:$O$1000,$A415))</f>
        <v/>
      </c>
      <c r="I415" s="32">
        <f>IF($H415="","",$H415)</f>
        <v/>
      </c>
    </row>
    <row r="416">
      <c r="A416" s="29" t="n"/>
      <c r="B416" s="31" t="n"/>
      <c r="C416" s="31">
        <f>IF(OR($A416="",$B416=""),"",SUMIFS(QuickLog!$K$2:$K$1000,QuickLog!$B$2:$B$1000,$B416,QuickLog!$O$2:$O$1000,$A416,QuickLog!$G$2:$G$1000,"Routine"))</f>
        <v/>
      </c>
      <c r="D416" s="31">
        <f>IF(OR($A416="",$B416=""),"",SUMIFS(QuickLog!$K$2:$K$1000,QuickLog!$B$2:$B$1000,$B416,QuickLog!$O$2:$O$1000,$A416,QuickLog!$G$2:$G$1000,"&lt;&gt;Routine"))</f>
        <v/>
      </c>
      <c r="E416" s="31">
        <f>IF($C416="","",MIN($C416,Settings!$B$2))</f>
        <v/>
      </c>
      <c r="F416" s="31">
        <f>IF($C416="","",MAX(0,$C416-$E416))</f>
        <v/>
      </c>
      <c r="G416" s="31">
        <f>IF(OR($E416="",$D416=""),"", $E416+$D416)</f>
        <v/>
      </c>
      <c r="H416" s="31">
        <f>IF(OR($A416="",$B416=""),"",SUMIFS(QuickLog!$L$2:$L$1000,QuickLog!$B$2:$B$1000,$B416,QuickLog!$O$2:$O$1000,$A416))</f>
        <v/>
      </c>
      <c r="I416" s="32">
        <f>IF($H416="","",$H416)</f>
        <v/>
      </c>
    </row>
    <row r="417">
      <c r="A417" s="29" t="n"/>
      <c r="B417" s="31" t="n"/>
      <c r="C417" s="31">
        <f>IF(OR($A417="",$B417=""),"",SUMIFS(QuickLog!$K$2:$K$1000,QuickLog!$B$2:$B$1000,$B417,QuickLog!$O$2:$O$1000,$A417,QuickLog!$G$2:$G$1000,"Routine"))</f>
        <v/>
      </c>
      <c r="D417" s="31">
        <f>IF(OR($A417="",$B417=""),"",SUMIFS(QuickLog!$K$2:$K$1000,QuickLog!$B$2:$B$1000,$B417,QuickLog!$O$2:$O$1000,$A417,QuickLog!$G$2:$G$1000,"&lt;&gt;Routine"))</f>
        <v/>
      </c>
      <c r="E417" s="31">
        <f>IF($C417="","",MIN($C417,Settings!$B$2))</f>
        <v/>
      </c>
      <c r="F417" s="31">
        <f>IF($C417="","",MAX(0,$C417-$E417))</f>
        <v/>
      </c>
      <c r="G417" s="31">
        <f>IF(OR($E417="",$D417=""),"", $E417+$D417)</f>
        <v/>
      </c>
      <c r="H417" s="31">
        <f>IF(OR($A417="",$B417=""),"",SUMIFS(QuickLog!$L$2:$L$1000,QuickLog!$B$2:$B$1000,$B417,QuickLog!$O$2:$O$1000,$A417))</f>
        <v/>
      </c>
      <c r="I417" s="32">
        <f>IF($H417="","",$H417)</f>
        <v/>
      </c>
    </row>
    <row r="418">
      <c r="A418" s="29" t="n"/>
      <c r="B418" s="31" t="n"/>
      <c r="C418" s="31">
        <f>IF(OR($A418="",$B418=""),"",SUMIFS(QuickLog!$K$2:$K$1000,QuickLog!$B$2:$B$1000,$B418,QuickLog!$O$2:$O$1000,$A418,QuickLog!$G$2:$G$1000,"Routine"))</f>
        <v/>
      </c>
      <c r="D418" s="31">
        <f>IF(OR($A418="",$B418=""),"",SUMIFS(QuickLog!$K$2:$K$1000,QuickLog!$B$2:$B$1000,$B418,QuickLog!$O$2:$O$1000,$A418,QuickLog!$G$2:$G$1000,"&lt;&gt;Routine"))</f>
        <v/>
      </c>
      <c r="E418" s="31">
        <f>IF($C418="","",MIN($C418,Settings!$B$2))</f>
        <v/>
      </c>
      <c r="F418" s="31">
        <f>IF($C418="","",MAX(0,$C418-$E418))</f>
        <v/>
      </c>
      <c r="G418" s="31">
        <f>IF(OR($E418="",$D418=""),"", $E418+$D418)</f>
        <v/>
      </c>
      <c r="H418" s="31">
        <f>IF(OR($A418="",$B418=""),"",SUMIFS(QuickLog!$L$2:$L$1000,QuickLog!$B$2:$B$1000,$B418,QuickLog!$O$2:$O$1000,$A418))</f>
        <v/>
      </c>
      <c r="I418" s="32">
        <f>IF($H418="","",$H418)</f>
        <v/>
      </c>
    </row>
    <row r="419">
      <c r="A419" s="29" t="n"/>
      <c r="B419" s="31" t="n"/>
      <c r="C419" s="31">
        <f>IF(OR($A419="",$B419=""),"",SUMIFS(QuickLog!$K$2:$K$1000,QuickLog!$B$2:$B$1000,$B419,QuickLog!$O$2:$O$1000,$A419,QuickLog!$G$2:$G$1000,"Routine"))</f>
        <v/>
      </c>
      <c r="D419" s="31">
        <f>IF(OR($A419="",$B419=""),"",SUMIFS(QuickLog!$K$2:$K$1000,QuickLog!$B$2:$B$1000,$B419,QuickLog!$O$2:$O$1000,$A419,QuickLog!$G$2:$G$1000,"&lt;&gt;Routine"))</f>
        <v/>
      </c>
      <c r="E419" s="31">
        <f>IF($C419="","",MIN($C419,Settings!$B$2))</f>
        <v/>
      </c>
      <c r="F419" s="31">
        <f>IF($C419="","",MAX(0,$C419-$E419))</f>
        <v/>
      </c>
      <c r="G419" s="31">
        <f>IF(OR($E419="",$D419=""),"", $E419+$D419)</f>
        <v/>
      </c>
      <c r="H419" s="31">
        <f>IF(OR($A419="",$B419=""),"",SUMIFS(QuickLog!$L$2:$L$1000,QuickLog!$B$2:$B$1000,$B419,QuickLog!$O$2:$O$1000,$A419))</f>
        <v/>
      </c>
      <c r="I419" s="32">
        <f>IF($H419="","",$H419)</f>
        <v/>
      </c>
    </row>
    <row r="420">
      <c r="A420" s="29" t="n"/>
      <c r="B420" s="31" t="n"/>
      <c r="C420" s="31">
        <f>IF(OR($A420="",$B420=""),"",SUMIFS(QuickLog!$K$2:$K$1000,QuickLog!$B$2:$B$1000,$B420,QuickLog!$O$2:$O$1000,$A420,QuickLog!$G$2:$G$1000,"Routine"))</f>
        <v/>
      </c>
      <c r="D420" s="31">
        <f>IF(OR($A420="",$B420=""),"",SUMIFS(QuickLog!$K$2:$K$1000,QuickLog!$B$2:$B$1000,$B420,QuickLog!$O$2:$O$1000,$A420,QuickLog!$G$2:$G$1000,"&lt;&gt;Routine"))</f>
        <v/>
      </c>
      <c r="E420" s="31">
        <f>IF($C420="","",MIN($C420,Settings!$B$2))</f>
        <v/>
      </c>
      <c r="F420" s="31">
        <f>IF($C420="","",MAX(0,$C420-$E420))</f>
        <v/>
      </c>
      <c r="G420" s="31">
        <f>IF(OR($E420="",$D420=""),"", $E420+$D420)</f>
        <v/>
      </c>
      <c r="H420" s="31">
        <f>IF(OR($A420="",$B420=""),"",SUMIFS(QuickLog!$L$2:$L$1000,QuickLog!$B$2:$B$1000,$B420,QuickLog!$O$2:$O$1000,$A420))</f>
        <v/>
      </c>
      <c r="I420" s="32">
        <f>IF($H420="","",$H420)</f>
        <v/>
      </c>
    </row>
    <row r="421">
      <c r="A421" s="29" t="n"/>
      <c r="B421" s="31" t="n"/>
      <c r="C421" s="31">
        <f>IF(OR($A421="",$B421=""),"",SUMIFS(QuickLog!$K$2:$K$1000,QuickLog!$B$2:$B$1000,$B421,QuickLog!$O$2:$O$1000,$A421,QuickLog!$G$2:$G$1000,"Routine"))</f>
        <v/>
      </c>
      <c r="D421" s="31">
        <f>IF(OR($A421="",$B421=""),"",SUMIFS(QuickLog!$K$2:$K$1000,QuickLog!$B$2:$B$1000,$B421,QuickLog!$O$2:$O$1000,$A421,QuickLog!$G$2:$G$1000,"&lt;&gt;Routine"))</f>
        <v/>
      </c>
      <c r="E421" s="31">
        <f>IF($C421="","",MIN($C421,Settings!$B$2))</f>
        <v/>
      </c>
      <c r="F421" s="31">
        <f>IF($C421="","",MAX(0,$C421-$E421))</f>
        <v/>
      </c>
      <c r="G421" s="31">
        <f>IF(OR($E421="",$D421=""),"", $E421+$D421)</f>
        <v/>
      </c>
      <c r="H421" s="31">
        <f>IF(OR($A421="",$B421=""),"",SUMIFS(QuickLog!$L$2:$L$1000,QuickLog!$B$2:$B$1000,$B421,QuickLog!$O$2:$O$1000,$A421))</f>
        <v/>
      </c>
      <c r="I421" s="32">
        <f>IF($H421="","",$H421)</f>
        <v/>
      </c>
    </row>
    <row r="422">
      <c r="A422" s="29" t="n"/>
      <c r="B422" s="31" t="n"/>
      <c r="C422" s="31">
        <f>IF(OR($A422="",$B422=""),"",SUMIFS(QuickLog!$K$2:$K$1000,QuickLog!$B$2:$B$1000,$B422,QuickLog!$O$2:$O$1000,$A422,QuickLog!$G$2:$G$1000,"Routine"))</f>
        <v/>
      </c>
      <c r="D422" s="31">
        <f>IF(OR($A422="",$B422=""),"",SUMIFS(QuickLog!$K$2:$K$1000,QuickLog!$B$2:$B$1000,$B422,QuickLog!$O$2:$O$1000,$A422,QuickLog!$G$2:$G$1000,"&lt;&gt;Routine"))</f>
        <v/>
      </c>
      <c r="E422" s="31">
        <f>IF($C422="","",MIN($C422,Settings!$B$2))</f>
        <v/>
      </c>
      <c r="F422" s="31">
        <f>IF($C422="","",MAX(0,$C422-$E422))</f>
        <v/>
      </c>
      <c r="G422" s="31">
        <f>IF(OR($E422="",$D422=""),"", $E422+$D422)</f>
        <v/>
      </c>
      <c r="H422" s="31">
        <f>IF(OR($A422="",$B422=""),"",SUMIFS(QuickLog!$L$2:$L$1000,QuickLog!$B$2:$B$1000,$B422,QuickLog!$O$2:$O$1000,$A422))</f>
        <v/>
      </c>
      <c r="I422" s="32">
        <f>IF($H422="","",$H422)</f>
        <v/>
      </c>
    </row>
    <row r="423">
      <c r="A423" s="29" t="n"/>
      <c r="B423" s="31" t="n"/>
      <c r="C423" s="31">
        <f>IF(OR($A423="",$B423=""),"",SUMIFS(QuickLog!$K$2:$K$1000,QuickLog!$B$2:$B$1000,$B423,QuickLog!$O$2:$O$1000,$A423,QuickLog!$G$2:$G$1000,"Routine"))</f>
        <v/>
      </c>
      <c r="D423" s="31">
        <f>IF(OR($A423="",$B423=""),"",SUMIFS(QuickLog!$K$2:$K$1000,QuickLog!$B$2:$B$1000,$B423,QuickLog!$O$2:$O$1000,$A423,QuickLog!$G$2:$G$1000,"&lt;&gt;Routine"))</f>
        <v/>
      </c>
      <c r="E423" s="31">
        <f>IF($C423="","",MIN($C423,Settings!$B$2))</f>
        <v/>
      </c>
      <c r="F423" s="31">
        <f>IF($C423="","",MAX(0,$C423-$E423))</f>
        <v/>
      </c>
      <c r="G423" s="31">
        <f>IF(OR($E423="",$D423=""),"", $E423+$D423)</f>
        <v/>
      </c>
      <c r="H423" s="31">
        <f>IF(OR($A423="",$B423=""),"",SUMIFS(QuickLog!$L$2:$L$1000,QuickLog!$B$2:$B$1000,$B423,QuickLog!$O$2:$O$1000,$A423))</f>
        <v/>
      </c>
      <c r="I423" s="32">
        <f>IF($H423="","",$H423)</f>
        <v/>
      </c>
    </row>
    <row r="424">
      <c r="A424" s="29" t="n"/>
      <c r="B424" s="31" t="n"/>
      <c r="C424" s="31">
        <f>IF(OR($A424="",$B424=""),"",SUMIFS(QuickLog!$K$2:$K$1000,QuickLog!$B$2:$B$1000,$B424,QuickLog!$O$2:$O$1000,$A424,QuickLog!$G$2:$G$1000,"Routine"))</f>
        <v/>
      </c>
      <c r="D424" s="31">
        <f>IF(OR($A424="",$B424=""),"",SUMIFS(QuickLog!$K$2:$K$1000,QuickLog!$B$2:$B$1000,$B424,QuickLog!$O$2:$O$1000,$A424,QuickLog!$G$2:$G$1000,"&lt;&gt;Routine"))</f>
        <v/>
      </c>
      <c r="E424" s="31">
        <f>IF($C424="","",MIN($C424,Settings!$B$2))</f>
        <v/>
      </c>
      <c r="F424" s="31">
        <f>IF($C424="","",MAX(0,$C424-$E424))</f>
        <v/>
      </c>
      <c r="G424" s="31">
        <f>IF(OR($E424="",$D424=""),"", $E424+$D424)</f>
        <v/>
      </c>
      <c r="H424" s="31">
        <f>IF(OR($A424="",$B424=""),"",SUMIFS(QuickLog!$L$2:$L$1000,QuickLog!$B$2:$B$1000,$B424,QuickLog!$O$2:$O$1000,$A424))</f>
        <v/>
      </c>
      <c r="I424" s="32">
        <f>IF($H424="","",$H424)</f>
        <v/>
      </c>
    </row>
    <row r="425">
      <c r="A425" s="29" t="n"/>
      <c r="B425" s="31" t="n"/>
      <c r="C425" s="31">
        <f>IF(OR($A425="",$B425=""),"",SUMIFS(QuickLog!$K$2:$K$1000,QuickLog!$B$2:$B$1000,$B425,QuickLog!$O$2:$O$1000,$A425,QuickLog!$G$2:$G$1000,"Routine"))</f>
        <v/>
      </c>
      <c r="D425" s="31">
        <f>IF(OR($A425="",$B425=""),"",SUMIFS(QuickLog!$K$2:$K$1000,QuickLog!$B$2:$B$1000,$B425,QuickLog!$O$2:$O$1000,$A425,QuickLog!$G$2:$G$1000,"&lt;&gt;Routine"))</f>
        <v/>
      </c>
      <c r="E425" s="31">
        <f>IF($C425="","",MIN($C425,Settings!$B$2))</f>
        <v/>
      </c>
      <c r="F425" s="31">
        <f>IF($C425="","",MAX(0,$C425-$E425))</f>
        <v/>
      </c>
      <c r="G425" s="31">
        <f>IF(OR($E425="",$D425=""),"", $E425+$D425)</f>
        <v/>
      </c>
      <c r="H425" s="31">
        <f>IF(OR($A425="",$B425=""),"",SUMIFS(QuickLog!$L$2:$L$1000,QuickLog!$B$2:$B$1000,$B425,QuickLog!$O$2:$O$1000,$A425))</f>
        <v/>
      </c>
      <c r="I425" s="32">
        <f>IF($H425="","",$H425)</f>
        <v/>
      </c>
    </row>
    <row r="426">
      <c r="A426" s="29" t="n"/>
      <c r="B426" s="31" t="n"/>
      <c r="C426" s="31">
        <f>IF(OR($A426="",$B426=""),"",SUMIFS(QuickLog!$K$2:$K$1000,QuickLog!$B$2:$B$1000,$B426,QuickLog!$O$2:$O$1000,$A426,QuickLog!$G$2:$G$1000,"Routine"))</f>
        <v/>
      </c>
      <c r="D426" s="31">
        <f>IF(OR($A426="",$B426=""),"",SUMIFS(QuickLog!$K$2:$K$1000,QuickLog!$B$2:$B$1000,$B426,QuickLog!$O$2:$O$1000,$A426,QuickLog!$G$2:$G$1000,"&lt;&gt;Routine"))</f>
        <v/>
      </c>
      <c r="E426" s="31">
        <f>IF($C426="","",MIN($C426,Settings!$B$2))</f>
        <v/>
      </c>
      <c r="F426" s="31">
        <f>IF($C426="","",MAX(0,$C426-$E426))</f>
        <v/>
      </c>
      <c r="G426" s="31">
        <f>IF(OR($E426="",$D426=""),"", $E426+$D426)</f>
        <v/>
      </c>
      <c r="H426" s="31">
        <f>IF(OR($A426="",$B426=""),"",SUMIFS(QuickLog!$L$2:$L$1000,QuickLog!$B$2:$B$1000,$B426,QuickLog!$O$2:$O$1000,$A426))</f>
        <v/>
      </c>
      <c r="I426" s="32">
        <f>IF($H426="","",$H426)</f>
        <v/>
      </c>
    </row>
    <row r="427">
      <c r="A427" s="29" t="n"/>
      <c r="B427" s="31" t="n"/>
      <c r="C427" s="31">
        <f>IF(OR($A427="",$B427=""),"",SUMIFS(QuickLog!$K$2:$K$1000,QuickLog!$B$2:$B$1000,$B427,QuickLog!$O$2:$O$1000,$A427,QuickLog!$G$2:$G$1000,"Routine"))</f>
        <v/>
      </c>
      <c r="D427" s="31">
        <f>IF(OR($A427="",$B427=""),"",SUMIFS(QuickLog!$K$2:$K$1000,QuickLog!$B$2:$B$1000,$B427,QuickLog!$O$2:$O$1000,$A427,QuickLog!$G$2:$G$1000,"&lt;&gt;Routine"))</f>
        <v/>
      </c>
      <c r="E427" s="31">
        <f>IF($C427="","",MIN($C427,Settings!$B$2))</f>
        <v/>
      </c>
      <c r="F427" s="31">
        <f>IF($C427="","",MAX(0,$C427-$E427))</f>
        <v/>
      </c>
      <c r="G427" s="31">
        <f>IF(OR($E427="",$D427=""),"", $E427+$D427)</f>
        <v/>
      </c>
      <c r="H427" s="31">
        <f>IF(OR($A427="",$B427=""),"",SUMIFS(QuickLog!$L$2:$L$1000,QuickLog!$B$2:$B$1000,$B427,QuickLog!$O$2:$O$1000,$A427))</f>
        <v/>
      </c>
      <c r="I427" s="32">
        <f>IF($H427="","",$H427)</f>
        <v/>
      </c>
    </row>
    <row r="428">
      <c r="A428" s="29" t="n"/>
      <c r="B428" s="31" t="n"/>
      <c r="C428" s="31">
        <f>IF(OR($A428="",$B428=""),"",SUMIFS(QuickLog!$K$2:$K$1000,QuickLog!$B$2:$B$1000,$B428,QuickLog!$O$2:$O$1000,$A428,QuickLog!$G$2:$G$1000,"Routine"))</f>
        <v/>
      </c>
      <c r="D428" s="31">
        <f>IF(OR($A428="",$B428=""),"",SUMIFS(QuickLog!$K$2:$K$1000,QuickLog!$B$2:$B$1000,$B428,QuickLog!$O$2:$O$1000,$A428,QuickLog!$G$2:$G$1000,"&lt;&gt;Routine"))</f>
        <v/>
      </c>
      <c r="E428" s="31">
        <f>IF($C428="","",MIN($C428,Settings!$B$2))</f>
        <v/>
      </c>
      <c r="F428" s="31">
        <f>IF($C428="","",MAX(0,$C428-$E428))</f>
        <v/>
      </c>
      <c r="G428" s="31">
        <f>IF(OR($E428="",$D428=""),"", $E428+$D428)</f>
        <v/>
      </c>
      <c r="H428" s="31">
        <f>IF(OR($A428="",$B428=""),"",SUMIFS(QuickLog!$L$2:$L$1000,QuickLog!$B$2:$B$1000,$B428,QuickLog!$O$2:$O$1000,$A428))</f>
        <v/>
      </c>
      <c r="I428" s="32">
        <f>IF($H428="","",$H428)</f>
        <v/>
      </c>
    </row>
    <row r="429">
      <c r="A429" s="29" t="n"/>
      <c r="B429" s="31" t="n"/>
      <c r="C429" s="31">
        <f>IF(OR($A429="",$B429=""),"",SUMIFS(QuickLog!$K$2:$K$1000,QuickLog!$B$2:$B$1000,$B429,QuickLog!$O$2:$O$1000,$A429,QuickLog!$G$2:$G$1000,"Routine"))</f>
        <v/>
      </c>
      <c r="D429" s="31">
        <f>IF(OR($A429="",$B429=""),"",SUMIFS(QuickLog!$K$2:$K$1000,QuickLog!$B$2:$B$1000,$B429,QuickLog!$O$2:$O$1000,$A429,QuickLog!$G$2:$G$1000,"&lt;&gt;Routine"))</f>
        <v/>
      </c>
      <c r="E429" s="31">
        <f>IF($C429="","",MIN($C429,Settings!$B$2))</f>
        <v/>
      </c>
      <c r="F429" s="31">
        <f>IF($C429="","",MAX(0,$C429-$E429))</f>
        <v/>
      </c>
      <c r="G429" s="31">
        <f>IF(OR($E429="",$D429=""),"", $E429+$D429)</f>
        <v/>
      </c>
      <c r="H429" s="31">
        <f>IF(OR($A429="",$B429=""),"",SUMIFS(QuickLog!$L$2:$L$1000,QuickLog!$B$2:$B$1000,$B429,QuickLog!$O$2:$O$1000,$A429))</f>
        <v/>
      </c>
      <c r="I429" s="32">
        <f>IF($H429="","",$H429)</f>
        <v/>
      </c>
    </row>
    <row r="430">
      <c r="A430" s="29" t="n"/>
      <c r="B430" s="31" t="n"/>
      <c r="C430" s="31">
        <f>IF(OR($A430="",$B430=""),"",SUMIFS(QuickLog!$K$2:$K$1000,QuickLog!$B$2:$B$1000,$B430,QuickLog!$O$2:$O$1000,$A430,QuickLog!$G$2:$G$1000,"Routine"))</f>
        <v/>
      </c>
      <c r="D430" s="31">
        <f>IF(OR($A430="",$B430=""),"",SUMIFS(QuickLog!$K$2:$K$1000,QuickLog!$B$2:$B$1000,$B430,QuickLog!$O$2:$O$1000,$A430,QuickLog!$G$2:$G$1000,"&lt;&gt;Routine"))</f>
        <v/>
      </c>
      <c r="E430" s="31">
        <f>IF($C430="","",MIN($C430,Settings!$B$2))</f>
        <v/>
      </c>
      <c r="F430" s="31">
        <f>IF($C430="","",MAX(0,$C430-$E430))</f>
        <v/>
      </c>
      <c r="G430" s="31">
        <f>IF(OR($E430="",$D430=""),"", $E430+$D430)</f>
        <v/>
      </c>
      <c r="H430" s="31">
        <f>IF(OR($A430="",$B430=""),"",SUMIFS(QuickLog!$L$2:$L$1000,QuickLog!$B$2:$B$1000,$B430,QuickLog!$O$2:$O$1000,$A430))</f>
        <v/>
      </c>
      <c r="I430" s="32">
        <f>IF($H430="","",$H430)</f>
        <v/>
      </c>
    </row>
    <row r="431">
      <c r="A431" s="29" t="n"/>
      <c r="B431" s="31" t="n"/>
      <c r="C431" s="31">
        <f>IF(OR($A431="",$B431=""),"",SUMIFS(QuickLog!$K$2:$K$1000,QuickLog!$B$2:$B$1000,$B431,QuickLog!$O$2:$O$1000,$A431,QuickLog!$G$2:$G$1000,"Routine"))</f>
        <v/>
      </c>
      <c r="D431" s="31">
        <f>IF(OR($A431="",$B431=""),"",SUMIFS(QuickLog!$K$2:$K$1000,QuickLog!$B$2:$B$1000,$B431,QuickLog!$O$2:$O$1000,$A431,QuickLog!$G$2:$G$1000,"&lt;&gt;Routine"))</f>
        <v/>
      </c>
      <c r="E431" s="31">
        <f>IF($C431="","",MIN($C431,Settings!$B$2))</f>
        <v/>
      </c>
      <c r="F431" s="31">
        <f>IF($C431="","",MAX(0,$C431-$E431))</f>
        <v/>
      </c>
      <c r="G431" s="31">
        <f>IF(OR($E431="",$D431=""),"", $E431+$D431)</f>
        <v/>
      </c>
      <c r="H431" s="31">
        <f>IF(OR($A431="",$B431=""),"",SUMIFS(QuickLog!$L$2:$L$1000,QuickLog!$B$2:$B$1000,$B431,QuickLog!$O$2:$O$1000,$A431))</f>
        <v/>
      </c>
      <c r="I431" s="32">
        <f>IF($H431="","",$H431)</f>
        <v/>
      </c>
    </row>
    <row r="432">
      <c r="A432" s="29" t="n"/>
      <c r="B432" s="31" t="n"/>
      <c r="C432" s="31">
        <f>IF(OR($A432="",$B432=""),"",SUMIFS(QuickLog!$K$2:$K$1000,QuickLog!$B$2:$B$1000,$B432,QuickLog!$O$2:$O$1000,$A432,QuickLog!$G$2:$G$1000,"Routine"))</f>
        <v/>
      </c>
      <c r="D432" s="31">
        <f>IF(OR($A432="",$B432=""),"",SUMIFS(QuickLog!$K$2:$K$1000,QuickLog!$B$2:$B$1000,$B432,QuickLog!$O$2:$O$1000,$A432,QuickLog!$G$2:$G$1000,"&lt;&gt;Routine"))</f>
        <v/>
      </c>
      <c r="E432" s="31">
        <f>IF($C432="","",MIN($C432,Settings!$B$2))</f>
        <v/>
      </c>
      <c r="F432" s="31">
        <f>IF($C432="","",MAX(0,$C432-$E432))</f>
        <v/>
      </c>
      <c r="G432" s="31">
        <f>IF(OR($E432="",$D432=""),"", $E432+$D432)</f>
        <v/>
      </c>
      <c r="H432" s="31">
        <f>IF(OR($A432="",$B432=""),"",SUMIFS(QuickLog!$L$2:$L$1000,QuickLog!$B$2:$B$1000,$B432,QuickLog!$O$2:$O$1000,$A432))</f>
        <v/>
      </c>
      <c r="I432" s="32">
        <f>IF($H432="","",$H432)</f>
        <v/>
      </c>
    </row>
    <row r="433">
      <c r="A433" s="29" t="n"/>
      <c r="B433" s="31" t="n"/>
      <c r="C433" s="31">
        <f>IF(OR($A433="",$B433=""),"",SUMIFS(QuickLog!$K$2:$K$1000,QuickLog!$B$2:$B$1000,$B433,QuickLog!$O$2:$O$1000,$A433,QuickLog!$G$2:$G$1000,"Routine"))</f>
        <v/>
      </c>
      <c r="D433" s="31">
        <f>IF(OR($A433="",$B433=""),"",SUMIFS(QuickLog!$K$2:$K$1000,QuickLog!$B$2:$B$1000,$B433,QuickLog!$O$2:$O$1000,$A433,QuickLog!$G$2:$G$1000,"&lt;&gt;Routine"))</f>
        <v/>
      </c>
      <c r="E433" s="31">
        <f>IF($C433="","",MIN($C433,Settings!$B$2))</f>
        <v/>
      </c>
      <c r="F433" s="31">
        <f>IF($C433="","",MAX(0,$C433-$E433))</f>
        <v/>
      </c>
      <c r="G433" s="31">
        <f>IF(OR($E433="",$D433=""),"", $E433+$D433)</f>
        <v/>
      </c>
      <c r="H433" s="31">
        <f>IF(OR($A433="",$B433=""),"",SUMIFS(QuickLog!$L$2:$L$1000,QuickLog!$B$2:$B$1000,$B433,QuickLog!$O$2:$O$1000,$A433))</f>
        <v/>
      </c>
      <c r="I433" s="32">
        <f>IF($H433="","",$H433)</f>
        <v/>
      </c>
    </row>
    <row r="434">
      <c r="A434" s="29" t="n"/>
      <c r="B434" s="31" t="n"/>
      <c r="C434" s="31">
        <f>IF(OR($A434="",$B434=""),"",SUMIFS(QuickLog!$K$2:$K$1000,QuickLog!$B$2:$B$1000,$B434,QuickLog!$O$2:$O$1000,$A434,QuickLog!$G$2:$G$1000,"Routine"))</f>
        <v/>
      </c>
      <c r="D434" s="31">
        <f>IF(OR($A434="",$B434=""),"",SUMIFS(QuickLog!$K$2:$K$1000,QuickLog!$B$2:$B$1000,$B434,QuickLog!$O$2:$O$1000,$A434,QuickLog!$G$2:$G$1000,"&lt;&gt;Routine"))</f>
        <v/>
      </c>
      <c r="E434" s="31">
        <f>IF($C434="","",MIN($C434,Settings!$B$2))</f>
        <v/>
      </c>
      <c r="F434" s="31">
        <f>IF($C434="","",MAX(0,$C434-$E434))</f>
        <v/>
      </c>
      <c r="G434" s="31">
        <f>IF(OR($E434="",$D434=""),"", $E434+$D434)</f>
        <v/>
      </c>
      <c r="H434" s="31">
        <f>IF(OR($A434="",$B434=""),"",SUMIFS(QuickLog!$L$2:$L$1000,QuickLog!$B$2:$B$1000,$B434,QuickLog!$O$2:$O$1000,$A434))</f>
        <v/>
      </c>
      <c r="I434" s="32">
        <f>IF($H434="","",$H434)</f>
        <v/>
      </c>
    </row>
    <row r="435">
      <c r="A435" s="29" t="n"/>
      <c r="B435" s="31" t="n"/>
      <c r="C435" s="31">
        <f>IF(OR($A435="",$B435=""),"",SUMIFS(QuickLog!$K$2:$K$1000,QuickLog!$B$2:$B$1000,$B435,QuickLog!$O$2:$O$1000,$A435,QuickLog!$G$2:$G$1000,"Routine"))</f>
        <v/>
      </c>
      <c r="D435" s="31">
        <f>IF(OR($A435="",$B435=""),"",SUMIFS(QuickLog!$K$2:$K$1000,QuickLog!$B$2:$B$1000,$B435,QuickLog!$O$2:$O$1000,$A435,QuickLog!$G$2:$G$1000,"&lt;&gt;Routine"))</f>
        <v/>
      </c>
      <c r="E435" s="31">
        <f>IF($C435="","",MIN($C435,Settings!$B$2))</f>
        <v/>
      </c>
      <c r="F435" s="31">
        <f>IF($C435="","",MAX(0,$C435-$E435))</f>
        <v/>
      </c>
      <c r="G435" s="31">
        <f>IF(OR($E435="",$D435=""),"", $E435+$D435)</f>
        <v/>
      </c>
      <c r="H435" s="31">
        <f>IF(OR($A435="",$B435=""),"",SUMIFS(QuickLog!$L$2:$L$1000,QuickLog!$B$2:$B$1000,$B435,QuickLog!$O$2:$O$1000,$A435))</f>
        <v/>
      </c>
      <c r="I435" s="32">
        <f>IF($H435="","",$H435)</f>
        <v/>
      </c>
    </row>
    <row r="436">
      <c r="A436" s="29" t="n"/>
      <c r="B436" s="31" t="n"/>
      <c r="C436" s="31">
        <f>IF(OR($A436="",$B436=""),"",SUMIFS(QuickLog!$K$2:$K$1000,QuickLog!$B$2:$B$1000,$B436,QuickLog!$O$2:$O$1000,$A436,QuickLog!$G$2:$G$1000,"Routine"))</f>
        <v/>
      </c>
      <c r="D436" s="31">
        <f>IF(OR($A436="",$B436=""),"",SUMIFS(QuickLog!$K$2:$K$1000,QuickLog!$B$2:$B$1000,$B436,QuickLog!$O$2:$O$1000,$A436,QuickLog!$G$2:$G$1000,"&lt;&gt;Routine"))</f>
        <v/>
      </c>
      <c r="E436" s="31">
        <f>IF($C436="","",MIN($C436,Settings!$B$2))</f>
        <v/>
      </c>
      <c r="F436" s="31">
        <f>IF($C436="","",MAX(0,$C436-$E436))</f>
        <v/>
      </c>
      <c r="G436" s="31">
        <f>IF(OR($E436="",$D436=""),"", $E436+$D436)</f>
        <v/>
      </c>
      <c r="H436" s="31">
        <f>IF(OR($A436="",$B436=""),"",SUMIFS(QuickLog!$L$2:$L$1000,QuickLog!$B$2:$B$1000,$B436,QuickLog!$O$2:$O$1000,$A436))</f>
        <v/>
      </c>
      <c r="I436" s="32">
        <f>IF($H436="","",$H436)</f>
        <v/>
      </c>
    </row>
    <row r="437">
      <c r="A437" s="29" t="n"/>
      <c r="B437" s="31" t="n"/>
      <c r="C437" s="31">
        <f>IF(OR($A437="",$B437=""),"",SUMIFS(QuickLog!$K$2:$K$1000,QuickLog!$B$2:$B$1000,$B437,QuickLog!$O$2:$O$1000,$A437,QuickLog!$G$2:$G$1000,"Routine"))</f>
        <v/>
      </c>
      <c r="D437" s="31">
        <f>IF(OR($A437="",$B437=""),"",SUMIFS(QuickLog!$K$2:$K$1000,QuickLog!$B$2:$B$1000,$B437,QuickLog!$O$2:$O$1000,$A437,QuickLog!$G$2:$G$1000,"&lt;&gt;Routine"))</f>
        <v/>
      </c>
      <c r="E437" s="31">
        <f>IF($C437="","",MIN($C437,Settings!$B$2))</f>
        <v/>
      </c>
      <c r="F437" s="31">
        <f>IF($C437="","",MAX(0,$C437-$E437))</f>
        <v/>
      </c>
      <c r="G437" s="31">
        <f>IF(OR($E437="",$D437=""),"", $E437+$D437)</f>
        <v/>
      </c>
      <c r="H437" s="31">
        <f>IF(OR($A437="",$B437=""),"",SUMIFS(QuickLog!$L$2:$L$1000,QuickLog!$B$2:$B$1000,$B437,QuickLog!$O$2:$O$1000,$A437))</f>
        <v/>
      </c>
      <c r="I437" s="32">
        <f>IF($H437="","",$H437)</f>
        <v/>
      </c>
    </row>
    <row r="438">
      <c r="A438" s="29" t="n"/>
      <c r="B438" s="31" t="n"/>
      <c r="C438" s="31">
        <f>IF(OR($A438="",$B438=""),"",SUMIFS(QuickLog!$K$2:$K$1000,QuickLog!$B$2:$B$1000,$B438,QuickLog!$O$2:$O$1000,$A438,QuickLog!$G$2:$G$1000,"Routine"))</f>
        <v/>
      </c>
      <c r="D438" s="31">
        <f>IF(OR($A438="",$B438=""),"",SUMIFS(QuickLog!$K$2:$K$1000,QuickLog!$B$2:$B$1000,$B438,QuickLog!$O$2:$O$1000,$A438,QuickLog!$G$2:$G$1000,"&lt;&gt;Routine"))</f>
        <v/>
      </c>
      <c r="E438" s="31">
        <f>IF($C438="","",MIN($C438,Settings!$B$2))</f>
        <v/>
      </c>
      <c r="F438" s="31">
        <f>IF($C438="","",MAX(0,$C438-$E438))</f>
        <v/>
      </c>
      <c r="G438" s="31">
        <f>IF(OR($E438="",$D438=""),"", $E438+$D438)</f>
        <v/>
      </c>
      <c r="H438" s="31">
        <f>IF(OR($A438="",$B438=""),"",SUMIFS(QuickLog!$L$2:$L$1000,QuickLog!$B$2:$B$1000,$B438,QuickLog!$O$2:$O$1000,$A438))</f>
        <v/>
      </c>
      <c r="I438" s="32">
        <f>IF($H438="","",$H438)</f>
        <v/>
      </c>
    </row>
    <row r="439">
      <c r="A439" s="29" t="n"/>
      <c r="B439" s="31" t="n"/>
      <c r="C439" s="31">
        <f>IF(OR($A439="",$B439=""),"",SUMIFS(QuickLog!$K$2:$K$1000,QuickLog!$B$2:$B$1000,$B439,QuickLog!$O$2:$O$1000,$A439,QuickLog!$G$2:$G$1000,"Routine"))</f>
        <v/>
      </c>
      <c r="D439" s="31">
        <f>IF(OR($A439="",$B439=""),"",SUMIFS(QuickLog!$K$2:$K$1000,QuickLog!$B$2:$B$1000,$B439,QuickLog!$O$2:$O$1000,$A439,QuickLog!$G$2:$G$1000,"&lt;&gt;Routine"))</f>
        <v/>
      </c>
      <c r="E439" s="31">
        <f>IF($C439="","",MIN($C439,Settings!$B$2))</f>
        <v/>
      </c>
      <c r="F439" s="31">
        <f>IF($C439="","",MAX(0,$C439-$E439))</f>
        <v/>
      </c>
      <c r="G439" s="31">
        <f>IF(OR($E439="",$D439=""),"", $E439+$D439)</f>
        <v/>
      </c>
      <c r="H439" s="31">
        <f>IF(OR($A439="",$B439=""),"",SUMIFS(QuickLog!$L$2:$L$1000,QuickLog!$B$2:$B$1000,$B439,QuickLog!$O$2:$O$1000,$A439))</f>
        <v/>
      </c>
      <c r="I439" s="32">
        <f>IF($H439="","",$H439)</f>
        <v/>
      </c>
    </row>
    <row r="440">
      <c r="A440" s="29" t="n"/>
      <c r="B440" s="31" t="n"/>
      <c r="C440" s="31">
        <f>IF(OR($A440="",$B440=""),"",SUMIFS(QuickLog!$K$2:$K$1000,QuickLog!$B$2:$B$1000,$B440,QuickLog!$O$2:$O$1000,$A440,QuickLog!$G$2:$G$1000,"Routine"))</f>
        <v/>
      </c>
      <c r="D440" s="31">
        <f>IF(OR($A440="",$B440=""),"",SUMIFS(QuickLog!$K$2:$K$1000,QuickLog!$B$2:$B$1000,$B440,QuickLog!$O$2:$O$1000,$A440,QuickLog!$G$2:$G$1000,"&lt;&gt;Routine"))</f>
        <v/>
      </c>
      <c r="E440" s="31">
        <f>IF($C440="","",MIN($C440,Settings!$B$2))</f>
        <v/>
      </c>
      <c r="F440" s="31">
        <f>IF($C440="","",MAX(0,$C440-$E440))</f>
        <v/>
      </c>
      <c r="G440" s="31">
        <f>IF(OR($E440="",$D440=""),"", $E440+$D440)</f>
        <v/>
      </c>
      <c r="H440" s="31">
        <f>IF(OR($A440="",$B440=""),"",SUMIFS(QuickLog!$L$2:$L$1000,QuickLog!$B$2:$B$1000,$B440,QuickLog!$O$2:$O$1000,$A440))</f>
        <v/>
      </c>
      <c r="I440" s="32">
        <f>IF($H440="","",$H440)</f>
        <v/>
      </c>
    </row>
    <row r="441">
      <c r="A441" s="29" t="n"/>
      <c r="B441" s="31" t="n"/>
      <c r="C441" s="31">
        <f>IF(OR($A441="",$B441=""),"",SUMIFS(QuickLog!$K$2:$K$1000,QuickLog!$B$2:$B$1000,$B441,QuickLog!$O$2:$O$1000,$A441,QuickLog!$G$2:$G$1000,"Routine"))</f>
        <v/>
      </c>
      <c r="D441" s="31">
        <f>IF(OR($A441="",$B441=""),"",SUMIFS(QuickLog!$K$2:$K$1000,QuickLog!$B$2:$B$1000,$B441,QuickLog!$O$2:$O$1000,$A441,QuickLog!$G$2:$G$1000,"&lt;&gt;Routine"))</f>
        <v/>
      </c>
      <c r="E441" s="31">
        <f>IF($C441="","",MIN($C441,Settings!$B$2))</f>
        <v/>
      </c>
      <c r="F441" s="31">
        <f>IF($C441="","",MAX(0,$C441-$E441))</f>
        <v/>
      </c>
      <c r="G441" s="31">
        <f>IF(OR($E441="",$D441=""),"", $E441+$D441)</f>
        <v/>
      </c>
      <c r="H441" s="31">
        <f>IF(OR($A441="",$B441=""),"",SUMIFS(QuickLog!$L$2:$L$1000,QuickLog!$B$2:$B$1000,$B441,QuickLog!$O$2:$O$1000,$A441))</f>
        <v/>
      </c>
      <c r="I441" s="32">
        <f>IF($H441="","",$H441)</f>
        <v/>
      </c>
    </row>
    <row r="442">
      <c r="A442" s="29" t="n"/>
      <c r="B442" s="31" t="n"/>
      <c r="C442" s="31">
        <f>IF(OR($A442="",$B442=""),"",SUMIFS(QuickLog!$K$2:$K$1000,QuickLog!$B$2:$B$1000,$B442,QuickLog!$O$2:$O$1000,$A442,QuickLog!$G$2:$G$1000,"Routine"))</f>
        <v/>
      </c>
      <c r="D442" s="31">
        <f>IF(OR($A442="",$B442=""),"",SUMIFS(QuickLog!$K$2:$K$1000,QuickLog!$B$2:$B$1000,$B442,QuickLog!$O$2:$O$1000,$A442,QuickLog!$G$2:$G$1000,"&lt;&gt;Routine"))</f>
        <v/>
      </c>
      <c r="E442" s="31">
        <f>IF($C442="","",MIN($C442,Settings!$B$2))</f>
        <v/>
      </c>
      <c r="F442" s="31">
        <f>IF($C442="","",MAX(0,$C442-$E442))</f>
        <v/>
      </c>
      <c r="G442" s="31">
        <f>IF(OR($E442="",$D442=""),"", $E442+$D442)</f>
        <v/>
      </c>
      <c r="H442" s="31">
        <f>IF(OR($A442="",$B442=""),"",SUMIFS(QuickLog!$L$2:$L$1000,QuickLog!$B$2:$B$1000,$B442,QuickLog!$O$2:$O$1000,$A442))</f>
        <v/>
      </c>
      <c r="I442" s="32">
        <f>IF($H442="","",$H442)</f>
        <v/>
      </c>
    </row>
    <row r="443">
      <c r="A443" s="29" t="n"/>
      <c r="B443" s="31" t="n"/>
      <c r="C443" s="31">
        <f>IF(OR($A443="",$B443=""),"",SUMIFS(QuickLog!$K$2:$K$1000,QuickLog!$B$2:$B$1000,$B443,QuickLog!$O$2:$O$1000,$A443,QuickLog!$G$2:$G$1000,"Routine"))</f>
        <v/>
      </c>
      <c r="D443" s="31">
        <f>IF(OR($A443="",$B443=""),"",SUMIFS(QuickLog!$K$2:$K$1000,QuickLog!$B$2:$B$1000,$B443,QuickLog!$O$2:$O$1000,$A443,QuickLog!$G$2:$G$1000,"&lt;&gt;Routine"))</f>
        <v/>
      </c>
      <c r="E443" s="31">
        <f>IF($C443="","",MIN($C443,Settings!$B$2))</f>
        <v/>
      </c>
      <c r="F443" s="31">
        <f>IF($C443="","",MAX(0,$C443-$E443))</f>
        <v/>
      </c>
      <c r="G443" s="31">
        <f>IF(OR($E443="",$D443=""),"", $E443+$D443)</f>
        <v/>
      </c>
      <c r="H443" s="31">
        <f>IF(OR($A443="",$B443=""),"",SUMIFS(QuickLog!$L$2:$L$1000,QuickLog!$B$2:$B$1000,$B443,QuickLog!$O$2:$O$1000,$A443))</f>
        <v/>
      </c>
      <c r="I443" s="32">
        <f>IF($H443="","",$H443)</f>
        <v/>
      </c>
    </row>
    <row r="444">
      <c r="A444" s="29" t="n"/>
      <c r="B444" s="31" t="n"/>
      <c r="C444" s="31">
        <f>IF(OR($A444="",$B444=""),"",SUMIFS(QuickLog!$K$2:$K$1000,QuickLog!$B$2:$B$1000,$B444,QuickLog!$O$2:$O$1000,$A444,QuickLog!$G$2:$G$1000,"Routine"))</f>
        <v/>
      </c>
      <c r="D444" s="31">
        <f>IF(OR($A444="",$B444=""),"",SUMIFS(QuickLog!$K$2:$K$1000,QuickLog!$B$2:$B$1000,$B444,QuickLog!$O$2:$O$1000,$A444,QuickLog!$G$2:$G$1000,"&lt;&gt;Routine"))</f>
        <v/>
      </c>
      <c r="E444" s="31">
        <f>IF($C444="","",MIN($C444,Settings!$B$2))</f>
        <v/>
      </c>
      <c r="F444" s="31">
        <f>IF($C444="","",MAX(0,$C444-$E444))</f>
        <v/>
      </c>
      <c r="G444" s="31">
        <f>IF(OR($E444="",$D444=""),"", $E444+$D444)</f>
        <v/>
      </c>
      <c r="H444" s="31">
        <f>IF(OR($A444="",$B444=""),"",SUMIFS(QuickLog!$L$2:$L$1000,QuickLog!$B$2:$B$1000,$B444,QuickLog!$O$2:$O$1000,$A444))</f>
        <v/>
      </c>
      <c r="I444" s="32">
        <f>IF($H444="","",$H444)</f>
        <v/>
      </c>
    </row>
    <row r="445">
      <c r="A445" s="29" t="n"/>
      <c r="B445" s="31" t="n"/>
      <c r="C445" s="31">
        <f>IF(OR($A445="",$B445=""),"",SUMIFS(QuickLog!$K$2:$K$1000,QuickLog!$B$2:$B$1000,$B445,QuickLog!$O$2:$O$1000,$A445,QuickLog!$G$2:$G$1000,"Routine"))</f>
        <v/>
      </c>
      <c r="D445" s="31">
        <f>IF(OR($A445="",$B445=""),"",SUMIFS(QuickLog!$K$2:$K$1000,QuickLog!$B$2:$B$1000,$B445,QuickLog!$O$2:$O$1000,$A445,QuickLog!$G$2:$G$1000,"&lt;&gt;Routine"))</f>
        <v/>
      </c>
      <c r="E445" s="31">
        <f>IF($C445="","",MIN($C445,Settings!$B$2))</f>
        <v/>
      </c>
      <c r="F445" s="31">
        <f>IF($C445="","",MAX(0,$C445-$E445))</f>
        <v/>
      </c>
      <c r="G445" s="31">
        <f>IF(OR($E445="",$D445=""),"", $E445+$D445)</f>
        <v/>
      </c>
      <c r="H445" s="31">
        <f>IF(OR($A445="",$B445=""),"",SUMIFS(QuickLog!$L$2:$L$1000,QuickLog!$B$2:$B$1000,$B445,QuickLog!$O$2:$O$1000,$A445))</f>
        <v/>
      </c>
      <c r="I445" s="32">
        <f>IF($H445="","",$H445)</f>
        <v/>
      </c>
    </row>
    <row r="446">
      <c r="A446" s="29" t="n"/>
      <c r="B446" s="31" t="n"/>
      <c r="C446" s="31">
        <f>IF(OR($A446="",$B446=""),"",SUMIFS(QuickLog!$K$2:$K$1000,QuickLog!$B$2:$B$1000,$B446,QuickLog!$O$2:$O$1000,$A446,QuickLog!$G$2:$G$1000,"Routine"))</f>
        <v/>
      </c>
      <c r="D446" s="31">
        <f>IF(OR($A446="",$B446=""),"",SUMIFS(QuickLog!$K$2:$K$1000,QuickLog!$B$2:$B$1000,$B446,QuickLog!$O$2:$O$1000,$A446,QuickLog!$G$2:$G$1000,"&lt;&gt;Routine"))</f>
        <v/>
      </c>
      <c r="E446" s="31">
        <f>IF($C446="","",MIN($C446,Settings!$B$2))</f>
        <v/>
      </c>
      <c r="F446" s="31">
        <f>IF($C446="","",MAX(0,$C446-$E446))</f>
        <v/>
      </c>
      <c r="G446" s="31">
        <f>IF(OR($E446="",$D446=""),"", $E446+$D446)</f>
        <v/>
      </c>
      <c r="H446" s="31">
        <f>IF(OR($A446="",$B446=""),"",SUMIFS(QuickLog!$L$2:$L$1000,QuickLog!$B$2:$B$1000,$B446,QuickLog!$O$2:$O$1000,$A446))</f>
        <v/>
      </c>
      <c r="I446" s="32">
        <f>IF($H446="","",$H446)</f>
        <v/>
      </c>
    </row>
    <row r="447">
      <c r="A447" s="29" t="n"/>
      <c r="B447" s="31" t="n"/>
      <c r="C447" s="31">
        <f>IF(OR($A447="",$B447=""),"",SUMIFS(QuickLog!$K$2:$K$1000,QuickLog!$B$2:$B$1000,$B447,QuickLog!$O$2:$O$1000,$A447,QuickLog!$G$2:$G$1000,"Routine"))</f>
        <v/>
      </c>
      <c r="D447" s="31">
        <f>IF(OR($A447="",$B447=""),"",SUMIFS(QuickLog!$K$2:$K$1000,QuickLog!$B$2:$B$1000,$B447,QuickLog!$O$2:$O$1000,$A447,QuickLog!$G$2:$G$1000,"&lt;&gt;Routine"))</f>
        <v/>
      </c>
      <c r="E447" s="31">
        <f>IF($C447="","",MIN($C447,Settings!$B$2))</f>
        <v/>
      </c>
      <c r="F447" s="31">
        <f>IF($C447="","",MAX(0,$C447-$E447))</f>
        <v/>
      </c>
      <c r="G447" s="31">
        <f>IF(OR($E447="",$D447=""),"", $E447+$D447)</f>
        <v/>
      </c>
      <c r="H447" s="31">
        <f>IF(OR($A447="",$B447=""),"",SUMIFS(QuickLog!$L$2:$L$1000,QuickLog!$B$2:$B$1000,$B447,QuickLog!$O$2:$O$1000,$A447))</f>
        <v/>
      </c>
      <c r="I447" s="32">
        <f>IF($H447="","",$H447)</f>
        <v/>
      </c>
    </row>
    <row r="448">
      <c r="A448" s="29" t="n"/>
      <c r="B448" s="31" t="n"/>
      <c r="C448" s="31">
        <f>IF(OR($A448="",$B448=""),"",SUMIFS(QuickLog!$K$2:$K$1000,QuickLog!$B$2:$B$1000,$B448,QuickLog!$O$2:$O$1000,$A448,QuickLog!$G$2:$G$1000,"Routine"))</f>
        <v/>
      </c>
      <c r="D448" s="31">
        <f>IF(OR($A448="",$B448=""),"",SUMIFS(QuickLog!$K$2:$K$1000,QuickLog!$B$2:$B$1000,$B448,QuickLog!$O$2:$O$1000,$A448,QuickLog!$G$2:$G$1000,"&lt;&gt;Routine"))</f>
        <v/>
      </c>
      <c r="E448" s="31">
        <f>IF($C448="","",MIN($C448,Settings!$B$2))</f>
        <v/>
      </c>
      <c r="F448" s="31">
        <f>IF($C448="","",MAX(0,$C448-$E448))</f>
        <v/>
      </c>
      <c r="G448" s="31">
        <f>IF(OR($E448="",$D448=""),"", $E448+$D448)</f>
        <v/>
      </c>
      <c r="H448" s="31">
        <f>IF(OR($A448="",$B448=""),"",SUMIFS(QuickLog!$L$2:$L$1000,QuickLog!$B$2:$B$1000,$B448,QuickLog!$O$2:$O$1000,$A448))</f>
        <v/>
      </c>
      <c r="I448" s="32">
        <f>IF($H448="","",$H448)</f>
        <v/>
      </c>
    </row>
    <row r="449">
      <c r="A449" s="29" t="n"/>
      <c r="B449" s="31" t="n"/>
      <c r="C449" s="31">
        <f>IF(OR($A449="",$B449=""),"",SUMIFS(QuickLog!$K$2:$K$1000,QuickLog!$B$2:$B$1000,$B449,QuickLog!$O$2:$O$1000,$A449,QuickLog!$G$2:$G$1000,"Routine"))</f>
        <v/>
      </c>
      <c r="D449" s="31">
        <f>IF(OR($A449="",$B449=""),"",SUMIFS(QuickLog!$K$2:$K$1000,QuickLog!$B$2:$B$1000,$B449,QuickLog!$O$2:$O$1000,$A449,QuickLog!$G$2:$G$1000,"&lt;&gt;Routine"))</f>
        <v/>
      </c>
      <c r="E449" s="31">
        <f>IF($C449="","",MIN($C449,Settings!$B$2))</f>
        <v/>
      </c>
      <c r="F449" s="31">
        <f>IF($C449="","",MAX(0,$C449-$E449))</f>
        <v/>
      </c>
      <c r="G449" s="31">
        <f>IF(OR($E449="",$D449=""),"", $E449+$D449)</f>
        <v/>
      </c>
      <c r="H449" s="31">
        <f>IF(OR($A449="",$B449=""),"",SUMIFS(QuickLog!$L$2:$L$1000,QuickLog!$B$2:$B$1000,$B449,QuickLog!$O$2:$O$1000,$A449))</f>
        <v/>
      </c>
      <c r="I449" s="32">
        <f>IF($H449="","",$H449)</f>
        <v/>
      </c>
    </row>
    <row r="450">
      <c r="A450" s="29" t="n"/>
      <c r="B450" s="31" t="n"/>
      <c r="C450" s="31">
        <f>IF(OR($A450="",$B450=""),"",SUMIFS(QuickLog!$K$2:$K$1000,QuickLog!$B$2:$B$1000,$B450,QuickLog!$O$2:$O$1000,$A450,QuickLog!$G$2:$G$1000,"Routine"))</f>
        <v/>
      </c>
      <c r="D450" s="31">
        <f>IF(OR($A450="",$B450=""),"",SUMIFS(QuickLog!$K$2:$K$1000,QuickLog!$B$2:$B$1000,$B450,QuickLog!$O$2:$O$1000,$A450,QuickLog!$G$2:$G$1000,"&lt;&gt;Routine"))</f>
        <v/>
      </c>
      <c r="E450" s="31">
        <f>IF($C450="","",MIN($C450,Settings!$B$2))</f>
        <v/>
      </c>
      <c r="F450" s="31">
        <f>IF($C450="","",MAX(0,$C450-$E450))</f>
        <v/>
      </c>
      <c r="G450" s="31">
        <f>IF(OR($E450="",$D450=""),"", $E450+$D450)</f>
        <v/>
      </c>
      <c r="H450" s="31">
        <f>IF(OR($A450="",$B450=""),"",SUMIFS(QuickLog!$L$2:$L$1000,QuickLog!$B$2:$B$1000,$B450,QuickLog!$O$2:$O$1000,$A450))</f>
        <v/>
      </c>
      <c r="I450" s="32">
        <f>IF($H450="","",$H450)</f>
        <v/>
      </c>
    </row>
    <row r="451">
      <c r="A451" s="29" t="n"/>
      <c r="B451" s="31" t="n"/>
      <c r="C451" s="31">
        <f>IF(OR($A451="",$B451=""),"",SUMIFS(QuickLog!$K$2:$K$1000,QuickLog!$B$2:$B$1000,$B451,QuickLog!$O$2:$O$1000,$A451,QuickLog!$G$2:$G$1000,"Routine"))</f>
        <v/>
      </c>
      <c r="D451" s="31">
        <f>IF(OR($A451="",$B451=""),"",SUMIFS(QuickLog!$K$2:$K$1000,QuickLog!$B$2:$B$1000,$B451,QuickLog!$O$2:$O$1000,$A451,QuickLog!$G$2:$G$1000,"&lt;&gt;Routine"))</f>
        <v/>
      </c>
      <c r="E451" s="31">
        <f>IF($C451="","",MIN($C451,Settings!$B$2))</f>
        <v/>
      </c>
      <c r="F451" s="31">
        <f>IF($C451="","",MAX(0,$C451-$E451))</f>
        <v/>
      </c>
      <c r="G451" s="31">
        <f>IF(OR($E451="",$D451=""),"", $E451+$D451)</f>
        <v/>
      </c>
      <c r="H451" s="31">
        <f>IF(OR($A451="",$B451=""),"",SUMIFS(QuickLog!$L$2:$L$1000,QuickLog!$B$2:$B$1000,$B451,QuickLog!$O$2:$O$1000,$A451))</f>
        <v/>
      </c>
      <c r="I451" s="32">
        <f>IF($H451="","",$H451)</f>
        <v/>
      </c>
    </row>
    <row r="452">
      <c r="A452" s="29" t="n"/>
      <c r="B452" s="31" t="n"/>
      <c r="C452" s="31">
        <f>IF(OR($A452="",$B452=""),"",SUMIFS(QuickLog!$K$2:$K$1000,QuickLog!$B$2:$B$1000,$B452,QuickLog!$O$2:$O$1000,$A452,QuickLog!$G$2:$G$1000,"Routine"))</f>
        <v/>
      </c>
      <c r="D452" s="31">
        <f>IF(OR($A452="",$B452=""),"",SUMIFS(QuickLog!$K$2:$K$1000,QuickLog!$B$2:$B$1000,$B452,QuickLog!$O$2:$O$1000,$A452,QuickLog!$G$2:$G$1000,"&lt;&gt;Routine"))</f>
        <v/>
      </c>
      <c r="E452" s="31">
        <f>IF($C452="","",MIN($C452,Settings!$B$2))</f>
        <v/>
      </c>
      <c r="F452" s="31">
        <f>IF($C452="","",MAX(0,$C452-$E452))</f>
        <v/>
      </c>
      <c r="G452" s="31">
        <f>IF(OR($E452="",$D452=""),"", $E452+$D452)</f>
        <v/>
      </c>
      <c r="H452" s="31">
        <f>IF(OR($A452="",$B452=""),"",SUMIFS(QuickLog!$L$2:$L$1000,QuickLog!$B$2:$B$1000,$B452,QuickLog!$O$2:$O$1000,$A452))</f>
        <v/>
      </c>
      <c r="I452" s="32">
        <f>IF($H452="","",$H452)</f>
        <v/>
      </c>
    </row>
    <row r="453">
      <c r="A453" s="29" t="n"/>
      <c r="B453" s="31" t="n"/>
      <c r="C453" s="31">
        <f>IF(OR($A453="",$B453=""),"",SUMIFS(QuickLog!$K$2:$K$1000,QuickLog!$B$2:$B$1000,$B453,QuickLog!$O$2:$O$1000,$A453,QuickLog!$G$2:$G$1000,"Routine"))</f>
        <v/>
      </c>
      <c r="D453" s="31">
        <f>IF(OR($A453="",$B453=""),"",SUMIFS(QuickLog!$K$2:$K$1000,QuickLog!$B$2:$B$1000,$B453,QuickLog!$O$2:$O$1000,$A453,QuickLog!$G$2:$G$1000,"&lt;&gt;Routine"))</f>
        <v/>
      </c>
      <c r="E453" s="31">
        <f>IF($C453="","",MIN($C453,Settings!$B$2))</f>
        <v/>
      </c>
      <c r="F453" s="31">
        <f>IF($C453="","",MAX(0,$C453-$E453))</f>
        <v/>
      </c>
      <c r="G453" s="31">
        <f>IF(OR($E453="",$D453=""),"", $E453+$D453)</f>
        <v/>
      </c>
      <c r="H453" s="31">
        <f>IF(OR($A453="",$B453=""),"",SUMIFS(QuickLog!$L$2:$L$1000,QuickLog!$B$2:$B$1000,$B453,QuickLog!$O$2:$O$1000,$A453))</f>
        <v/>
      </c>
      <c r="I453" s="32">
        <f>IF($H453="","",$H453)</f>
        <v/>
      </c>
    </row>
    <row r="454">
      <c r="A454" s="29" t="n"/>
      <c r="B454" s="31" t="n"/>
      <c r="C454" s="31">
        <f>IF(OR($A454="",$B454=""),"",SUMIFS(QuickLog!$K$2:$K$1000,QuickLog!$B$2:$B$1000,$B454,QuickLog!$O$2:$O$1000,$A454,QuickLog!$G$2:$G$1000,"Routine"))</f>
        <v/>
      </c>
      <c r="D454" s="31">
        <f>IF(OR($A454="",$B454=""),"",SUMIFS(QuickLog!$K$2:$K$1000,QuickLog!$B$2:$B$1000,$B454,QuickLog!$O$2:$O$1000,$A454,QuickLog!$G$2:$G$1000,"&lt;&gt;Routine"))</f>
        <v/>
      </c>
      <c r="E454" s="31">
        <f>IF($C454="","",MIN($C454,Settings!$B$2))</f>
        <v/>
      </c>
      <c r="F454" s="31">
        <f>IF($C454="","",MAX(0,$C454-$E454))</f>
        <v/>
      </c>
      <c r="G454" s="31">
        <f>IF(OR($E454="",$D454=""),"", $E454+$D454)</f>
        <v/>
      </c>
      <c r="H454" s="31">
        <f>IF(OR($A454="",$B454=""),"",SUMIFS(QuickLog!$L$2:$L$1000,QuickLog!$B$2:$B$1000,$B454,QuickLog!$O$2:$O$1000,$A454))</f>
        <v/>
      </c>
      <c r="I454" s="32">
        <f>IF($H454="","",$H454)</f>
        <v/>
      </c>
    </row>
    <row r="455">
      <c r="A455" s="29" t="n"/>
      <c r="B455" s="31" t="n"/>
      <c r="C455" s="31">
        <f>IF(OR($A455="",$B455=""),"",SUMIFS(QuickLog!$K$2:$K$1000,QuickLog!$B$2:$B$1000,$B455,QuickLog!$O$2:$O$1000,$A455,QuickLog!$G$2:$G$1000,"Routine"))</f>
        <v/>
      </c>
      <c r="D455" s="31">
        <f>IF(OR($A455="",$B455=""),"",SUMIFS(QuickLog!$K$2:$K$1000,QuickLog!$B$2:$B$1000,$B455,QuickLog!$O$2:$O$1000,$A455,QuickLog!$G$2:$G$1000,"&lt;&gt;Routine"))</f>
        <v/>
      </c>
      <c r="E455" s="31">
        <f>IF($C455="","",MIN($C455,Settings!$B$2))</f>
        <v/>
      </c>
      <c r="F455" s="31">
        <f>IF($C455="","",MAX(0,$C455-$E455))</f>
        <v/>
      </c>
      <c r="G455" s="31">
        <f>IF(OR($E455="",$D455=""),"", $E455+$D455)</f>
        <v/>
      </c>
      <c r="H455" s="31">
        <f>IF(OR($A455="",$B455=""),"",SUMIFS(QuickLog!$L$2:$L$1000,QuickLog!$B$2:$B$1000,$B455,QuickLog!$O$2:$O$1000,$A455))</f>
        <v/>
      </c>
      <c r="I455" s="32">
        <f>IF($H455="","",$H455)</f>
        <v/>
      </c>
    </row>
    <row r="456">
      <c r="A456" s="29" t="n"/>
      <c r="B456" s="31" t="n"/>
      <c r="C456" s="31">
        <f>IF(OR($A456="",$B456=""),"",SUMIFS(QuickLog!$K$2:$K$1000,QuickLog!$B$2:$B$1000,$B456,QuickLog!$O$2:$O$1000,$A456,QuickLog!$G$2:$G$1000,"Routine"))</f>
        <v/>
      </c>
      <c r="D456" s="31">
        <f>IF(OR($A456="",$B456=""),"",SUMIFS(QuickLog!$K$2:$K$1000,QuickLog!$B$2:$B$1000,$B456,QuickLog!$O$2:$O$1000,$A456,QuickLog!$G$2:$G$1000,"&lt;&gt;Routine"))</f>
        <v/>
      </c>
      <c r="E456" s="31">
        <f>IF($C456="","",MIN($C456,Settings!$B$2))</f>
        <v/>
      </c>
      <c r="F456" s="31">
        <f>IF($C456="","",MAX(0,$C456-$E456))</f>
        <v/>
      </c>
      <c r="G456" s="31">
        <f>IF(OR($E456="",$D456=""),"", $E456+$D456)</f>
        <v/>
      </c>
      <c r="H456" s="31">
        <f>IF(OR($A456="",$B456=""),"",SUMIFS(QuickLog!$L$2:$L$1000,QuickLog!$B$2:$B$1000,$B456,QuickLog!$O$2:$O$1000,$A456))</f>
        <v/>
      </c>
      <c r="I456" s="32">
        <f>IF($H456="","",$H456)</f>
        <v/>
      </c>
    </row>
    <row r="457">
      <c r="A457" s="29" t="n"/>
      <c r="B457" s="31" t="n"/>
      <c r="C457" s="31">
        <f>IF(OR($A457="",$B457=""),"",SUMIFS(QuickLog!$K$2:$K$1000,QuickLog!$B$2:$B$1000,$B457,QuickLog!$O$2:$O$1000,$A457,QuickLog!$G$2:$G$1000,"Routine"))</f>
        <v/>
      </c>
      <c r="D457" s="31">
        <f>IF(OR($A457="",$B457=""),"",SUMIFS(QuickLog!$K$2:$K$1000,QuickLog!$B$2:$B$1000,$B457,QuickLog!$O$2:$O$1000,$A457,QuickLog!$G$2:$G$1000,"&lt;&gt;Routine"))</f>
        <v/>
      </c>
      <c r="E457" s="31">
        <f>IF($C457="","",MIN($C457,Settings!$B$2))</f>
        <v/>
      </c>
      <c r="F457" s="31">
        <f>IF($C457="","",MAX(0,$C457-$E457))</f>
        <v/>
      </c>
      <c r="G457" s="31">
        <f>IF(OR($E457="",$D457=""),"", $E457+$D457)</f>
        <v/>
      </c>
      <c r="H457" s="31">
        <f>IF(OR($A457="",$B457=""),"",SUMIFS(QuickLog!$L$2:$L$1000,QuickLog!$B$2:$B$1000,$B457,QuickLog!$O$2:$O$1000,$A457))</f>
        <v/>
      </c>
      <c r="I457" s="32">
        <f>IF($H457="","",$H457)</f>
        <v/>
      </c>
    </row>
    <row r="458">
      <c r="A458" s="29" t="n"/>
      <c r="B458" s="31" t="n"/>
      <c r="C458" s="31">
        <f>IF(OR($A458="",$B458=""),"",SUMIFS(QuickLog!$K$2:$K$1000,QuickLog!$B$2:$B$1000,$B458,QuickLog!$O$2:$O$1000,$A458,QuickLog!$G$2:$G$1000,"Routine"))</f>
        <v/>
      </c>
      <c r="D458" s="31">
        <f>IF(OR($A458="",$B458=""),"",SUMIFS(QuickLog!$K$2:$K$1000,QuickLog!$B$2:$B$1000,$B458,QuickLog!$O$2:$O$1000,$A458,QuickLog!$G$2:$G$1000,"&lt;&gt;Routine"))</f>
        <v/>
      </c>
      <c r="E458" s="31">
        <f>IF($C458="","",MIN($C458,Settings!$B$2))</f>
        <v/>
      </c>
      <c r="F458" s="31">
        <f>IF($C458="","",MAX(0,$C458-$E458))</f>
        <v/>
      </c>
      <c r="G458" s="31">
        <f>IF(OR($E458="",$D458=""),"", $E458+$D458)</f>
        <v/>
      </c>
      <c r="H458" s="31">
        <f>IF(OR($A458="",$B458=""),"",SUMIFS(QuickLog!$L$2:$L$1000,QuickLog!$B$2:$B$1000,$B458,QuickLog!$O$2:$O$1000,$A458))</f>
        <v/>
      </c>
      <c r="I458" s="32">
        <f>IF($H458="","",$H458)</f>
        <v/>
      </c>
    </row>
    <row r="459">
      <c r="A459" s="29" t="n"/>
      <c r="B459" s="31" t="n"/>
      <c r="C459" s="31">
        <f>IF(OR($A459="",$B459=""),"",SUMIFS(QuickLog!$K$2:$K$1000,QuickLog!$B$2:$B$1000,$B459,QuickLog!$O$2:$O$1000,$A459,QuickLog!$G$2:$G$1000,"Routine"))</f>
        <v/>
      </c>
      <c r="D459" s="31">
        <f>IF(OR($A459="",$B459=""),"",SUMIFS(QuickLog!$K$2:$K$1000,QuickLog!$B$2:$B$1000,$B459,QuickLog!$O$2:$O$1000,$A459,QuickLog!$G$2:$G$1000,"&lt;&gt;Routine"))</f>
        <v/>
      </c>
      <c r="E459" s="31">
        <f>IF($C459="","",MIN($C459,Settings!$B$2))</f>
        <v/>
      </c>
      <c r="F459" s="31">
        <f>IF($C459="","",MAX(0,$C459-$E459))</f>
        <v/>
      </c>
      <c r="G459" s="31">
        <f>IF(OR($E459="",$D459=""),"", $E459+$D459)</f>
        <v/>
      </c>
      <c r="H459" s="31">
        <f>IF(OR($A459="",$B459=""),"",SUMIFS(QuickLog!$L$2:$L$1000,QuickLog!$B$2:$B$1000,$B459,QuickLog!$O$2:$O$1000,$A459))</f>
        <v/>
      </c>
      <c r="I459" s="32">
        <f>IF($H459="","",$H459)</f>
        <v/>
      </c>
    </row>
    <row r="460">
      <c r="A460" s="29" t="n"/>
      <c r="B460" s="31" t="n"/>
      <c r="C460" s="31">
        <f>IF(OR($A460="",$B460=""),"",SUMIFS(QuickLog!$K$2:$K$1000,QuickLog!$B$2:$B$1000,$B460,QuickLog!$O$2:$O$1000,$A460,QuickLog!$G$2:$G$1000,"Routine"))</f>
        <v/>
      </c>
      <c r="D460" s="31">
        <f>IF(OR($A460="",$B460=""),"",SUMIFS(QuickLog!$K$2:$K$1000,QuickLog!$B$2:$B$1000,$B460,QuickLog!$O$2:$O$1000,$A460,QuickLog!$G$2:$G$1000,"&lt;&gt;Routine"))</f>
        <v/>
      </c>
      <c r="E460" s="31">
        <f>IF($C460="","",MIN($C460,Settings!$B$2))</f>
        <v/>
      </c>
      <c r="F460" s="31">
        <f>IF($C460="","",MAX(0,$C460-$E460))</f>
        <v/>
      </c>
      <c r="G460" s="31">
        <f>IF(OR($E460="",$D460=""),"", $E460+$D460)</f>
        <v/>
      </c>
      <c r="H460" s="31">
        <f>IF(OR($A460="",$B460=""),"",SUMIFS(QuickLog!$L$2:$L$1000,QuickLog!$B$2:$B$1000,$B460,QuickLog!$O$2:$O$1000,$A460))</f>
        <v/>
      </c>
      <c r="I460" s="32">
        <f>IF($H460="","",$H460)</f>
        <v/>
      </c>
    </row>
    <row r="461">
      <c r="A461" s="29" t="n"/>
      <c r="B461" s="31" t="n"/>
      <c r="C461" s="31">
        <f>IF(OR($A461="",$B461=""),"",SUMIFS(QuickLog!$K$2:$K$1000,QuickLog!$B$2:$B$1000,$B461,QuickLog!$O$2:$O$1000,$A461,QuickLog!$G$2:$G$1000,"Routine"))</f>
        <v/>
      </c>
      <c r="D461" s="31">
        <f>IF(OR($A461="",$B461=""),"",SUMIFS(QuickLog!$K$2:$K$1000,QuickLog!$B$2:$B$1000,$B461,QuickLog!$O$2:$O$1000,$A461,QuickLog!$G$2:$G$1000,"&lt;&gt;Routine"))</f>
        <v/>
      </c>
      <c r="E461" s="31">
        <f>IF($C461="","",MIN($C461,Settings!$B$2))</f>
        <v/>
      </c>
      <c r="F461" s="31">
        <f>IF($C461="","",MAX(0,$C461-$E461))</f>
        <v/>
      </c>
      <c r="G461" s="31">
        <f>IF(OR($E461="",$D461=""),"", $E461+$D461)</f>
        <v/>
      </c>
      <c r="H461" s="31">
        <f>IF(OR($A461="",$B461=""),"",SUMIFS(QuickLog!$L$2:$L$1000,QuickLog!$B$2:$B$1000,$B461,QuickLog!$O$2:$O$1000,$A461))</f>
        <v/>
      </c>
      <c r="I461" s="32">
        <f>IF($H461="","",$H461)</f>
        <v/>
      </c>
    </row>
    <row r="462">
      <c r="A462" s="29" t="n"/>
      <c r="B462" s="31" t="n"/>
      <c r="C462" s="31">
        <f>IF(OR($A462="",$B462=""),"",SUMIFS(QuickLog!$K$2:$K$1000,QuickLog!$B$2:$B$1000,$B462,QuickLog!$O$2:$O$1000,$A462,QuickLog!$G$2:$G$1000,"Routine"))</f>
        <v/>
      </c>
      <c r="D462" s="31">
        <f>IF(OR($A462="",$B462=""),"",SUMIFS(QuickLog!$K$2:$K$1000,QuickLog!$B$2:$B$1000,$B462,QuickLog!$O$2:$O$1000,$A462,QuickLog!$G$2:$G$1000,"&lt;&gt;Routine"))</f>
        <v/>
      </c>
      <c r="E462" s="31">
        <f>IF($C462="","",MIN($C462,Settings!$B$2))</f>
        <v/>
      </c>
      <c r="F462" s="31">
        <f>IF($C462="","",MAX(0,$C462-$E462))</f>
        <v/>
      </c>
      <c r="G462" s="31">
        <f>IF(OR($E462="",$D462=""),"", $E462+$D462)</f>
        <v/>
      </c>
      <c r="H462" s="31">
        <f>IF(OR($A462="",$B462=""),"",SUMIFS(QuickLog!$L$2:$L$1000,QuickLog!$B$2:$B$1000,$B462,QuickLog!$O$2:$O$1000,$A462))</f>
        <v/>
      </c>
      <c r="I462" s="32">
        <f>IF($H462="","",$H462)</f>
        <v/>
      </c>
    </row>
    <row r="463">
      <c r="A463" s="29" t="n"/>
      <c r="B463" s="31" t="n"/>
      <c r="C463" s="31">
        <f>IF(OR($A463="",$B463=""),"",SUMIFS(QuickLog!$K$2:$K$1000,QuickLog!$B$2:$B$1000,$B463,QuickLog!$O$2:$O$1000,$A463,QuickLog!$G$2:$G$1000,"Routine"))</f>
        <v/>
      </c>
      <c r="D463" s="31">
        <f>IF(OR($A463="",$B463=""),"",SUMIFS(QuickLog!$K$2:$K$1000,QuickLog!$B$2:$B$1000,$B463,QuickLog!$O$2:$O$1000,$A463,QuickLog!$G$2:$G$1000,"&lt;&gt;Routine"))</f>
        <v/>
      </c>
      <c r="E463" s="31">
        <f>IF($C463="","",MIN($C463,Settings!$B$2))</f>
        <v/>
      </c>
      <c r="F463" s="31">
        <f>IF($C463="","",MAX(0,$C463-$E463))</f>
        <v/>
      </c>
      <c r="G463" s="31">
        <f>IF(OR($E463="",$D463=""),"", $E463+$D463)</f>
        <v/>
      </c>
      <c r="H463" s="31">
        <f>IF(OR($A463="",$B463=""),"",SUMIFS(QuickLog!$L$2:$L$1000,QuickLog!$B$2:$B$1000,$B463,QuickLog!$O$2:$O$1000,$A463))</f>
        <v/>
      </c>
      <c r="I463" s="32">
        <f>IF($H463="","",$H463)</f>
        <v/>
      </c>
    </row>
    <row r="464">
      <c r="A464" s="29" t="n"/>
      <c r="B464" s="31" t="n"/>
      <c r="C464" s="31">
        <f>IF(OR($A464="",$B464=""),"",SUMIFS(QuickLog!$K$2:$K$1000,QuickLog!$B$2:$B$1000,$B464,QuickLog!$O$2:$O$1000,$A464,QuickLog!$G$2:$G$1000,"Routine"))</f>
        <v/>
      </c>
      <c r="D464" s="31">
        <f>IF(OR($A464="",$B464=""),"",SUMIFS(QuickLog!$K$2:$K$1000,QuickLog!$B$2:$B$1000,$B464,QuickLog!$O$2:$O$1000,$A464,QuickLog!$G$2:$G$1000,"&lt;&gt;Routine"))</f>
        <v/>
      </c>
      <c r="E464" s="31">
        <f>IF($C464="","",MIN($C464,Settings!$B$2))</f>
        <v/>
      </c>
      <c r="F464" s="31">
        <f>IF($C464="","",MAX(0,$C464-$E464))</f>
        <v/>
      </c>
      <c r="G464" s="31">
        <f>IF(OR($E464="",$D464=""),"", $E464+$D464)</f>
        <v/>
      </c>
      <c r="H464" s="31">
        <f>IF(OR($A464="",$B464=""),"",SUMIFS(QuickLog!$L$2:$L$1000,QuickLog!$B$2:$B$1000,$B464,QuickLog!$O$2:$O$1000,$A464))</f>
        <v/>
      </c>
      <c r="I464" s="32">
        <f>IF($H464="","",$H464)</f>
        <v/>
      </c>
    </row>
    <row r="465">
      <c r="A465" s="29" t="n"/>
      <c r="B465" s="31" t="n"/>
      <c r="C465" s="31">
        <f>IF(OR($A465="",$B465=""),"",SUMIFS(QuickLog!$K$2:$K$1000,QuickLog!$B$2:$B$1000,$B465,QuickLog!$O$2:$O$1000,$A465,QuickLog!$G$2:$G$1000,"Routine"))</f>
        <v/>
      </c>
      <c r="D465" s="31">
        <f>IF(OR($A465="",$B465=""),"",SUMIFS(QuickLog!$K$2:$K$1000,QuickLog!$B$2:$B$1000,$B465,QuickLog!$O$2:$O$1000,$A465,QuickLog!$G$2:$G$1000,"&lt;&gt;Routine"))</f>
        <v/>
      </c>
      <c r="E465" s="31">
        <f>IF($C465="","",MIN($C465,Settings!$B$2))</f>
        <v/>
      </c>
      <c r="F465" s="31">
        <f>IF($C465="","",MAX(0,$C465-$E465))</f>
        <v/>
      </c>
      <c r="G465" s="31">
        <f>IF(OR($E465="",$D465=""),"", $E465+$D465)</f>
        <v/>
      </c>
      <c r="H465" s="31">
        <f>IF(OR($A465="",$B465=""),"",SUMIFS(QuickLog!$L$2:$L$1000,QuickLog!$B$2:$B$1000,$B465,QuickLog!$O$2:$O$1000,$A465))</f>
        <v/>
      </c>
      <c r="I465" s="32">
        <f>IF($H465="","",$H465)</f>
        <v/>
      </c>
    </row>
    <row r="466">
      <c r="A466" s="29" t="n"/>
      <c r="B466" s="31" t="n"/>
      <c r="C466" s="31">
        <f>IF(OR($A466="",$B466=""),"",SUMIFS(QuickLog!$K$2:$K$1000,QuickLog!$B$2:$B$1000,$B466,QuickLog!$O$2:$O$1000,$A466,QuickLog!$G$2:$G$1000,"Routine"))</f>
        <v/>
      </c>
      <c r="D466" s="31">
        <f>IF(OR($A466="",$B466=""),"",SUMIFS(QuickLog!$K$2:$K$1000,QuickLog!$B$2:$B$1000,$B466,QuickLog!$O$2:$O$1000,$A466,QuickLog!$G$2:$G$1000,"&lt;&gt;Routine"))</f>
        <v/>
      </c>
      <c r="E466" s="31">
        <f>IF($C466="","",MIN($C466,Settings!$B$2))</f>
        <v/>
      </c>
      <c r="F466" s="31">
        <f>IF($C466="","",MAX(0,$C466-$E466))</f>
        <v/>
      </c>
      <c r="G466" s="31">
        <f>IF(OR($E466="",$D466=""),"", $E466+$D466)</f>
        <v/>
      </c>
      <c r="H466" s="31">
        <f>IF(OR($A466="",$B466=""),"",SUMIFS(QuickLog!$L$2:$L$1000,QuickLog!$B$2:$B$1000,$B466,QuickLog!$O$2:$O$1000,$A466))</f>
        <v/>
      </c>
      <c r="I466" s="32">
        <f>IF($H466="","",$H466)</f>
        <v/>
      </c>
    </row>
    <row r="467">
      <c r="A467" s="29" t="n"/>
      <c r="B467" s="31" t="n"/>
      <c r="C467" s="31">
        <f>IF(OR($A467="",$B467=""),"",SUMIFS(QuickLog!$K$2:$K$1000,QuickLog!$B$2:$B$1000,$B467,QuickLog!$O$2:$O$1000,$A467,QuickLog!$G$2:$G$1000,"Routine"))</f>
        <v/>
      </c>
      <c r="D467" s="31">
        <f>IF(OR($A467="",$B467=""),"",SUMIFS(QuickLog!$K$2:$K$1000,QuickLog!$B$2:$B$1000,$B467,QuickLog!$O$2:$O$1000,$A467,QuickLog!$G$2:$G$1000,"&lt;&gt;Routine"))</f>
        <v/>
      </c>
      <c r="E467" s="31">
        <f>IF($C467="","",MIN($C467,Settings!$B$2))</f>
        <v/>
      </c>
      <c r="F467" s="31">
        <f>IF($C467="","",MAX(0,$C467-$E467))</f>
        <v/>
      </c>
      <c r="G467" s="31">
        <f>IF(OR($E467="",$D467=""),"", $E467+$D467)</f>
        <v/>
      </c>
      <c r="H467" s="31">
        <f>IF(OR($A467="",$B467=""),"",SUMIFS(QuickLog!$L$2:$L$1000,QuickLog!$B$2:$B$1000,$B467,QuickLog!$O$2:$O$1000,$A467))</f>
        <v/>
      </c>
      <c r="I467" s="32">
        <f>IF($H467="","",$H467)</f>
        <v/>
      </c>
    </row>
    <row r="468">
      <c r="A468" s="29" t="n"/>
      <c r="B468" s="31" t="n"/>
      <c r="C468" s="31">
        <f>IF(OR($A468="",$B468=""),"",SUMIFS(QuickLog!$K$2:$K$1000,QuickLog!$B$2:$B$1000,$B468,QuickLog!$O$2:$O$1000,$A468,QuickLog!$G$2:$G$1000,"Routine"))</f>
        <v/>
      </c>
      <c r="D468" s="31">
        <f>IF(OR($A468="",$B468=""),"",SUMIFS(QuickLog!$K$2:$K$1000,QuickLog!$B$2:$B$1000,$B468,QuickLog!$O$2:$O$1000,$A468,QuickLog!$G$2:$G$1000,"&lt;&gt;Routine"))</f>
        <v/>
      </c>
      <c r="E468" s="31">
        <f>IF($C468="","",MIN($C468,Settings!$B$2))</f>
        <v/>
      </c>
      <c r="F468" s="31">
        <f>IF($C468="","",MAX(0,$C468-$E468))</f>
        <v/>
      </c>
      <c r="G468" s="31">
        <f>IF(OR($E468="",$D468=""),"", $E468+$D468)</f>
        <v/>
      </c>
      <c r="H468" s="31">
        <f>IF(OR($A468="",$B468=""),"",SUMIFS(QuickLog!$L$2:$L$1000,QuickLog!$B$2:$B$1000,$B468,QuickLog!$O$2:$O$1000,$A468))</f>
        <v/>
      </c>
      <c r="I468" s="32">
        <f>IF($H468="","",$H468)</f>
        <v/>
      </c>
    </row>
    <row r="469">
      <c r="A469" s="29" t="n"/>
      <c r="B469" s="31" t="n"/>
      <c r="C469" s="31">
        <f>IF(OR($A469="",$B469=""),"",SUMIFS(QuickLog!$K$2:$K$1000,QuickLog!$B$2:$B$1000,$B469,QuickLog!$O$2:$O$1000,$A469,QuickLog!$G$2:$G$1000,"Routine"))</f>
        <v/>
      </c>
      <c r="D469" s="31">
        <f>IF(OR($A469="",$B469=""),"",SUMIFS(QuickLog!$K$2:$K$1000,QuickLog!$B$2:$B$1000,$B469,QuickLog!$O$2:$O$1000,$A469,QuickLog!$G$2:$G$1000,"&lt;&gt;Routine"))</f>
        <v/>
      </c>
      <c r="E469" s="31">
        <f>IF($C469="","",MIN($C469,Settings!$B$2))</f>
        <v/>
      </c>
      <c r="F469" s="31">
        <f>IF($C469="","",MAX(0,$C469-$E469))</f>
        <v/>
      </c>
      <c r="G469" s="31">
        <f>IF(OR($E469="",$D469=""),"", $E469+$D469)</f>
        <v/>
      </c>
      <c r="H469" s="31">
        <f>IF(OR($A469="",$B469=""),"",SUMIFS(QuickLog!$L$2:$L$1000,QuickLog!$B$2:$B$1000,$B469,QuickLog!$O$2:$O$1000,$A469))</f>
        <v/>
      </c>
      <c r="I469" s="32">
        <f>IF($H469="","",$H469)</f>
        <v/>
      </c>
    </row>
    <row r="470">
      <c r="A470" s="29" t="n"/>
      <c r="B470" s="31" t="n"/>
      <c r="C470" s="31">
        <f>IF(OR($A470="",$B470=""),"",SUMIFS(QuickLog!$K$2:$K$1000,QuickLog!$B$2:$B$1000,$B470,QuickLog!$O$2:$O$1000,$A470,QuickLog!$G$2:$G$1000,"Routine"))</f>
        <v/>
      </c>
      <c r="D470" s="31">
        <f>IF(OR($A470="",$B470=""),"",SUMIFS(QuickLog!$K$2:$K$1000,QuickLog!$B$2:$B$1000,$B470,QuickLog!$O$2:$O$1000,$A470,QuickLog!$G$2:$G$1000,"&lt;&gt;Routine"))</f>
        <v/>
      </c>
      <c r="E470" s="31">
        <f>IF($C470="","",MIN($C470,Settings!$B$2))</f>
        <v/>
      </c>
      <c r="F470" s="31">
        <f>IF($C470="","",MAX(0,$C470-$E470))</f>
        <v/>
      </c>
      <c r="G470" s="31">
        <f>IF(OR($E470="",$D470=""),"", $E470+$D470)</f>
        <v/>
      </c>
      <c r="H470" s="31">
        <f>IF(OR($A470="",$B470=""),"",SUMIFS(QuickLog!$L$2:$L$1000,QuickLog!$B$2:$B$1000,$B470,QuickLog!$O$2:$O$1000,$A470))</f>
        <v/>
      </c>
      <c r="I470" s="32">
        <f>IF($H470="","",$H470)</f>
        <v/>
      </c>
    </row>
    <row r="471">
      <c r="A471" s="29" t="n"/>
      <c r="B471" s="31" t="n"/>
      <c r="C471" s="31">
        <f>IF(OR($A471="",$B471=""),"",SUMIFS(QuickLog!$K$2:$K$1000,QuickLog!$B$2:$B$1000,$B471,QuickLog!$O$2:$O$1000,$A471,QuickLog!$G$2:$G$1000,"Routine"))</f>
        <v/>
      </c>
      <c r="D471" s="31">
        <f>IF(OR($A471="",$B471=""),"",SUMIFS(QuickLog!$K$2:$K$1000,QuickLog!$B$2:$B$1000,$B471,QuickLog!$O$2:$O$1000,$A471,QuickLog!$G$2:$G$1000,"&lt;&gt;Routine"))</f>
        <v/>
      </c>
      <c r="E471" s="31">
        <f>IF($C471="","",MIN($C471,Settings!$B$2))</f>
        <v/>
      </c>
      <c r="F471" s="31">
        <f>IF($C471="","",MAX(0,$C471-$E471))</f>
        <v/>
      </c>
      <c r="G471" s="31">
        <f>IF(OR($E471="",$D471=""),"", $E471+$D471)</f>
        <v/>
      </c>
      <c r="H471" s="31">
        <f>IF(OR($A471="",$B471=""),"",SUMIFS(QuickLog!$L$2:$L$1000,QuickLog!$B$2:$B$1000,$B471,QuickLog!$O$2:$O$1000,$A471))</f>
        <v/>
      </c>
      <c r="I471" s="32">
        <f>IF($H471="","",$H471)</f>
        <v/>
      </c>
    </row>
    <row r="472">
      <c r="A472" s="29" t="n"/>
      <c r="B472" s="31" t="n"/>
      <c r="C472" s="31">
        <f>IF(OR($A472="",$B472=""),"",SUMIFS(QuickLog!$K$2:$K$1000,QuickLog!$B$2:$B$1000,$B472,QuickLog!$O$2:$O$1000,$A472,QuickLog!$G$2:$G$1000,"Routine"))</f>
        <v/>
      </c>
      <c r="D472" s="31">
        <f>IF(OR($A472="",$B472=""),"",SUMIFS(QuickLog!$K$2:$K$1000,QuickLog!$B$2:$B$1000,$B472,QuickLog!$O$2:$O$1000,$A472,QuickLog!$G$2:$G$1000,"&lt;&gt;Routine"))</f>
        <v/>
      </c>
      <c r="E472" s="31">
        <f>IF($C472="","",MIN($C472,Settings!$B$2))</f>
        <v/>
      </c>
      <c r="F472" s="31">
        <f>IF($C472="","",MAX(0,$C472-$E472))</f>
        <v/>
      </c>
      <c r="G472" s="31">
        <f>IF(OR($E472="",$D472=""),"", $E472+$D472)</f>
        <v/>
      </c>
      <c r="H472" s="31">
        <f>IF(OR($A472="",$B472=""),"",SUMIFS(QuickLog!$L$2:$L$1000,QuickLog!$B$2:$B$1000,$B472,QuickLog!$O$2:$O$1000,$A472))</f>
        <v/>
      </c>
      <c r="I472" s="32">
        <f>IF($H472="","",$H472)</f>
        <v/>
      </c>
    </row>
    <row r="473">
      <c r="A473" s="29" t="n"/>
      <c r="B473" s="31" t="n"/>
      <c r="C473" s="31">
        <f>IF(OR($A473="",$B473=""),"",SUMIFS(QuickLog!$K$2:$K$1000,QuickLog!$B$2:$B$1000,$B473,QuickLog!$O$2:$O$1000,$A473,QuickLog!$G$2:$G$1000,"Routine"))</f>
        <v/>
      </c>
      <c r="D473" s="31">
        <f>IF(OR($A473="",$B473=""),"",SUMIFS(QuickLog!$K$2:$K$1000,QuickLog!$B$2:$B$1000,$B473,QuickLog!$O$2:$O$1000,$A473,QuickLog!$G$2:$G$1000,"&lt;&gt;Routine"))</f>
        <v/>
      </c>
      <c r="E473" s="31">
        <f>IF($C473="","",MIN($C473,Settings!$B$2))</f>
        <v/>
      </c>
      <c r="F473" s="31">
        <f>IF($C473="","",MAX(0,$C473-$E473))</f>
        <v/>
      </c>
      <c r="G473" s="31">
        <f>IF(OR($E473="",$D473=""),"", $E473+$D473)</f>
        <v/>
      </c>
      <c r="H473" s="31">
        <f>IF(OR($A473="",$B473=""),"",SUMIFS(QuickLog!$L$2:$L$1000,QuickLog!$B$2:$B$1000,$B473,QuickLog!$O$2:$O$1000,$A473))</f>
        <v/>
      </c>
      <c r="I473" s="32">
        <f>IF($H473="","",$H473)</f>
        <v/>
      </c>
    </row>
    <row r="474">
      <c r="A474" s="29" t="n"/>
      <c r="B474" s="31" t="n"/>
      <c r="C474" s="31">
        <f>IF(OR($A474="",$B474=""),"",SUMIFS(QuickLog!$K$2:$K$1000,QuickLog!$B$2:$B$1000,$B474,QuickLog!$O$2:$O$1000,$A474,QuickLog!$G$2:$G$1000,"Routine"))</f>
        <v/>
      </c>
      <c r="D474" s="31">
        <f>IF(OR($A474="",$B474=""),"",SUMIFS(QuickLog!$K$2:$K$1000,QuickLog!$B$2:$B$1000,$B474,QuickLog!$O$2:$O$1000,$A474,QuickLog!$G$2:$G$1000,"&lt;&gt;Routine"))</f>
        <v/>
      </c>
      <c r="E474" s="31">
        <f>IF($C474="","",MIN($C474,Settings!$B$2))</f>
        <v/>
      </c>
      <c r="F474" s="31">
        <f>IF($C474="","",MAX(0,$C474-$E474))</f>
        <v/>
      </c>
      <c r="G474" s="31">
        <f>IF(OR($E474="",$D474=""),"", $E474+$D474)</f>
        <v/>
      </c>
      <c r="H474" s="31">
        <f>IF(OR($A474="",$B474=""),"",SUMIFS(QuickLog!$L$2:$L$1000,QuickLog!$B$2:$B$1000,$B474,QuickLog!$O$2:$O$1000,$A474))</f>
        <v/>
      </c>
      <c r="I474" s="32">
        <f>IF($H474="","",$H474)</f>
        <v/>
      </c>
    </row>
    <row r="475">
      <c r="A475" s="29" t="n"/>
      <c r="B475" s="31" t="n"/>
      <c r="C475" s="31">
        <f>IF(OR($A475="",$B475=""),"",SUMIFS(QuickLog!$K$2:$K$1000,QuickLog!$B$2:$B$1000,$B475,QuickLog!$O$2:$O$1000,$A475,QuickLog!$G$2:$G$1000,"Routine"))</f>
        <v/>
      </c>
      <c r="D475" s="31">
        <f>IF(OR($A475="",$B475=""),"",SUMIFS(QuickLog!$K$2:$K$1000,QuickLog!$B$2:$B$1000,$B475,QuickLog!$O$2:$O$1000,$A475,QuickLog!$G$2:$G$1000,"&lt;&gt;Routine"))</f>
        <v/>
      </c>
      <c r="E475" s="31">
        <f>IF($C475="","",MIN($C475,Settings!$B$2))</f>
        <v/>
      </c>
      <c r="F475" s="31">
        <f>IF($C475="","",MAX(0,$C475-$E475))</f>
        <v/>
      </c>
      <c r="G475" s="31">
        <f>IF(OR($E475="",$D475=""),"", $E475+$D475)</f>
        <v/>
      </c>
      <c r="H475" s="31">
        <f>IF(OR($A475="",$B475=""),"",SUMIFS(QuickLog!$L$2:$L$1000,QuickLog!$B$2:$B$1000,$B475,QuickLog!$O$2:$O$1000,$A475))</f>
        <v/>
      </c>
      <c r="I475" s="32">
        <f>IF($H475="","",$H475)</f>
        <v/>
      </c>
    </row>
    <row r="476">
      <c r="A476" s="29" t="n"/>
      <c r="B476" s="31" t="n"/>
      <c r="C476" s="31">
        <f>IF(OR($A476="",$B476=""),"",SUMIFS(QuickLog!$K$2:$K$1000,QuickLog!$B$2:$B$1000,$B476,QuickLog!$O$2:$O$1000,$A476,QuickLog!$G$2:$G$1000,"Routine"))</f>
        <v/>
      </c>
      <c r="D476" s="31">
        <f>IF(OR($A476="",$B476=""),"",SUMIFS(QuickLog!$K$2:$K$1000,QuickLog!$B$2:$B$1000,$B476,QuickLog!$O$2:$O$1000,$A476,QuickLog!$G$2:$G$1000,"&lt;&gt;Routine"))</f>
        <v/>
      </c>
      <c r="E476" s="31">
        <f>IF($C476="","",MIN($C476,Settings!$B$2))</f>
        <v/>
      </c>
      <c r="F476" s="31">
        <f>IF($C476="","",MAX(0,$C476-$E476))</f>
        <v/>
      </c>
      <c r="G476" s="31">
        <f>IF(OR($E476="",$D476=""),"", $E476+$D476)</f>
        <v/>
      </c>
      <c r="H476" s="31">
        <f>IF(OR($A476="",$B476=""),"",SUMIFS(QuickLog!$L$2:$L$1000,QuickLog!$B$2:$B$1000,$B476,QuickLog!$O$2:$O$1000,$A476))</f>
        <v/>
      </c>
      <c r="I476" s="32">
        <f>IF($H476="","",$H476)</f>
        <v/>
      </c>
    </row>
    <row r="477">
      <c r="A477" s="29" t="n"/>
      <c r="B477" s="31" t="n"/>
      <c r="C477" s="31">
        <f>IF(OR($A477="",$B477=""),"",SUMIFS(QuickLog!$K$2:$K$1000,QuickLog!$B$2:$B$1000,$B477,QuickLog!$O$2:$O$1000,$A477,QuickLog!$G$2:$G$1000,"Routine"))</f>
        <v/>
      </c>
      <c r="D477" s="31">
        <f>IF(OR($A477="",$B477=""),"",SUMIFS(QuickLog!$K$2:$K$1000,QuickLog!$B$2:$B$1000,$B477,QuickLog!$O$2:$O$1000,$A477,QuickLog!$G$2:$G$1000,"&lt;&gt;Routine"))</f>
        <v/>
      </c>
      <c r="E477" s="31">
        <f>IF($C477="","",MIN($C477,Settings!$B$2))</f>
        <v/>
      </c>
      <c r="F477" s="31">
        <f>IF($C477="","",MAX(0,$C477-$E477))</f>
        <v/>
      </c>
      <c r="G477" s="31">
        <f>IF(OR($E477="",$D477=""),"", $E477+$D477)</f>
        <v/>
      </c>
      <c r="H477" s="31">
        <f>IF(OR($A477="",$B477=""),"",SUMIFS(QuickLog!$L$2:$L$1000,QuickLog!$B$2:$B$1000,$B477,QuickLog!$O$2:$O$1000,$A477))</f>
        <v/>
      </c>
      <c r="I477" s="32">
        <f>IF($H477="","",$H477)</f>
        <v/>
      </c>
    </row>
    <row r="478">
      <c r="A478" s="29" t="n"/>
      <c r="B478" s="31" t="n"/>
      <c r="C478" s="31">
        <f>IF(OR($A478="",$B478=""),"",SUMIFS(QuickLog!$K$2:$K$1000,QuickLog!$B$2:$B$1000,$B478,QuickLog!$O$2:$O$1000,$A478,QuickLog!$G$2:$G$1000,"Routine"))</f>
        <v/>
      </c>
      <c r="D478" s="31">
        <f>IF(OR($A478="",$B478=""),"",SUMIFS(QuickLog!$K$2:$K$1000,QuickLog!$B$2:$B$1000,$B478,QuickLog!$O$2:$O$1000,$A478,QuickLog!$G$2:$G$1000,"&lt;&gt;Routine"))</f>
        <v/>
      </c>
      <c r="E478" s="31">
        <f>IF($C478="","",MIN($C478,Settings!$B$2))</f>
        <v/>
      </c>
      <c r="F478" s="31">
        <f>IF($C478="","",MAX(0,$C478-$E478))</f>
        <v/>
      </c>
      <c r="G478" s="31">
        <f>IF(OR($E478="",$D478=""),"", $E478+$D478)</f>
        <v/>
      </c>
      <c r="H478" s="31">
        <f>IF(OR($A478="",$B478=""),"",SUMIFS(QuickLog!$L$2:$L$1000,QuickLog!$B$2:$B$1000,$B478,QuickLog!$O$2:$O$1000,$A478))</f>
        <v/>
      </c>
      <c r="I478" s="32">
        <f>IF($H478="","",$H478)</f>
        <v/>
      </c>
    </row>
    <row r="479">
      <c r="A479" s="29" t="n"/>
      <c r="B479" s="31" t="n"/>
      <c r="C479" s="31">
        <f>IF(OR($A479="",$B479=""),"",SUMIFS(QuickLog!$K$2:$K$1000,QuickLog!$B$2:$B$1000,$B479,QuickLog!$O$2:$O$1000,$A479,QuickLog!$G$2:$G$1000,"Routine"))</f>
        <v/>
      </c>
      <c r="D479" s="31">
        <f>IF(OR($A479="",$B479=""),"",SUMIFS(QuickLog!$K$2:$K$1000,QuickLog!$B$2:$B$1000,$B479,QuickLog!$O$2:$O$1000,$A479,QuickLog!$G$2:$G$1000,"&lt;&gt;Routine"))</f>
        <v/>
      </c>
      <c r="E479" s="31">
        <f>IF($C479="","",MIN($C479,Settings!$B$2))</f>
        <v/>
      </c>
      <c r="F479" s="31">
        <f>IF($C479="","",MAX(0,$C479-$E479))</f>
        <v/>
      </c>
      <c r="G479" s="31">
        <f>IF(OR($E479="",$D479=""),"", $E479+$D479)</f>
        <v/>
      </c>
      <c r="H479" s="31">
        <f>IF(OR($A479="",$B479=""),"",SUMIFS(QuickLog!$L$2:$L$1000,QuickLog!$B$2:$B$1000,$B479,QuickLog!$O$2:$O$1000,$A479))</f>
        <v/>
      </c>
      <c r="I479" s="32">
        <f>IF($H479="","",$H479)</f>
        <v/>
      </c>
    </row>
    <row r="480">
      <c r="A480" s="29" t="n"/>
      <c r="B480" s="31" t="n"/>
      <c r="C480" s="31">
        <f>IF(OR($A480="",$B480=""),"",SUMIFS(QuickLog!$K$2:$K$1000,QuickLog!$B$2:$B$1000,$B480,QuickLog!$O$2:$O$1000,$A480,QuickLog!$G$2:$G$1000,"Routine"))</f>
        <v/>
      </c>
      <c r="D480" s="31">
        <f>IF(OR($A480="",$B480=""),"",SUMIFS(QuickLog!$K$2:$K$1000,QuickLog!$B$2:$B$1000,$B480,QuickLog!$O$2:$O$1000,$A480,QuickLog!$G$2:$G$1000,"&lt;&gt;Routine"))</f>
        <v/>
      </c>
      <c r="E480" s="31">
        <f>IF($C480="","",MIN($C480,Settings!$B$2))</f>
        <v/>
      </c>
      <c r="F480" s="31">
        <f>IF($C480="","",MAX(0,$C480-$E480))</f>
        <v/>
      </c>
      <c r="G480" s="31">
        <f>IF(OR($E480="",$D480=""),"", $E480+$D480)</f>
        <v/>
      </c>
      <c r="H480" s="31">
        <f>IF(OR($A480="",$B480=""),"",SUMIFS(QuickLog!$L$2:$L$1000,QuickLog!$B$2:$B$1000,$B480,QuickLog!$O$2:$O$1000,$A480))</f>
        <v/>
      </c>
      <c r="I480" s="32">
        <f>IF($H480="","",$H480)</f>
        <v/>
      </c>
    </row>
    <row r="481">
      <c r="A481" s="29" t="n"/>
      <c r="B481" s="31" t="n"/>
      <c r="C481" s="31">
        <f>IF(OR($A481="",$B481=""),"",SUMIFS(QuickLog!$K$2:$K$1000,QuickLog!$B$2:$B$1000,$B481,QuickLog!$O$2:$O$1000,$A481,QuickLog!$G$2:$G$1000,"Routine"))</f>
        <v/>
      </c>
      <c r="D481" s="31">
        <f>IF(OR($A481="",$B481=""),"",SUMIFS(QuickLog!$K$2:$K$1000,QuickLog!$B$2:$B$1000,$B481,QuickLog!$O$2:$O$1000,$A481,QuickLog!$G$2:$G$1000,"&lt;&gt;Routine"))</f>
        <v/>
      </c>
      <c r="E481" s="31">
        <f>IF($C481="","",MIN($C481,Settings!$B$2))</f>
        <v/>
      </c>
      <c r="F481" s="31">
        <f>IF($C481="","",MAX(0,$C481-$E481))</f>
        <v/>
      </c>
      <c r="G481" s="31">
        <f>IF(OR($E481="",$D481=""),"", $E481+$D481)</f>
        <v/>
      </c>
      <c r="H481" s="31">
        <f>IF(OR($A481="",$B481=""),"",SUMIFS(QuickLog!$L$2:$L$1000,QuickLog!$B$2:$B$1000,$B481,QuickLog!$O$2:$O$1000,$A481))</f>
        <v/>
      </c>
      <c r="I481" s="32">
        <f>IF($H481="","",$H481)</f>
        <v/>
      </c>
    </row>
    <row r="482">
      <c r="A482" s="29" t="n"/>
      <c r="B482" s="31" t="n"/>
      <c r="C482" s="31">
        <f>IF(OR($A482="",$B482=""),"",SUMIFS(QuickLog!$K$2:$K$1000,QuickLog!$B$2:$B$1000,$B482,QuickLog!$O$2:$O$1000,$A482,QuickLog!$G$2:$G$1000,"Routine"))</f>
        <v/>
      </c>
      <c r="D482" s="31">
        <f>IF(OR($A482="",$B482=""),"",SUMIFS(QuickLog!$K$2:$K$1000,QuickLog!$B$2:$B$1000,$B482,QuickLog!$O$2:$O$1000,$A482,QuickLog!$G$2:$G$1000,"&lt;&gt;Routine"))</f>
        <v/>
      </c>
      <c r="E482" s="31">
        <f>IF($C482="","",MIN($C482,Settings!$B$2))</f>
        <v/>
      </c>
      <c r="F482" s="31">
        <f>IF($C482="","",MAX(0,$C482-$E482))</f>
        <v/>
      </c>
      <c r="G482" s="31">
        <f>IF(OR($E482="",$D482=""),"", $E482+$D482)</f>
        <v/>
      </c>
      <c r="H482" s="31">
        <f>IF(OR($A482="",$B482=""),"",SUMIFS(QuickLog!$L$2:$L$1000,QuickLog!$B$2:$B$1000,$B482,QuickLog!$O$2:$O$1000,$A482))</f>
        <v/>
      </c>
      <c r="I482" s="32">
        <f>IF($H482="","",$H482)</f>
        <v/>
      </c>
    </row>
    <row r="483">
      <c r="A483" s="29" t="n"/>
      <c r="B483" s="31" t="n"/>
      <c r="C483" s="31">
        <f>IF(OR($A483="",$B483=""),"",SUMIFS(QuickLog!$K$2:$K$1000,QuickLog!$B$2:$B$1000,$B483,QuickLog!$O$2:$O$1000,$A483,QuickLog!$G$2:$G$1000,"Routine"))</f>
        <v/>
      </c>
      <c r="D483" s="31">
        <f>IF(OR($A483="",$B483=""),"",SUMIFS(QuickLog!$K$2:$K$1000,QuickLog!$B$2:$B$1000,$B483,QuickLog!$O$2:$O$1000,$A483,QuickLog!$G$2:$G$1000,"&lt;&gt;Routine"))</f>
        <v/>
      </c>
      <c r="E483" s="31">
        <f>IF($C483="","",MIN($C483,Settings!$B$2))</f>
        <v/>
      </c>
      <c r="F483" s="31">
        <f>IF($C483="","",MAX(0,$C483-$E483))</f>
        <v/>
      </c>
      <c r="G483" s="31">
        <f>IF(OR($E483="",$D483=""),"", $E483+$D483)</f>
        <v/>
      </c>
      <c r="H483" s="31">
        <f>IF(OR($A483="",$B483=""),"",SUMIFS(QuickLog!$L$2:$L$1000,QuickLog!$B$2:$B$1000,$B483,QuickLog!$O$2:$O$1000,$A483))</f>
        <v/>
      </c>
      <c r="I483" s="32">
        <f>IF($H483="","",$H483)</f>
        <v/>
      </c>
    </row>
    <row r="484">
      <c r="A484" s="29" t="n"/>
      <c r="B484" s="31" t="n"/>
      <c r="C484" s="31">
        <f>IF(OR($A484="",$B484=""),"",SUMIFS(QuickLog!$K$2:$K$1000,QuickLog!$B$2:$B$1000,$B484,QuickLog!$O$2:$O$1000,$A484,QuickLog!$G$2:$G$1000,"Routine"))</f>
        <v/>
      </c>
      <c r="D484" s="31">
        <f>IF(OR($A484="",$B484=""),"",SUMIFS(QuickLog!$K$2:$K$1000,QuickLog!$B$2:$B$1000,$B484,QuickLog!$O$2:$O$1000,$A484,QuickLog!$G$2:$G$1000,"&lt;&gt;Routine"))</f>
        <v/>
      </c>
      <c r="E484" s="31">
        <f>IF($C484="","",MIN($C484,Settings!$B$2))</f>
        <v/>
      </c>
      <c r="F484" s="31">
        <f>IF($C484="","",MAX(0,$C484-$E484))</f>
        <v/>
      </c>
      <c r="G484" s="31">
        <f>IF(OR($E484="",$D484=""),"", $E484+$D484)</f>
        <v/>
      </c>
      <c r="H484" s="31">
        <f>IF(OR($A484="",$B484=""),"",SUMIFS(QuickLog!$L$2:$L$1000,QuickLog!$B$2:$B$1000,$B484,QuickLog!$O$2:$O$1000,$A484))</f>
        <v/>
      </c>
      <c r="I484" s="32">
        <f>IF($H484="","",$H484)</f>
        <v/>
      </c>
    </row>
    <row r="485">
      <c r="A485" s="29" t="n"/>
      <c r="B485" s="31" t="n"/>
      <c r="C485" s="31">
        <f>IF(OR($A485="",$B485=""),"",SUMIFS(QuickLog!$K$2:$K$1000,QuickLog!$B$2:$B$1000,$B485,QuickLog!$O$2:$O$1000,$A485,QuickLog!$G$2:$G$1000,"Routine"))</f>
        <v/>
      </c>
      <c r="D485" s="31">
        <f>IF(OR($A485="",$B485=""),"",SUMIFS(QuickLog!$K$2:$K$1000,QuickLog!$B$2:$B$1000,$B485,QuickLog!$O$2:$O$1000,$A485,QuickLog!$G$2:$G$1000,"&lt;&gt;Routine"))</f>
        <v/>
      </c>
      <c r="E485" s="31">
        <f>IF($C485="","",MIN($C485,Settings!$B$2))</f>
        <v/>
      </c>
      <c r="F485" s="31">
        <f>IF($C485="","",MAX(0,$C485-$E485))</f>
        <v/>
      </c>
      <c r="G485" s="31">
        <f>IF(OR($E485="",$D485=""),"", $E485+$D485)</f>
        <v/>
      </c>
      <c r="H485" s="31">
        <f>IF(OR($A485="",$B485=""),"",SUMIFS(QuickLog!$L$2:$L$1000,QuickLog!$B$2:$B$1000,$B485,QuickLog!$O$2:$O$1000,$A485))</f>
        <v/>
      </c>
      <c r="I485" s="32">
        <f>IF($H485="","",$H485)</f>
        <v/>
      </c>
    </row>
    <row r="486">
      <c r="A486" s="29" t="n"/>
      <c r="B486" s="31" t="n"/>
      <c r="C486" s="31">
        <f>IF(OR($A486="",$B486=""),"",SUMIFS(QuickLog!$K$2:$K$1000,QuickLog!$B$2:$B$1000,$B486,QuickLog!$O$2:$O$1000,$A486,QuickLog!$G$2:$G$1000,"Routine"))</f>
        <v/>
      </c>
      <c r="D486" s="31">
        <f>IF(OR($A486="",$B486=""),"",SUMIFS(QuickLog!$K$2:$K$1000,QuickLog!$B$2:$B$1000,$B486,QuickLog!$O$2:$O$1000,$A486,QuickLog!$G$2:$G$1000,"&lt;&gt;Routine"))</f>
        <v/>
      </c>
      <c r="E486" s="31">
        <f>IF($C486="","",MIN($C486,Settings!$B$2))</f>
        <v/>
      </c>
      <c r="F486" s="31">
        <f>IF($C486="","",MAX(0,$C486-$E486))</f>
        <v/>
      </c>
      <c r="G486" s="31">
        <f>IF(OR($E486="",$D486=""),"", $E486+$D486)</f>
        <v/>
      </c>
      <c r="H486" s="31">
        <f>IF(OR($A486="",$B486=""),"",SUMIFS(QuickLog!$L$2:$L$1000,QuickLog!$B$2:$B$1000,$B486,QuickLog!$O$2:$O$1000,$A486))</f>
        <v/>
      </c>
      <c r="I486" s="32">
        <f>IF($H486="","",$H486)</f>
        <v/>
      </c>
    </row>
    <row r="487">
      <c r="A487" s="29" t="n"/>
      <c r="B487" s="31" t="n"/>
      <c r="C487" s="31">
        <f>IF(OR($A487="",$B487=""),"",SUMIFS(QuickLog!$K$2:$K$1000,QuickLog!$B$2:$B$1000,$B487,QuickLog!$O$2:$O$1000,$A487,QuickLog!$G$2:$G$1000,"Routine"))</f>
        <v/>
      </c>
      <c r="D487" s="31">
        <f>IF(OR($A487="",$B487=""),"",SUMIFS(QuickLog!$K$2:$K$1000,QuickLog!$B$2:$B$1000,$B487,QuickLog!$O$2:$O$1000,$A487,QuickLog!$G$2:$G$1000,"&lt;&gt;Routine"))</f>
        <v/>
      </c>
      <c r="E487" s="31">
        <f>IF($C487="","",MIN($C487,Settings!$B$2))</f>
        <v/>
      </c>
      <c r="F487" s="31">
        <f>IF($C487="","",MAX(0,$C487-$E487))</f>
        <v/>
      </c>
      <c r="G487" s="31">
        <f>IF(OR($E487="",$D487=""),"", $E487+$D487)</f>
        <v/>
      </c>
      <c r="H487" s="31">
        <f>IF(OR($A487="",$B487=""),"",SUMIFS(QuickLog!$L$2:$L$1000,QuickLog!$B$2:$B$1000,$B487,QuickLog!$O$2:$O$1000,$A487))</f>
        <v/>
      </c>
      <c r="I487" s="32">
        <f>IF($H487="","",$H487)</f>
        <v/>
      </c>
    </row>
    <row r="488">
      <c r="A488" s="29" t="n"/>
      <c r="B488" s="31" t="n"/>
      <c r="C488" s="31">
        <f>IF(OR($A488="",$B488=""),"",SUMIFS(QuickLog!$K$2:$K$1000,QuickLog!$B$2:$B$1000,$B488,QuickLog!$O$2:$O$1000,$A488,QuickLog!$G$2:$G$1000,"Routine"))</f>
        <v/>
      </c>
      <c r="D488" s="31">
        <f>IF(OR($A488="",$B488=""),"",SUMIFS(QuickLog!$K$2:$K$1000,QuickLog!$B$2:$B$1000,$B488,QuickLog!$O$2:$O$1000,$A488,QuickLog!$G$2:$G$1000,"&lt;&gt;Routine"))</f>
        <v/>
      </c>
      <c r="E488" s="31">
        <f>IF($C488="","",MIN($C488,Settings!$B$2))</f>
        <v/>
      </c>
      <c r="F488" s="31">
        <f>IF($C488="","",MAX(0,$C488-$E488))</f>
        <v/>
      </c>
      <c r="G488" s="31">
        <f>IF(OR($E488="",$D488=""),"", $E488+$D488)</f>
        <v/>
      </c>
      <c r="H488" s="31">
        <f>IF(OR($A488="",$B488=""),"",SUMIFS(QuickLog!$L$2:$L$1000,QuickLog!$B$2:$B$1000,$B488,QuickLog!$O$2:$O$1000,$A488))</f>
        <v/>
      </c>
      <c r="I488" s="32">
        <f>IF($H488="","",$H488)</f>
        <v/>
      </c>
    </row>
    <row r="489">
      <c r="A489" s="29" t="n"/>
      <c r="B489" s="31" t="n"/>
      <c r="C489" s="31">
        <f>IF(OR($A489="",$B489=""),"",SUMIFS(QuickLog!$K$2:$K$1000,QuickLog!$B$2:$B$1000,$B489,QuickLog!$O$2:$O$1000,$A489,QuickLog!$G$2:$G$1000,"Routine"))</f>
        <v/>
      </c>
      <c r="D489" s="31">
        <f>IF(OR($A489="",$B489=""),"",SUMIFS(QuickLog!$K$2:$K$1000,QuickLog!$B$2:$B$1000,$B489,QuickLog!$O$2:$O$1000,$A489,QuickLog!$G$2:$G$1000,"&lt;&gt;Routine"))</f>
        <v/>
      </c>
      <c r="E489" s="31">
        <f>IF($C489="","",MIN($C489,Settings!$B$2))</f>
        <v/>
      </c>
      <c r="F489" s="31">
        <f>IF($C489="","",MAX(0,$C489-$E489))</f>
        <v/>
      </c>
      <c r="G489" s="31">
        <f>IF(OR($E489="",$D489=""),"", $E489+$D489)</f>
        <v/>
      </c>
      <c r="H489" s="31">
        <f>IF(OR($A489="",$B489=""),"",SUMIFS(QuickLog!$L$2:$L$1000,QuickLog!$B$2:$B$1000,$B489,QuickLog!$O$2:$O$1000,$A489))</f>
        <v/>
      </c>
      <c r="I489" s="32">
        <f>IF($H489="","",$H489)</f>
        <v/>
      </c>
    </row>
    <row r="490">
      <c r="A490" s="29" t="n"/>
      <c r="B490" s="31" t="n"/>
      <c r="C490" s="31">
        <f>IF(OR($A490="",$B490=""),"",SUMIFS(QuickLog!$K$2:$K$1000,QuickLog!$B$2:$B$1000,$B490,QuickLog!$O$2:$O$1000,$A490,QuickLog!$G$2:$G$1000,"Routine"))</f>
        <v/>
      </c>
      <c r="D490" s="31">
        <f>IF(OR($A490="",$B490=""),"",SUMIFS(QuickLog!$K$2:$K$1000,QuickLog!$B$2:$B$1000,$B490,QuickLog!$O$2:$O$1000,$A490,QuickLog!$G$2:$G$1000,"&lt;&gt;Routine"))</f>
        <v/>
      </c>
      <c r="E490" s="31">
        <f>IF($C490="","",MIN($C490,Settings!$B$2))</f>
        <v/>
      </c>
      <c r="F490" s="31">
        <f>IF($C490="","",MAX(0,$C490-$E490))</f>
        <v/>
      </c>
      <c r="G490" s="31">
        <f>IF(OR($E490="",$D490=""),"", $E490+$D490)</f>
        <v/>
      </c>
      <c r="H490" s="31">
        <f>IF(OR($A490="",$B490=""),"",SUMIFS(QuickLog!$L$2:$L$1000,QuickLog!$B$2:$B$1000,$B490,QuickLog!$O$2:$O$1000,$A490))</f>
        <v/>
      </c>
      <c r="I490" s="32">
        <f>IF($H490="","",$H490)</f>
        <v/>
      </c>
    </row>
    <row r="491">
      <c r="A491" s="29" t="n"/>
      <c r="B491" s="31" t="n"/>
      <c r="C491" s="31">
        <f>IF(OR($A491="",$B491=""),"",SUMIFS(QuickLog!$K$2:$K$1000,QuickLog!$B$2:$B$1000,$B491,QuickLog!$O$2:$O$1000,$A491,QuickLog!$G$2:$G$1000,"Routine"))</f>
        <v/>
      </c>
      <c r="D491" s="31">
        <f>IF(OR($A491="",$B491=""),"",SUMIFS(QuickLog!$K$2:$K$1000,QuickLog!$B$2:$B$1000,$B491,QuickLog!$O$2:$O$1000,$A491,QuickLog!$G$2:$G$1000,"&lt;&gt;Routine"))</f>
        <v/>
      </c>
      <c r="E491" s="31">
        <f>IF($C491="","",MIN($C491,Settings!$B$2))</f>
        <v/>
      </c>
      <c r="F491" s="31">
        <f>IF($C491="","",MAX(0,$C491-$E491))</f>
        <v/>
      </c>
      <c r="G491" s="31">
        <f>IF(OR($E491="",$D491=""),"", $E491+$D491)</f>
        <v/>
      </c>
      <c r="H491" s="31">
        <f>IF(OR($A491="",$B491=""),"",SUMIFS(QuickLog!$L$2:$L$1000,QuickLog!$B$2:$B$1000,$B491,QuickLog!$O$2:$O$1000,$A491))</f>
        <v/>
      </c>
      <c r="I491" s="32">
        <f>IF($H491="","",$H491)</f>
        <v/>
      </c>
    </row>
    <row r="492">
      <c r="A492" s="29" t="n"/>
      <c r="B492" s="31" t="n"/>
      <c r="C492" s="31">
        <f>IF(OR($A492="",$B492=""),"",SUMIFS(QuickLog!$K$2:$K$1000,QuickLog!$B$2:$B$1000,$B492,QuickLog!$O$2:$O$1000,$A492,QuickLog!$G$2:$G$1000,"Routine"))</f>
        <v/>
      </c>
      <c r="D492" s="31">
        <f>IF(OR($A492="",$B492=""),"",SUMIFS(QuickLog!$K$2:$K$1000,QuickLog!$B$2:$B$1000,$B492,QuickLog!$O$2:$O$1000,$A492,QuickLog!$G$2:$G$1000,"&lt;&gt;Routine"))</f>
        <v/>
      </c>
      <c r="E492" s="31">
        <f>IF($C492="","",MIN($C492,Settings!$B$2))</f>
        <v/>
      </c>
      <c r="F492" s="31">
        <f>IF($C492="","",MAX(0,$C492-$E492))</f>
        <v/>
      </c>
      <c r="G492" s="31">
        <f>IF(OR($E492="",$D492=""),"", $E492+$D492)</f>
        <v/>
      </c>
      <c r="H492" s="31">
        <f>IF(OR($A492="",$B492=""),"",SUMIFS(QuickLog!$L$2:$L$1000,QuickLog!$B$2:$B$1000,$B492,QuickLog!$O$2:$O$1000,$A492))</f>
        <v/>
      </c>
      <c r="I492" s="32">
        <f>IF($H492="","",$H492)</f>
        <v/>
      </c>
    </row>
    <row r="493">
      <c r="A493" s="29" t="n"/>
      <c r="B493" s="31" t="n"/>
      <c r="C493" s="31">
        <f>IF(OR($A493="",$B493=""),"",SUMIFS(QuickLog!$K$2:$K$1000,QuickLog!$B$2:$B$1000,$B493,QuickLog!$O$2:$O$1000,$A493,QuickLog!$G$2:$G$1000,"Routine"))</f>
        <v/>
      </c>
      <c r="D493" s="31">
        <f>IF(OR($A493="",$B493=""),"",SUMIFS(QuickLog!$K$2:$K$1000,QuickLog!$B$2:$B$1000,$B493,QuickLog!$O$2:$O$1000,$A493,QuickLog!$G$2:$G$1000,"&lt;&gt;Routine"))</f>
        <v/>
      </c>
      <c r="E493" s="31">
        <f>IF($C493="","",MIN($C493,Settings!$B$2))</f>
        <v/>
      </c>
      <c r="F493" s="31">
        <f>IF($C493="","",MAX(0,$C493-$E493))</f>
        <v/>
      </c>
      <c r="G493" s="31">
        <f>IF(OR($E493="",$D493=""),"", $E493+$D493)</f>
        <v/>
      </c>
      <c r="H493" s="31">
        <f>IF(OR($A493="",$B493=""),"",SUMIFS(QuickLog!$L$2:$L$1000,QuickLog!$B$2:$B$1000,$B493,QuickLog!$O$2:$O$1000,$A493))</f>
        <v/>
      </c>
      <c r="I493" s="32">
        <f>IF($H493="","",$H493)</f>
        <v/>
      </c>
    </row>
    <row r="494">
      <c r="A494" s="29" t="n"/>
      <c r="B494" s="31" t="n"/>
      <c r="C494" s="31">
        <f>IF(OR($A494="",$B494=""),"",SUMIFS(QuickLog!$K$2:$K$1000,QuickLog!$B$2:$B$1000,$B494,QuickLog!$O$2:$O$1000,$A494,QuickLog!$G$2:$G$1000,"Routine"))</f>
        <v/>
      </c>
      <c r="D494" s="31">
        <f>IF(OR($A494="",$B494=""),"",SUMIFS(QuickLog!$K$2:$K$1000,QuickLog!$B$2:$B$1000,$B494,QuickLog!$O$2:$O$1000,$A494,QuickLog!$G$2:$G$1000,"&lt;&gt;Routine"))</f>
        <v/>
      </c>
      <c r="E494" s="31">
        <f>IF($C494="","",MIN($C494,Settings!$B$2))</f>
        <v/>
      </c>
      <c r="F494" s="31">
        <f>IF($C494="","",MAX(0,$C494-$E494))</f>
        <v/>
      </c>
      <c r="G494" s="31">
        <f>IF(OR($E494="",$D494=""),"", $E494+$D494)</f>
        <v/>
      </c>
      <c r="H494" s="31">
        <f>IF(OR($A494="",$B494=""),"",SUMIFS(QuickLog!$L$2:$L$1000,QuickLog!$B$2:$B$1000,$B494,QuickLog!$O$2:$O$1000,$A494))</f>
        <v/>
      </c>
      <c r="I494" s="32">
        <f>IF($H494="","",$H494)</f>
        <v/>
      </c>
    </row>
    <row r="495">
      <c r="A495" s="29" t="n"/>
      <c r="B495" s="31" t="n"/>
      <c r="C495" s="31">
        <f>IF(OR($A495="",$B495=""),"",SUMIFS(QuickLog!$K$2:$K$1000,QuickLog!$B$2:$B$1000,$B495,QuickLog!$O$2:$O$1000,$A495,QuickLog!$G$2:$G$1000,"Routine"))</f>
        <v/>
      </c>
      <c r="D495" s="31">
        <f>IF(OR($A495="",$B495=""),"",SUMIFS(QuickLog!$K$2:$K$1000,QuickLog!$B$2:$B$1000,$B495,QuickLog!$O$2:$O$1000,$A495,QuickLog!$G$2:$G$1000,"&lt;&gt;Routine"))</f>
        <v/>
      </c>
      <c r="E495" s="31">
        <f>IF($C495="","",MIN($C495,Settings!$B$2))</f>
        <v/>
      </c>
      <c r="F495" s="31">
        <f>IF($C495="","",MAX(0,$C495-$E495))</f>
        <v/>
      </c>
      <c r="G495" s="31">
        <f>IF(OR($E495="",$D495=""),"", $E495+$D495)</f>
        <v/>
      </c>
      <c r="H495" s="31">
        <f>IF(OR($A495="",$B495=""),"",SUMIFS(QuickLog!$L$2:$L$1000,QuickLog!$B$2:$B$1000,$B495,QuickLog!$O$2:$O$1000,$A495))</f>
        <v/>
      </c>
      <c r="I495" s="32">
        <f>IF($H495="","",$H495)</f>
        <v/>
      </c>
    </row>
    <row r="496">
      <c r="A496" s="29" t="n"/>
      <c r="B496" s="31" t="n"/>
      <c r="C496" s="31">
        <f>IF(OR($A496="",$B496=""),"",SUMIFS(QuickLog!$K$2:$K$1000,QuickLog!$B$2:$B$1000,$B496,QuickLog!$O$2:$O$1000,$A496,QuickLog!$G$2:$G$1000,"Routine"))</f>
        <v/>
      </c>
      <c r="D496" s="31">
        <f>IF(OR($A496="",$B496=""),"",SUMIFS(QuickLog!$K$2:$K$1000,QuickLog!$B$2:$B$1000,$B496,QuickLog!$O$2:$O$1000,$A496,QuickLog!$G$2:$G$1000,"&lt;&gt;Routine"))</f>
        <v/>
      </c>
      <c r="E496" s="31">
        <f>IF($C496="","",MIN($C496,Settings!$B$2))</f>
        <v/>
      </c>
      <c r="F496" s="31">
        <f>IF($C496="","",MAX(0,$C496-$E496))</f>
        <v/>
      </c>
      <c r="G496" s="31">
        <f>IF(OR($E496="",$D496=""),"", $E496+$D496)</f>
        <v/>
      </c>
      <c r="H496" s="31">
        <f>IF(OR($A496="",$B496=""),"",SUMIFS(QuickLog!$L$2:$L$1000,QuickLog!$B$2:$B$1000,$B496,QuickLog!$O$2:$O$1000,$A496))</f>
        <v/>
      </c>
      <c r="I496" s="32">
        <f>IF($H496="","",$H496)</f>
        <v/>
      </c>
    </row>
    <row r="497">
      <c r="A497" s="29" t="n"/>
      <c r="B497" s="31" t="n"/>
      <c r="C497" s="31">
        <f>IF(OR($A497="",$B497=""),"",SUMIFS(QuickLog!$K$2:$K$1000,QuickLog!$B$2:$B$1000,$B497,QuickLog!$O$2:$O$1000,$A497,QuickLog!$G$2:$G$1000,"Routine"))</f>
        <v/>
      </c>
      <c r="D497" s="31">
        <f>IF(OR($A497="",$B497=""),"",SUMIFS(QuickLog!$K$2:$K$1000,QuickLog!$B$2:$B$1000,$B497,QuickLog!$O$2:$O$1000,$A497,QuickLog!$G$2:$G$1000,"&lt;&gt;Routine"))</f>
        <v/>
      </c>
      <c r="E497" s="31">
        <f>IF($C497="","",MIN($C497,Settings!$B$2))</f>
        <v/>
      </c>
      <c r="F497" s="31">
        <f>IF($C497="","",MAX(0,$C497-$E497))</f>
        <v/>
      </c>
      <c r="G497" s="31">
        <f>IF(OR($E497="",$D497=""),"", $E497+$D497)</f>
        <v/>
      </c>
      <c r="H497" s="31">
        <f>IF(OR($A497="",$B497=""),"",SUMIFS(QuickLog!$L$2:$L$1000,QuickLog!$B$2:$B$1000,$B497,QuickLog!$O$2:$O$1000,$A497))</f>
        <v/>
      </c>
      <c r="I497" s="32">
        <f>IF($H497="","",$H497)</f>
        <v/>
      </c>
    </row>
    <row r="498">
      <c r="A498" s="29" t="n"/>
      <c r="B498" s="31" t="n"/>
      <c r="C498" s="31">
        <f>IF(OR($A498="",$B498=""),"",SUMIFS(QuickLog!$K$2:$K$1000,QuickLog!$B$2:$B$1000,$B498,QuickLog!$O$2:$O$1000,$A498,QuickLog!$G$2:$G$1000,"Routine"))</f>
        <v/>
      </c>
      <c r="D498" s="31">
        <f>IF(OR($A498="",$B498=""),"",SUMIFS(QuickLog!$K$2:$K$1000,QuickLog!$B$2:$B$1000,$B498,QuickLog!$O$2:$O$1000,$A498,QuickLog!$G$2:$G$1000,"&lt;&gt;Routine"))</f>
        <v/>
      </c>
      <c r="E498" s="31">
        <f>IF($C498="","",MIN($C498,Settings!$B$2))</f>
        <v/>
      </c>
      <c r="F498" s="31">
        <f>IF($C498="","",MAX(0,$C498-$E498))</f>
        <v/>
      </c>
      <c r="G498" s="31">
        <f>IF(OR($E498="",$D498=""),"", $E498+$D498)</f>
        <v/>
      </c>
      <c r="H498" s="31">
        <f>IF(OR($A498="",$B498=""),"",SUMIFS(QuickLog!$L$2:$L$1000,QuickLog!$B$2:$B$1000,$B498,QuickLog!$O$2:$O$1000,$A498))</f>
        <v/>
      </c>
      <c r="I498" s="32">
        <f>IF($H498="","",$H498)</f>
        <v/>
      </c>
    </row>
    <row r="499">
      <c r="A499" s="29" t="n"/>
      <c r="B499" s="31" t="n"/>
      <c r="C499" s="31">
        <f>IF(OR($A499="",$B499=""),"",SUMIFS(QuickLog!$K$2:$K$1000,QuickLog!$B$2:$B$1000,$B499,QuickLog!$O$2:$O$1000,$A499,QuickLog!$G$2:$G$1000,"Routine"))</f>
        <v/>
      </c>
      <c r="D499" s="31">
        <f>IF(OR($A499="",$B499=""),"",SUMIFS(QuickLog!$K$2:$K$1000,QuickLog!$B$2:$B$1000,$B499,QuickLog!$O$2:$O$1000,$A499,QuickLog!$G$2:$G$1000,"&lt;&gt;Routine"))</f>
        <v/>
      </c>
      <c r="E499" s="31">
        <f>IF($C499="","",MIN($C499,Settings!$B$2))</f>
        <v/>
      </c>
      <c r="F499" s="31">
        <f>IF($C499="","",MAX(0,$C499-$E499))</f>
        <v/>
      </c>
      <c r="G499" s="31">
        <f>IF(OR($E499="",$D499=""),"", $E499+$D499)</f>
        <v/>
      </c>
      <c r="H499" s="31">
        <f>IF(OR($A499="",$B499=""),"",SUMIFS(QuickLog!$L$2:$L$1000,QuickLog!$B$2:$B$1000,$B499,QuickLog!$O$2:$O$1000,$A499))</f>
        <v/>
      </c>
      <c r="I499" s="32">
        <f>IF($H499="","",$H499)</f>
        <v/>
      </c>
    </row>
    <row r="500">
      <c r="A500" s="29" t="n"/>
      <c r="B500" s="31" t="n"/>
      <c r="C500" s="31">
        <f>IF(OR($A500="",$B500=""),"",SUMIFS(QuickLog!$K$2:$K$1000,QuickLog!$B$2:$B$1000,$B500,QuickLog!$O$2:$O$1000,$A500,QuickLog!$G$2:$G$1000,"Routine"))</f>
        <v/>
      </c>
      <c r="D500" s="31">
        <f>IF(OR($A500="",$B500=""),"",SUMIFS(QuickLog!$K$2:$K$1000,QuickLog!$B$2:$B$1000,$B500,QuickLog!$O$2:$O$1000,$A500,QuickLog!$G$2:$G$1000,"&lt;&gt;Routine"))</f>
        <v/>
      </c>
      <c r="E500" s="31">
        <f>IF($C500="","",MIN($C500,Settings!$B$2))</f>
        <v/>
      </c>
      <c r="F500" s="31">
        <f>IF($C500="","",MAX(0,$C500-$E500))</f>
        <v/>
      </c>
      <c r="G500" s="31">
        <f>IF(OR($E500="",$D500=""),"", $E500+$D500)</f>
        <v/>
      </c>
      <c r="H500" s="31">
        <f>IF(OR($A500="",$B500=""),"",SUMIFS(QuickLog!$L$2:$L$1000,QuickLog!$B$2:$B$1000,$B500,QuickLog!$O$2:$O$1000,$A500))</f>
        <v/>
      </c>
      <c r="I500" s="32">
        <f>IF($H500="","",$H500)</f>
        <v/>
      </c>
    </row>
    <row r="501">
      <c r="A501" s="29" t="n"/>
      <c r="B501" s="31" t="n"/>
      <c r="C501" s="31">
        <f>IF(OR($A501="",$B501=""),"",SUMIFS(QuickLog!$K$2:$K$1000,QuickLog!$B$2:$B$1000,$B501,QuickLog!$O$2:$O$1000,$A501,QuickLog!$G$2:$G$1000,"Routine"))</f>
        <v/>
      </c>
      <c r="D501" s="31">
        <f>IF(OR($A501="",$B501=""),"",SUMIFS(QuickLog!$K$2:$K$1000,QuickLog!$B$2:$B$1000,$B501,QuickLog!$O$2:$O$1000,$A501,QuickLog!$G$2:$G$1000,"&lt;&gt;Routine"))</f>
        <v/>
      </c>
      <c r="E501" s="31">
        <f>IF($C501="","",MIN($C501,Settings!$B$2))</f>
        <v/>
      </c>
      <c r="F501" s="31">
        <f>IF($C501="","",MAX(0,$C501-$E501))</f>
        <v/>
      </c>
      <c r="G501" s="31">
        <f>IF(OR($E501="",$D501=""),"", $E501+$D501)</f>
        <v/>
      </c>
      <c r="H501" s="31">
        <f>IF(OR($A501="",$B501=""),"",SUMIFS(QuickLog!$L$2:$L$1000,QuickLog!$B$2:$B$1000,$B501,QuickLog!$O$2:$O$1000,$A501))</f>
        <v/>
      </c>
      <c r="I501" s="32">
        <f>IF($H501="","",$H501)</f>
        <v/>
      </c>
    </row>
    <row r="502">
      <c r="A502" s="29" t="n"/>
      <c r="B502" s="31" t="n"/>
      <c r="C502" s="31">
        <f>IF(OR($A502="",$B502=""),"",SUMIFS(QuickLog!$K$2:$K$1000,QuickLog!$B$2:$B$1000,$B502,QuickLog!$O$2:$O$1000,$A502,QuickLog!$G$2:$G$1000,"Routine"))</f>
        <v/>
      </c>
      <c r="D502" s="31">
        <f>IF(OR($A502="",$B502=""),"",SUMIFS(QuickLog!$K$2:$K$1000,QuickLog!$B$2:$B$1000,$B502,QuickLog!$O$2:$O$1000,$A502,QuickLog!$G$2:$G$1000,"&lt;&gt;Routine"))</f>
        <v/>
      </c>
      <c r="E502" s="31">
        <f>IF($C502="","",MIN($C502,Settings!$B$2))</f>
        <v/>
      </c>
      <c r="F502" s="31">
        <f>IF($C502="","",MAX(0,$C502-$E502))</f>
        <v/>
      </c>
      <c r="G502" s="31">
        <f>IF(OR($E502="",$D502=""),"", $E502+$D502)</f>
        <v/>
      </c>
      <c r="H502" s="31">
        <f>IF(OR($A502="",$B502=""),"",SUMIFS(QuickLog!$L$2:$L$1000,QuickLog!$B$2:$B$1000,$B502,QuickLog!$O$2:$O$1000,$A502))</f>
        <v/>
      </c>
      <c r="I502" s="32">
        <f>IF($H502="","",$H502)</f>
        <v/>
      </c>
    </row>
    <row r="503">
      <c r="A503" s="29" t="n"/>
      <c r="B503" s="31" t="n"/>
      <c r="C503" s="31">
        <f>IF(OR($A503="",$B503=""),"",SUMIFS(QuickLog!$K$2:$K$1000,QuickLog!$B$2:$B$1000,$B503,QuickLog!$O$2:$O$1000,$A503,QuickLog!$G$2:$G$1000,"Routine"))</f>
        <v/>
      </c>
      <c r="D503" s="31">
        <f>IF(OR($A503="",$B503=""),"",SUMIFS(QuickLog!$K$2:$K$1000,QuickLog!$B$2:$B$1000,$B503,QuickLog!$O$2:$O$1000,$A503,QuickLog!$G$2:$G$1000,"&lt;&gt;Routine"))</f>
        <v/>
      </c>
      <c r="E503" s="31">
        <f>IF($C503="","",MIN($C503,Settings!$B$2))</f>
        <v/>
      </c>
      <c r="F503" s="31">
        <f>IF($C503="","",MAX(0,$C503-$E503))</f>
        <v/>
      </c>
      <c r="G503" s="31">
        <f>IF(OR($E503="",$D503=""),"", $E503+$D503)</f>
        <v/>
      </c>
      <c r="H503" s="31">
        <f>IF(OR($A503="",$B503=""),"",SUMIFS(QuickLog!$L$2:$L$1000,QuickLog!$B$2:$B$1000,$B503,QuickLog!$O$2:$O$1000,$A503))</f>
        <v/>
      </c>
      <c r="I503" s="32">
        <f>IF($H503="","",$H503)</f>
        <v/>
      </c>
    </row>
    <row r="504">
      <c r="A504" s="29" t="n"/>
      <c r="B504" s="31" t="n"/>
      <c r="C504" s="31">
        <f>IF(OR($A504="",$B504=""),"",SUMIFS(QuickLog!$K$2:$K$1000,QuickLog!$B$2:$B$1000,$B504,QuickLog!$O$2:$O$1000,$A504,QuickLog!$G$2:$G$1000,"Routine"))</f>
        <v/>
      </c>
      <c r="D504" s="31">
        <f>IF(OR($A504="",$B504=""),"",SUMIFS(QuickLog!$K$2:$K$1000,QuickLog!$B$2:$B$1000,$B504,QuickLog!$O$2:$O$1000,$A504,QuickLog!$G$2:$G$1000,"&lt;&gt;Routine"))</f>
        <v/>
      </c>
      <c r="E504" s="31">
        <f>IF($C504="","",MIN($C504,Settings!$B$2))</f>
        <v/>
      </c>
      <c r="F504" s="31">
        <f>IF($C504="","",MAX(0,$C504-$E504))</f>
        <v/>
      </c>
      <c r="G504" s="31">
        <f>IF(OR($E504="",$D504=""),"", $E504+$D504)</f>
        <v/>
      </c>
      <c r="H504" s="31">
        <f>IF(OR($A504="",$B504=""),"",SUMIFS(QuickLog!$L$2:$L$1000,QuickLog!$B$2:$B$1000,$B504,QuickLog!$O$2:$O$1000,$A504))</f>
        <v/>
      </c>
      <c r="I504" s="32">
        <f>IF($H504="","",$H504)</f>
        <v/>
      </c>
    </row>
    <row r="505">
      <c r="A505" s="29" t="n"/>
      <c r="B505" s="31" t="n"/>
      <c r="C505" s="31">
        <f>IF(OR($A505="",$B505=""),"",SUMIFS(QuickLog!$K$2:$K$1000,QuickLog!$B$2:$B$1000,$B505,QuickLog!$O$2:$O$1000,$A505,QuickLog!$G$2:$G$1000,"Routine"))</f>
        <v/>
      </c>
      <c r="D505" s="31">
        <f>IF(OR($A505="",$B505=""),"",SUMIFS(QuickLog!$K$2:$K$1000,QuickLog!$B$2:$B$1000,$B505,QuickLog!$O$2:$O$1000,$A505,QuickLog!$G$2:$G$1000,"&lt;&gt;Routine"))</f>
        <v/>
      </c>
      <c r="E505" s="31">
        <f>IF($C505="","",MIN($C505,Settings!$B$2))</f>
        <v/>
      </c>
      <c r="F505" s="31">
        <f>IF($C505="","",MAX(0,$C505-$E505))</f>
        <v/>
      </c>
      <c r="G505" s="31">
        <f>IF(OR($E505="",$D505=""),"", $E505+$D505)</f>
        <v/>
      </c>
      <c r="H505" s="31">
        <f>IF(OR($A505="",$B505=""),"",SUMIFS(QuickLog!$L$2:$L$1000,QuickLog!$B$2:$B$1000,$B505,QuickLog!$O$2:$O$1000,$A505))</f>
        <v/>
      </c>
      <c r="I505" s="32">
        <f>IF($H505="","",$H505)</f>
        <v/>
      </c>
    </row>
    <row r="506">
      <c r="A506" s="29" t="n"/>
      <c r="B506" s="31" t="n"/>
      <c r="C506" s="31">
        <f>IF(OR($A506="",$B506=""),"",SUMIFS(QuickLog!$K$2:$K$1000,QuickLog!$B$2:$B$1000,$B506,QuickLog!$O$2:$O$1000,$A506,QuickLog!$G$2:$G$1000,"Routine"))</f>
        <v/>
      </c>
      <c r="D506" s="31">
        <f>IF(OR($A506="",$B506=""),"",SUMIFS(QuickLog!$K$2:$K$1000,QuickLog!$B$2:$B$1000,$B506,QuickLog!$O$2:$O$1000,$A506,QuickLog!$G$2:$G$1000,"&lt;&gt;Routine"))</f>
        <v/>
      </c>
      <c r="E506" s="31">
        <f>IF($C506="","",MIN($C506,Settings!$B$2))</f>
        <v/>
      </c>
      <c r="F506" s="31">
        <f>IF($C506="","",MAX(0,$C506-$E506))</f>
        <v/>
      </c>
      <c r="G506" s="31">
        <f>IF(OR($E506="",$D506=""),"", $E506+$D506)</f>
        <v/>
      </c>
      <c r="H506" s="31">
        <f>IF(OR($A506="",$B506=""),"",SUMIFS(QuickLog!$L$2:$L$1000,QuickLog!$B$2:$B$1000,$B506,QuickLog!$O$2:$O$1000,$A506))</f>
        <v/>
      </c>
      <c r="I506" s="32">
        <f>IF($H506="","",$H506)</f>
        <v/>
      </c>
    </row>
    <row r="507">
      <c r="A507" s="29" t="n"/>
      <c r="B507" s="31" t="n"/>
      <c r="C507" s="31">
        <f>IF(OR($A507="",$B507=""),"",SUMIFS(QuickLog!$K$2:$K$1000,QuickLog!$B$2:$B$1000,$B507,QuickLog!$O$2:$O$1000,$A507,QuickLog!$G$2:$G$1000,"Routine"))</f>
        <v/>
      </c>
      <c r="D507" s="31">
        <f>IF(OR($A507="",$B507=""),"",SUMIFS(QuickLog!$K$2:$K$1000,QuickLog!$B$2:$B$1000,$B507,QuickLog!$O$2:$O$1000,$A507,QuickLog!$G$2:$G$1000,"&lt;&gt;Routine"))</f>
        <v/>
      </c>
      <c r="E507" s="31">
        <f>IF($C507="","",MIN($C507,Settings!$B$2))</f>
        <v/>
      </c>
      <c r="F507" s="31">
        <f>IF($C507="","",MAX(0,$C507-$E507))</f>
        <v/>
      </c>
      <c r="G507" s="31">
        <f>IF(OR($E507="",$D507=""),"", $E507+$D507)</f>
        <v/>
      </c>
      <c r="H507" s="31">
        <f>IF(OR($A507="",$B507=""),"",SUMIFS(QuickLog!$L$2:$L$1000,QuickLog!$B$2:$B$1000,$B507,QuickLog!$O$2:$O$1000,$A507))</f>
        <v/>
      </c>
      <c r="I507" s="32">
        <f>IF($H507="","",$H507)</f>
        <v/>
      </c>
    </row>
    <row r="508">
      <c r="A508" s="29" t="n"/>
      <c r="B508" s="31" t="n"/>
      <c r="C508" s="31">
        <f>IF(OR($A508="",$B508=""),"",SUMIFS(QuickLog!$K$2:$K$1000,QuickLog!$B$2:$B$1000,$B508,QuickLog!$O$2:$O$1000,$A508,QuickLog!$G$2:$G$1000,"Routine"))</f>
        <v/>
      </c>
      <c r="D508" s="31">
        <f>IF(OR($A508="",$B508=""),"",SUMIFS(QuickLog!$K$2:$K$1000,QuickLog!$B$2:$B$1000,$B508,QuickLog!$O$2:$O$1000,$A508,QuickLog!$G$2:$G$1000,"&lt;&gt;Routine"))</f>
        <v/>
      </c>
      <c r="E508" s="31">
        <f>IF($C508="","",MIN($C508,Settings!$B$2))</f>
        <v/>
      </c>
      <c r="F508" s="31">
        <f>IF($C508="","",MAX(0,$C508-$E508))</f>
        <v/>
      </c>
      <c r="G508" s="31">
        <f>IF(OR($E508="",$D508=""),"", $E508+$D508)</f>
        <v/>
      </c>
      <c r="H508" s="31">
        <f>IF(OR($A508="",$B508=""),"",SUMIFS(QuickLog!$L$2:$L$1000,QuickLog!$B$2:$B$1000,$B508,QuickLog!$O$2:$O$1000,$A508))</f>
        <v/>
      </c>
      <c r="I508" s="32">
        <f>IF($H508="","",$H508)</f>
        <v/>
      </c>
    </row>
    <row r="509">
      <c r="A509" s="29" t="n"/>
      <c r="B509" s="31" t="n"/>
      <c r="C509" s="31">
        <f>IF(OR($A509="",$B509=""),"",SUMIFS(QuickLog!$K$2:$K$1000,QuickLog!$B$2:$B$1000,$B509,QuickLog!$O$2:$O$1000,$A509,QuickLog!$G$2:$G$1000,"Routine"))</f>
        <v/>
      </c>
      <c r="D509" s="31">
        <f>IF(OR($A509="",$B509=""),"",SUMIFS(QuickLog!$K$2:$K$1000,QuickLog!$B$2:$B$1000,$B509,QuickLog!$O$2:$O$1000,$A509,QuickLog!$G$2:$G$1000,"&lt;&gt;Routine"))</f>
        <v/>
      </c>
      <c r="E509" s="31">
        <f>IF($C509="","",MIN($C509,Settings!$B$2))</f>
        <v/>
      </c>
      <c r="F509" s="31">
        <f>IF($C509="","",MAX(0,$C509-$E509))</f>
        <v/>
      </c>
      <c r="G509" s="31">
        <f>IF(OR($E509="",$D509=""),"", $E509+$D509)</f>
        <v/>
      </c>
      <c r="H509" s="31">
        <f>IF(OR($A509="",$B509=""),"",SUMIFS(QuickLog!$L$2:$L$1000,QuickLog!$B$2:$B$1000,$B509,QuickLog!$O$2:$O$1000,$A509))</f>
        <v/>
      </c>
      <c r="I509" s="32">
        <f>IF($H509="","",$H509)</f>
        <v/>
      </c>
    </row>
    <row r="510">
      <c r="A510" s="29" t="n"/>
      <c r="B510" s="31" t="n"/>
      <c r="C510" s="31">
        <f>IF(OR($A510="",$B510=""),"",SUMIFS(QuickLog!$K$2:$K$1000,QuickLog!$B$2:$B$1000,$B510,QuickLog!$O$2:$O$1000,$A510,QuickLog!$G$2:$G$1000,"Routine"))</f>
        <v/>
      </c>
      <c r="D510" s="31">
        <f>IF(OR($A510="",$B510=""),"",SUMIFS(QuickLog!$K$2:$K$1000,QuickLog!$B$2:$B$1000,$B510,QuickLog!$O$2:$O$1000,$A510,QuickLog!$G$2:$G$1000,"&lt;&gt;Routine"))</f>
        <v/>
      </c>
      <c r="E510" s="31">
        <f>IF($C510="","",MIN($C510,Settings!$B$2))</f>
        <v/>
      </c>
      <c r="F510" s="31">
        <f>IF($C510="","",MAX(0,$C510-$E510))</f>
        <v/>
      </c>
      <c r="G510" s="31">
        <f>IF(OR($E510="",$D510=""),"", $E510+$D510)</f>
        <v/>
      </c>
      <c r="H510" s="31">
        <f>IF(OR($A510="",$B510=""),"",SUMIFS(QuickLog!$L$2:$L$1000,QuickLog!$B$2:$B$1000,$B510,QuickLog!$O$2:$O$1000,$A510))</f>
        <v/>
      </c>
      <c r="I510" s="32">
        <f>IF($H510="","",$H510)</f>
        <v/>
      </c>
    </row>
    <row r="511">
      <c r="A511" s="29" t="n"/>
      <c r="B511" s="31" t="n"/>
      <c r="C511" s="31">
        <f>IF(OR($A511="",$B511=""),"",SUMIFS(QuickLog!$K$2:$K$1000,QuickLog!$B$2:$B$1000,$B511,QuickLog!$O$2:$O$1000,$A511,QuickLog!$G$2:$G$1000,"Routine"))</f>
        <v/>
      </c>
      <c r="D511" s="31">
        <f>IF(OR($A511="",$B511=""),"",SUMIFS(QuickLog!$K$2:$K$1000,QuickLog!$B$2:$B$1000,$B511,QuickLog!$O$2:$O$1000,$A511,QuickLog!$G$2:$G$1000,"&lt;&gt;Routine"))</f>
        <v/>
      </c>
      <c r="E511" s="31">
        <f>IF($C511="","",MIN($C511,Settings!$B$2))</f>
        <v/>
      </c>
      <c r="F511" s="31">
        <f>IF($C511="","",MAX(0,$C511-$E511))</f>
        <v/>
      </c>
      <c r="G511" s="31">
        <f>IF(OR($E511="",$D511=""),"", $E511+$D511)</f>
        <v/>
      </c>
      <c r="H511" s="31">
        <f>IF(OR($A511="",$B511=""),"",SUMIFS(QuickLog!$L$2:$L$1000,QuickLog!$B$2:$B$1000,$B511,QuickLog!$O$2:$O$1000,$A511))</f>
        <v/>
      </c>
      <c r="I511" s="32">
        <f>IF($H511="","",$H511)</f>
        <v/>
      </c>
    </row>
    <row r="512">
      <c r="A512" s="29" t="n"/>
      <c r="B512" s="31" t="n"/>
      <c r="C512" s="31">
        <f>IF(OR($A512="",$B512=""),"",SUMIFS(QuickLog!$K$2:$K$1000,QuickLog!$B$2:$B$1000,$B512,QuickLog!$O$2:$O$1000,$A512,QuickLog!$G$2:$G$1000,"Routine"))</f>
        <v/>
      </c>
      <c r="D512" s="31">
        <f>IF(OR($A512="",$B512=""),"",SUMIFS(QuickLog!$K$2:$K$1000,QuickLog!$B$2:$B$1000,$B512,QuickLog!$O$2:$O$1000,$A512,QuickLog!$G$2:$G$1000,"&lt;&gt;Routine"))</f>
        <v/>
      </c>
      <c r="E512" s="31">
        <f>IF($C512="","",MIN($C512,Settings!$B$2))</f>
        <v/>
      </c>
      <c r="F512" s="31">
        <f>IF($C512="","",MAX(0,$C512-$E512))</f>
        <v/>
      </c>
      <c r="G512" s="31">
        <f>IF(OR($E512="",$D512=""),"", $E512+$D512)</f>
        <v/>
      </c>
      <c r="H512" s="31">
        <f>IF(OR($A512="",$B512=""),"",SUMIFS(QuickLog!$L$2:$L$1000,QuickLog!$B$2:$B$1000,$B512,QuickLog!$O$2:$O$1000,$A512))</f>
        <v/>
      </c>
      <c r="I512" s="32">
        <f>IF($H512="","",$H512)</f>
        <v/>
      </c>
    </row>
    <row r="513">
      <c r="A513" s="29" t="n"/>
      <c r="B513" s="31" t="n"/>
      <c r="C513" s="31">
        <f>IF(OR($A513="",$B513=""),"",SUMIFS(QuickLog!$K$2:$K$1000,QuickLog!$B$2:$B$1000,$B513,QuickLog!$O$2:$O$1000,$A513,QuickLog!$G$2:$G$1000,"Routine"))</f>
        <v/>
      </c>
      <c r="D513" s="31">
        <f>IF(OR($A513="",$B513=""),"",SUMIFS(QuickLog!$K$2:$K$1000,QuickLog!$B$2:$B$1000,$B513,QuickLog!$O$2:$O$1000,$A513,QuickLog!$G$2:$G$1000,"&lt;&gt;Routine"))</f>
        <v/>
      </c>
      <c r="E513" s="31">
        <f>IF($C513="","",MIN($C513,Settings!$B$2))</f>
        <v/>
      </c>
      <c r="F513" s="31">
        <f>IF($C513="","",MAX(0,$C513-$E513))</f>
        <v/>
      </c>
      <c r="G513" s="31">
        <f>IF(OR($E513="",$D513=""),"", $E513+$D513)</f>
        <v/>
      </c>
      <c r="H513" s="31">
        <f>IF(OR($A513="",$B513=""),"",SUMIFS(QuickLog!$L$2:$L$1000,QuickLog!$B$2:$B$1000,$B513,QuickLog!$O$2:$O$1000,$A513))</f>
        <v/>
      </c>
      <c r="I513" s="32">
        <f>IF($H513="","",$H513)</f>
        <v/>
      </c>
    </row>
    <row r="514">
      <c r="A514" s="29" t="n"/>
      <c r="B514" s="31" t="n"/>
      <c r="C514" s="31">
        <f>IF(OR($A514="",$B514=""),"",SUMIFS(QuickLog!$K$2:$K$1000,QuickLog!$B$2:$B$1000,$B514,QuickLog!$O$2:$O$1000,$A514,QuickLog!$G$2:$G$1000,"Routine"))</f>
        <v/>
      </c>
      <c r="D514" s="31">
        <f>IF(OR($A514="",$B514=""),"",SUMIFS(QuickLog!$K$2:$K$1000,QuickLog!$B$2:$B$1000,$B514,QuickLog!$O$2:$O$1000,$A514,QuickLog!$G$2:$G$1000,"&lt;&gt;Routine"))</f>
        <v/>
      </c>
      <c r="E514" s="31">
        <f>IF($C514="","",MIN($C514,Settings!$B$2))</f>
        <v/>
      </c>
      <c r="F514" s="31">
        <f>IF($C514="","",MAX(0,$C514-$E514))</f>
        <v/>
      </c>
      <c r="G514" s="31">
        <f>IF(OR($E514="",$D514=""),"", $E514+$D514)</f>
        <v/>
      </c>
      <c r="H514" s="31">
        <f>IF(OR($A514="",$B514=""),"",SUMIFS(QuickLog!$L$2:$L$1000,QuickLog!$B$2:$B$1000,$B514,QuickLog!$O$2:$O$1000,$A514))</f>
        <v/>
      </c>
      <c r="I514" s="32">
        <f>IF($H514="","",$H514)</f>
        <v/>
      </c>
    </row>
    <row r="515">
      <c r="A515" s="29" t="n"/>
      <c r="B515" s="31" t="n"/>
      <c r="C515" s="31">
        <f>IF(OR($A515="",$B515=""),"",SUMIFS(QuickLog!$K$2:$K$1000,QuickLog!$B$2:$B$1000,$B515,QuickLog!$O$2:$O$1000,$A515,QuickLog!$G$2:$G$1000,"Routine"))</f>
        <v/>
      </c>
      <c r="D515" s="31">
        <f>IF(OR($A515="",$B515=""),"",SUMIFS(QuickLog!$K$2:$K$1000,QuickLog!$B$2:$B$1000,$B515,QuickLog!$O$2:$O$1000,$A515,QuickLog!$G$2:$G$1000,"&lt;&gt;Routine"))</f>
        <v/>
      </c>
      <c r="E515" s="31">
        <f>IF($C515="","",MIN($C515,Settings!$B$2))</f>
        <v/>
      </c>
      <c r="F515" s="31">
        <f>IF($C515="","",MAX(0,$C515-$E515))</f>
        <v/>
      </c>
      <c r="G515" s="31">
        <f>IF(OR($E515="",$D515=""),"", $E515+$D515)</f>
        <v/>
      </c>
      <c r="H515" s="31">
        <f>IF(OR($A515="",$B515=""),"",SUMIFS(QuickLog!$L$2:$L$1000,QuickLog!$B$2:$B$1000,$B515,QuickLog!$O$2:$O$1000,$A515))</f>
        <v/>
      </c>
      <c r="I515" s="32">
        <f>IF($H515="","",$H515)</f>
        <v/>
      </c>
    </row>
    <row r="516">
      <c r="A516" s="29" t="n"/>
      <c r="B516" s="31" t="n"/>
      <c r="C516" s="31">
        <f>IF(OR($A516="",$B516=""),"",SUMIFS(QuickLog!$K$2:$K$1000,QuickLog!$B$2:$B$1000,$B516,QuickLog!$O$2:$O$1000,$A516,QuickLog!$G$2:$G$1000,"Routine"))</f>
        <v/>
      </c>
      <c r="D516" s="31">
        <f>IF(OR($A516="",$B516=""),"",SUMIFS(QuickLog!$K$2:$K$1000,QuickLog!$B$2:$B$1000,$B516,QuickLog!$O$2:$O$1000,$A516,QuickLog!$G$2:$G$1000,"&lt;&gt;Routine"))</f>
        <v/>
      </c>
      <c r="E516" s="31">
        <f>IF($C516="","",MIN($C516,Settings!$B$2))</f>
        <v/>
      </c>
      <c r="F516" s="31">
        <f>IF($C516="","",MAX(0,$C516-$E516))</f>
        <v/>
      </c>
      <c r="G516" s="31">
        <f>IF(OR($E516="",$D516=""),"", $E516+$D516)</f>
        <v/>
      </c>
      <c r="H516" s="31">
        <f>IF(OR($A516="",$B516=""),"",SUMIFS(QuickLog!$L$2:$L$1000,QuickLog!$B$2:$B$1000,$B516,QuickLog!$O$2:$O$1000,$A516))</f>
        <v/>
      </c>
      <c r="I516" s="32">
        <f>IF($H516="","",$H516)</f>
        <v/>
      </c>
    </row>
    <row r="517">
      <c r="A517" s="29" t="n"/>
      <c r="B517" s="31" t="n"/>
      <c r="C517" s="31">
        <f>IF(OR($A517="",$B517=""),"",SUMIFS(QuickLog!$K$2:$K$1000,QuickLog!$B$2:$B$1000,$B517,QuickLog!$O$2:$O$1000,$A517,QuickLog!$G$2:$G$1000,"Routine"))</f>
        <v/>
      </c>
      <c r="D517" s="31">
        <f>IF(OR($A517="",$B517=""),"",SUMIFS(QuickLog!$K$2:$K$1000,QuickLog!$B$2:$B$1000,$B517,QuickLog!$O$2:$O$1000,$A517,QuickLog!$G$2:$G$1000,"&lt;&gt;Routine"))</f>
        <v/>
      </c>
      <c r="E517" s="31">
        <f>IF($C517="","",MIN($C517,Settings!$B$2))</f>
        <v/>
      </c>
      <c r="F517" s="31">
        <f>IF($C517="","",MAX(0,$C517-$E517))</f>
        <v/>
      </c>
      <c r="G517" s="31">
        <f>IF(OR($E517="",$D517=""),"", $E517+$D517)</f>
        <v/>
      </c>
      <c r="H517" s="31">
        <f>IF(OR($A517="",$B517=""),"",SUMIFS(QuickLog!$L$2:$L$1000,QuickLog!$B$2:$B$1000,$B517,QuickLog!$O$2:$O$1000,$A517))</f>
        <v/>
      </c>
      <c r="I517" s="32">
        <f>IF($H517="","",$H517)</f>
        <v/>
      </c>
    </row>
    <row r="518">
      <c r="A518" s="29" t="n"/>
      <c r="B518" s="31" t="n"/>
      <c r="C518" s="31">
        <f>IF(OR($A518="",$B518=""),"",SUMIFS(QuickLog!$K$2:$K$1000,QuickLog!$B$2:$B$1000,$B518,QuickLog!$O$2:$O$1000,$A518,QuickLog!$G$2:$G$1000,"Routine"))</f>
        <v/>
      </c>
      <c r="D518" s="31">
        <f>IF(OR($A518="",$B518=""),"",SUMIFS(QuickLog!$K$2:$K$1000,QuickLog!$B$2:$B$1000,$B518,QuickLog!$O$2:$O$1000,$A518,QuickLog!$G$2:$G$1000,"&lt;&gt;Routine"))</f>
        <v/>
      </c>
      <c r="E518" s="31">
        <f>IF($C518="","",MIN($C518,Settings!$B$2))</f>
        <v/>
      </c>
      <c r="F518" s="31">
        <f>IF($C518="","",MAX(0,$C518-$E518))</f>
        <v/>
      </c>
      <c r="G518" s="31">
        <f>IF(OR($E518="",$D518=""),"", $E518+$D518)</f>
        <v/>
      </c>
      <c r="H518" s="31">
        <f>IF(OR($A518="",$B518=""),"",SUMIFS(QuickLog!$L$2:$L$1000,QuickLog!$B$2:$B$1000,$B518,QuickLog!$O$2:$O$1000,$A518))</f>
        <v/>
      </c>
      <c r="I518" s="32">
        <f>IF($H518="","",$H518)</f>
        <v/>
      </c>
    </row>
    <row r="519">
      <c r="A519" s="29" t="n"/>
      <c r="B519" s="31" t="n"/>
      <c r="C519" s="31">
        <f>IF(OR($A519="",$B519=""),"",SUMIFS(QuickLog!$K$2:$K$1000,QuickLog!$B$2:$B$1000,$B519,QuickLog!$O$2:$O$1000,$A519,QuickLog!$G$2:$G$1000,"Routine"))</f>
        <v/>
      </c>
      <c r="D519" s="31">
        <f>IF(OR($A519="",$B519=""),"",SUMIFS(QuickLog!$K$2:$K$1000,QuickLog!$B$2:$B$1000,$B519,QuickLog!$O$2:$O$1000,$A519,QuickLog!$G$2:$G$1000,"&lt;&gt;Routine"))</f>
        <v/>
      </c>
      <c r="E519" s="31">
        <f>IF($C519="","",MIN($C519,Settings!$B$2))</f>
        <v/>
      </c>
      <c r="F519" s="31">
        <f>IF($C519="","",MAX(0,$C519-$E519))</f>
        <v/>
      </c>
      <c r="G519" s="31">
        <f>IF(OR($E519="",$D519=""),"", $E519+$D519)</f>
        <v/>
      </c>
      <c r="H519" s="31">
        <f>IF(OR($A519="",$B519=""),"",SUMIFS(QuickLog!$L$2:$L$1000,QuickLog!$B$2:$B$1000,$B519,QuickLog!$O$2:$O$1000,$A519))</f>
        <v/>
      </c>
      <c r="I519" s="32">
        <f>IF($H519="","",$H519)</f>
        <v/>
      </c>
    </row>
    <row r="520">
      <c r="A520" s="29" t="n"/>
      <c r="B520" s="31" t="n"/>
      <c r="C520" s="31">
        <f>IF(OR($A520="",$B520=""),"",SUMIFS(QuickLog!$K$2:$K$1000,QuickLog!$B$2:$B$1000,$B520,QuickLog!$O$2:$O$1000,$A520,QuickLog!$G$2:$G$1000,"Routine"))</f>
        <v/>
      </c>
      <c r="D520" s="31">
        <f>IF(OR($A520="",$B520=""),"",SUMIFS(QuickLog!$K$2:$K$1000,QuickLog!$B$2:$B$1000,$B520,QuickLog!$O$2:$O$1000,$A520,QuickLog!$G$2:$G$1000,"&lt;&gt;Routine"))</f>
        <v/>
      </c>
      <c r="E520" s="31">
        <f>IF($C520="","",MIN($C520,Settings!$B$2))</f>
        <v/>
      </c>
      <c r="F520" s="31">
        <f>IF($C520="","",MAX(0,$C520-$E520))</f>
        <v/>
      </c>
      <c r="G520" s="31">
        <f>IF(OR($E520="",$D520=""),"", $E520+$D520)</f>
        <v/>
      </c>
      <c r="H520" s="31">
        <f>IF(OR($A520="",$B520=""),"",SUMIFS(QuickLog!$L$2:$L$1000,QuickLog!$B$2:$B$1000,$B520,QuickLog!$O$2:$O$1000,$A520))</f>
        <v/>
      </c>
      <c r="I520" s="32">
        <f>IF($H520="","",$H520)</f>
        <v/>
      </c>
    </row>
    <row r="521">
      <c r="A521" s="29" t="n"/>
      <c r="B521" s="31" t="n"/>
      <c r="C521" s="31">
        <f>IF(OR($A521="",$B521=""),"",SUMIFS(QuickLog!$K$2:$K$1000,QuickLog!$B$2:$B$1000,$B521,QuickLog!$O$2:$O$1000,$A521,QuickLog!$G$2:$G$1000,"Routine"))</f>
        <v/>
      </c>
      <c r="D521" s="31">
        <f>IF(OR($A521="",$B521=""),"",SUMIFS(QuickLog!$K$2:$K$1000,QuickLog!$B$2:$B$1000,$B521,QuickLog!$O$2:$O$1000,$A521,QuickLog!$G$2:$G$1000,"&lt;&gt;Routine"))</f>
        <v/>
      </c>
      <c r="E521" s="31">
        <f>IF($C521="","",MIN($C521,Settings!$B$2))</f>
        <v/>
      </c>
      <c r="F521" s="31">
        <f>IF($C521="","",MAX(0,$C521-$E521))</f>
        <v/>
      </c>
      <c r="G521" s="31">
        <f>IF(OR($E521="",$D521=""),"", $E521+$D521)</f>
        <v/>
      </c>
      <c r="H521" s="31">
        <f>IF(OR($A521="",$B521=""),"",SUMIFS(QuickLog!$L$2:$L$1000,QuickLog!$B$2:$B$1000,$B521,QuickLog!$O$2:$O$1000,$A521))</f>
        <v/>
      </c>
      <c r="I521" s="32">
        <f>IF($H521="","",$H521)</f>
        <v/>
      </c>
    </row>
    <row r="522">
      <c r="A522" s="29" t="n"/>
      <c r="B522" s="31" t="n"/>
      <c r="C522" s="31">
        <f>IF(OR($A522="",$B522=""),"",SUMIFS(QuickLog!$K$2:$K$1000,QuickLog!$B$2:$B$1000,$B522,QuickLog!$O$2:$O$1000,$A522,QuickLog!$G$2:$G$1000,"Routine"))</f>
        <v/>
      </c>
      <c r="D522" s="31">
        <f>IF(OR($A522="",$B522=""),"",SUMIFS(QuickLog!$K$2:$K$1000,QuickLog!$B$2:$B$1000,$B522,QuickLog!$O$2:$O$1000,$A522,QuickLog!$G$2:$G$1000,"&lt;&gt;Routine"))</f>
        <v/>
      </c>
      <c r="E522" s="31">
        <f>IF($C522="","",MIN($C522,Settings!$B$2))</f>
        <v/>
      </c>
      <c r="F522" s="31">
        <f>IF($C522="","",MAX(0,$C522-$E522))</f>
        <v/>
      </c>
      <c r="G522" s="31">
        <f>IF(OR($E522="",$D522=""),"", $E522+$D522)</f>
        <v/>
      </c>
      <c r="H522" s="31">
        <f>IF(OR($A522="",$B522=""),"",SUMIFS(QuickLog!$L$2:$L$1000,QuickLog!$B$2:$B$1000,$B522,QuickLog!$O$2:$O$1000,$A522))</f>
        <v/>
      </c>
      <c r="I522" s="32">
        <f>IF($H522="","",$H522)</f>
        <v/>
      </c>
    </row>
    <row r="523">
      <c r="A523" s="29" t="n"/>
      <c r="B523" s="31" t="n"/>
      <c r="C523" s="31">
        <f>IF(OR($A523="",$B523=""),"",SUMIFS(QuickLog!$K$2:$K$1000,QuickLog!$B$2:$B$1000,$B523,QuickLog!$O$2:$O$1000,$A523,QuickLog!$G$2:$G$1000,"Routine"))</f>
        <v/>
      </c>
      <c r="D523" s="31">
        <f>IF(OR($A523="",$B523=""),"",SUMIFS(QuickLog!$K$2:$K$1000,QuickLog!$B$2:$B$1000,$B523,QuickLog!$O$2:$O$1000,$A523,QuickLog!$G$2:$G$1000,"&lt;&gt;Routine"))</f>
        <v/>
      </c>
      <c r="E523" s="31">
        <f>IF($C523="","",MIN($C523,Settings!$B$2))</f>
        <v/>
      </c>
      <c r="F523" s="31">
        <f>IF($C523="","",MAX(0,$C523-$E523))</f>
        <v/>
      </c>
      <c r="G523" s="31">
        <f>IF(OR($E523="",$D523=""),"", $E523+$D523)</f>
        <v/>
      </c>
      <c r="H523" s="31">
        <f>IF(OR($A523="",$B523=""),"",SUMIFS(QuickLog!$L$2:$L$1000,QuickLog!$B$2:$B$1000,$B523,QuickLog!$O$2:$O$1000,$A523))</f>
        <v/>
      </c>
      <c r="I523" s="32">
        <f>IF($H523="","",$H523)</f>
        <v/>
      </c>
    </row>
    <row r="524">
      <c r="A524" s="29" t="n"/>
      <c r="B524" s="31" t="n"/>
      <c r="C524" s="31">
        <f>IF(OR($A524="",$B524=""),"",SUMIFS(QuickLog!$K$2:$K$1000,QuickLog!$B$2:$B$1000,$B524,QuickLog!$O$2:$O$1000,$A524,QuickLog!$G$2:$G$1000,"Routine"))</f>
        <v/>
      </c>
      <c r="D524" s="31">
        <f>IF(OR($A524="",$B524=""),"",SUMIFS(QuickLog!$K$2:$K$1000,QuickLog!$B$2:$B$1000,$B524,QuickLog!$O$2:$O$1000,$A524,QuickLog!$G$2:$G$1000,"&lt;&gt;Routine"))</f>
        <v/>
      </c>
      <c r="E524" s="31">
        <f>IF($C524="","",MIN($C524,Settings!$B$2))</f>
        <v/>
      </c>
      <c r="F524" s="31">
        <f>IF($C524="","",MAX(0,$C524-$E524))</f>
        <v/>
      </c>
      <c r="G524" s="31">
        <f>IF(OR($E524="",$D524=""),"", $E524+$D524)</f>
        <v/>
      </c>
      <c r="H524" s="31">
        <f>IF(OR($A524="",$B524=""),"",SUMIFS(QuickLog!$L$2:$L$1000,QuickLog!$B$2:$B$1000,$B524,QuickLog!$O$2:$O$1000,$A524))</f>
        <v/>
      </c>
      <c r="I524" s="32">
        <f>IF($H524="","",$H524)</f>
        <v/>
      </c>
    </row>
    <row r="525">
      <c r="A525" s="29" t="n"/>
      <c r="B525" s="31" t="n"/>
      <c r="C525" s="31">
        <f>IF(OR($A525="",$B525=""),"",SUMIFS(QuickLog!$K$2:$K$1000,QuickLog!$B$2:$B$1000,$B525,QuickLog!$O$2:$O$1000,$A525,QuickLog!$G$2:$G$1000,"Routine"))</f>
        <v/>
      </c>
      <c r="D525" s="31">
        <f>IF(OR($A525="",$B525=""),"",SUMIFS(QuickLog!$K$2:$K$1000,QuickLog!$B$2:$B$1000,$B525,QuickLog!$O$2:$O$1000,$A525,QuickLog!$G$2:$G$1000,"&lt;&gt;Routine"))</f>
        <v/>
      </c>
      <c r="E525" s="31">
        <f>IF($C525="","",MIN($C525,Settings!$B$2))</f>
        <v/>
      </c>
      <c r="F525" s="31">
        <f>IF($C525="","",MAX(0,$C525-$E525))</f>
        <v/>
      </c>
      <c r="G525" s="31">
        <f>IF(OR($E525="",$D525=""),"", $E525+$D525)</f>
        <v/>
      </c>
      <c r="H525" s="31">
        <f>IF(OR($A525="",$B525=""),"",SUMIFS(QuickLog!$L$2:$L$1000,QuickLog!$B$2:$B$1000,$B525,QuickLog!$O$2:$O$1000,$A525))</f>
        <v/>
      </c>
      <c r="I525" s="32">
        <f>IF($H525="","",$H525)</f>
        <v/>
      </c>
    </row>
    <row r="526">
      <c r="A526" s="29" t="n"/>
      <c r="B526" s="31" t="n"/>
      <c r="C526" s="31">
        <f>IF(OR($A526="",$B526=""),"",SUMIFS(QuickLog!$K$2:$K$1000,QuickLog!$B$2:$B$1000,$B526,QuickLog!$O$2:$O$1000,$A526,QuickLog!$G$2:$G$1000,"Routine"))</f>
        <v/>
      </c>
      <c r="D526" s="31">
        <f>IF(OR($A526="",$B526=""),"",SUMIFS(QuickLog!$K$2:$K$1000,QuickLog!$B$2:$B$1000,$B526,QuickLog!$O$2:$O$1000,$A526,QuickLog!$G$2:$G$1000,"&lt;&gt;Routine"))</f>
        <v/>
      </c>
      <c r="E526" s="31">
        <f>IF($C526="","",MIN($C526,Settings!$B$2))</f>
        <v/>
      </c>
      <c r="F526" s="31">
        <f>IF($C526="","",MAX(0,$C526-$E526))</f>
        <v/>
      </c>
      <c r="G526" s="31">
        <f>IF(OR($E526="",$D526=""),"", $E526+$D526)</f>
        <v/>
      </c>
      <c r="H526" s="31">
        <f>IF(OR($A526="",$B526=""),"",SUMIFS(QuickLog!$L$2:$L$1000,QuickLog!$B$2:$B$1000,$B526,QuickLog!$O$2:$O$1000,$A526))</f>
        <v/>
      </c>
      <c r="I526" s="32">
        <f>IF($H526="","",$H526)</f>
        <v/>
      </c>
    </row>
    <row r="527">
      <c r="A527" s="29" t="n"/>
      <c r="B527" s="31" t="n"/>
      <c r="C527" s="31">
        <f>IF(OR($A527="",$B527=""),"",SUMIFS(QuickLog!$K$2:$K$1000,QuickLog!$B$2:$B$1000,$B527,QuickLog!$O$2:$O$1000,$A527,QuickLog!$G$2:$G$1000,"Routine"))</f>
        <v/>
      </c>
      <c r="D527" s="31">
        <f>IF(OR($A527="",$B527=""),"",SUMIFS(QuickLog!$K$2:$K$1000,QuickLog!$B$2:$B$1000,$B527,QuickLog!$O$2:$O$1000,$A527,QuickLog!$G$2:$G$1000,"&lt;&gt;Routine"))</f>
        <v/>
      </c>
      <c r="E527" s="31">
        <f>IF($C527="","",MIN($C527,Settings!$B$2))</f>
        <v/>
      </c>
      <c r="F527" s="31">
        <f>IF($C527="","",MAX(0,$C527-$E527))</f>
        <v/>
      </c>
      <c r="G527" s="31">
        <f>IF(OR($E527="",$D527=""),"", $E527+$D527)</f>
        <v/>
      </c>
      <c r="H527" s="31">
        <f>IF(OR($A527="",$B527=""),"",SUMIFS(QuickLog!$L$2:$L$1000,QuickLog!$B$2:$B$1000,$B527,QuickLog!$O$2:$O$1000,$A527))</f>
        <v/>
      </c>
      <c r="I527" s="32">
        <f>IF($H527="","",$H527)</f>
        <v/>
      </c>
    </row>
    <row r="528">
      <c r="A528" s="29" t="n"/>
      <c r="B528" s="31" t="n"/>
      <c r="C528" s="31">
        <f>IF(OR($A528="",$B528=""),"",SUMIFS(QuickLog!$K$2:$K$1000,QuickLog!$B$2:$B$1000,$B528,QuickLog!$O$2:$O$1000,$A528,QuickLog!$G$2:$G$1000,"Routine"))</f>
        <v/>
      </c>
      <c r="D528" s="31">
        <f>IF(OR($A528="",$B528=""),"",SUMIFS(QuickLog!$K$2:$K$1000,QuickLog!$B$2:$B$1000,$B528,QuickLog!$O$2:$O$1000,$A528,QuickLog!$G$2:$G$1000,"&lt;&gt;Routine"))</f>
        <v/>
      </c>
      <c r="E528" s="31">
        <f>IF($C528="","",MIN($C528,Settings!$B$2))</f>
        <v/>
      </c>
      <c r="F528" s="31">
        <f>IF($C528="","",MAX(0,$C528-$E528))</f>
        <v/>
      </c>
      <c r="G528" s="31">
        <f>IF(OR($E528="",$D528=""),"", $E528+$D528)</f>
        <v/>
      </c>
      <c r="H528" s="31">
        <f>IF(OR($A528="",$B528=""),"",SUMIFS(QuickLog!$L$2:$L$1000,QuickLog!$B$2:$B$1000,$B528,QuickLog!$O$2:$O$1000,$A528))</f>
        <v/>
      </c>
      <c r="I528" s="32">
        <f>IF($H528="","",$H528)</f>
        <v/>
      </c>
    </row>
    <row r="529">
      <c r="A529" s="29" t="n"/>
      <c r="B529" s="31" t="n"/>
      <c r="C529" s="31">
        <f>IF(OR($A529="",$B529=""),"",SUMIFS(QuickLog!$K$2:$K$1000,QuickLog!$B$2:$B$1000,$B529,QuickLog!$O$2:$O$1000,$A529,QuickLog!$G$2:$G$1000,"Routine"))</f>
        <v/>
      </c>
      <c r="D529" s="31">
        <f>IF(OR($A529="",$B529=""),"",SUMIFS(QuickLog!$K$2:$K$1000,QuickLog!$B$2:$B$1000,$B529,QuickLog!$O$2:$O$1000,$A529,QuickLog!$G$2:$G$1000,"&lt;&gt;Routine"))</f>
        <v/>
      </c>
      <c r="E529" s="31">
        <f>IF($C529="","",MIN($C529,Settings!$B$2))</f>
        <v/>
      </c>
      <c r="F529" s="31">
        <f>IF($C529="","",MAX(0,$C529-$E529))</f>
        <v/>
      </c>
      <c r="G529" s="31">
        <f>IF(OR($E529="",$D529=""),"", $E529+$D529)</f>
        <v/>
      </c>
      <c r="H529" s="31">
        <f>IF(OR($A529="",$B529=""),"",SUMIFS(QuickLog!$L$2:$L$1000,QuickLog!$B$2:$B$1000,$B529,QuickLog!$O$2:$O$1000,$A529))</f>
        <v/>
      </c>
      <c r="I529" s="32">
        <f>IF($H529="","",$H529)</f>
        <v/>
      </c>
    </row>
    <row r="530">
      <c r="A530" s="29" t="n"/>
      <c r="B530" s="31" t="n"/>
      <c r="C530" s="31">
        <f>IF(OR($A530="",$B530=""),"",SUMIFS(QuickLog!$K$2:$K$1000,QuickLog!$B$2:$B$1000,$B530,QuickLog!$O$2:$O$1000,$A530,QuickLog!$G$2:$G$1000,"Routine"))</f>
        <v/>
      </c>
      <c r="D530" s="31">
        <f>IF(OR($A530="",$B530=""),"",SUMIFS(QuickLog!$K$2:$K$1000,QuickLog!$B$2:$B$1000,$B530,QuickLog!$O$2:$O$1000,$A530,QuickLog!$G$2:$G$1000,"&lt;&gt;Routine"))</f>
        <v/>
      </c>
      <c r="E530" s="31">
        <f>IF($C530="","",MIN($C530,Settings!$B$2))</f>
        <v/>
      </c>
      <c r="F530" s="31">
        <f>IF($C530="","",MAX(0,$C530-$E530))</f>
        <v/>
      </c>
      <c r="G530" s="31">
        <f>IF(OR($E530="",$D530=""),"", $E530+$D530)</f>
        <v/>
      </c>
      <c r="H530" s="31">
        <f>IF(OR($A530="",$B530=""),"",SUMIFS(QuickLog!$L$2:$L$1000,QuickLog!$B$2:$B$1000,$B530,QuickLog!$O$2:$O$1000,$A530))</f>
        <v/>
      </c>
      <c r="I530" s="32">
        <f>IF($H530="","",$H530)</f>
        <v/>
      </c>
    </row>
    <row r="531">
      <c r="A531" s="29" t="n"/>
      <c r="B531" s="31" t="n"/>
      <c r="C531" s="31">
        <f>IF(OR($A531="",$B531=""),"",SUMIFS(QuickLog!$K$2:$K$1000,QuickLog!$B$2:$B$1000,$B531,QuickLog!$O$2:$O$1000,$A531,QuickLog!$G$2:$G$1000,"Routine"))</f>
        <v/>
      </c>
      <c r="D531" s="31">
        <f>IF(OR($A531="",$B531=""),"",SUMIFS(QuickLog!$K$2:$K$1000,QuickLog!$B$2:$B$1000,$B531,QuickLog!$O$2:$O$1000,$A531,QuickLog!$G$2:$G$1000,"&lt;&gt;Routine"))</f>
        <v/>
      </c>
      <c r="E531" s="31">
        <f>IF($C531="","",MIN($C531,Settings!$B$2))</f>
        <v/>
      </c>
      <c r="F531" s="31">
        <f>IF($C531="","",MAX(0,$C531-$E531))</f>
        <v/>
      </c>
      <c r="G531" s="31">
        <f>IF(OR($E531="",$D531=""),"", $E531+$D531)</f>
        <v/>
      </c>
      <c r="H531" s="31">
        <f>IF(OR($A531="",$B531=""),"",SUMIFS(QuickLog!$L$2:$L$1000,QuickLog!$B$2:$B$1000,$B531,QuickLog!$O$2:$O$1000,$A531))</f>
        <v/>
      </c>
      <c r="I531" s="32">
        <f>IF($H531="","",$H531)</f>
        <v/>
      </c>
    </row>
    <row r="532">
      <c r="A532" s="29" t="n"/>
      <c r="B532" s="31" t="n"/>
      <c r="C532" s="31">
        <f>IF(OR($A532="",$B532=""),"",SUMIFS(QuickLog!$K$2:$K$1000,QuickLog!$B$2:$B$1000,$B532,QuickLog!$O$2:$O$1000,$A532,QuickLog!$G$2:$G$1000,"Routine"))</f>
        <v/>
      </c>
      <c r="D532" s="31">
        <f>IF(OR($A532="",$B532=""),"",SUMIFS(QuickLog!$K$2:$K$1000,QuickLog!$B$2:$B$1000,$B532,QuickLog!$O$2:$O$1000,$A532,QuickLog!$G$2:$G$1000,"&lt;&gt;Routine"))</f>
        <v/>
      </c>
      <c r="E532" s="31">
        <f>IF($C532="","",MIN($C532,Settings!$B$2))</f>
        <v/>
      </c>
      <c r="F532" s="31">
        <f>IF($C532="","",MAX(0,$C532-$E532))</f>
        <v/>
      </c>
      <c r="G532" s="31">
        <f>IF(OR($E532="",$D532=""),"", $E532+$D532)</f>
        <v/>
      </c>
      <c r="H532" s="31">
        <f>IF(OR($A532="",$B532=""),"",SUMIFS(QuickLog!$L$2:$L$1000,QuickLog!$B$2:$B$1000,$B532,QuickLog!$O$2:$O$1000,$A532))</f>
        <v/>
      </c>
      <c r="I532" s="32">
        <f>IF($H532="","",$H532)</f>
        <v/>
      </c>
    </row>
    <row r="533">
      <c r="A533" s="29" t="n"/>
      <c r="B533" s="31" t="n"/>
      <c r="C533" s="31">
        <f>IF(OR($A533="",$B533=""),"",SUMIFS(QuickLog!$K$2:$K$1000,QuickLog!$B$2:$B$1000,$B533,QuickLog!$O$2:$O$1000,$A533,QuickLog!$G$2:$G$1000,"Routine"))</f>
        <v/>
      </c>
      <c r="D533" s="31">
        <f>IF(OR($A533="",$B533=""),"",SUMIFS(QuickLog!$K$2:$K$1000,QuickLog!$B$2:$B$1000,$B533,QuickLog!$O$2:$O$1000,$A533,QuickLog!$G$2:$G$1000,"&lt;&gt;Routine"))</f>
        <v/>
      </c>
      <c r="E533" s="31">
        <f>IF($C533="","",MIN($C533,Settings!$B$2))</f>
        <v/>
      </c>
      <c r="F533" s="31">
        <f>IF($C533="","",MAX(0,$C533-$E533))</f>
        <v/>
      </c>
      <c r="G533" s="31">
        <f>IF(OR($E533="",$D533=""),"", $E533+$D533)</f>
        <v/>
      </c>
      <c r="H533" s="31">
        <f>IF(OR($A533="",$B533=""),"",SUMIFS(QuickLog!$L$2:$L$1000,QuickLog!$B$2:$B$1000,$B533,QuickLog!$O$2:$O$1000,$A533))</f>
        <v/>
      </c>
      <c r="I533" s="32">
        <f>IF($H533="","",$H533)</f>
        <v/>
      </c>
    </row>
    <row r="534">
      <c r="A534" s="29" t="n"/>
      <c r="B534" s="31" t="n"/>
      <c r="C534" s="31">
        <f>IF(OR($A534="",$B534=""),"",SUMIFS(QuickLog!$K$2:$K$1000,QuickLog!$B$2:$B$1000,$B534,QuickLog!$O$2:$O$1000,$A534,QuickLog!$G$2:$G$1000,"Routine"))</f>
        <v/>
      </c>
      <c r="D534" s="31">
        <f>IF(OR($A534="",$B534=""),"",SUMIFS(QuickLog!$K$2:$K$1000,QuickLog!$B$2:$B$1000,$B534,QuickLog!$O$2:$O$1000,$A534,QuickLog!$G$2:$G$1000,"&lt;&gt;Routine"))</f>
        <v/>
      </c>
      <c r="E534" s="31">
        <f>IF($C534="","",MIN($C534,Settings!$B$2))</f>
        <v/>
      </c>
      <c r="F534" s="31">
        <f>IF($C534="","",MAX(0,$C534-$E534))</f>
        <v/>
      </c>
      <c r="G534" s="31">
        <f>IF(OR($E534="",$D534=""),"", $E534+$D534)</f>
        <v/>
      </c>
      <c r="H534" s="31">
        <f>IF(OR($A534="",$B534=""),"",SUMIFS(QuickLog!$L$2:$L$1000,QuickLog!$B$2:$B$1000,$B534,QuickLog!$O$2:$O$1000,$A534))</f>
        <v/>
      </c>
      <c r="I534" s="32">
        <f>IF($H534="","",$H534)</f>
        <v/>
      </c>
    </row>
    <row r="535">
      <c r="A535" s="29" t="n"/>
      <c r="B535" s="31" t="n"/>
      <c r="C535" s="31">
        <f>IF(OR($A535="",$B535=""),"",SUMIFS(QuickLog!$K$2:$K$1000,QuickLog!$B$2:$B$1000,$B535,QuickLog!$O$2:$O$1000,$A535,QuickLog!$G$2:$G$1000,"Routine"))</f>
        <v/>
      </c>
      <c r="D535" s="31">
        <f>IF(OR($A535="",$B535=""),"",SUMIFS(QuickLog!$K$2:$K$1000,QuickLog!$B$2:$B$1000,$B535,QuickLog!$O$2:$O$1000,$A535,QuickLog!$G$2:$G$1000,"&lt;&gt;Routine"))</f>
        <v/>
      </c>
      <c r="E535" s="31">
        <f>IF($C535="","",MIN($C535,Settings!$B$2))</f>
        <v/>
      </c>
      <c r="F535" s="31">
        <f>IF($C535="","",MAX(0,$C535-$E535))</f>
        <v/>
      </c>
      <c r="G535" s="31">
        <f>IF(OR($E535="",$D535=""),"", $E535+$D535)</f>
        <v/>
      </c>
      <c r="H535" s="31">
        <f>IF(OR($A535="",$B535=""),"",SUMIFS(QuickLog!$L$2:$L$1000,QuickLog!$B$2:$B$1000,$B535,QuickLog!$O$2:$O$1000,$A535))</f>
        <v/>
      </c>
      <c r="I535" s="32">
        <f>IF($H535="","",$H535)</f>
        <v/>
      </c>
    </row>
    <row r="536">
      <c r="A536" s="29" t="n"/>
      <c r="B536" s="31" t="n"/>
      <c r="C536" s="31">
        <f>IF(OR($A536="",$B536=""),"",SUMIFS(QuickLog!$K$2:$K$1000,QuickLog!$B$2:$B$1000,$B536,QuickLog!$O$2:$O$1000,$A536,QuickLog!$G$2:$G$1000,"Routine"))</f>
        <v/>
      </c>
      <c r="D536" s="31">
        <f>IF(OR($A536="",$B536=""),"",SUMIFS(QuickLog!$K$2:$K$1000,QuickLog!$B$2:$B$1000,$B536,QuickLog!$O$2:$O$1000,$A536,QuickLog!$G$2:$G$1000,"&lt;&gt;Routine"))</f>
        <v/>
      </c>
      <c r="E536" s="31">
        <f>IF($C536="","",MIN($C536,Settings!$B$2))</f>
        <v/>
      </c>
      <c r="F536" s="31">
        <f>IF($C536="","",MAX(0,$C536-$E536))</f>
        <v/>
      </c>
      <c r="G536" s="31">
        <f>IF(OR($E536="",$D536=""),"", $E536+$D536)</f>
        <v/>
      </c>
      <c r="H536" s="31">
        <f>IF(OR($A536="",$B536=""),"",SUMIFS(QuickLog!$L$2:$L$1000,QuickLog!$B$2:$B$1000,$B536,QuickLog!$O$2:$O$1000,$A536))</f>
        <v/>
      </c>
      <c r="I536" s="32">
        <f>IF($H536="","",$H536)</f>
        <v/>
      </c>
    </row>
    <row r="537">
      <c r="A537" s="29" t="n"/>
      <c r="B537" s="31" t="n"/>
      <c r="C537" s="31">
        <f>IF(OR($A537="",$B537=""),"",SUMIFS(QuickLog!$K$2:$K$1000,QuickLog!$B$2:$B$1000,$B537,QuickLog!$O$2:$O$1000,$A537,QuickLog!$G$2:$G$1000,"Routine"))</f>
        <v/>
      </c>
      <c r="D537" s="31">
        <f>IF(OR($A537="",$B537=""),"",SUMIFS(QuickLog!$K$2:$K$1000,QuickLog!$B$2:$B$1000,$B537,QuickLog!$O$2:$O$1000,$A537,QuickLog!$G$2:$G$1000,"&lt;&gt;Routine"))</f>
        <v/>
      </c>
      <c r="E537" s="31">
        <f>IF($C537="","",MIN($C537,Settings!$B$2))</f>
        <v/>
      </c>
      <c r="F537" s="31">
        <f>IF($C537="","",MAX(0,$C537-$E537))</f>
        <v/>
      </c>
      <c r="G537" s="31">
        <f>IF(OR($E537="",$D537=""),"", $E537+$D537)</f>
        <v/>
      </c>
      <c r="H537" s="31">
        <f>IF(OR($A537="",$B537=""),"",SUMIFS(QuickLog!$L$2:$L$1000,QuickLog!$B$2:$B$1000,$B537,QuickLog!$O$2:$O$1000,$A537))</f>
        <v/>
      </c>
      <c r="I537" s="32">
        <f>IF($H537="","",$H537)</f>
        <v/>
      </c>
    </row>
    <row r="538">
      <c r="A538" s="29" t="n"/>
      <c r="B538" s="31" t="n"/>
      <c r="C538" s="31">
        <f>IF(OR($A538="",$B538=""),"",SUMIFS(QuickLog!$K$2:$K$1000,QuickLog!$B$2:$B$1000,$B538,QuickLog!$O$2:$O$1000,$A538,QuickLog!$G$2:$G$1000,"Routine"))</f>
        <v/>
      </c>
      <c r="D538" s="31">
        <f>IF(OR($A538="",$B538=""),"",SUMIFS(QuickLog!$K$2:$K$1000,QuickLog!$B$2:$B$1000,$B538,QuickLog!$O$2:$O$1000,$A538,QuickLog!$G$2:$G$1000,"&lt;&gt;Routine"))</f>
        <v/>
      </c>
      <c r="E538" s="31">
        <f>IF($C538="","",MIN($C538,Settings!$B$2))</f>
        <v/>
      </c>
      <c r="F538" s="31">
        <f>IF($C538="","",MAX(0,$C538-$E538))</f>
        <v/>
      </c>
      <c r="G538" s="31">
        <f>IF(OR($E538="",$D538=""),"", $E538+$D538)</f>
        <v/>
      </c>
      <c r="H538" s="31">
        <f>IF(OR($A538="",$B538=""),"",SUMIFS(QuickLog!$L$2:$L$1000,QuickLog!$B$2:$B$1000,$B538,QuickLog!$O$2:$O$1000,$A538))</f>
        <v/>
      </c>
      <c r="I538" s="32">
        <f>IF($H538="","",$H538)</f>
        <v/>
      </c>
    </row>
    <row r="539">
      <c r="A539" s="29" t="n"/>
      <c r="B539" s="31" t="n"/>
      <c r="C539" s="31">
        <f>IF(OR($A539="",$B539=""),"",SUMIFS(QuickLog!$K$2:$K$1000,QuickLog!$B$2:$B$1000,$B539,QuickLog!$O$2:$O$1000,$A539,QuickLog!$G$2:$G$1000,"Routine"))</f>
        <v/>
      </c>
      <c r="D539" s="31">
        <f>IF(OR($A539="",$B539=""),"",SUMIFS(QuickLog!$K$2:$K$1000,QuickLog!$B$2:$B$1000,$B539,QuickLog!$O$2:$O$1000,$A539,QuickLog!$G$2:$G$1000,"&lt;&gt;Routine"))</f>
        <v/>
      </c>
      <c r="E539" s="31">
        <f>IF($C539="","",MIN($C539,Settings!$B$2))</f>
        <v/>
      </c>
      <c r="F539" s="31">
        <f>IF($C539="","",MAX(0,$C539-$E539))</f>
        <v/>
      </c>
      <c r="G539" s="31">
        <f>IF(OR($E539="",$D539=""),"", $E539+$D539)</f>
        <v/>
      </c>
      <c r="H539" s="31">
        <f>IF(OR($A539="",$B539=""),"",SUMIFS(QuickLog!$L$2:$L$1000,QuickLog!$B$2:$B$1000,$B539,QuickLog!$O$2:$O$1000,$A539))</f>
        <v/>
      </c>
      <c r="I539" s="32">
        <f>IF($H539="","",$H539)</f>
        <v/>
      </c>
    </row>
    <row r="540">
      <c r="A540" s="29" t="n"/>
      <c r="B540" s="31" t="n"/>
      <c r="C540" s="31">
        <f>IF(OR($A540="",$B540=""),"",SUMIFS(QuickLog!$K$2:$K$1000,QuickLog!$B$2:$B$1000,$B540,QuickLog!$O$2:$O$1000,$A540,QuickLog!$G$2:$G$1000,"Routine"))</f>
        <v/>
      </c>
      <c r="D540" s="31">
        <f>IF(OR($A540="",$B540=""),"",SUMIFS(QuickLog!$K$2:$K$1000,QuickLog!$B$2:$B$1000,$B540,QuickLog!$O$2:$O$1000,$A540,QuickLog!$G$2:$G$1000,"&lt;&gt;Routine"))</f>
        <v/>
      </c>
      <c r="E540" s="31">
        <f>IF($C540="","",MIN($C540,Settings!$B$2))</f>
        <v/>
      </c>
      <c r="F540" s="31">
        <f>IF($C540="","",MAX(0,$C540-$E540))</f>
        <v/>
      </c>
      <c r="G540" s="31">
        <f>IF(OR($E540="",$D540=""),"", $E540+$D540)</f>
        <v/>
      </c>
      <c r="H540" s="31">
        <f>IF(OR($A540="",$B540=""),"",SUMIFS(QuickLog!$L$2:$L$1000,QuickLog!$B$2:$B$1000,$B540,QuickLog!$O$2:$O$1000,$A540))</f>
        <v/>
      </c>
      <c r="I540" s="32">
        <f>IF($H540="","",$H540)</f>
        <v/>
      </c>
    </row>
    <row r="541">
      <c r="A541" s="29" t="n"/>
      <c r="B541" s="31" t="n"/>
      <c r="C541" s="31">
        <f>IF(OR($A541="",$B541=""),"",SUMIFS(QuickLog!$K$2:$K$1000,QuickLog!$B$2:$B$1000,$B541,QuickLog!$O$2:$O$1000,$A541,QuickLog!$G$2:$G$1000,"Routine"))</f>
        <v/>
      </c>
      <c r="D541" s="31">
        <f>IF(OR($A541="",$B541=""),"",SUMIFS(QuickLog!$K$2:$K$1000,QuickLog!$B$2:$B$1000,$B541,QuickLog!$O$2:$O$1000,$A541,QuickLog!$G$2:$G$1000,"&lt;&gt;Routine"))</f>
        <v/>
      </c>
      <c r="E541" s="31">
        <f>IF($C541="","",MIN($C541,Settings!$B$2))</f>
        <v/>
      </c>
      <c r="F541" s="31">
        <f>IF($C541="","",MAX(0,$C541-$E541))</f>
        <v/>
      </c>
      <c r="G541" s="31">
        <f>IF(OR($E541="",$D541=""),"", $E541+$D541)</f>
        <v/>
      </c>
      <c r="H541" s="31">
        <f>IF(OR($A541="",$B541=""),"",SUMIFS(QuickLog!$L$2:$L$1000,QuickLog!$B$2:$B$1000,$B541,QuickLog!$O$2:$O$1000,$A541))</f>
        <v/>
      </c>
      <c r="I541" s="32">
        <f>IF($H541="","",$H541)</f>
        <v/>
      </c>
    </row>
    <row r="542">
      <c r="A542" s="29" t="n"/>
      <c r="B542" s="31" t="n"/>
      <c r="C542" s="31">
        <f>IF(OR($A542="",$B542=""),"",SUMIFS(QuickLog!$K$2:$K$1000,QuickLog!$B$2:$B$1000,$B542,QuickLog!$O$2:$O$1000,$A542,QuickLog!$G$2:$G$1000,"Routine"))</f>
        <v/>
      </c>
      <c r="D542" s="31">
        <f>IF(OR($A542="",$B542=""),"",SUMIFS(QuickLog!$K$2:$K$1000,QuickLog!$B$2:$B$1000,$B542,QuickLog!$O$2:$O$1000,$A542,QuickLog!$G$2:$G$1000,"&lt;&gt;Routine"))</f>
        <v/>
      </c>
      <c r="E542" s="31">
        <f>IF($C542="","",MIN($C542,Settings!$B$2))</f>
        <v/>
      </c>
      <c r="F542" s="31">
        <f>IF($C542="","",MAX(0,$C542-$E542))</f>
        <v/>
      </c>
      <c r="G542" s="31">
        <f>IF(OR($E542="",$D542=""),"", $E542+$D542)</f>
        <v/>
      </c>
      <c r="H542" s="31">
        <f>IF(OR($A542="",$B542=""),"",SUMIFS(QuickLog!$L$2:$L$1000,QuickLog!$B$2:$B$1000,$B542,QuickLog!$O$2:$O$1000,$A542))</f>
        <v/>
      </c>
      <c r="I542" s="32">
        <f>IF($H542="","",$H542)</f>
        <v/>
      </c>
    </row>
    <row r="543">
      <c r="A543" s="29" t="n"/>
      <c r="B543" s="31" t="n"/>
      <c r="C543" s="31">
        <f>IF(OR($A543="",$B543=""),"",SUMIFS(QuickLog!$K$2:$K$1000,QuickLog!$B$2:$B$1000,$B543,QuickLog!$O$2:$O$1000,$A543,QuickLog!$G$2:$G$1000,"Routine"))</f>
        <v/>
      </c>
      <c r="D543" s="31">
        <f>IF(OR($A543="",$B543=""),"",SUMIFS(QuickLog!$K$2:$K$1000,QuickLog!$B$2:$B$1000,$B543,QuickLog!$O$2:$O$1000,$A543,QuickLog!$G$2:$G$1000,"&lt;&gt;Routine"))</f>
        <v/>
      </c>
      <c r="E543" s="31">
        <f>IF($C543="","",MIN($C543,Settings!$B$2))</f>
        <v/>
      </c>
      <c r="F543" s="31">
        <f>IF($C543="","",MAX(0,$C543-$E543))</f>
        <v/>
      </c>
      <c r="G543" s="31">
        <f>IF(OR($E543="",$D543=""),"", $E543+$D543)</f>
        <v/>
      </c>
      <c r="H543" s="31">
        <f>IF(OR($A543="",$B543=""),"",SUMIFS(QuickLog!$L$2:$L$1000,QuickLog!$B$2:$B$1000,$B543,QuickLog!$O$2:$O$1000,$A543))</f>
        <v/>
      </c>
      <c r="I543" s="32">
        <f>IF($H543="","",$H543)</f>
        <v/>
      </c>
    </row>
    <row r="544">
      <c r="A544" s="29" t="n"/>
      <c r="B544" s="31" t="n"/>
      <c r="C544" s="31">
        <f>IF(OR($A544="",$B544=""),"",SUMIFS(QuickLog!$K$2:$K$1000,QuickLog!$B$2:$B$1000,$B544,QuickLog!$O$2:$O$1000,$A544,QuickLog!$G$2:$G$1000,"Routine"))</f>
        <v/>
      </c>
      <c r="D544" s="31">
        <f>IF(OR($A544="",$B544=""),"",SUMIFS(QuickLog!$K$2:$K$1000,QuickLog!$B$2:$B$1000,$B544,QuickLog!$O$2:$O$1000,$A544,QuickLog!$G$2:$G$1000,"&lt;&gt;Routine"))</f>
        <v/>
      </c>
      <c r="E544" s="31">
        <f>IF($C544="","",MIN($C544,Settings!$B$2))</f>
        <v/>
      </c>
      <c r="F544" s="31">
        <f>IF($C544="","",MAX(0,$C544-$E544))</f>
        <v/>
      </c>
      <c r="G544" s="31">
        <f>IF(OR($E544="",$D544=""),"", $E544+$D544)</f>
        <v/>
      </c>
      <c r="H544" s="31">
        <f>IF(OR($A544="",$B544=""),"",SUMIFS(QuickLog!$L$2:$L$1000,QuickLog!$B$2:$B$1000,$B544,QuickLog!$O$2:$O$1000,$A544))</f>
        <v/>
      </c>
      <c r="I544" s="32">
        <f>IF($H544="","",$H544)</f>
        <v/>
      </c>
    </row>
    <row r="545">
      <c r="A545" s="29" t="n"/>
      <c r="B545" s="31" t="n"/>
      <c r="C545" s="31">
        <f>IF(OR($A545="",$B545=""),"",SUMIFS(QuickLog!$K$2:$K$1000,QuickLog!$B$2:$B$1000,$B545,QuickLog!$O$2:$O$1000,$A545,QuickLog!$G$2:$G$1000,"Routine"))</f>
        <v/>
      </c>
      <c r="D545" s="31">
        <f>IF(OR($A545="",$B545=""),"",SUMIFS(QuickLog!$K$2:$K$1000,QuickLog!$B$2:$B$1000,$B545,QuickLog!$O$2:$O$1000,$A545,QuickLog!$G$2:$G$1000,"&lt;&gt;Routine"))</f>
        <v/>
      </c>
      <c r="E545" s="31">
        <f>IF($C545="","",MIN($C545,Settings!$B$2))</f>
        <v/>
      </c>
      <c r="F545" s="31">
        <f>IF($C545="","",MAX(0,$C545-$E545))</f>
        <v/>
      </c>
      <c r="G545" s="31">
        <f>IF(OR($E545="",$D545=""),"", $E545+$D545)</f>
        <v/>
      </c>
      <c r="H545" s="31">
        <f>IF(OR($A545="",$B545=""),"",SUMIFS(QuickLog!$L$2:$L$1000,QuickLog!$B$2:$B$1000,$B545,QuickLog!$O$2:$O$1000,$A545))</f>
        <v/>
      </c>
      <c r="I545" s="32">
        <f>IF($H545="","",$H545)</f>
        <v/>
      </c>
    </row>
    <row r="546">
      <c r="A546" s="29" t="n"/>
      <c r="B546" s="31" t="n"/>
      <c r="C546" s="31">
        <f>IF(OR($A546="",$B546=""),"",SUMIFS(QuickLog!$K$2:$K$1000,QuickLog!$B$2:$B$1000,$B546,QuickLog!$O$2:$O$1000,$A546,QuickLog!$G$2:$G$1000,"Routine"))</f>
        <v/>
      </c>
      <c r="D546" s="31">
        <f>IF(OR($A546="",$B546=""),"",SUMIFS(QuickLog!$K$2:$K$1000,QuickLog!$B$2:$B$1000,$B546,QuickLog!$O$2:$O$1000,$A546,QuickLog!$G$2:$G$1000,"&lt;&gt;Routine"))</f>
        <v/>
      </c>
      <c r="E546" s="31">
        <f>IF($C546="","",MIN($C546,Settings!$B$2))</f>
        <v/>
      </c>
      <c r="F546" s="31">
        <f>IF($C546="","",MAX(0,$C546-$E546))</f>
        <v/>
      </c>
      <c r="G546" s="31">
        <f>IF(OR($E546="",$D546=""),"", $E546+$D546)</f>
        <v/>
      </c>
      <c r="H546" s="31">
        <f>IF(OR($A546="",$B546=""),"",SUMIFS(QuickLog!$L$2:$L$1000,QuickLog!$B$2:$B$1000,$B546,QuickLog!$O$2:$O$1000,$A546))</f>
        <v/>
      </c>
      <c r="I546" s="32">
        <f>IF($H546="","",$H546)</f>
        <v/>
      </c>
    </row>
    <row r="547">
      <c r="A547" s="29" t="n"/>
      <c r="B547" s="31" t="n"/>
      <c r="C547" s="31">
        <f>IF(OR($A547="",$B547=""),"",SUMIFS(QuickLog!$K$2:$K$1000,QuickLog!$B$2:$B$1000,$B547,QuickLog!$O$2:$O$1000,$A547,QuickLog!$G$2:$G$1000,"Routine"))</f>
        <v/>
      </c>
      <c r="D547" s="31">
        <f>IF(OR($A547="",$B547=""),"",SUMIFS(QuickLog!$K$2:$K$1000,QuickLog!$B$2:$B$1000,$B547,QuickLog!$O$2:$O$1000,$A547,QuickLog!$G$2:$G$1000,"&lt;&gt;Routine"))</f>
        <v/>
      </c>
      <c r="E547" s="31">
        <f>IF($C547="","",MIN($C547,Settings!$B$2))</f>
        <v/>
      </c>
      <c r="F547" s="31">
        <f>IF($C547="","",MAX(0,$C547-$E547))</f>
        <v/>
      </c>
      <c r="G547" s="31">
        <f>IF(OR($E547="",$D547=""),"", $E547+$D547)</f>
        <v/>
      </c>
      <c r="H547" s="31">
        <f>IF(OR($A547="",$B547=""),"",SUMIFS(QuickLog!$L$2:$L$1000,QuickLog!$B$2:$B$1000,$B547,QuickLog!$O$2:$O$1000,$A547))</f>
        <v/>
      </c>
      <c r="I547" s="32">
        <f>IF($H547="","",$H547)</f>
        <v/>
      </c>
    </row>
    <row r="548">
      <c r="A548" s="29" t="n"/>
      <c r="B548" s="31" t="n"/>
      <c r="C548" s="31">
        <f>IF(OR($A548="",$B548=""),"",SUMIFS(QuickLog!$K$2:$K$1000,QuickLog!$B$2:$B$1000,$B548,QuickLog!$O$2:$O$1000,$A548,QuickLog!$G$2:$G$1000,"Routine"))</f>
        <v/>
      </c>
      <c r="D548" s="31">
        <f>IF(OR($A548="",$B548=""),"",SUMIFS(QuickLog!$K$2:$K$1000,QuickLog!$B$2:$B$1000,$B548,QuickLog!$O$2:$O$1000,$A548,QuickLog!$G$2:$G$1000,"&lt;&gt;Routine"))</f>
        <v/>
      </c>
      <c r="E548" s="31">
        <f>IF($C548="","",MIN($C548,Settings!$B$2))</f>
        <v/>
      </c>
      <c r="F548" s="31">
        <f>IF($C548="","",MAX(0,$C548-$E548))</f>
        <v/>
      </c>
      <c r="G548" s="31">
        <f>IF(OR($E548="",$D548=""),"", $E548+$D548)</f>
        <v/>
      </c>
      <c r="H548" s="31">
        <f>IF(OR($A548="",$B548=""),"",SUMIFS(QuickLog!$L$2:$L$1000,QuickLog!$B$2:$B$1000,$B548,QuickLog!$O$2:$O$1000,$A548))</f>
        <v/>
      </c>
      <c r="I548" s="32">
        <f>IF($H548="","",$H548)</f>
        <v/>
      </c>
    </row>
    <row r="549">
      <c r="A549" s="29" t="n"/>
      <c r="B549" s="31" t="n"/>
      <c r="C549" s="31">
        <f>IF(OR($A549="",$B549=""),"",SUMIFS(QuickLog!$K$2:$K$1000,QuickLog!$B$2:$B$1000,$B549,QuickLog!$O$2:$O$1000,$A549,QuickLog!$G$2:$G$1000,"Routine"))</f>
        <v/>
      </c>
      <c r="D549" s="31">
        <f>IF(OR($A549="",$B549=""),"",SUMIFS(QuickLog!$K$2:$K$1000,QuickLog!$B$2:$B$1000,$B549,QuickLog!$O$2:$O$1000,$A549,QuickLog!$G$2:$G$1000,"&lt;&gt;Routine"))</f>
        <v/>
      </c>
      <c r="E549" s="31">
        <f>IF($C549="","",MIN($C549,Settings!$B$2))</f>
        <v/>
      </c>
      <c r="F549" s="31">
        <f>IF($C549="","",MAX(0,$C549-$E549))</f>
        <v/>
      </c>
      <c r="G549" s="31">
        <f>IF(OR($E549="",$D549=""),"", $E549+$D549)</f>
        <v/>
      </c>
      <c r="H549" s="31">
        <f>IF(OR($A549="",$B549=""),"",SUMIFS(QuickLog!$L$2:$L$1000,QuickLog!$B$2:$B$1000,$B549,QuickLog!$O$2:$O$1000,$A549))</f>
        <v/>
      </c>
      <c r="I549" s="32">
        <f>IF($H549="","",$H549)</f>
        <v/>
      </c>
    </row>
    <row r="550">
      <c r="A550" s="29" t="n"/>
      <c r="B550" s="31" t="n"/>
      <c r="C550" s="31">
        <f>IF(OR($A550="",$B550=""),"",SUMIFS(QuickLog!$K$2:$K$1000,QuickLog!$B$2:$B$1000,$B550,QuickLog!$O$2:$O$1000,$A550,QuickLog!$G$2:$G$1000,"Routine"))</f>
        <v/>
      </c>
      <c r="D550" s="31">
        <f>IF(OR($A550="",$B550=""),"",SUMIFS(QuickLog!$K$2:$K$1000,QuickLog!$B$2:$B$1000,$B550,QuickLog!$O$2:$O$1000,$A550,QuickLog!$G$2:$G$1000,"&lt;&gt;Routine"))</f>
        <v/>
      </c>
      <c r="E550" s="31">
        <f>IF($C550="","",MIN($C550,Settings!$B$2))</f>
        <v/>
      </c>
      <c r="F550" s="31">
        <f>IF($C550="","",MAX(0,$C550-$E550))</f>
        <v/>
      </c>
      <c r="G550" s="31">
        <f>IF(OR($E550="",$D550=""),"", $E550+$D550)</f>
        <v/>
      </c>
      <c r="H550" s="31">
        <f>IF(OR($A550="",$B550=""),"",SUMIFS(QuickLog!$L$2:$L$1000,QuickLog!$B$2:$B$1000,$B550,QuickLog!$O$2:$O$1000,$A550))</f>
        <v/>
      </c>
      <c r="I550" s="32">
        <f>IF($H550="","",$H550)</f>
        <v/>
      </c>
    </row>
    <row r="551">
      <c r="A551" s="29" t="n"/>
      <c r="B551" s="31" t="n"/>
      <c r="C551" s="31">
        <f>IF(OR($A551="",$B551=""),"",SUMIFS(QuickLog!$K$2:$K$1000,QuickLog!$B$2:$B$1000,$B551,QuickLog!$O$2:$O$1000,$A551,QuickLog!$G$2:$G$1000,"Routine"))</f>
        <v/>
      </c>
      <c r="D551" s="31">
        <f>IF(OR($A551="",$B551=""),"",SUMIFS(QuickLog!$K$2:$K$1000,QuickLog!$B$2:$B$1000,$B551,QuickLog!$O$2:$O$1000,$A551,QuickLog!$G$2:$G$1000,"&lt;&gt;Routine"))</f>
        <v/>
      </c>
      <c r="E551" s="31">
        <f>IF($C551="","",MIN($C551,Settings!$B$2))</f>
        <v/>
      </c>
      <c r="F551" s="31">
        <f>IF($C551="","",MAX(0,$C551-$E551))</f>
        <v/>
      </c>
      <c r="G551" s="31">
        <f>IF(OR($E551="",$D551=""),"", $E551+$D551)</f>
        <v/>
      </c>
      <c r="H551" s="31">
        <f>IF(OR($A551="",$B551=""),"",SUMIFS(QuickLog!$L$2:$L$1000,QuickLog!$B$2:$B$1000,$B551,QuickLog!$O$2:$O$1000,$A551))</f>
        <v/>
      </c>
      <c r="I551" s="32">
        <f>IF($H551="","",$H551)</f>
        <v/>
      </c>
    </row>
    <row r="552">
      <c r="A552" s="29" t="n"/>
      <c r="B552" s="31" t="n"/>
      <c r="C552" s="31">
        <f>IF(OR($A552="",$B552=""),"",SUMIFS(QuickLog!$K$2:$K$1000,QuickLog!$B$2:$B$1000,$B552,QuickLog!$O$2:$O$1000,$A552,QuickLog!$G$2:$G$1000,"Routine"))</f>
        <v/>
      </c>
      <c r="D552" s="31">
        <f>IF(OR($A552="",$B552=""),"",SUMIFS(QuickLog!$K$2:$K$1000,QuickLog!$B$2:$B$1000,$B552,QuickLog!$O$2:$O$1000,$A552,QuickLog!$G$2:$G$1000,"&lt;&gt;Routine"))</f>
        <v/>
      </c>
      <c r="E552" s="31">
        <f>IF($C552="","",MIN($C552,Settings!$B$2))</f>
        <v/>
      </c>
      <c r="F552" s="31">
        <f>IF($C552="","",MAX(0,$C552-$E552))</f>
        <v/>
      </c>
      <c r="G552" s="31">
        <f>IF(OR($E552="",$D552=""),"", $E552+$D552)</f>
        <v/>
      </c>
      <c r="H552" s="31">
        <f>IF(OR($A552="",$B552=""),"",SUMIFS(QuickLog!$L$2:$L$1000,QuickLog!$B$2:$B$1000,$B552,QuickLog!$O$2:$O$1000,$A552))</f>
        <v/>
      </c>
      <c r="I552" s="32">
        <f>IF($H552="","",$H552)</f>
        <v/>
      </c>
    </row>
    <row r="553">
      <c r="A553" s="29" t="n"/>
      <c r="B553" s="31" t="n"/>
      <c r="C553" s="31">
        <f>IF(OR($A553="",$B553=""),"",SUMIFS(QuickLog!$K$2:$K$1000,QuickLog!$B$2:$B$1000,$B553,QuickLog!$O$2:$O$1000,$A553,QuickLog!$G$2:$G$1000,"Routine"))</f>
        <v/>
      </c>
      <c r="D553" s="31">
        <f>IF(OR($A553="",$B553=""),"",SUMIFS(QuickLog!$K$2:$K$1000,QuickLog!$B$2:$B$1000,$B553,QuickLog!$O$2:$O$1000,$A553,QuickLog!$G$2:$G$1000,"&lt;&gt;Routine"))</f>
        <v/>
      </c>
      <c r="E553" s="31">
        <f>IF($C553="","",MIN($C553,Settings!$B$2))</f>
        <v/>
      </c>
      <c r="F553" s="31">
        <f>IF($C553="","",MAX(0,$C553-$E553))</f>
        <v/>
      </c>
      <c r="G553" s="31">
        <f>IF(OR($E553="",$D553=""),"", $E553+$D553)</f>
        <v/>
      </c>
      <c r="H553" s="31">
        <f>IF(OR($A553="",$B553=""),"",SUMIFS(QuickLog!$L$2:$L$1000,QuickLog!$B$2:$B$1000,$B553,QuickLog!$O$2:$O$1000,$A553))</f>
        <v/>
      </c>
      <c r="I553" s="32">
        <f>IF($H553="","",$H553)</f>
        <v/>
      </c>
    </row>
    <row r="554">
      <c r="A554" s="29" t="n"/>
      <c r="B554" s="31" t="n"/>
      <c r="C554" s="31">
        <f>IF(OR($A554="",$B554=""),"",SUMIFS(QuickLog!$K$2:$K$1000,QuickLog!$B$2:$B$1000,$B554,QuickLog!$O$2:$O$1000,$A554,QuickLog!$G$2:$G$1000,"Routine"))</f>
        <v/>
      </c>
      <c r="D554" s="31">
        <f>IF(OR($A554="",$B554=""),"",SUMIFS(QuickLog!$K$2:$K$1000,QuickLog!$B$2:$B$1000,$B554,QuickLog!$O$2:$O$1000,$A554,QuickLog!$G$2:$G$1000,"&lt;&gt;Routine"))</f>
        <v/>
      </c>
      <c r="E554" s="31">
        <f>IF($C554="","",MIN($C554,Settings!$B$2))</f>
        <v/>
      </c>
      <c r="F554" s="31">
        <f>IF($C554="","",MAX(0,$C554-$E554))</f>
        <v/>
      </c>
      <c r="G554" s="31">
        <f>IF(OR($E554="",$D554=""),"", $E554+$D554)</f>
        <v/>
      </c>
      <c r="H554" s="31">
        <f>IF(OR($A554="",$B554=""),"",SUMIFS(QuickLog!$L$2:$L$1000,QuickLog!$B$2:$B$1000,$B554,QuickLog!$O$2:$O$1000,$A554))</f>
        <v/>
      </c>
      <c r="I554" s="32">
        <f>IF($H554="","",$H554)</f>
        <v/>
      </c>
    </row>
    <row r="555">
      <c r="A555" s="29" t="n"/>
      <c r="B555" s="31" t="n"/>
      <c r="C555" s="31">
        <f>IF(OR($A555="",$B555=""),"",SUMIFS(QuickLog!$K$2:$K$1000,QuickLog!$B$2:$B$1000,$B555,QuickLog!$O$2:$O$1000,$A555,QuickLog!$G$2:$G$1000,"Routine"))</f>
        <v/>
      </c>
      <c r="D555" s="31">
        <f>IF(OR($A555="",$B555=""),"",SUMIFS(QuickLog!$K$2:$K$1000,QuickLog!$B$2:$B$1000,$B555,QuickLog!$O$2:$O$1000,$A555,QuickLog!$G$2:$G$1000,"&lt;&gt;Routine"))</f>
        <v/>
      </c>
      <c r="E555" s="31">
        <f>IF($C555="","",MIN($C555,Settings!$B$2))</f>
        <v/>
      </c>
      <c r="F555" s="31">
        <f>IF($C555="","",MAX(0,$C555-$E555))</f>
        <v/>
      </c>
      <c r="G555" s="31">
        <f>IF(OR($E555="",$D555=""),"", $E555+$D555)</f>
        <v/>
      </c>
      <c r="H555" s="31">
        <f>IF(OR($A555="",$B555=""),"",SUMIFS(QuickLog!$L$2:$L$1000,QuickLog!$B$2:$B$1000,$B555,QuickLog!$O$2:$O$1000,$A555))</f>
        <v/>
      </c>
      <c r="I555" s="32">
        <f>IF($H555="","",$H555)</f>
        <v/>
      </c>
    </row>
    <row r="556">
      <c r="A556" s="29" t="n"/>
      <c r="B556" s="31" t="n"/>
      <c r="C556" s="31">
        <f>IF(OR($A556="",$B556=""),"",SUMIFS(QuickLog!$K$2:$K$1000,QuickLog!$B$2:$B$1000,$B556,QuickLog!$O$2:$O$1000,$A556,QuickLog!$G$2:$G$1000,"Routine"))</f>
        <v/>
      </c>
      <c r="D556" s="31">
        <f>IF(OR($A556="",$B556=""),"",SUMIFS(QuickLog!$K$2:$K$1000,QuickLog!$B$2:$B$1000,$B556,QuickLog!$O$2:$O$1000,$A556,QuickLog!$G$2:$G$1000,"&lt;&gt;Routine"))</f>
        <v/>
      </c>
      <c r="E556" s="31">
        <f>IF($C556="","",MIN($C556,Settings!$B$2))</f>
        <v/>
      </c>
      <c r="F556" s="31">
        <f>IF($C556="","",MAX(0,$C556-$E556))</f>
        <v/>
      </c>
      <c r="G556" s="31">
        <f>IF(OR($E556="",$D556=""),"", $E556+$D556)</f>
        <v/>
      </c>
      <c r="H556" s="31">
        <f>IF(OR($A556="",$B556=""),"",SUMIFS(QuickLog!$L$2:$L$1000,QuickLog!$B$2:$B$1000,$B556,QuickLog!$O$2:$O$1000,$A556))</f>
        <v/>
      </c>
      <c r="I556" s="32">
        <f>IF($H556="","",$H556)</f>
        <v/>
      </c>
    </row>
    <row r="557">
      <c r="A557" s="29" t="n"/>
      <c r="B557" s="31" t="n"/>
      <c r="C557" s="31">
        <f>IF(OR($A557="",$B557=""),"",SUMIFS(QuickLog!$K$2:$K$1000,QuickLog!$B$2:$B$1000,$B557,QuickLog!$O$2:$O$1000,$A557,QuickLog!$G$2:$G$1000,"Routine"))</f>
        <v/>
      </c>
      <c r="D557" s="31">
        <f>IF(OR($A557="",$B557=""),"",SUMIFS(QuickLog!$K$2:$K$1000,QuickLog!$B$2:$B$1000,$B557,QuickLog!$O$2:$O$1000,$A557,QuickLog!$G$2:$G$1000,"&lt;&gt;Routine"))</f>
        <v/>
      </c>
      <c r="E557" s="31">
        <f>IF($C557="","",MIN($C557,Settings!$B$2))</f>
        <v/>
      </c>
      <c r="F557" s="31">
        <f>IF($C557="","",MAX(0,$C557-$E557))</f>
        <v/>
      </c>
      <c r="G557" s="31">
        <f>IF(OR($E557="",$D557=""),"", $E557+$D557)</f>
        <v/>
      </c>
      <c r="H557" s="31">
        <f>IF(OR($A557="",$B557=""),"",SUMIFS(QuickLog!$L$2:$L$1000,QuickLog!$B$2:$B$1000,$B557,QuickLog!$O$2:$O$1000,$A557))</f>
        <v/>
      </c>
      <c r="I557" s="32">
        <f>IF($H557="","",$H557)</f>
        <v/>
      </c>
    </row>
    <row r="558">
      <c r="A558" s="29" t="n"/>
      <c r="B558" s="31" t="n"/>
      <c r="C558" s="31">
        <f>IF(OR($A558="",$B558=""),"",SUMIFS(QuickLog!$K$2:$K$1000,QuickLog!$B$2:$B$1000,$B558,QuickLog!$O$2:$O$1000,$A558,QuickLog!$G$2:$G$1000,"Routine"))</f>
        <v/>
      </c>
      <c r="D558" s="31">
        <f>IF(OR($A558="",$B558=""),"",SUMIFS(QuickLog!$K$2:$K$1000,QuickLog!$B$2:$B$1000,$B558,QuickLog!$O$2:$O$1000,$A558,QuickLog!$G$2:$G$1000,"&lt;&gt;Routine"))</f>
        <v/>
      </c>
      <c r="E558" s="31">
        <f>IF($C558="","",MIN($C558,Settings!$B$2))</f>
        <v/>
      </c>
      <c r="F558" s="31">
        <f>IF($C558="","",MAX(0,$C558-$E558))</f>
        <v/>
      </c>
      <c r="G558" s="31">
        <f>IF(OR($E558="",$D558=""),"", $E558+$D558)</f>
        <v/>
      </c>
      <c r="H558" s="31">
        <f>IF(OR($A558="",$B558=""),"",SUMIFS(QuickLog!$L$2:$L$1000,QuickLog!$B$2:$B$1000,$B558,QuickLog!$O$2:$O$1000,$A558))</f>
        <v/>
      </c>
      <c r="I558" s="32">
        <f>IF($H558="","",$H558)</f>
        <v/>
      </c>
    </row>
    <row r="559">
      <c r="A559" s="29" t="n"/>
      <c r="B559" s="31" t="n"/>
      <c r="C559" s="31">
        <f>IF(OR($A559="",$B559=""),"",SUMIFS(QuickLog!$K$2:$K$1000,QuickLog!$B$2:$B$1000,$B559,QuickLog!$O$2:$O$1000,$A559,QuickLog!$G$2:$G$1000,"Routine"))</f>
        <v/>
      </c>
      <c r="D559" s="31">
        <f>IF(OR($A559="",$B559=""),"",SUMIFS(QuickLog!$K$2:$K$1000,QuickLog!$B$2:$B$1000,$B559,QuickLog!$O$2:$O$1000,$A559,QuickLog!$G$2:$G$1000,"&lt;&gt;Routine"))</f>
        <v/>
      </c>
      <c r="E559" s="31">
        <f>IF($C559="","",MIN($C559,Settings!$B$2))</f>
        <v/>
      </c>
      <c r="F559" s="31">
        <f>IF($C559="","",MAX(0,$C559-$E559))</f>
        <v/>
      </c>
      <c r="G559" s="31">
        <f>IF(OR($E559="",$D559=""),"", $E559+$D559)</f>
        <v/>
      </c>
      <c r="H559" s="31">
        <f>IF(OR($A559="",$B559=""),"",SUMIFS(QuickLog!$L$2:$L$1000,QuickLog!$B$2:$B$1000,$B559,QuickLog!$O$2:$O$1000,$A559))</f>
        <v/>
      </c>
      <c r="I559" s="32">
        <f>IF($H559="","",$H559)</f>
        <v/>
      </c>
    </row>
    <row r="560">
      <c r="A560" s="29" t="n"/>
      <c r="B560" s="31" t="n"/>
      <c r="C560" s="31">
        <f>IF(OR($A560="",$B560=""),"",SUMIFS(QuickLog!$K$2:$K$1000,QuickLog!$B$2:$B$1000,$B560,QuickLog!$O$2:$O$1000,$A560,QuickLog!$G$2:$G$1000,"Routine"))</f>
        <v/>
      </c>
      <c r="D560" s="31">
        <f>IF(OR($A560="",$B560=""),"",SUMIFS(QuickLog!$K$2:$K$1000,QuickLog!$B$2:$B$1000,$B560,QuickLog!$O$2:$O$1000,$A560,QuickLog!$G$2:$G$1000,"&lt;&gt;Routine"))</f>
        <v/>
      </c>
      <c r="E560" s="31">
        <f>IF($C560="","",MIN($C560,Settings!$B$2))</f>
        <v/>
      </c>
      <c r="F560" s="31">
        <f>IF($C560="","",MAX(0,$C560-$E560))</f>
        <v/>
      </c>
      <c r="G560" s="31">
        <f>IF(OR($E560="",$D560=""),"", $E560+$D560)</f>
        <v/>
      </c>
      <c r="H560" s="31">
        <f>IF(OR($A560="",$B560=""),"",SUMIFS(QuickLog!$L$2:$L$1000,QuickLog!$B$2:$B$1000,$B560,QuickLog!$O$2:$O$1000,$A560))</f>
        <v/>
      </c>
      <c r="I560" s="32">
        <f>IF($H560="","",$H560)</f>
        <v/>
      </c>
    </row>
    <row r="561">
      <c r="A561" s="29" t="n"/>
      <c r="B561" s="31" t="n"/>
      <c r="C561" s="31">
        <f>IF(OR($A561="",$B561=""),"",SUMIFS(QuickLog!$K$2:$K$1000,QuickLog!$B$2:$B$1000,$B561,QuickLog!$O$2:$O$1000,$A561,QuickLog!$G$2:$G$1000,"Routine"))</f>
        <v/>
      </c>
      <c r="D561" s="31">
        <f>IF(OR($A561="",$B561=""),"",SUMIFS(QuickLog!$K$2:$K$1000,QuickLog!$B$2:$B$1000,$B561,QuickLog!$O$2:$O$1000,$A561,QuickLog!$G$2:$G$1000,"&lt;&gt;Routine"))</f>
        <v/>
      </c>
      <c r="E561" s="31">
        <f>IF($C561="","",MIN($C561,Settings!$B$2))</f>
        <v/>
      </c>
      <c r="F561" s="31">
        <f>IF($C561="","",MAX(0,$C561-$E561))</f>
        <v/>
      </c>
      <c r="G561" s="31">
        <f>IF(OR($E561="",$D561=""),"", $E561+$D561)</f>
        <v/>
      </c>
      <c r="H561" s="31">
        <f>IF(OR($A561="",$B561=""),"",SUMIFS(QuickLog!$L$2:$L$1000,QuickLog!$B$2:$B$1000,$B561,QuickLog!$O$2:$O$1000,$A561))</f>
        <v/>
      </c>
      <c r="I561" s="32">
        <f>IF($H561="","",$H561)</f>
        <v/>
      </c>
    </row>
    <row r="562">
      <c r="A562" s="29" t="n"/>
      <c r="B562" s="31" t="n"/>
      <c r="C562" s="31">
        <f>IF(OR($A562="",$B562=""),"",SUMIFS(QuickLog!$K$2:$K$1000,QuickLog!$B$2:$B$1000,$B562,QuickLog!$O$2:$O$1000,$A562,QuickLog!$G$2:$G$1000,"Routine"))</f>
        <v/>
      </c>
      <c r="D562" s="31">
        <f>IF(OR($A562="",$B562=""),"",SUMIFS(QuickLog!$K$2:$K$1000,QuickLog!$B$2:$B$1000,$B562,QuickLog!$O$2:$O$1000,$A562,QuickLog!$G$2:$G$1000,"&lt;&gt;Routine"))</f>
        <v/>
      </c>
      <c r="E562" s="31">
        <f>IF($C562="","",MIN($C562,Settings!$B$2))</f>
        <v/>
      </c>
      <c r="F562" s="31">
        <f>IF($C562="","",MAX(0,$C562-$E562))</f>
        <v/>
      </c>
      <c r="G562" s="31">
        <f>IF(OR($E562="",$D562=""),"", $E562+$D562)</f>
        <v/>
      </c>
      <c r="H562" s="31">
        <f>IF(OR($A562="",$B562=""),"",SUMIFS(QuickLog!$L$2:$L$1000,QuickLog!$B$2:$B$1000,$B562,QuickLog!$O$2:$O$1000,$A562))</f>
        <v/>
      </c>
      <c r="I562" s="32">
        <f>IF($H562="","",$H562)</f>
        <v/>
      </c>
    </row>
    <row r="563">
      <c r="A563" s="29" t="n"/>
      <c r="B563" s="31" t="n"/>
      <c r="C563" s="31">
        <f>IF(OR($A563="",$B563=""),"",SUMIFS(QuickLog!$K$2:$K$1000,QuickLog!$B$2:$B$1000,$B563,QuickLog!$O$2:$O$1000,$A563,QuickLog!$G$2:$G$1000,"Routine"))</f>
        <v/>
      </c>
      <c r="D563" s="31">
        <f>IF(OR($A563="",$B563=""),"",SUMIFS(QuickLog!$K$2:$K$1000,QuickLog!$B$2:$B$1000,$B563,QuickLog!$O$2:$O$1000,$A563,QuickLog!$G$2:$G$1000,"&lt;&gt;Routine"))</f>
        <v/>
      </c>
      <c r="E563" s="31">
        <f>IF($C563="","",MIN($C563,Settings!$B$2))</f>
        <v/>
      </c>
      <c r="F563" s="31">
        <f>IF($C563="","",MAX(0,$C563-$E563))</f>
        <v/>
      </c>
      <c r="G563" s="31">
        <f>IF(OR($E563="",$D563=""),"", $E563+$D563)</f>
        <v/>
      </c>
      <c r="H563" s="31">
        <f>IF(OR($A563="",$B563=""),"",SUMIFS(QuickLog!$L$2:$L$1000,QuickLog!$B$2:$B$1000,$B563,QuickLog!$O$2:$O$1000,$A563))</f>
        <v/>
      </c>
      <c r="I563" s="32">
        <f>IF($H563="","",$H563)</f>
        <v/>
      </c>
    </row>
    <row r="564">
      <c r="A564" s="29" t="n"/>
      <c r="B564" s="31" t="n"/>
      <c r="C564" s="31">
        <f>IF(OR($A564="",$B564=""),"",SUMIFS(QuickLog!$K$2:$K$1000,QuickLog!$B$2:$B$1000,$B564,QuickLog!$O$2:$O$1000,$A564,QuickLog!$G$2:$G$1000,"Routine"))</f>
        <v/>
      </c>
      <c r="D564" s="31">
        <f>IF(OR($A564="",$B564=""),"",SUMIFS(QuickLog!$K$2:$K$1000,QuickLog!$B$2:$B$1000,$B564,QuickLog!$O$2:$O$1000,$A564,QuickLog!$G$2:$G$1000,"&lt;&gt;Routine"))</f>
        <v/>
      </c>
      <c r="E564" s="31">
        <f>IF($C564="","",MIN($C564,Settings!$B$2))</f>
        <v/>
      </c>
      <c r="F564" s="31">
        <f>IF($C564="","",MAX(0,$C564-$E564))</f>
        <v/>
      </c>
      <c r="G564" s="31">
        <f>IF(OR($E564="",$D564=""),"", $E564+$D564)</f>
        <v/>
      </c>
      <c r="H564" s="31">
        <f>IF(OR($A564="",$B564=""),"",SUMIFS(QuickLog!$L$2:$L$1000,QuickLog!$B$2:$B$1000,$B564,QuickLog!$O$2:$O$1000,$A564))</f>
        <v/>
      </c>
      <c r="I564" s="32">
        <f>IF($H564="","",$H564)</f>
        <v/>
      </c>
    </row>
    <row r="565">
      <c r="A565" s="29" t="n"/>
      <c r="B565" s="31" t="n"/>
      <c r="C565" s="31">
        <f>IF(OR($A565="",$B565=""),"",SUMIFS(QuickLog!$K$2:$K$1000,QuickLog!$B$2:$B$1000,$B565,QuickLog!$O$2:$O$1000,$A565,QuickLog!$G$2:$G$1000,"Routine"))</f>
        <v/>
      </c>
      <c r="D565" s="31">
        <f>IF(OR($A565="",$B565=""),"",SUMIFS(QuickLog!$K$2:$K$1000,QuickLog!$B$2:$B$1000,$B565,QuickLog!$O$2:$O$1000,$A565,QuickLog!$G$2:$G$1000,"&lt;&gt;Routine"))</f>
        <v/>
      </c>
      <c r="E565" s="31">
        <f>IF($C565="","",MIN($C565,Settings!$B$2))</f>
        <v/>
      </c>
      <c r="F565" s="31">
        <f>IF($C565="","",MAX(0,$C565-$E565))</f>
        <v/>
      </c>
      <c r="G565" s="31">
        <f>IF(OR($E565="",$D565=""),"", $E565+$D565)</f>
        <v/>
      </c>
      <c r="H565" s="31">
        <f>IF(OR($A565="",$B565=""),"",SUMIFS(QuickLog!$L$2:$L$1000,QuickLog!$B$2:$B$1000,$B565,QuickLog!$O$2:$O$1000,$A565))</f>
        <v/>
      </c>
      <c r="I565" s="32">
        <f>IF($H565="","",$H565)</f>
        <v/>
      </c>
    </row>
    <row r="566">
      <c r="A566" s="29" t="n"/>
      <c r="B566" s="31" t="n"/>
      <c r="C566" s="31">
        <f>IF(OR($A566="",$B566=""),"",SUMIFS(QuickLog!$K$2:$K$1000,QuickLog!$B$2:$B$1000,$B566,QuickLog!$O$2:$O$1000,$A566,QuickLog!$G$2:$G$1000,"Routine"))</f>
        <v/>
      </c>
      <c r="D566" s="31">
        <f>IF(OR($A566="",$B566=""),"",SUMIFS(QuickLog!$K$2:$K$1000,QuickLog!$B$2:$B$1000,$B566,QuickLog!$O$2:$O$1000,$A566,QuickLog!$G$2:$G$1000,"&lt;&gt;Routine"))</f>
        <v/>
      </c>
      <c r="E566" s="31">
        <f>IF($C566="","",MIN($C566,Settings!$B$2))</f>
        <v/>
      </c>
      <c r="F566" s="31">
        <f>IF($C566="","",MAX(0,$C566-$E566))</f>
        <v/>
      </c>
      <c r="G566" s="31">
        <f>IF(OR($E566="",$D566=""),"", $E566+$D566)</f>
        <v/>
      </c>
      <c r="H566" s="31">
        <f>IF(OR($A566="",$B566=""),"",SUMIFS(QuickLog!$L$2:$L$1000,QuickLog!$B$2:$B$1000,$B566,QuickLog!$O$2:$O$1000,$A566))</f>
        <v/>
      </c>
      <c r="I566" s="32">
        <f>IF($H566="","",$H566)</f>
        <v/>
      </c>
    </row>
    <row r="567">
      <c r="A567" s="29" t="n"/>
      <c r="B567" s="31" t="n"/>
      <c r="C567" s="31">
        <f>IF(OR($A567="",$B567=""),"",SUMIFS(QuickLog!$K$2:$K$1000,QuickLog!$B$2:$B$1000,$B567,QuickLog!$O$2:$O$1000,$A567,QuickLog!$G$2:$G$1000,"Routine"))</f>
        <v/>
      </c>
      <c r="D567" s="31">
        <f>IF(OR($A567="",$B567=""),"",SUMIFS(QuickLog!$K$2:$K$1000,QuickLog!$B$2:$B$1000,$B567,QuickLog!$O$2:$O$1000,$A567,QuickLog!$G$2:$G$1000,"&lt;&gt;Routine"))</f>
        <v/>
      </c>
      <c r="E567" s="31">
        <f>IF($C567="","",MIN($C567,Settings!$B$2))</f>
        <v/>
      </c>
      <c r="F567" s="31">
        <f>IF($C567="","",MAX(0,$C567-$E567))</f>
        <v/>
      </c>
      <c r="G567" s="31">
        <f>IF(OR($E567="",$D567=""),"", $E567+$D567)</f>
        <v/>
      </c>
      <c r="H567" s="31">
        <f>IF(OR($A567="",$B567=""),"",SUMIFS(QuickLog!$L$2:$L$1000,QuickLog!$B$2:$B$1000,$B567,QuickLog!$O$2:$O$1000,$A567))</f>
        <v/>
      </c>
      <c r="I567" s="32">
        <f>IF($H567="","",$H567)</f>
        <v/>
      </c>
    </row>
    <row r="568">
      <c r="A568" s="29" t="n"/>
      <c r="B568" s="31" t="n"/>
      <c r="C568" s="31">
        <f>IF(OR($A568="",$B568=""),"",SUMIFS(QuickLog!$K$2:$K$1000,QuickLog!$B$2:$B$1000,$B568,QuickLog!$O$2:$O$1000,$A568,QuickLog!$G$2:$G$1000,"Routine"))</f>
        <v/>
      </c>
      <c r="D568" s="31">
        <f>IF(OR($A568="",$B568=""),"",SUMIFS(QuickLog!$K$2:$K$1000,QuickLog!$B$2:$B$1000,$B568,QuickLog!$O$2:$O$1000,$A568,QuickLog!$G$2:$G$1000,"&lt;&gt;Routine"))</f>
        <v/>
      </c>
      <c r="E568" s="31">
        <f>IF($C568="","",MIN($C568,Settings!$B$2))</f>
        <v/>
      </c>
      <c r="F568" s="31">
        <f>IF($C568="","",MAX(0,$C568-$E568))</f>
        <v/>
      </c>
      <c r="G568" s="31">
        <f>IF(OR($E568="",$D568=""),"", $E568+$D568)</f>
        <v/>
      </c>
      <c r="H568" s="31">
        <f>IF(OR($A568="",$B568=""),"",SUMIFS(QuickLog!$L$2:$L$1000,QuickLog!$B$2:$B$1000,$B568,QuickLog!$O$2:$O$1000,$A568))</f>
        <v/>
      </c>
      <c r="I568" s="32">
        <f>IF($H568="","",$H568)</f>
        <v/>
      </c>
    </row>
    <row r="569">
      <c r="A569" s="29" t="n"/>
      <c r="B569" s="31" t="n"/>
      <c r="C569" s="31">
        <f>IF(OR($A569="",$B569=""),"",SUMIFS(QuickLog!$K$2:$K$1000,QuickLog!$B$2:$B$1000,$B569,QuickLog!$O$2:$O$1000,$A569,QuickLog!$G$2:$G$1000,"Routine"))</f>
        <v/>
      </c>
      <c r="D569" s="31">
        <f>IF(OR($A569="",$B569=""),"",SUMIFS(QuickLog!$K$2:$K$1000,QuickLog!$B$2:$B$1000,$B569,QuickLog!$O$2:$O$1000,$A569,QuickLog!$G$2:$G$1000,"&lt;&gt;Routine"))</f>
        <v/>
      </c>
      <c r="E569" s="31">
        <f>IF($C569="","",MIN($C569,Settings!$B$2))</f>
        <v/>
      </c>
      <c r="F569" s="31">
        <f>IF($C569="","",MAX(0,$C569-$E569))</f>
        <v/>
      </c>
      <c r="G569" s="31">
        <f>IF(OR($E569="",$D569=""),"", $E569+$D569)</f>
        <v/>
      </c>
      <c r="H569" s="31">
        <f>IF(OR($A569="",$B569=""),"",SUMIFS(QuickLog!$L$2:$L$1000,QuickLog!$B$2:$B$1000,$B569,QuickLog!$O$2:$O$1000,$A569))</f>
        <v/>
      </c>
      <c r="I569" s="32">
        <f>IF($H569="","",$H569)</f>
        <v/>
      </c>
    </row>
    <row r="570">
      <c r="A570" s="29" t="n"/>
      <c r="B570" s="31" t="n"/>
      <c r="C570" s="31">
        <f>IF(OR($A570="",$B570=""),"",SUMIFS(QuickLog!$K$2:$K$1000,QuickLog!$B$2:$B$1000,$B570,QuickLog!$O$2:$O$1000,$A570,QuickLog!$G$2:$G$1000,"Routine"))</f>
        <v/>
      </c>
      <c r="D570" s="31">
        <f>IF(OR($A570="",$B570=""),"",SUMIFS(QuickLog!$K$2:$K$1000,QuickLog!$B$2:$B$1000,$B570,QuickLog!$O$2:$O$1000,$A570,QuickLog!$G$2:$G$1000,"&lt;&gt;Routine"))</f>
        <v/>
      </c>
      <c r="E570" s="31">
        <f>IF($C570="","",MIN($C570,Settings!$B$2))</f>
        <v/>
      </c>
      <c r="F570" s="31">
        <f>IF($C570="","",MAX(0,$C570-$E570))</f>
        <v/>
      </c>
      <c r="G570" s="31">
        <f>IF(OR($E570="",$D570=""),"", $E570+$D570)</f>
        <v/>
      </c>
      <c r="H570" s="31">
        <f>IF(OR($A570="",$B570=""),"",SUMIFS(QuickLog!$L$2:$L$1000,QuickLog!$B$2:$B$1000,$B570,QuickLog!$O$2:$O$1000,$A570))</f>
        <v/>
      </c>
      <c r="I570" s="32">
        <f>IF($H570="","",$H570)</f>
        <v/>
      </c>
    </row>
    <row r="571">
      <c r="A571" s="29" t="n"/>
      <c r="B571" s="31" t="n"/>
      <c r="C571" s="31">
        <f>IF(OR($A571="",$B571=""),"",SUMIFS(QuickLog!$K$2:$K$1000,QuickLog!$B$2:$B$1000,$B571,QuickLog!$O$2:$O$1000,$A571,QuickLog!$G$2:$G$1000,"Routine"))</f>
        <v/>
      </c>
      <c r="D571" s="31">
        <f>IF(OR($A571="",$B571=""),"",SUMIFS(QuickLog!$K$2:$K$1000,QuickLog!$B$2:$B$1000,$B571,QuickLog!$O$2:$O$1000,$A571,QuickLog!$G$2:$G$1000,"&lt;&gt;Routine"))</f>
        <v/>
      </c>
      <c r="E571" s="31">
        <f>IF($C571="","",MIN($C571,Settings!$B$2))</f>
        <v/>
      </c>
      <c r="F571" s="31">
        <f>IF($C571="","",MAX(0,$C571-$E571))</f>
        <v/>
      </c>
      <c r="G571" s="31">
        <f>IF(OR($E571="",$D571=""),"", $E571+$D571)</f>
        <v/>
      </c>
      <c r="H571" s="31">
        <f>IF(OR($A571="",$B571=""),"",SUMIFS(QuickLog!$L$2:$L$1000,QuickLog!$B$2:$B$1000,$B571,QuickLog!$O$2:$O$1000,$A571))</f>
        <v/>
      </c>
      <c r="I571" s="32">
        <f>IF($H571="","",$H571)</f>
        <v/>
      </c>
    </row>
    <row r="572">
      <c r="A572" s="29" t="n"/>
      <c r="B572" s="31" t="n"/>
      <c r="C572" s="31">
        <f>IF(OR($A572="",$B572=""),"",SUMIFS(QuickLog!$K$2:$K$1000,QuickLog!$B$2:$B$1000,$B572,QuickLog!$O$2:$O$1000,$A572,QuickLog!$G$2:$G$1000,"Routine"))</f>
        <v/>
      </c>
      <c r="D572" s="31">
        <f>IF(OR($A572="",$B572=""),"",SUMIFS(QuickLog!$K$2:$K$1000,QuickLog!$B$2:$B$1000,$B572,QuickLog!$O$2:$O$1000,$A572,QuickLog!$G$2:$G$1000,"&lt;&gt;Routine"))</f>
        <v/>
      </c>
      <c r="E572" s="31">
        <f>IF($C572="","",MIN($C572,Settings!$B$2))</f>
        <v/>
      </c>
      <c r="F572" s="31">
        <f>IF($C572="","",MAX(0,$C572-$E572))</f>
        <v/>
      </c>
      <c r="G572" s="31">
        <f>IF(OR($E572="",$D572=""),"", $E572+$D572)</f>
        <v/>
      </c>
      <c r="H572" s="31">
        <f>IF(OR($A572="",$B572=""),"",SUMIFS(QuickLog!$L$2:$L$1000,QuickLog!$B$2:$B$1000,$B572,QuickLog!$O$2:$O$1000,$A572))</f>
        <v/>
      </c>
      <c r="I572" s="32">
        <f>IF($H572="","",$H572)</f>
        <v/>
      </c>
    </row>
    <row r="573">
      <c r="A573" s="29" t="n"/>
      <c r="B573" s="31" t="n"/>
      <c r="C573" s="31">
        <f>IF(OR($A573="",$B573=""),"",SUMIFS(QuickLog!$K$2:$K$1000,QuickLog!$B$2:$B$1000,$B573,QuickLog!$O$2:$O$1000,$A573,QuickLog!$G$2:$G$1000,"Routine"))</f>
        <v/>
      </c>
      <c r="D573" s="31">
        <f>IF(OR($A573="",$B573=""),"",SUMIFS(QuickLog!$K$2:$K$1000,QuickLog!$B$2:$B$1000,$B573,QuickLog!$O$2:$O$1000,$A573,QuickLog!$G$2:$G$1000,"&lt;&gt;Routine"))</f>
        <v/>
      </c>
      <c r="E573" s="31">
        <f>IF($C573="","",MIN($C573,Settings!$B$2))</f>
        <v/>
      </c>
      <c r="F573" s="31">
        <f>IF($C573="","",MAX(0,$C573-$E573))</f>
        <v/>
      </c>
      <c r="G573" s="31">
        <f>IF(OR($E573="",$D573=""),"", $E573+$D573)</f>
        <v/>
      </c>
      <c r="H573" s="31">
        <f>IF(OR($A573="",$B573=""),"",SUMIFS(QuickLog!$L$2:$L$1000,QuickLog!$B$2:$B$1000,$B573,QuickLog!$O$2:$O$1000,$A573))</f>
        <v/>
      </c>
      <c r="I573" s="32">
        <f>IF($H573="","",$H573)</f>
        <v/>
      </c>
    </row>
    <row r="574">
      <c r="A574" s="29" t="n"/>
      <c r="B574" s="31" t="n"/>
      <c r="C574" s="31">
        <f>IF(OR($A574="",$B574=""),"",SUMIFS(QuickLog!$K$2:$K$1000,QuickLog!$B$2:$B$1000,$B574,QuickLog!$O$2:$O$1000,$A574,QuickLog!$G$2:$G$1000,"Routine"))</f>
        <v/>
      </c>
      <c r="D574" s="31">
        <f>IF(OR($A574="",$B574=""),"",SUMIFS(QuickLog!$K$2:$K$1000,QuickLog!$B$2:$B$1000,$B574,QuickLog!$O$2:$O$1000,$A574,QuickLog!$G$2:$G$1000,"&lt;&gt;Routine"))</f>
        <v/>
      </c>
      <c r="E574" s="31">
        <f>IF($C574="","",MIN($C574,Settings!$B$2))</f>
        <v/>
      </c>
      <c r="F574" s="31">
        <f>IF($C574="","",MAX(0,$C574-$E574))</f>
        <v/>
      </c>
      <c r="G574" s="31">
        <f>IF(OR($E574="",$D574=""),"", $E574+$D574)</f>
        <v/>
      </c>
      <c r="H574" s="31">
        <f>IF(OR($A574="",$B574=""),"",SUMIFS(QuickLog!$L$2:$L$1000,QuickLog!$B$2:$B$1000,$B574,QuickLog!$O$2:$O$1000,$A574))</f>
        <v/>
      </c>
      <c r="I574" s="32">
        <f>IF($H574="","",$H574)</f>
        <v/>
      </c>
    </row>
    <row r="575">
      <c r="A575" s="29" t="n"/>
      <c r="B575" s="31" t="n"/>
      <c r="C575" s="31">
        <f>IF(OR($A575="",$B575=""),"",SUMIFS(QuickLog!$K$2:$K$1000,QuickLog!$B$2:$B$1000,$B575,QuickLog!$O$2:$O$1000,$A575,QuickLog!$G$2:$G$1000,"Routine"))</f>
        <v/>
      </c>
      <c r="D575" s="31">
        <f>IF(OR($A575="",$B575=""),"",SUMIFS(QuickLog!$K$2:$K$1000,QuickLog!$B$2:$B$1000,$B575,QuickLog!$O$2:$O$1000,$A575,QuickLog!$G$2:$G$1000,"&lt;&gt;Routine"))</f>
        <v/>
      </c>
      <c r="E575" s="31">
        <f>IF($C575="","",MIN($C575,Settings!$B$2))</f>
        <v/>
      </c>
      <c r="F575" s="31">
        <f>IF($C575="","",MAX(0,$C575-$E575))</f>
        <v/>
      </c>
      <c r="G575" s="31">
        <f>IF(OR($E575="",$D575=""),"", $E575+$D575)</f>
        <v/>
      </c>
      <c r="H575" s="31">
        <f>IF(OR($A575="",$B575=""),"",SUMIFS(QuickLog!$L$2:$L$1000,QuickLog!$B$2:$B$1000,$B575,QuickLog!$O$2:$O$1000,$A575))</f>
        <v/>
      </c>
      <c r="I575" s="32">
        <f>IF($H575="","",$H575)</f>
        <v/>
      </c>
    </row>
    <row r="576">
      <c r="A576" s="29" t="n"/>
      <c r="B576" s="31" t="n"/>
      <c r="C576" s="31">
        <f>IF(OR($A576="",$B576=""),"",SUMIFS(QuickLog!$K$2:$K$1000,QuickLog!$B$2:$B$1000,$B576,QuickLog!$O$2:$O$1000,$A576,QuickLog!$G$2:$G$1000,"Routine"))</f>
        <v/>
      </c>
      <c r="D576" s="31">
        <f>IF(OR($A576="",$B576=""),"",SUMIFS(QuickLog!$K$2:$K$1000,QuickLog!$B$2:$B$1000,$B576,QuickLog!$O$2:$O$1000,$A576,QuickLog!$G$2:$G$1000,"&lt;&gt;Routine"))</f>
        <v/>
      </c>
      <c r="E576" s="31">
        <f>IF($C576="","",MIN($C576,Settings!$B$2))</f>
        <v/>
      </c>
      <c r="F576" s="31">
        <f>IF($C576="","",MAX(0,$C576-$E576))</f>
        <v/>
      </c>
      <c r="G576" s="31">
        <f>IF(OR($E576="",$D576=""),"", $E576+$D576)</f>
        <v/>
      </c>
      <c r="H576" s="31">
        <f>IF(OR($A576="",$B576=""),"",SUMIFS(QuickLog!$L$2:$L$1000,QuickLog!$B$2:$B$1000,$B576,QuickLog!$O$2:$O$1000,$A576))</f>
        <v/>
      </c>
      <c r="I576" s="32">
        <f>IF($H576="","",$H576)</f>
        <v/>
      </c>
    </row>
    <row r="577">
      <c r="A577" s="29" t="n"/>
      <c r="B577" s="31" t="n"/>
      <c r="C577" s="31">
        <f>IF(OR($A577="",$B577=""),"",SUMIFS(QuickLog!$K$2:$K$1000,QuickLog!$B$2:$B$1000,$B577,QuickLog!$O$2:$O$1000,$A577,QuickLog!$G$2:$G$1000,"Routine"))</f>
        <v/>
      </c>
      <c r="D577" s="31">
        <f>IF(OR($A577="",$B577=""),"",SUMIFS(QuickLog!$K$2:$K$1000,QuickLog!$B$2:$B$1000,$B577,QuickLog!$O$2:$O$1000,$A577,QuickLog!$G$2:$G$1000,"&lt;&gt;Routine"))</f>
        <v/>
      </c>
      <c r="E577" s="31">
        <f>IF($C577="","",MIN($C577,Settings!$B$2))</f>
        <v/>
      </c>
      <c r="F577" s="31">
        <f>IF($C577="","",MAX(0,$C577-$E577))</f>
        <v/>
      </c>
      <c r="G577" s="31">
        <f>IF(OR($E577="",$D577=""),"", $E577+$D577)</f>
        <v/>
      </c>
      <c r="H577" s="31">
        <f>IF(OR($A577="",$B577=""),"",SUMIFS(QuickLog!$L$2:$L$1000,QuickLog!$B$2:$B$1000,$B577,QuickLog!$O$2:$O$1000,$A577))</f>
        <v/>
      </c>
      <c r="I577" s="32">
        <f>IF($H577="","",$H577)</f>
        <v/>
      </c>
    </row>
    <row r="578">
      <c r="A578" s="29" t="n"/>
      <c r="B578" s="31" t="n"/>
      <c r="C578" s="31">
        <f>IF(OR($A578="",$B578=""),"",SUMIFS(QuickLog!$K$2:$K$1000,QuickLog!$B$2:$B$1000,$B578,QuickLog!$O$2:$O$1000,$A578,QuickLog!$G$2:$G$1000,"Routine"))</f>
        <v/>
      </c>
      <c r="D578" s="31">
        <f>IF(OR($A578="",$B578=""),"",SUMIFS(QuickLog!$K$2:$K$1000,QuickLog!$B$2:$B$1000,$B578,QuickLog!$O$2:$O$1000,$A578,QuickLog!$G$2:$G$1000,"&lt;&gt;Routine"))</f>
        <v/>
      </c>
      <c r="E578" s="31">
        <f>IF($C578="","",MIN($C578,Settings!$B$2))</f>
        <v/>
      </c>
      <c r="F578" s="31">
        <f>IF($C578="","",MAX(0,$C578-$E578))</f>
        <v/>
      </c>
      <c r="G578" s="31">
        <f>IF(OR($E578="",$D578=""),"", $E578+$D578)</f>
        <v/>
      </c>
      <c r="H578" s="31">
        <f>IF(OR($A578="",$B578=""),"",SUMIFS(QuickLog!$L$2:$L$1000,QuickLog!$B$2:$B$1000,$B578,QuickLog!$O$2:$O$1000,$A578))</f>
        <v/>
      </c>
      <c r="I578" s="32">
        <f>IF($H578="","",$H578)</f>
        <v/>
      </c>
    </row>
    <row r="579">
      <c r="A579" s="29" t="n"/>
      <c r="B579" s="31" t="n"/>
      <c r="C579" s="31">
        <f>IF(OR($A579="",$B579=""),"",SUMIFS(QuickLog!$K$2:$K$1000,QuickLog!$B$2:$B$1000,$B579,QuickLog!$O$2:$O$1000,$A579,QuickLog!$G$2:$G$1000,"Routine"))</f>
        <v/>
      </c>
      <c r="D579" s="31">
        <f>IF(OR($A579="",$B579=""),"",SUMIFS(QuickLog!$K$2:$K$1000,QuickLog!$B$2:$B$1000,$B579,QuickLog!$O$2:$O$1000,$A579,QuickLog!$G$2:$G$1000,"&lt;&gt;Routine"))</f>
        <v/>
      </c>
      <c r="E579" s="31">
        <f>IF($C579="","",MIN($C579,Settings!$B$2))</f>
        <v/>
      </c>
      <c r="F579" s="31">
        <f>IF($C579="","",MAX(0,$C579-$E579))</f>
        <v/>
      </c>
      <c r="G579" s="31">
        <f>IF(OR($E579="",$D579=""),"", $E579+$D579)</f>
        <v/>
      </c>
      <c r="H579" s="31">
        <f>IF(OR($A579="",$B579=""),"",SUMIFS(QuickLog!$L$2:$L$1000,QuickLog!$B$2:$B$1000,$B579,QuickLog!$O$2:$O$1000,$A579))</f>
        <v/>
      </c>
      <c r="I579" s="32">
        <f>IF($H579="","",$H579)</f>
        <v/>
      </c>
    </row>
    <row r="580">
      <c r="A580" s="29" t="n"/>
      <c r="B580" s="31" t="n"/>
      <c r="C580" s="31">
        <f>IF(OR($A580="",$B580=""),"",SUMIFS(QuickLog!$K$2:$K$1000,QuickLog!$B$2:$B$1000,$B580,QuickLog!$O$2:$O$1000,$A580,QuickLog!$G$2:$G$1000,"Routine"))</f>
        <v/>
      </c>
      <c r="D580" s="31">
        <f>IF(OR($A580="",$B580=""),"",SUMIFS(QuickLog!$K$2:$K$1000,QuickLog!$B$2:$B$1000,$B580,QuickLog!$O$2:$O$1000,$A580,QuickLog!$G$2:$G$1000,"&lt;&gt;Routine"))</f>
        <v/>
      </c>
      <c r="E580" s="31">
        <f>IF($C580="","",MIN($C580,Settings!$B$2))</f>
        <v/>
      </c>
      <c r="F580" s="31">
        <f>IF($C580="","",MAX(0,$C580-$E580))</f>
        <v/>
      </c>
      <c r="G580" s="31">
        <f>IF(OR($E580="",$D580=""),"", $E580+$D580)</f>
        <v/>
      </c>
      <c r="H580" s="31">
        <f>IF(OR($A580="",$B580=""),"",SUMIFS(QuickLog!$L$2:$L$1000,QuickLog!$B$2:$B$1000,$B580,QuickLog!$O$2:$O$1000,$A580))</f>
        <v/>
      </c>
      <c r="I580" s="32">
        <f>IF($H580="","",$H580)</f>
        <v/>
      </c>
    </row>
    <row r="581">
      <c r="A581" s="29" t="n"/>
      <c r="B581" s="31" t="n"/>
      <c r="C581" s="31">
        <f>IF(OR($A581="",$B581=""),"",SUMIFS(QuickLog!$K$2:$K$1000,QuickLog!$B$2:$B$1000,$B581,QuickLog!$O$2:$O$1000,$A581,QuickLog!$G$2:$G$1000,"Routine"))</f>
        <v/>
      </c>
      <c r="D581" s="31">
        <f>IF(OR($A581="",$B581=""),"",SUMIFS(QuickLog!$K$2:$K$1000,QuickLog!$B$2:$B$1000,$B581,QuickLog!$O$2:$O$1000,$A581,QuickLog!$G$2:$G$1000,"&lt;&gt;Routine"))</f>
        <v/>
      </c>
      <c r="E581" s="31">
        <f>IF($C581="","",MIN($C581,Settings!$B$2))</f>
        <v/>
      </c>
      <c r="F581" s="31">
        <f>IF($C581="","",MAX(0,$C581-$E581))</f>
        <v/>
      </c>
      <c r="G581" s="31">
        <f>IF(OR($E581="",$D581=""),"", $E581+$D581)</f>
        <v/>
      </c>
      <c r="H581" s="31">
        <f>IF(OR($A581="",$B581=""),"",SUMIFS(QuickLog!$L$2:$L$1000,QuickLog!$B$2:$B$1000,$B581,QuickLog!$O$2:$O$1000,$A581))</f>
        <v/>
      </c>
      <c r="I581" s="32">
        <f>IF($H581="","",$H581)</f>
        <v/>
      </c>
    </row>
    <row r="582">
      <c r="A582" s="29" t="n"/>
      <c r="B582" s="31" t="n"/>
      <c r="C582" s="31">
        <f>IF(OR($A582="",$B582=""),"",SUMIFS(QuickLog!$K$2:$K$1000,QuickLog!$B$2:$B$1000,$B582,QuickLog!$O$2:$O$1000,$A582,QuickLog!$G$2:$G$1000,"Routine"))</f>
        <v/>
      </c>
      <c r="D582" s="31">
        <f>IF(OR($A582="",$B582=""),"",SUMIFS(QuickLog!$K$2:$K$1000,QuickLog!$B$2:$B$1000,$B582,QuickLog!$O$2:$O$1000,$A582,QuickLog!$G$2:$G$1000,"&lt;&gt;Routine"))</f>
        <v/>
      </c>
      <c r="E582" s="31">
        <f>IF($C582="","",MIN($C582,Settings!$B$2))</f>
        <v/>
      </c>
      <c r="F582" s="31">
        <f>IF($C582="","",MAX(0,$C582-$E582))</f>
        <v/>
      </c>
      <c r="G582" s="31">
        <f>IF(OR($E582="",$D582=""),"", $E582+$D582)</f>
        <v/>
      </c>
      <c r="H582" s="31">
        <f>IF(OR($A582="",$B582=""),"",SUMIFS(QuickLog!$L$2:$L$1000,QuickLog!$B$2:$B$1000,$B582,QuickLog!$O$2:$O$1000,$A582))</f>
        <v/>
      </c>
      <c r="I582" s="32">
        <f>IF($H582="","",$H582)</f>
        <v/>
      </c>
    </row>
    <row r="583">
      <c r="A583" s="29" t="n"/>
      <c r="B583" s="31" t="n"/>
      <c r="C583" s="31">
        <f>IF(OR($A583="",$B583=""),"",SUMIFS(QuickLog!$K$2:$K$1000,QuickLog!$B$2:$B$1000,$B583,QuickLog!$O$2:$O$1000,$A583,QuickLog!$G$2:$G$1000,"Routine"))</f>
        <v/>
      </c>
      <c r="D583" s="31">
        <f>IF(OR($A583="",$B583=""),"",SUMIFS(QuickLog!$K$2:$K$1000,QuickLog!$B$2:$B$1000,$B583,QuickLog!$O$2:$O$1000,$A583,QuickLog!$G$2:$G$1000,"&lt;&gt;Routine"))</f>
        <v/>
      </c>
      <c r="E583" s="31">
        <f>IF($C583="","",MIN($C583,Settings!$B$2))</f>
        <v/>
      </c>
      <c r="F583" s="31">
        <f>IF($C583="","",MAX(0,$C583-$E583))</f>
        <v/>
      </c>
      <c r="G583" s="31">
        <f>IF(OR($E583="",$D583=""),"", $E583+$D583)</f>
        <v/>
      </c>
      <c r="H583" s="31">
        <f>IF(OR($A583="",$B583=""),"",SUMIFS(QuickLog!$L$2:$L$1000,QuickLog!$B$2:$B$1000,$B583,QuickLog!$O$2:$O$1000,$A583))</f>
        <v/>
      </c>
      <c r="I583" s="32">
        <f>IF($H583="","",$H583)</f>
        <v/>
      </c>
    </row>
    <row r="584">
      <c r="A584" s="29" t="n"/>
      <c r="B584" s="31" t="n"/>
      <c r="C584" s="31">
        <f>IF(OR($A584="",$B584=""),"",SUMIFS(QuickLog!$K$2:$K$1000,QuickLog!$B$2:$B$1000,$B584,QuickLog!$O$2:$O$1000,$A584,QuickLog!$G$2:$G$1000,"Routine"))</f>
        <v/>
      </c>
      <c r="D584" s="31">
        <f>IF(OR($A584="",$B584=""),"",SUMIFS(QuickLog!$K$2:$K$1000,QuickLog!$B$2:$B$1000,$B584,QuickLog!$O$2:$O$1000,$A584,QuickLog!$G$2:$G$1000,"&lt;&gt;Routine"))</f>
        <v/>
      </c>
      <c r="E584" s="31">
        <f>IF($C584="","",MIN($C584,Settings!$B$2))</f>
        <v/>
      </c>
      <c r="F584" s="31">
        <f>IF($C584="","",MAX(0,$C584-$E584))</f>
        <v/>
      </c>
      <c r="G584" s="31">
        <f>IF(OR($E584="",$D584=""),"", $E584+$D584)</f>
        <v/>
      </c>
      <c r="H584" s="31">
        <f>IF(OR($A584="",$B584=""),"",SUMIFS(QuickLog!$L$2:$L$1000,QuickLog!$B$2:$B$1000,$B584,QuickLog!$O$2:$O$1000,$A584))</f>
        <v/>
      </c>
      <c r="I584" s="32">
        <f>IF($H584="","",$H584)</f>
        <v/>
      </c>
    </row>
    <row r="585">
      <c r="A585" s="29" t="n"/>
      <c r="B585" s="31" t="n"/>
      <c r="C585" s="31">
        <f>IF(OR($A585="",$B585=""),"",SUMIFS(QuickLog!$K$2:$K$1000,QuickLog!$B$2:$B$1000,$B585,QuickLog!$O$2:$O$1000,$A585,QuickLog!$G$2:$G$1000,"Routine"))</f>
        <v/>
      </c>
      <c r="D585" s="31">
        <f>IF(OR($A585="",$B585=""),"",SUMIFS(QuickLog!$K$2:$K$1000,QuickLog!$B$2:$B$1000,$B585,QuickLog!$O$2:$O$1000,$A585,QuickLog!$G$2:$G$1000,"&lt;&gt;Routine"))</f>
        <v/>
      </c>
      <c r="E585" s="31">
        <f>IF($C585="","",MIN($C585,Settings!$B$2))</f>
        <v/>
      </c>
      <c r="F585" s="31">
        <f>IF($C585="","",MAX(0,$C585-$E585))</f>
        <v/>
      </c>
      <c r="G585" s="31">
        <f>IF(OR($E585="",$D585=""),"", $E585+$D585)</f>
        <v/>
      </c>
      <c r="H585" s="31">
        <f>IF(OR($A585="",$B585=""),"",SUMIFS(QuickLog!$L$2:$L$1000,QuickLog!$B$2:$B$1000,$B585,QuickLog!$O$2:$O$1000,$A585))</f>
        <v/>
      </c>
      <c r="I585" s="32">
        <f>IF($H585="","",$H585)</f>
        <v/>
      </c>
    </row>
    <row r="586">
      <c r="A586" s="29" t="n"/>
      <c r="B586" s="31" t="n"/>
      <c r="C586" s="31">
        <f>IF(OR($A586="",$B586=""),"",SUMIFS(QuickLog!$K$2:$K$1000,QuickLog!$B$2:$B$1000,$B586,QuickLog!$O$2:$O$1000,$A586,QuickLog!$G$2:$G$1000,"Routine"))</f>
        <v/>
      </c>
      <c r="D586" s="31">
        <f>IF(OR($A586="",$B586=""),"",SUMIFS(QuickLog!$K$2:$K$1000,QuickLog!$B$2:$B$1000,$B586,QuickLog!$O$2:$O$1000,$A586,QuickLog!$G$2:$G$1000,"&lt;&gt;Routine"))</f>
        <v/>
      </c>
      <c r="E586" s="31">
        <f>IF($C586="","",MIN($C586,Settings!$B$2))</f>
        <v/>
      </c>
      <c r="F586" s="31">
        <f>IF($C586="","",MAX(0,$C586-$E586))</f>
        <v/>
      </c>
      <c r="G586" s="31">
        <f>IF(OR($E586="",$D586=""),"", $E586+$D586)</f>
        <v/>
      </c>
      <c r="H586" s="31">
        <f>IF(OR($A586="",$B586=""),"",SUMIFS(QuickLog!$L$2:$L$1000,QuickLog!$B$2:$B$1000,$B586,QuickLog!$O$2:$O$1000,$A586))</f>
        <v/>
      </c>
      <c r="I586" s="32">
        <f>IF($H586="","",$H586)</f>
        <v/>
      </c>
    </row>
    <row r="587">
      <c r="A587" s="29" t="n"/>
      <c r="B587" s="31" t="n"/>
      <c r="C587" s="31">
        <f>IF(OR($A587="",$B587=""),"",SUMIFS(QuickLog!$K$2:$K$1000,QuickLog!$B$2:$B$1000,$B587,QuickLog!$O$2:$O$1000,$A587,QuickLog!$G$2:$G$1000,"Routine"))</f>
        <v/>
      </c>
      <c r="D587" s="31">
        <f>IF(OR($A587="",$B587=""),"",SUMIFS(QuickLog!$K$2:$K$1000,QuickLog!$B$2:$B$1000,$B587,QuickLog!$O$2:$O$1000,$A587,QuickLog!$G$2:$G$1000,"&lt;&gt;Routine"))</f>
        <v/>
      </c>
      <c r="E587" s="31">
        <f>IF($C587="","",MIN($C587,Settings!$B$2))</f>
        <v/>
      </c>
      <c r="F587" s="31">
        <f>IF($C587="","",MAX(0,$C587-$E587))</f>
        <v/>
      </c>
      <c r="G587" s="31">
        <f>IF(OR($E587="",$D587=""),"", $E587+$D587)</f>
        <v/>
      </c>
      <c r="H587" s="31">
        <f>IF(OR($A587="",$B587=""),"",SUMIFS(QuickLog!$L$2:$L$1000,QuickLog!$B$2:$B$1000,$B587,QuickLog!$O$2:$O$1000,$A587))</f>
        <v/>
      </c>
      <c r="I587" s="32">
        <f>IF($H587="","",$H587)</f>
        <v/>
      </c>
    </row>
    <row r="588">
      <c r="A588" s="29" t="n"/>
      <c r="B588" s="31" t="n"/>
      <c r="C588" s="31">
        <f>IF(OR($A588="",$B588=""),"",SUMIFS(QuickLog!$K$2:$K$1000,QuickLog!$B$2:$B$1000,$B588,QuickLog!$O$2:$O$1000,$A588,QuickLog!$G$2:$G$1000,"Routine"))</f>
        <v/>
      </c>
      <c r="D588" s="31">
        <f>IF(OR($A588="",$B588=""),"",SUMIFS(QuickLog!$K$2:$K$1000,QuickLog!$B$2:$B$1000,$B588,QuickLog!$O$2:$O$1000,$A588,QuickLog!$G$2:$G$1000,"&lt;&gt;Routine"))</f>
        <v/>
      </c>
      <c r="E588" s="31">
        <f>IF($C588="","",MIN($C588,Settings!$B$2))</f>
        <v/>
      </c>
      <c r="F588" s="31">
        <f>IF($C588="","",MAX(0,$C588-$E588))</f>
        <v/>
      </c>
      <c r="G588" s="31">
        <f>IF(OR($E588="",$D588=""),"", $E588+$D588)</f>
        <v/>
      </c>
      <c r="H588" s="31">
        <f>IF(OR($A588="",$B588=""),"",SUMIFS(QuickLog!$L$2:$L$1000,QuickLog!$B$2:$B$1000,$B588,QuickLog!$O$2:$O$1000,$A588))</f>
        <v/>
      </c>
      <c r="I588" s="32">
        <f>IF($H588="","",$H588)</f>
        <v/>
      </c>
    </row>
    <row r="589">
      <c r="A589" s="29" t="n"/>
      <c r="B589" s="31" t="n"/>
      <c r="C589" s="31">
        <f>IF(OR($A589="",$B589=""),"",SUMIFS(QuickLog!$K$2:$K$1000,QuickLog!$B$2:$B$1000,$B589,QuickLog!$O$2:$O$1000,$A589,QuickLog!$G$2:$G$1000,"Routine"))</f>
        <v/>
      </c>
      <c r="D589" s="31">
        <f>IF(OR($A589="",$B589=""),"",SUMIFS(QuickLog!$K$2:$K$1000,QuickLog!$B$2:$B$1000,$B589,QuickLog!$O$2:$O$1000,$A589,QuickLog!$G$2:$G$1000,"&lt;&gt;Routine"))</f>
        <v/>
      </c>
      <c r="E589" s="31">
        <f>IF($C589="","",MIN($C589,Settings!$B$2))</f>
        <v/>
      </c>
      <c r="F589" s="31">
        <f>IF($C589="","",MAX(0,$C589-$E589))</f>
        <v/>
      </c>
      <c r="G589" s="31">
        <f>IF(OR($E589="",$D589=""),"", $E589+$D589)</f>
        <v/>
      </c>
      <c r="H589" s="31">
        <f>IF(OR($A589="",$B589=""),"",SUMIFS(QuickLog!$L$2:$L$1000,QuickLog!$B$2:$B$1000,$B589,QuickLog!$O$2:$O$1000,$A589))</f>
        <v/>
      </c>
      <c r="I589" s="32">
        <f>IF($H589="","",$H589)</f>
        <v/>
      </c>
    </row>
    <row r="590">
      <c r="A590" s="29" t="n"/>
      <c r="B590" s="31" t="n"/>
      <c r="C590" s="31">
        <f>IF(OR($A590="",$B590=""),"",SUMIFS(QuickLog!$K$2:$K$1000,QuickLog!$B$2:$B$1000,$B590,QuickLog!$O$2:$O$1000,$A590,QuickLog!$G$2:$G$1000,"Routine"))</f>
        <v/>
      </c>
      <c r="D590" s="31">
        <f>IF(OR($A590="",$B590=""),"",SUMIFS(QuickLog!$K$2:$K$1000,QuickLog!$B$2:$B$1000,$B590,QuickLog!$O$2:$O$1000,$A590,QuickLog!$G$2:$G$1000,"&lt;&gt;Routine"))</f>
        <v/>
      </c>
      <c r="E590" s="31">
        <f>IF($C590="","",MIN($C590,Settings!$B$2))</f>
        <v/>
      </c>
      <c r="F590" s="31">
        <f>IF($C590="","",MAX(0,$C590-$E590))</f>
        <v/>
      </c>
      <c r="G590" s="31">
        <f>IF(OR($E590="",$D590=""),"", $E590+$D590)</f>
        <v/>
      </c>
      <c r="H590" s="31">
        <f>IF(OR($A590="",$B590=""),"",SUMIFS(QuickLog!$L$2:$L$1000,QuickLog!$B$2:$B$1000,$B590,QuickLog!$O$2:$O$1000,$A590))</f>
        <v/>
      </c>
      <c r="I590" s="32">
        <f>IF($H590="","",$H590)</f>
        <v/>
      </c>
    </row>
    <row r="591">
      <c r="A591" s="29" t="n"/>
      <c r="B591" s="31" t="n"/>
      <c r="C591" s="31">
        <f>IF(OR($A591="",$B591=""),"",SUMIFS(QuickLog!$K$2:$K$1000,QuickLog!$B$2:$B$1000,$B591,QuickLog!$O$2:$O$1000,$A591,QuickLog!$G$2:$G$1000,"Routine"))</f>
        <v/>
      </c>
      <c r="D591" s="31">
        <f>IF(OR($A591="",$B591=""),"",SUMIFS(QuickLog!$K$2:$K$1000,QuickLog!$B$2:$B$1000,$B591,QuickLog!$O$2:$O$1000,$A591,QuickLog!$G$2:$G$1000,"&lt;&gt;Routine"))</f>
        <v/>
      </c>
      <c r="E591" s="31">
        <f>IF($C591="","",MIN($C591,Settings!$B$2))</f>
        <v/>
      </c>
      <c r="F591" s="31">
        <f>IF($C591="","",MAX(0,$C591-$E591))</f>
        <v/>
      </c>
      <c r="G591" s="31">
        <f>IF(OR($E591="",$D591=""),"", $E591+$D591)</f>
        <v/>
      </c>
      <c r="H591" s="31">
        <f>IF(OR($A591="",$B591=""),"",SUMIFS(QuickLog!$L$2:$L$1000,QuickLog!$B$2:$B$1000,$B591,QuickLog!$O$2:$O$1000,$A591))</f>
        <v/>
      </c>
      <c r="I591" s="32">
        <f>IF($H591="","",$H591)</f>
        <v/>
      </c>
    </row>
    <row r="592">
      <c r="A592" s="29" t="n"/>
      <c r="B592" s="31" t="n"/>
      <c r="C592" s="31">
        <f>IF(OR($A592="",$B592=""),"",SUMIFS(QuickLog!$K$2:$K$1000,QuickLog!$B$2:$B$1000,$B592,QuickLog!$O$2:$O$1000,$A592,QuickLog!$G$2:$G$1000,"Routine"))</f>
        <v/>
      </c>
      <c r="D592" s="31">
        <f>IF(OR($A592="",$B592=""),"",SUMIFS(QuickLog!$K$2:$K$1000,QuickLog!$B$2:$B$1000,$B592,QuickLog!$O$2:$O$1000,$A592,QuickLog!$G$2:$G$1000,"&lt;&gt;Routine"))</f>
        <v/>
      </c>
      <c r="E592" s="31">
        <f>IF($C592="","",MIN($C592,Settings!$B$2))</f>
        <v/>
      </c>
      <c r="F592" s="31">
        <f>IF($C592="","",MAX(0,$C592-$E592))</f>
        <v/>
      </c>
      <c r="G592" s="31">
        <f>IF(OR($E592="",$D592=""),"", $E592+$D592)</f>
        <v/>
      </c>
      <c r="H592" s="31">
        <f>IF(OR($A592="",$B592=""),"",SUMIFS(QuickLog!$L$2:$L$1000,QuickLog!$B$2:$B$1000,$B592,QuickLog!$O$2:$O$1000,$A592))</f>
        <v/>
      </c>
      <c r="I592" s="32">
        <f>IF($H592="","",$H592)</f>
        <v/>
      </c>
    </row>
    <row r="593">
      <c r="A593" s="29" t="n"/>
      <c r="B593" s="31" t="n"/>
      <c r="C593" s="31">
        <f>IF(OR($A593="",$B593=""),"",SUMIFS(QuickLog!$K$2:$K$1000,QuickLog!$B$2:$B$1000,$B593,QuickLog!$O$2:$O$1000,$A593,QuickLog!$G$2:$G$1000,"Routine"))</f>
        <v/>
      </c>
      <c r="D593" s="31">
        <f>IF(OR($A593="",$B593=""),"",SUMIFS(QuickLog!$K$2:$K$1000,QuickLog!$B$2:$B$1000,$B593,QuickLog!$O$2:$O$1000,$A593,QuickLog!$G$2:$G$1000,"&lt;&gt;Routine"))</f>
        <v/>
      </c>
      <c r="E593" s="31">
        <f>IF($C593="","",MIN($C593,Settings!$B$2))</f>
        <v/>
      </c>
      <c r="F593" s="31">
        <f>IF($C593="","",MAX(0,$C593-$E593))</f>
        <v/>
      </c>
      <c r="G593" s="31">
        <f>IF(OR($E593="",$D593=""),"", $E593+$D593)</f>
        <v/>
      </c>
      <c r="H593" s="31">
        <f>IF(OR($A593="",$B593=""),"",SUMIFS(QuickLog!$L$2:$L$1000,QuickLog!$B$2:$B$1000,$B593,QuickLog!$O$2:$O$1000,$A593))</f>
        <v/>
      </c>
      <c r="I593" s="32">
        <f>IF($H593="","",$H593)</f>
        <v/>
      </c>
    </row>
    <row r="594">
      <c r="A594" s="29" t="n"/>
      <c r="B594" s="31" t="n"/>
      <c r="C594" s="31">
        <f>IF(OR($A594="",$B594=""),"",SUMIFS(QuickLog!$K$2:$K$1000,QuickLog!$B$2:$B$1000,$B594,QuickLog!$O$2:$O$1000,$A594,QuickLog!$G$2:$G$1000,"Routine"))</f>
        <v/>
      </c>
      <c r="D594" s="31">
        <f>IF(OR($A594="",$B594=""),"",SUMIFS(QuickLog!$K$2:$K$1000,QuickLog!$B$2:$B$1000,$B594,QuickLog!$O$2:$O$1000,$A594,QuickLog!$G$2:$G$1000,"&lt;&gt;Routine"))</f>
        <v/>
      </c>
      <c r="E594" s="31">
        <f>IF($C594="","",MIN($C594,Settings!$B$2))</f>
        <v/>
      </c>
      <c r="F594" s="31">
        <f>IF($C594="","",MAX(0,$C594-$E594))</f>
        <v/>
      </c>
      <c r="G594" s="31">
        <f>IF(OR($E594="",$D594=""),"", $E594+$D594)</f>
        <v/>
      </c>
      <c r="H594" s="31">
        <f>IF(OR($A594="",$B594=""),"",SUMIFS(QuickLog!$L$2:$L$1000,QuickLog!$B$2:$B$1000,$B594,QuickLog!$O$2:$O$1000,$A594))</f>
        <v/>
      </c>
      <c r="I594" s="32">
        <f>IF($H594="","",$H594)</f>
        <v/>
      </c>
    </row>
    <row r="595">
      <c r="A595" s="29" t="n"/>
      <c r="B595" s="31" t="n"/>
      <c r="C595" s="31">
        <f>IF(OR($A595="",$B595=""),"",SUMIFS(QuickLog!$K$2:$K$1000,QuickLog!$B$2:$B$1000,$B595,QuickLog!$O$2:$O$1000,$A595,QuickLog!$G$2:$G$1000,"Routine"))</f>
        <v/>
      </c>
      <c r="D595" s="31">
        <f>IF(OR($A595="",$B595=""),"",SUMIFS(QuickLog!$K$2:$K$1000,QuickLog!$B$2:$B$1000,$B595,QuickLog!$O$2:$O$1000,$A595,QuickLog!$G$2:$G$1000,"&lt;&gt;Routine"))</f>
        <v/>
      </c>
      <c r="E595" s="31">
        <f>IF($C595="","",MIN($C595,Settings!$B$2))</f>
        <v/>
      </c>
      <c r="F595" s="31">
        <f>IF($C595="","",MAX(0,$C595-$E595))</f>
        <v/>
      </c>
      <c r="G595" s="31">
        <f>IF(OR($E595="",$D595=""),"", $E595+$D595)</f>
        <v/>
      </c>
      <c r="H595" s="31">
        <f>IF(OR($A595="",$B595=""),"",SUMIFS(QuickLog!$L$2:$L$1000,QuickLog!$B$2:$B$1000,$B595,QuickLog!$O$2:$O$1000,$A595))</f>
        <v/>
      </c>
      <c r="I595" s="32">
        <f>IF($H595="","",$H595)</f>
        <v/>
      </c>
    </row>
    <row r="596">
      <c r="A596" s="29" t="n"/>
      <c r="B596" s="31" t="n"/>
      <c r="C596" s="31">
        <f>IF(OR($A596="",$B596=""),"",SUMIFS(QuickLog!$K$2:$K$1000,QuickLog!$B$2:$B$1000,$B596,QuickLog!$O$2:$O$1000,$A596,QuickLog!$G$2:$G$1000,"Routine"))</f>
        <v/>
      </c>
      <c r="D596" s="31">
        <f>IF(OR($A596="",$B596=""),"",SUMIFS(QuickLog!$K$2:$K$1000,QuickLog!$B$2:$B$1000,$B596,QuickLog!$O$2:$O$1000,$A596,QuickLog!$G$2:$G$1000,"&lt;&gt;Routine"))</f>
        <v/>
      </c>
      <c r="E596" s="31">
        <f>IF($C596="","",MIN($C596,Settings!$B$2))</f>
        <v/>
      </c>
      <c r="F596" s="31">
        <f>IF($C596="","",MAX(0,$C596-$E596))</f>
        <v/>
      </c>
      <c r="G596" s="31">
        <f>IF(OR($E596="",$D596=""),"", $E596+$D596)</f>
        <v/>
      </c>
      <c r="H596" s="31">
        <f>IF(OR($A596="",$B596=""),"",SUMIFS(QuickLog!$L$2:$L$1000,QuickLog!$B$2:$B$1000,$B596,QuickLog!$O$2:$O$1000,$A596))</f>
        <v/>
      </c>
      <c r="I596" s="32">
        <f>IF($H596="","",$H596)</f>
        <v/>
      </c>
    </row>
    <row r="597">
      <c r="A597" s="29" t="n"/>
      <c r="B597" s="31" t="n"/>
      <c r="C597" s="31">
        <f>IF(OR($A597="",$B597=""),"",SUMIFS(QuickLog!$K$2:$K$1000,QuickLog!$B$2:$B$1000,$B597,QuickLog!$O$2:$O$1000,$A597,QuickLog!$G$2:$G$1000,"Routine"))</f>
        <v/>
      </c>
      <c r="D597" s="31">
        <f>IF(OR($A597="",$B597=""),"",SUMIFS(QuickLog!$K$2:$K$1000,QuickLog!$B$2:$B$1000,$B597,QuickLog!$O$2:$O$1000,$A597,QuickLog!$G$2:$G$1000,"&lt;&gt;Routine"))</f>
        <v/>
      </c>
      <c r="E597" s="31">
        <f>IF($C597="","",MIN($C597,Settings!$B$2))</f>
        <v/>
      </c>
      <c r="F597" s="31">
        <f>IF($C597="","",MAX(0,$C597-$E597))</f>
        <v/>
      </c>
      <c r="G597" s="31">
        <f>IF(OR($E597="",$D597=""),"", $E597+$D597)</f>
        <v/>
      </c>
      <c r="H597" s="31">
        <f>IF(OR($A597="",$B597=""),"",SUMIFS(QuickLog!$L$2:$L$1000,QuickLog!$B$2:$B$1000,$B597,QuickLog!$O$2:$O$1000,$A597))</f>
        <v/>
      </c>
      <c r="I597" s="32">
        <f>IF($H597="","",$H597)</f>
        <v/>
      </c>
    </row>
    <row r="598">
      <c r="A598" s="29" t="n"/>
      <c r="B598" s="31" t="n"/>
      <c r="C598" s="31">
        <f>IF(OR($A598="",$B598=""),"",SUMIFS(QuickLog!$K$2:$K$1000,QuickLog!$B$2:$B$1000,$B598,QuickLog!$O$2:$O$1000,$A598,QuickLog!$G$2:$G$1000,"Routine"))</f>
        <v/>
      </c>
      <c r="D598" s="31">
        <f>IF(OR($A598="",$B598=""),"",SUMIFS(QuickLog!$K$2:$K$1000,QuickLog!$B$2:$B$1000,$B598,QuickLog!$O$2:$O$1000,$A598,QuickLog!$G$2:$G$1000,"&lt;&gt;Routine"))</f>
        <v/>
      </c>
      <c r="E598" s="31">
        <f>IF($C598="","",MIN($C598,Settings!$B$2))</f>
        <v/>
      </c>
      <c r="F598" s="31">
        <f>IF($C598="","",MAX(0,$C598-$E598))</f>
        <v/>
      </c>
      <c r="G598" s="31">
        <f>IF(OR($E598="",$D598=""),"", $E598+$D598)</f>
        <v/>
      </c>
      <c r="H598" s="31">
        <f>IF(OR($A598="",$B598=""),"",SUMIFS(QuickLog!$L$2:$L$1000,QuickLog!$B$2:$B$1000,$B598,QuickLog!$O$2:$O$1000,$A598))</f>
        <v/>
      </c>
      <c r="I598" s="32">
        <f>IF($H598="","",$H598)</f>
        <v/>
      </c>
    </row>
    <row r="599">
      <c r="A599" s="29" t="n"/>
      <c r="B599" s="31" t="n"/>
      <c r="C599" s="31">
        <f>IF(OR($A599="",$B599=""),"",SUMIFS(QuickLog!$K$2:$K$1000,QuickLog!$B$2:$B$1000,$B599,QuickLog!$O$2:$O$1000,$A599,QuickLog!$G$2:$G$1000,"Routine"))</f>
        <v/>
      </c>
      <c r="D599" s="31">
        <f>IF(OR($A599="",$B599=""),"",SUMIFS(QuickLog!$K$2:$K$1000,QuickLog!$B$2:$B$1000,$B599,QuickLog!$O$2:$O$1000,$A599,QuickLog!$G$2:$G$1000,"&lt;&gt;Routine"))</f>
        <v/>
      </c>
      <c r="E599" s="31">
        <f>IF($C599="","",MIN($C599,Settings!$B$2))</f>
        <v/>
      </c>
      <c r="F599" s="31">
        <f>IF($C599="","",MAX(0,$C599-$E599))</f>
        <v/>
      </c>
      <c r="G599" s="31">
        <f>IF(OR($E599="",$D599=""),"", $E599+$D599)</f>
        <v/>
      </c>
      <c r="H599" s="31">
        <f>IF(OR($A599="",$B599=""),"",SUMIFS(QuickLog!$L$2:$L$1000,QuickLog!$B$2:$B$1000,$B599,QuickLog!$O$2:$O$1000,$A599))</f>
        <v/>
      </c>
      <c r="I599" s="32">
        <f>IF($H599="","",$H599)</f>
        <v/>
      </c>
    </row>
    <row r="600">
      <c r="A600" s="29" t="n"/>
      <c r="B600" s="31" t="n"/>
      <c r="C600" s="31">
        <f>IF(OR($A600="",$B600=""),"",SUMIFS(QuickLog!$K$2:$K$1000,QuickLog!$B$2:$B$1000,$B600,QuickLog!$O$2:$O$1000,$A600,QuickLog!$G$2:$G$1000,"Routine"))</f>
        <v/>
      </c>
      <c r="D600" s="31">
        <f>IF(OR($A600="",$B600=""),"",SUMIFS(QuickLog!$K$2:$K$1000,QuickLog!$B$2:$B$1000,$B600,QuickLog!$O$2:$O$1000,$A600,QuickLog!$G$2:$G$1000,"&lt;&gt;Routine"))</f>
        <v/>
      </c>
      <c r="E600" s="31">
        <f>IF($C600="","",MIN($C600,Settings!$B$2))</f>
        <v/>
      </c>
      <c r="F600" s="31">
        <f>IF($C600="","",MAX(0,$C600-$E600))</f>
        <v/>
      </c>
      <c r="G600" s="31">
        <f>IF(OR($E600="",$D600=""),"", $E600+$D600)</f>
        <v/>
      </c>
      <c r="H600" s="31">
        <f>IF(OR($A600="",$B600=""),"",SUMIFS(QuickLog!$L$2:$L$1000,QuickLog!$B$2:$B$1000,$B600,QuickLog!$O$2:$O$1000,$A600))</f>
        <v/>
      </c>
      <c r="I600" s="32">
        <f>IF($H600="","",$H600)</f>
        <v/>
      </c>
    </row>
    <row r="601">
      <c r="A601" s="29" t="n"/>
      <c r="B601" s="31" t="n"/>
      <c r="C601" s="31">
        <f>IF(OR($A601="",$B601=""),"",SUMIFS(QuickLog!$K$2:$K$1000,QuickLog!$B$2:$B$1000,$B601,QuickLog!$O$2:$O$1000,$A601,QuickLog!$G$2:$G$1000,"Routine"))</f>
        <v/>
      </c>
      <c r="D601" s="31">
        <f>IF(OR($A601="",$B601=""),"",SUMIFS(QuickLog!$K$2:$K$1000,QuickLog!$B$2:$B$1000,$B601,QuickLog!$O$2:$O$1000,$A601,QuickLog!$G$2:$G$1000,"&lt;&gt;Routine"))</f>
        <v/>
      </c>
      <c r="E601" s="31">
        <f>IF($C601="","",MIN($C601,Settings!$B$2))</f>
        <v/>
      </c>
      <c r="F601" s="31">
        <f>IF($C601="","",MAX(0,$C601-$E601))</f>
        <v/>
      </c>
      <c r="G601" s="31">
        <f>IF(OR($E601="",$D601=""),"", $E601+$D601)</f>
        <v/>
      </c>
      <c r="H601" s="31">
        <f>IF(OR($A601="",$B601=""),"",SUMIFS(QuickLog!$L$2:$L$1000,QuickLog!$B$2:$B$1000,$B601,QuickLog!$O$2:$O$1000,$A601))</f>
        <v/>
      </c>
      <c r="I601" s="32">
        <f>IF($H601="","",$H601)</f>
        <v/>
      </c>
    </row>
    <row r="602">
      <c r="A602" s="29" t="n"/>
      <c r="B602" s="31" t="n"/>
      <c r="C602" s="31">
        <f>IF(OR($A602="",$B602=""),"",SUMIFS(QuickLog!$K$2:$K$1000,QuickLog!$B$2:$B$1000,$B602,QuickLog!$O$2:$O$1000,$A602,QuickLog!$G$2:$G$1000,"Routine"))</f>
        <v/>
      </c>
      <c r="D602" s="31">
        <f>IF(OR($A602="",$B602=""),"",SUMIFS(QuickLog!$K$2:$K$1000,QuickLog!$B$2:$B$1000,$B602,QuickLog!$O$2:$O$1000,$A602,QuickLog!$G$2:$G$1000,"&lt;&gt;Routine"))</f>
        <v/>
      </c>
      <c r="E602" s="31">
        <f>IF($C602="","",MIN($C602,Settings!$B$2))</f>
        <v/>
      </c>
      <c r="F602" s="31">
        <f>IF($C602="","",MAX(0,$C602-$E602))</f>
        <v/>
      </c>
      <c r="G602" s="31">
        <f>IF(OR($E602="",$D602=""),"", $E602+$D602)</f>
        <v/>
      </c>
      <c r="H602" s="31">
        <f>IF(OR($A602="",$B602=""),"",SUMIFS(QuickLog!$L$2:$L$1000,QuickLog!$B$2:$B$1000,$B602,QuickLog!$O$2:$O$1000,$A602))</f>
        <v/>
      </c>
      <c r="I602" s="32">
        <f>IF($H602="","",$H602)</f>
        <v/>
      </c>
    </row>
    <row r="603">
      <c r="A603" s="29" t="n"/>
      <c r="B603" s="31" t="n"/>
      <c r="C603" s="31">
        <f>IF(OR($A603="",$B603=""),"",SUMIFS(QuickLog!$K$2:$K$1000,QuickLog!$B$2:$B$1000,$B603,QuickLog!$O$2:$O$1000,$A603,QuickLog!$G$2:$G$1000,"Routine"))</f>
        <v/>
      </c>
      <c r="D603" s="31">
        <f>IF(OR($A603="",$B603=""),"",SUMIFS(QuickLog!$K$2:$K$1000,QuickLog!$B$2:$B$1000,$B603,QuickLog!$O$2:$O$1000,$A603,QuickLog!$G$2:$G$1000,"&lt;&gt;Routine"))</f>
        <v/>
      </c>
      <c r="E603" s="31">
        <f>IF($C603="","",MIN($C603,Settings!$B$2))</f>
        <v/>
      </c>
      <c r="F603" s="31">
        <f>IF($C603="","",MAX(0,$C603-$E603))</f>
        <v/>
      </c>
      <c r="G603" s="31">
        <f>IF(OR($E603="",$D603=""),"", $E603+$D603)</f>
        <v/>
      </c>
      <c r="H603" s="31">
        <f>IF(OR($A603="",$B603=""),"",SUMIFS(QuickLog!$L$2:$L$1000,QuickLog!$B$2:$B$1000,$B603,QuickLog!$O$2:$O$1000,$A603))</f>
        <v/>
      </c>
      <c r="I603" s="32">
        <f>IF($H603="","",$H603)</f>
        <v/>
      </c>
    </row>
    <row r="604">
      <c r="A604" s="29" t="n"/>
      <c r="B604" s="31" t="n"/>
      <c r="C604" s="31">
        <f>IF(OR($A604="",$B604=""),"",SUMIFS(QuickLog!$K$2:$K$1000,QuickLog!$B$2:$B$1000,$B604,QuickLog!$O$2:$O$1000,$A604,QuickLog!$G$2:$G$1000,"Routine"))</f>
        <v/>
      </c>
      <c r="D604" s="31">
        <f>IF(OR($A604="",$B604=""),"",SUMIFS(QuickLog!$K$2:$K$1000,QuickLog!$B$2:$B$1000,$B604,QuickLog!$O$2:$O$1000,$A604,QuickLog!$G$2:$G$1000,"&lt;&gt;Routine"))</f>
        <v/>
      </c>
      <c r="E604" s="31">
        <f>IF($C604="","",MIN($C604,Settings!$B$2))</f>
        <v/>
      </c>
      <c r="F604" s="31">
        <f>IF($C604="","",MAX(0,$C604-$E604))</f>
        <v/>
      </c>
      <c r="G604" s="31">
        <f>IF(OR($E604="",$D604=""),"", $E604+$D604)</f>
        <v/>
      </c>
      <c r="H604" s="31">
        <f>IF(OR($A604="",$B604=""),"",SUMIFS(QuickLog!$L$2:$L$1000,QuickLog!$B$2:$B$1000,$B604,QuickLog!$O$2:$O$1000,$A604))</f>
        <v/>
      </c>
      <c r="I604" s="32">
        <f>IF($H604="","",$H604)</f>
        <v/>
      </c>
    </row>
    <row r="605">
      <c r="A605" s="29" t="n"/>
      <c r="B605" s="31" t="n"/>
      <c r="C605" s="31">
        <f>IF(OR($A605="",$B605=""),"",SUMIFS(QuickLog!$K$2:$K$1000,QuickLog!$B$2:$B$1000,$B605,QuickLog!$O$2:$O$1000,$A605,QuickLog!$G$2:$G$1000,"Routine"))</f>
        <v/>
      </c>
      <c r="D605" s="31">
        <f>IF(OR($A605="",$B605=""),"",SUMIFS(QuickLog!$K$2:$K$1000,QuickLog!$B$2:$B$1000,$B605,QuickLog!$O$2:$O$1000,$A605,QuickLog!$G$2:$G$1000,"&lt;&gt;Routine"))</f>
        <v/>
      </c>
      <c r="E605" s="31">
        <f>IF($C605="","",MIN($C605,Settings!$B$2))</f>
        <v/>
      </c>
      <c r="F605" s="31">
        <f>IF($C605="","",MAX(0,$C605-$E605))</f>
        <v/>
      </c>
      <c r="G605" s="31">
        <f>IF(OR($E605="",$D605=""),"", $E605+$D605)</f>
        <v/>
      </c>
      <c r="H605" s="31">
        <f>IF(OR($A605="",$B605=""),"",SUMIFS(QuickLog!$L$2:$L$1000,QuickLog!$B$2:$B$1000,$B605,QuickLog!$O$2:$O$1000,$A605))</f>
        <v/>
      </c>
      <c r="I605" s="32">
        <f>IF($H605="","",$H605)</f>
        <v/>
      </c>
    </row>
    <row r="606">
      <c r="A606" s="29" t="n"/>
      <c r="B606" s="31" t="n"/>
      <c r="C606" s="31">
        <f>IF(OR($A606="",$B606=""),"",SUMIFS(QuickLog!$K$2:$K$1000,QuickLog!$B$2:$B$1000,$B606,QuickLog!$O$2:$O$1000,$A606,QuickLog!$G$2:$G$1000,"Routine"))</f>
        <v/>
      </c>
      <c r="D606" s="31">
        <f>IF(OR($A606="",$B606=""),"",SUMIFS(QuickLog!$K$2:$K$1000,QuickLog!$B$2:$B$1000,$B606,QuickLog!$O$2:$O$1000,$A606,QuickLog!$G$2:$G$1000,"&lt;&gt;Routine"))</f>
        <v/>
      </c>
      <c r="E606" s="31">
        <f>IF($C606="","",MIN($C606,Settings!$B$2))</f>
        <v/>
      </c>
      <c r="F606" s="31">
        <f>IF($C606="","",MAX(0,$C606-$E606))</f>
        <v/>
      </c>
      <c r="G606" s="31">
        <f>IF(OR($E606="",$D606=""),"", $E606+$D606)</f>
        <v/>
      </c>
      <c r="H606" s="31">
        <f>IF(OR($A606="",$B606=""),"",SUMIFS(QuickLog!$L$2:$L$1000,QuickLog!$B$2:$B$1000,$B606,QuickLog!$O$2:$O$1000,$A606))</f>
        <v/>
      </c>
      <c r="I606" s="32">
        <f>IF($H606="","",$H606)</f>
        <v/>
      </c>
    </row>
    <row r="607">
      <c r="A607" s="29" t="n"/>
      <c r="B607" s="31" t="n"/>
      <c r="C607" s="31">
        <f>IF(OR($A607="",$B607=""),"",SUMIFS(QuickLog!$K$2:$K$1000,QuickLog!$B$2:$B$1000,$B607,QuickLog!$O$2:$O$1000,$A607,QuickLog!$G$2:$G$1000,"Routine"))</f>
        <v/>
      </c>
      <c r="D607" s="31">
        <f>IF(OR($A607="",$B607=""),"",SUMIFS(QuickLog!$K$2:$K$1000,QuickLog!$B$2:$B$1000,$B607,QuickLog!$O$2:$O$1000,$A607,QuickLog!$G$2:$G$1000,"&lt;&gt;Routine"))</f>
        <v/>
      </c>
      <c r="E607" s="31">
        <f>IF($C607="","",MIN($C607,Settings!$B$2))</f>
        <v/>
      </c>
      <c r="F607" s="31">
        <f>IF($C607="","",MAX(0,$C607-$E607))</f>
        <v/>
      </c>
      <c r="G607" s="31">
        <f>IF(OR($E607="",$D607=""),"", $E607+$D607)</f>
        <v/>
      </c>
      <c r="H607" s="31">
        <f>IF(OR($A607="",$B607=""),"",SUMIFS(QuickLog!$L$2:$L$1000,QuickLog!$B$2:$B$1000,$B607,QuickLog!$O$2:$O$1000,$A607))</f>
        <v/>
      </c>
      <c r="I607" s="32">
        <f>IF($H607="","",$H607)</f>
        <v/>
      </c>
    </row>
    <row r="608">
      <c r="A608" s="29" t="n"/>
      <c r="B608" s="31" t="n"/>
      <c r="C608" s="31">
        <f>IF(OR($A608="",$B608=""),"",SUMIFS(QuickLog!$K$2:$K$1000,QuickLog!$B$2:$B$1000,$B608,QuickLog!$O$2:$O$1000,$A608,QuickLog!$G$2:$G$1000,"Routine"))</f>
        <v/>
      </c>
      <c r="D608" s="31">
        <f>IF(OR($A608="",$B608=""),"",SUMIFS(QuickLog!$K$2:$K$1000,QuickLog!$B$2:$B$1000,$B608,QuickLog!$O$2:$O$1000,$A608,QuickLog!$G$2:$G$1000,"&lt;&gt;Routine"))</f>
        <v/>
      </c>
      <c r="E608" s="31">
        <f>IF($C608="","",MIN($C608,Settings!$B$2))</f>
        <v/>
      </c>
      <c r="F608" s="31">
        <f>IF($C608="","",MAX(0,$C608-$E608))</f>
        <v/>
      </c>
      <c r="G608" s="31">
        <f>IF(OR($E608="",$D608=""),"", $E608+$D608)</f>
        <v/>
      </c>
      <c r="H608" s="31">
        <f>IF(OR($A608="",$B608=""),"",SUMIFS(QuickLog!$L$2:$L$1000,QuickLog!$B$2:$B$1000,$B608,QuickLog!$O$2:$O$1000,$A608))</f>
        <v/>
      </c>
      <c r="I608" s="32">
        <f>IF($H608="","",$H608)</f>
        <v/>
      </c>
    </row>
    <row r="609">
      <c r="A609" s="29" t="n"/>
      <c r="B609" s="31" t="n"/>
      <c r="C609" s="31">
        <f>IF(OR($A609="",$B609=""),"",SUMIFS(QuickLog!$K$2:$K$1000,QuickLog!$B$2:$B$1000,$B609,QuickLog!$O$2:$O$1000,$A609,QuickLog!$G$2:$G$1000,"Routine"))</f>
        <v/>
      </c>
      <c r="D609" s="31">
        <f>IF(OR($A609="",$B609=""),"",SUMIFS(QuickLog!$K$2:$K$1000,QuickLog!$B$2:$B$1000,$B609,QuickLog!$O$2:$O$1000,$A609,QuickLog!$G$2:$G$1000,"&lt;&gt;Routine"))</f>
        <v/>
      </c>
      <c r="E609" s="31">
        <f>IF($C609="","",MIN($C609,Settings!$B$2))</f>
        <v/>
      </c>
      <c r="F609" s="31">
        <f>IF($C609="","",MAX(0,$C609-$E609))</f>
        <v/>
      </c>
      <c r="G609" s="31">
        <f>IF(OR($E609="",$D609=""),"", $E609+$D609)</f>
        <v/>
      </c>
      <c r="H609" s="31">
        <f>IF(OR($A609="",$B609=""),"",SUMIFS(QuickLog!$L$2:$L$1000,QuickLog!$B$2:$B$1000,$B609,QuickLog!$O$2:$O$1000,$A609))</f>
        <v/>
      </c>
      <c r="I609" s="32">
        <f>IF($H609="","",$H609)</f>
        <v/>
      </c>
    </row>
    <row r="610">
      <c r="A610" s="29" t="n"/>
      <c r="B610" s="31" t="n"/>
      <c r="C610" s="31">
        <f>IF(OR($A610="",$B610=""),"",SUMIFS(QuickLog!$K$2:$K$1000,QuickLog!$B$2:$B$1000,$B610,QuickLog!$O$2:$O$1000,$A610,QuickLog!$G$2:$G$1000,"Routine"))</f>
        <v/>
      </c>
      <c r="D610" s="31">
        <f>IF(OR($A610="",$B610=""),"",SUMIFS(QuickLog!$K$2:$K$1000,QuickLog!$B$2:$B$1000,$B610,QuickLog!$O$2:$O$1000,$A610,QuickLog!$G$2:$G$1000,"&lt;&gt;Routine"))</f>
        <v/>
      </c>
      <c r="E610" s="31">
        <f>IF($C610="","",MIN($C610,Settings!$B$2))</f>
        <v/>
      </c>
      <c r="F610" s="31">
        <f>IF($C610="","",MAX(0,$C610-$E610))</f>
        <v/>
      </c>
      <c r="G610" s="31">
        <f>IF(OR($E610="",$D610=""),"", $E610+$D610)</f>
        <v/>
      </c>
      <c r="H610" s="31">
        <f>IF(OR($A610="",$B610=""),"",SUMIFS(QuickLog!$L$2:$L$1000,QuickLog!$B$2:$B$1000,$B610,QuickLog!$O$2:$O$1000,$A610))</f>
        <v/>
      </c>
      <c r="I610" s="32">
        <f>IF($H610="","",$H610)</f>
        <v/>
      </c>
    </row>
    <row r="611">
      <c r="A611" s="29" t="n"/>
      <c r="B611" s="31" t="n"/>
      <c r="C611" s="31">
        <f>IF(OR($A611="",$B611=""),"",SUMIFS(QuickLog!$K$2:$K$1000,QuickLog!$B$2:$B$1000,$B611,QuickLog!$O$2:$O$1000,$A611,QuickLog!$G$2:$G$1000,"Routine"))</f>
        <v/>
      </c>
      <c r="D611" s="31">
        <f>IF(OR($A611="",$B611=""),"",SUMIFS(QuickLog!$K$2:$K$1000,QuickLog!$B$2:$B$1000,$B611,QuickLog!$O$2:$O$1000,$A611,QuickLog!$G$2:$G$1000,"&lt;&gt;Routine"))</f>
        <v/>
      </c>
      <c r="E611" s="31">
        <f>IF($C611="","",MIN($C611,Settings!$B$2))</f>
        <v/>
      </c>
      <c r="F611" s="31">
        <f>IF($C611="","",MAX(0,$C611-$E611))</f>
        <v/>
      </c>
      <c r="G611" s="31">
        <f>IF(OR($E611="",$D611=""),"", $E611+$D611)</f>
        <v/>
      </c>
      <c r="H611" s="31">
        <f>IF(OR($A611="",$B611=""),"",SUMIFS(QuickLog!$L$2:$L$1000,QuickLog!$B$2:$B$1000,$B611,QuickLog!$O$2:$O$1000,$A611))</f>
        <v/>
      </c>
      <c r="I611" s="32">
        <f>IF($H611="","",$H611)</f>
        <v/>
      </c>
    </row>
    <row r="612">
      <c r="A612" s="29" t="n"/>
      <c r="B612" s="31" t="n"/>
      <c r="C612" s="31">
        <f>IF(OR($A612="",$B612=""),"",SUMIFS(QuickLog!$K$2:$K$1000,QuickLog!$B$2:$B$1000,$B612,QuickLog!$O$2:$O$1000,$A612,QuickLog!$G$2:$G$1000,"Routine"))</f>
        <v/>
      </c>
      <c r="D612" s="31">
        <f>IF(OR($A612="",$B612=""),"",SUMIFS(QuickLog!$K$2:$K$1000,QuickLog!$B$2:$B$1000,$B612,QuickLog!$O$2:$O$1000,$A612,QuickLog!$G$2:$G$1000,"&lt;&gt;Routine"))</f>
        <v/>
      </c>
      <c r="E612" s="31">
        <f>IF($C612="","",MIN($C612,Settings!$B$2))</f>
        <v/>
      </c>
      <c r="F612" s="31">
        <f>IF($C612="","",MAX(0,$C612-$E612))</f>
        <v/>
      </c>
      <c r="G612" s="31">
        <f>IF(OR($E612="",$D612=""),"", $E612+$D612)</f>
        <v/>
      </c>
      <c r="H612" s="31">
        <f>IF(OR($A612="",$B612=""),"",SUMIFS(QuickLog!$L$2:$L$1000,QuickLog!$B$2:$B$1000,$B612,QuickLog!$O$2:$O$1000,$A612))</f>
        <v/>
      </c>
      <c r="I612" s="32">
        <f>IF($H612="","",$H612)</f>
        <v/>
      </c>
    </row>
    <row r="613">
      <c r="A613" s="29" t="n"/>
      <c r="B613" s="31" t="n"/>
      <c r="C613" s="31">
        <f>IF(OR($A613="",$B613=""),"",SUMIFS(QuickLog!$K$2:$K$1000,QuickLog!$B$2:$B$1000,$B613,QuickLog!$O$2:$O$1000,$A613,QuickLog!$G$2:$G$1000,"Routine"))</f>
        <v/>
      </c>
      <c r="D613" s="31">
        <f>IF(OR($A613="",$B613=""),"",SUMIFS(QuickLog!$K$2:$K$1000,QuickLog!$B$2:$B$1000,$B613,QuickLog!$O$2:$O$1000,$A613,QuickLog!$G$2:$G$1000,"&lt;&gt;Routine"))</f>
        <v/>
      </c>
      <c r="E613" s="31">
        <f>IF($C613="","",MIN($C613,Settings!$B$2))</f>
        <v/>
      </c>
      <c r="F613" s="31">
        <f>IF($C613="","",MAX(0,$C613-$E613))</f>
        <v/>
      </c>
      <c r="G613" s="31">
        <f>IF(OR($E613="",$D613=""),"", $E613+$D613)</f>
        <v/>
      </c>
      <c r="H613" s="31">
        <f>IF(OR($A613="",$B613=""),"",SUMIFS(QuickLog!$L$2:$L$1000,QuickLog!$B$2:$B$1000,$B613,QuickLog!$O$2:$O$1000,$A613))</f>
        <v/>
      </c>
      <c r="I613" s="32">
        <f>IF($H613="","",$H613)</f>
        <v/>
      </c>
    </row>
    <row r="614">
      <c r="A614" s="29" t="n"/>
      <c r="B614" s="31" t="n"/>
      <c r="C614" s="31">
        <f>IF(OR($A614="",$B614=""),"",SUMIFS(QuickLog!$K$2:$K$1000,QuickLog!$B$2:$B$1000,$B614,QuickLog!$O$2:$O$1000,$A614,QuickLog!$G$2:$G$1000,"Routine"))</f>
        <v/>
      </c>
      <c r="D614" s="31">
        <f>IF(OR($A614="",$B614=""),"",SUMIFS(QuickLog!$K$2:$K$1000,QuickLog!$B$2:$B$1000,$B614,QuickLog!$O$2:$O$1000,$A614,QuickLog!$G$2:$G$1000,"&lt;&gt;Routine"))</f>
        <v/>
      </c>
      <c r="E614" s="31">
        <f>IF($C614="","",MIN($C614,Settings!$B$2))</f>
        <v/>
      </c>
      <c r="F614" s="31">
        <f>IF($C614="","",MAX(0,$C614-$E614))</f>
        <v/>
      </c>
      <c r="G614" s="31">
        <f>IF(OR($E614="",$D614=""),"", $E614+$D614)</f>
        <v/>
      </c>
      <c r="H614" s="31">
        <f>IF(OR($A614="",$B614=""),"",SUMIFS(QuickLog!$L$2:$L$1000,QuickLog!$B$2:$B$1000,$B614,QuickLog!$O$2:$O$1000,$A614))</f>
        <v/>
      </c>
      <c r="I614" s="32">
        <f>IF($H614="","",$H614)</f>
        <v/>
      </c>
    </row>
    <row r="615">
      <c r="A615" s="29" t="n"/>
      <c r="B615" s="31" t="n"/>
      <c r="C615" s="31">
        <f>IF(OR($A615="",$B615=""),"",SUMIFS(QuickLog!$K$2:$K$1000,QuickLog!$B$2:$B$1000,$B615,QuickLog!$O$2:$O$1000,$A615,QuickLog!$G$2:$G$1000,"Routine"))</f>
        <v/>
      </c>
      <c r="D615" s="31">
        <f>IF(OR($A615="",$B615=""),"",SUMIFS(QuickLog!$K$2:$K$1000,QuickLog!$B$2:$B$1000,$B615,QuickLog!$O$2:$O$1000,$A615,QuickLog!$G$2:$G$1000,"&lt;&gt;Routine"))</f>
        <v/>
      </c>
      <c r="E615" s="31">
        <f>IF($C615="","",MIN($C615,Settings!$B$2))</f>
        <v/>
      </c>
      <c r="F615" s="31">
        <f>IF($C615="","",MAX(0,$C615-$E615))</f>
        <v/>
      </c>
      <c r="G615" s="31">
        <f>IF(OR($E615="",$D615=""),"", $E615+$D615)</f>
        <v/>
      </c>
      <c r="H615" s="31">
        <f>IF(OR($A615="",$B615=""),"",SUMIFS(QuickLog!$L$2:$L$1000,QuickLog!$B$2:$B$1000,$B615,QuickLog!$O$2:$O$1000,$A615))</f>
        <v/>
      </c>
      <c r="I615" s="32">
        <f>IF($H615="","",$H615)</f>
        <v/>
      </c>
    </row>
    <row r="616">
      <c r="A616" s="29" t="n"/>
      <c r="B616" s="31" t="n"/>
      <c r="C616" s="31">
        <f>IF(OR($A616="",$B616=""),"",SUMIFS(QuickLog!$K$2:$K$1000,QuickLog!$B$2:$B$1000,$B616,QuickLog!$O$2:$O$1000,$A616,QuickLog!$G$2:$G$1000,"Routine"))</f>
        <v/>
      </c>
      <c r="D616" s="31">
        <f>IF(OR($A616="",$B616=""),"",SUMIFS(QuickLog!$K$2:$K$1000,QuickLog!$B$2:$B$1000,$B616,QuickLog!$O$2:$O$1000,$A616,QuickLog!$G$2:$G$1000,"&lt;&gt;Routine"))</f>
        <v/>
      </c>
      <c r="E616" s="31">
        <f>IF($C616="","",MIN($C616,Settings!$B$2))</f>
        <v/>
      </c>
      <c r="F616" s="31">
        <f>IF($C616="","",MAX(0,$C616-$E616))</f>
        <v/>
      </c>
      <c r="G616" s="31">
        <f>IF(OR($E616="",$D616=""),"", $E616+$D616)</f>
        <v/>
      </c>
      <c r="H616" s="31">
        <f>IF(OR($A616="",$B616=""),"",SUMIFS(QuickLog!$L$2:$L$1000,QuickLog!$B$2:$B$1000,$B616,QuickLog!$O$2:$O$1000,$A616))</f>
        <v/>
      </c>
      <c r="I616" s="32">
        <f>IF($H616="","",$H616)</f>
        <v/>
      </c>
    </row>
    <row r="617">
      <c r="A617" s="29" t="n"/>
      <c r="B617" s="31" t="n"/>
      <c r="C617" s="31">
        <f>IF(OR($A617="",$B617=""),"",SUMIFS(QuickLog!$K$2:$K$1000,QuickLog!$B$2:$B$1000,$B617,QuickLog!$O$2:$O$1000,$A617,QuickLog!$G$2:$G$1000,"Routine"))</f>
        <v/>
      </c>
      <c r="D617" s="31">
        <f>IF(OR($A617="",$B617=""),"",SUMIFS(QuickLog!$K$2:$K$1000,QuickLog!$B$2:$B$1000,$B617,QuickLog!$O$2:$O$1000,$A617,QuickLog!$G$2:$G$1000,"&lt;&gt;Routine"))</f>
        <v/>
      </c>
      <c r="E617" s="31">
        <f>IF($C617="","",MIN($C617,Settings!$B$2))</f>
        <v/>
      </c>
      <c r="F617" s="31">
        <f>IF($C617="","",MAX(0,$C617-$E617))</f>
        <v/>
      </c>
      <c r="G617" s="31">
        <f>IF(OR($E617="",$D617=""),"", $E617+$D617)</f>
        <v/>
      </c>
      <c r="H617" s="31">
        <f>IF(OR($A617="",$B617=""),"",SUMIFS(QuickLog!$L$2:$L$1000,QuickLog!$B$2:$B$1000,$B617,QuickLog!$O$2:$O$1000,$A617))</f>
        <v/>
      </c>
      <c r="I617" s="32">
        <f>IF($H617="","",$H617)</f>
        <v/>
      </c>
    </row>
    <row r="618">
      <c r="A618" s="29" t="n"/>
      <c r="B618" s="31" t="n"/>
      <c r="C618" s="31">
        <f>IF(OR($A618="",$B618=""),"",SUMIFS(QuickLog!$K$2:$K$1000,QuickLog!$B$2:$B$1000,$B618,QuickLog!$O$2:$O$1000,$A618,QuickLog!$G$2:$G$1000,"Routine"))</f>
        <v/>
      </c>
      <c r="D618" s="31">
        <f>IF(OR($A618="",$B618=""),"",SUMIFS(QuickLog!$K$2:$K$1000,QuickLog!$B$2:$B$1000,$B618,QuickLog!$O$2:$O$1000,$A618,QuickLog!$G$2:$G$1000,"&lt;&gt;Routine"))</f>
        <v/>
      </c>
      <c r="E618" s="31">
        <f>IF($C618="","",MIN($C618,Settings!$B$2))</f>
        <v/>
      </c>
      <c r="F618" s="31">
        <f>IF($C618="","",MAX(0,$C618-$E618))</f>
        <v/>
      </c>
      <c r="G618" s="31">
        <f>IF(OR($E618="",$D618=""),"", $E618+$D618)</f>
        <v/>
      </c>
      <c r="H618" s="31">
        <f>IF(OR($A618="",$B618=""),"",SUMIFS(QuickLog!$L$2:$L$1000,QuickLog!$B$2:$B$1000,$B618,QuickLog!$O$2:$O$1000,$A618))</f>
        <v/>
      </c>
      <c r="I618" s="32">
        <f>IF($H618="","",$H618)</f>
        <v/>
      </c>
    </row>
    <row r="619">
      <c r="A619" s="29" t="n"/>
      <c r="B619" s="31" t="n"/>
      <c r="C619" s="31">
        <f>IF(OR($A619="",$B619=""),"",SUMIFS(QuickLog!$K$2:$K$1000,QuickLog!$B$2:$B$1000,$B619,QuickLog!$O$2:$O$1000,$A619,QuickLog!$G$2:$G$1000,"Routine"))</f>
        <v/>
      </c>
      <c r="D619" s="31">
        <f>IF(OR($A619="",$B619=""),"",SUMIFS(QuickLog!$K$2:$K$1000,QuickLog!$B$2:$B$1000,$B619,QuickLog!$O$2:$O$1000,$A619,QuickLog!$G$2:$G$1000,"&lt;&gt;Routine"))</f>
        <v/>
      </c>
      <c r="E619" s="31">
        <f>IF($C619="","",MIN($C619,Settings!$B$2))</f>
        <v/>
      </c>
      <c r="F619" s="31">
        <f>IF($C619="","",MAX(0,$C619-$E619))</f>
        <v/>
      </c>
      <c r="G619" s="31">
        <f>IF(OR($E619="",$D619=""),"", $E619+$D619)</f>
        <v/>
      </c>
      <c r="H619" s="31">
        <f>IF(OR($A619="",$B619=""),"",SUMIFS(QuickLog!$L$2:$L$1000,QuickLog!$B$2:$B$1000,$B619,QuickLog!$O$2:$O$1000,$A619))</f>
        <v/>
      </c>
      <c r="I619" s="32">
        <f>IF($H619="","",$H619)</f>
        <v/>
      </c>
    </row>
    <row r="620">
      <c r="A620" s="29" t="n"/>
      <c r="B620" s="31" t="n"/>
      <c r="C620" s="31">
        <f>IF(OR($A620="",$B620=""),"",SUMIFS(QuickLog!$K$2:$K$1000,QuickLog!$B$2:$B$1000,$B620,QuickLog!$O$2:$O$1000,$A620,QuickLog!$G$2:$G$1000,"Routine"))</f>
        <v/>
      </c>
      <c r="D620" s="31">
        <f>IF(OR($A620="",$B620=""),"",SUMIFS(QuickLog!$K$2:$K$1000,QuickLog!$B$2:$B$1000,$B620,QuickLog!$O$2:$O$1000,$A620,QuickLog!$G$2:$G$1000,"&lt;&gt;Routine"))</f>
        <v/>
      </c>
      <c r="E620" s="31">
        <f>IF($C620="","",MIN($C620,Settings!$B$2))</f>
        <v/>
      </c>
      <c r="F620" s="31">
        <f>IF($C620="","",MAX(0,$C620-$E620))</f>
        <v/>
      </c>
      <c r="G620" s="31">
        <f>IF(OR($E620="",$D620=""),"", $E620+$D620)</f>
        <v/>
      </c>
      <c r="H620" s="31">
        <f>IF(OR($A620="",$B620=""),"",SUMIFS(QuickLog!$L$2:$L$1000,QuickLog!$B$2:$B$1000,$B620,QuickLog!$O$2:$O$1000,$A620))</f>
        <v/>
      </c>
      <c r="I620" s="32">
        <f>IF($H620="","",$H620)</f>
        <v/>
      </c>
    </row>
    <row r="621">
      <c r="A621" s="29" t="n"/>
      <c r="B621" s="31" t="n"/>
      <c r="C621" s="31">
        <f>IF(OR($A621="",$B621=""),"",SUMIFS(QuickLog!$K$2:$K$1000,QuickLog!$B$2:$B$1000,$B621,QuickLog!$O$2:$O$1000,$A621,QuickLog!$G$2:$G$1000,"Routine"))</f>
        <v/>
      </c>
      <c r="D621" s="31">
        <f>IF(OR($A621="",$B621=""),"",SUMIFS(QuickLog!$K$2:$K$1000,QuickLog!$B$2:$B$1000,$B621,QuickLog!$O$2:$O$1000,$A621,QuickLog!$G$2:$G$1000,"&lt;&gt;Routine"))</f>
        <v/>
      </c>
      <c r="E621" s="31">
        <f>IF($C621="","",MIN($C621,Settings!$B$2))</f>
        <v/>
      </c>
      <c r="F621" s="31">
        <f>IF($C621="","",MAX(0,$C621-$E621))</f>
        <v/>
      </c>
      <c r="G621" s="31">
        <f>IF(OR($E621="",$D621=""),"", $E621+$D621)</f>
        <v/>
      </c>
      <c r="H621" s="31">
        <f>IF(OR($A621="",$B621=""),"",SUMIFS(QuickLog!$L$2:$L$1000,QuickLog!$B$2:$B$1000,$B621,QuickLog!$O$2:$O$1000,$A621))</f>
        <v/>
      </c>
      <c r="I621" s="32">
        <f>IF($H621="","",$H621)</f>
        <v/>
      </c>
    </row>
    <row r="622">
      <c r="A622" s="29" t="n"/>
      <c r="B622" s="31" t="n"/>
      <c r="C622" s="31">
        <f>IF(OR($A622="",$B622=""),"",SUMIFS(QuickLog!$K$2:$K$1000,QuickLog!$B$2:$B$1000,$B622,QuickLog!$O$2:$O$1000,$A622,QuickLog!$G$2:$G$1000,"Routine"))</f>
        <v/>
      </c>
      <c r="D622" s="31">
        <f>IF(OR($A622="",$B622=""),"",SUMIFS(QuickLog!$K$2:$K$1000,QuickLog!$B$2:$B$1000,$B622,QuickLog!$O$2:$O$1000,$A622,QuickLog!$G$2:$G$1000,"&lt;&gt;Routine"))</f>
        <v/>
      </c>
      <c r="E622" s="31">
        <f>IF($C622="","",MIN($C622,Settings!$B$2))</f>
        <v/>
      </c>
      <c r="F622" s="31">
        <f>IF($C622="","",MAX(0,$C622-$E622))</f>
        <v/>
      </c>
      <c r="G622" s="31">
        <f>IF(OR($E622="",$D622=""),"", $E622+$D622)</f>
        <v/>
      </c>
      <c r="H622" s="31">
        <f>IF(OR($A622="",$B622=""),"",SUMIFS(QuickLog!$L$2:$L$1000,QuickLog!$B$2:$B$1000,$B622,QuickLog!$O$2:$O$1000,$A622))</f>
        <v/>
      </c>
      <c r="I622" s="32">
        <f>IF($H622="","",$H622)</f>
        <v/>
      </c>
    </row>
    <row r="623">
      <c r="A623" s="29" t="n"/>
      <c r="B623" s="31" t="n"/>
      <c r="C623" s="31">
        <f>IF(OR($A623="",$B623=""),"",SUMIFS(QuickLog!$K$2:$K$1000,QuickLog!$B$2:$B$1000,$B623,QuickLog!$O$2:$O$1000,$A623,QuickLog!$G$2:$G$1000,"Routine"))</f>
        <v/>
      </c>
      <c r="D623" s="31">
        <f>IF(OR($A623="",$B623=""),"",SUMIFS(QuickLog!$K$2:$K$1000,QuickLog!$B$2:$B$1000,$B623,QuickLog!$O$2:$O$1000,$A623,QuickLog!$G$2:$G$1000,"&lt;&gt;Routine"))</f>
        <v/>
      </c>
      <c r="E623" s="31">
        <f>IF($C623="","",MIN($C623,Settings!$B$2))</f>
        <v/>
      </c>
      <c r="F623" s="31">
        <f>IF($C623="","",MAX(0,$C623-$E623))</f>
        <v/>
      </c>
      <c r="G623" s="31">
        <f>IF(OR($E623="",$D623=""),"", $E623+$D623)</f>
        <v/>
      </c>
      <c r="H623" s="31">
        <f>IF(OR($A623="",$B623=""),"",SUMIFS(QuickLog!$L$2:$L$1000,QuickLog!$B$2:$B$1000,$B623,QuickLog!$O$2:$O$1000,$A623))</f>
        <v/>
      </c>
      <c r="I623" s="32">
        <f>IF($H623="","",$H623)</f>
        <v/>
      </c>
    </row>
    <row r="624">
      <c r="A624" s="29" t="n"/>
      <c r="B624" s="31" t="n"/>
      <c r="C624" s="31">
        <f>IF(OR($A624="",$B624=""),"",SUMIFS(QuickLog!$K$2:$K$1000,QuickLog!$B$2:$B$1000,$B624,QuickLog!$O$2:$O$1000,$A624,QuickLog!$G$2:$G$1000,"Routine"))</f>
        <v/>
      </c>
      <c r="D624" s="31">
        <f>IF(OR($A624="",$B624=""),"",SUMIFS(QuickLog!$K$2:$K$1000,QuickLog!$B$2:$B$1000,$B624,QuickLog!$O$2:$O$1000,$A624,QuickLog!$G$2:$G$1000,"&lt;&gt;Routine"))</f>
        <v/>
      </c>
      <c r="E624" s="31">
        <f>IF($C624="","",MIN($C624,Settings!$B$2))</f>
        <v/>
      </c>
      <c r="F624" s="31">
        <f>IF($C624="","",MAX(0,$C624-$E624))</f>
        <v/>
      </c>
      <c r="G624" s="31">
        <f>IF(OR($E624="",$D624=""),"", $E624+$D624)</f>
        <v/>
      </c>
      <c r="H624" s="31">
        <f>IF(OR($A624="",$B624=""),"",SUMIFS(QuickLog!$L$2:$L$1000,QuickLog!$B$2:$B$1000,$B624,QuickLog!$O$2:$O$1000,$A624))</f>
        <v/>
      </c>
      <c r="I624" s="32">
        <f>IF($H624="","",$H624)</f>
        <v/>
      </c>
    </row>
    <row r="625">
      <c r="A625" s="29" t="n"/>
      <c r="B625" s="31" t="n"/>
      <c r="C625" s="31">
        <f>IF(OR($A625="",$B625=""),"",SUMIFS(QuickLog!$K$2:$K$1000,QuickLog!$B$2:$B$1000,$B625,QuickLog!$O$2:$O$1000,$A625,QuickLog!$G$2:$G$1000,"Routine"))</f>
        <v/>
      </c>
      <c r="D625" s="31">
        <f>IF(OR($A625="",$B625=""),"",SUMIFS(QuickLog!$K$2:$K$1000,QuickLog!$B$2:$B$1000,$B625,QuickLog!$O$2:$O$1000,$A625,QuickLog!$G$2:$G$1000,"&lt;&gt;Routine"))</f>
        <v/>
      </c>
      <c r="E625" s="31">
        <f>IF($C625="","",MIN($C625,Settings!$B$2))</f>
        <v/>
      </c>
      <c r="F625" s="31">
        <f>IF($C625="","",MAX(0,$C625-$E625))</f>
        <v/>
      </c>
      <c r="G625" s="31">
        <f>IF(OR($E625="",$D625=""),"", $E625+$D625)</f>
        <v/>
      </c>
      <c r="H625" s="31">
        <f>IF(OR($A625="",$B625=""),"",SUMIFS(QuickLog!$L$2:$L$1000,QuickLog!$B$2:$B$1000,$B625,QuickLog!$O$2:$O$1000,$A625))</f>
        <v/>
      </c>
      <c r="I625" s="32">
        <f>IF($H625="","",$H625)</f>
        <v/>
      </c>
    </row>
    <row r="626">
      <c r="A626" s="29" t="n"/>
      <c r="B626" s="31" t="n"/>
      <c r="C626" s="31">
        <f>IF(OR($A626="",$B626=""),"",SUMIFS(QuickLog!$K$2:$K$1000,QuickLog!$B$2:$B$1000,$B626,QuickLog!$O$2:$O$1000,$A626,QuickLog!$G$2:$G$1000,"Routine"))</f>
        <v/>
      </c>
      <c r="D626" s="31">
        <f>IF(OR($A626="",$B626=""),"",SUMIFS(QuickLog!$K$2:$K$1000,QuickLog!$B$2:$B$1000,$B626,QuickLog!$O$2:$O$1000,$A626,QuickLog!$G$2:$G$1000,"&lt;&gt;Routine"))</f>
        <v/>
      </c>
      <c r="E626" s="31">
        <f>IF($C626="","",MIN($C626,Settings!$B$2))</f>
        <v/>
      </c>
      <c r="F626" s="31">
        <f>IF($C626="","",MAX(0,$C626-$E626))</f>
        <v/>
      </c>
      <c r="G626" s="31">
        <f>IF(OR($E626="",$D626=""),"", $E626+$D626)</f>
        <v/>
      </c>
      <c r="H626" s="31">
        <f>IF(OR($A626="",$B626=""),"",SUMIFS(QuickLog!$L$2:$L$1000,QuickLog!$B$2:$B$1000,$B626,QuickLog!$O$2:$O$1000,$A626))</f>
        <v/>
      </c>
      <c r="I626" s="32">
        <f>IF($H626="","",$H626)</f>
        <v/>
      </c>
    </row>
    <row r="627">
      <c r="A627" s="29" t="n"/>
      <c r="B627" s="31" t="n"/>
      <c r="C627" s="31">
        <f>IF(OR($A627="",$B627=""),"",SUMIFS(QuickLog!$K$2:$K$1000,QuickLog!$B$2:$B$1000,$B627,QuickLog!$O$2:$O$1000,$A627,QuickLog!$G$2:$G$1000,"Routine"))</f>
        <v/>
      </c>
      <c r="D627" s="31">
        <f>IF(OR($A627="",$B627=""),"",SUMIFS(QuickLog!$K$2:$K$1000,QuickLog!$B$2:$B$1000,$B627,QuickLog!$O$2:$O$1000,$A627,QuickLog!$G$2:$G$1000,"&lt;&gt;Routine"))</f>
        <v/>
      </c>
      <c r="E627" s="31">
        <f>IF($C627="","",MIN($C627,Settings!$B$2))</f>
        <v/>
      </c>
      <c r="F627" s="31">
        <f>IF($C627="","",MAX(0,$C627-$E627))</f>
        <v/>
      </c>
      <c r="G627" s="31">
        <f>IF(OR($E627="",$D627=""),"", $E627+$D627)</f>
        <v/>
      </c>
      <c r="H627" s="31">
        <f>IF(OR($A627="",$B627=""),"",SUMIFS(QuickLog!$L$2:$L$1000,QuickLog!$B$2:$B$1000,$B627,QuickLog!$O$2:$O$1000,$A627))</f>
        <v/>
      </c>
      <c r="I627" s="32">
        <f>IF($H627="","",$H627)</f>
        <v/>
      </c>
    </row>
    <row r="628">
      <c r="A628" s="29" t="n"/>
      <c r="B628" s="31" t="n"/>
      <c r="C628" s="31">
        <f>IF(OR($A628="",$B628=""),"",SUMIFS(QuickLog!$K$2:$K$1000,QuickLog!$B$2:$B$1000,$B628,QuickLog!$O$2:$O$1000,$A628,QuickLog!$G$2:$G$1000,"Routine"))</f>
        <v/>
      </c>
      <c r="D628" s="31">
        <f>IF(OR($A628="",$B628=""),"",SUMIFS(QuickLog!$K$2:$K$1000,QuickLog!$B$2:$B$1000,$B628,QuickLog!$O$2:$O$1000,$A628,QuickLog!$G$2:$G$1000,"&lt;&gt;Routine"))</f>
        <v/>
      </c>
      <c r="E628" s="31">
        <f>IF($C628="","",MIN($C628,Settings!$B$2))</f>
        <v/>
      </c>
      <c r="F628" s="31">
        <f>IF($C628="","",MAX(0,$C628-$E628))</f>
        <v/>
      </c>
      <c r="G628" s="31">
        <f>IF(OR($E628="",$D628=""),"", $E628+$D628)</f>
        <v/>
      </c>
      <c r="H628" s="31">
        <f>IF(OR($A628="",$B628=""),"",SUMIFS(QuickLog!$L$2:$L$1000,QuickLog!$B$2:$B$1000,$B628,QuickLog!$O$2:$O$1000,$A628))</f>
        <v/>
      </c>
      <c r="I628" s="32">
        <f>IF($H628="","",$H628)</f>
        <v/>
      </c>
    </row>
    <row r="629">
      <c r="A629" s="29" t="n"/>
      <c r="B629" s="31" t="n"/>
      <c r="C629" s="31">
        <f>IF(OR($A629="",$B629=""),"",SUMIFS(QuickLog!$K$2:$K$1000,QuickLog!$B$2:$B$1000,$B629,QuickLog!$O$2:$O$1000,$A629,QuickLog!$G$2:$G$1000,"Routine"))</f>
        <v/>
      </c>
      <c r="D629" s="31">
        <f>IF(OR($A629="",$B629=""),"",SUMIFS(QuickLog!$K$2:$K$1000,QuickLog!$B$2:$B$1000,$B629,QuickLog!$O$2:$O$1000,$A629,QuickLog!$G$2:$G$1000,"&lt;&gt;Routine"))</f>
        <v/>
      </c>
      <c r="E629" s="31">
        <f>IF($C629="","",MIN($C629,Settings!$B$2))</f>
        <v/>
      </c>
      <c r="F629" s="31">
        <f>IF($C629="","",MAX(0,$C629-$E629))</f>
        <v/>
      </c>
      <c r="G629" s="31">
        <f>IF(OR($E629="",$D629=""),"", $E629+$D629)</f>
        <v/>
      </c>
      <c r="H629" s="31">
        <f>IF(OR($A629="",$B629=""),"",SUMIFS(QuickLog!$L$2:$L$1000,QuickLog!$B$2:$B$1000,$B629,QuickLog!$O$2:$O$1000,$A629))</f>
        <v/>
      </c>
      <c r="I629" s="32">
        <f>IF($H629="","",$H629)</f>
        <v/>
      </c>
    </row>
    <row r="630">
      <c r="A630" s="29" t="n"/>
      <c r="B630" s="31" t="n"/>
      <c r="C630" s="31">
        <f>IF(OR($A630="",$B630=""),"",SUMIFS(QuickLog!$K$2:$K$1000,QuickLog!$B$2:$B$1000,$B630,QuickLog!$O$2:$O$1000,$A630,QuickLog!$G$2:$G$1000,"Routine"))</f>
        <v/>
      </c>
      <c r="D630" s="31">
        <f>IF(OR($A630="",$B630=""),"",SUMIFS(QuickLog!$K$2:$K$1000,QuickLog!$B$2:$B$1000,$B630,QuickLog!$O$2:$O$1000,$A630,QuickLog!$G$2:$G$1000,"&lt;&gt;Routine"))</f>
        <v/>
      </c>
      <c r="E630" s="31">
        <f>IF($C630="","",MIN($C630,Settings!$B$2))</f>
        <v/>
      </c>
      <c r="F630" s="31">
        <f>IF($C630="","",MAX(0,$C630-$E630))</f>
        <v/>
      </c>
      <c r="G630" s="31">
        <f>IF(OR($E630="",$D630=""),"", $E630+$D630)</f>
        <v/>
      </c>
      <c r="H630" s="31">
        <f>IF(OR($A630="",$B630=""),"",SUMIFS(QuickLog!$L$2:$L$1000,QuickLog!$B$2:$B$1000,$B630,QuickLog!$O$2:$O$1000,$A630))</f>
        <v/>
      </c>
      <c r="I630" s="32">
        <f>IF($H630="","",$H630)</f>
        <v/>
      </c>
    </row>
    <row r="631">
      <c r="A631" s="29" t="n"/>
      <c r="B631" s="31" t="n"/>
      <c r="C631" s="31">
        <f>IF(OR($A631="",$B631=""),"",SUMIFS(QuickLog!$K$2:$K$1000,QuickLog!$B$2:$B$1000,$B631,QuickLog!$O$2:$O$1000,$A631,QuickLog!$G$2:$G$1000,"Routine"))</f>
        <v/>
      </c>
      <c r="D631" s="31">
        <f>IF(OR($A631="",$B631=""),"",SUMIFS(QuickLog!$K$2:$K$1000,QuickLog!$B$2:$B$1000,$B631,QuickLog!$O$2:$O$1000,$A631,QuickLog!$G$2:$G$1000,"&lt;&gt;Routine"))</f>
        <v/>
      </c>
      <c r="E631" s="31">
        <f>IF($C631="","",MIN($C631,Settings!$B$2))</f>
        <v/>
      </c>
      <c r="F631" s="31">
        <f>IF($C631="","",MAX(0,$C631-$E631))</f>
        <v/>
      </c>
      <c r="G631" s="31">
        <f>IF(OR($E631="",$D631=""),"", $E631+$D631)</f>
        <v/>
      </c>
      <c r="H631" s="31">
        <f>IF(OR($A631="",$B631=""),"",SUMIFS(QuickLog!$L$2:$L$1000,QuickLog!$B$2:$B$1000,$B631,QuickLog!$O$2:$O$1000,$A631))</f>
        <v/>
      </c>
      <c r="I631" s="32">
        <f>IF($H631="","",$H631)</f>
        <v/>
      </c>
    </row>
    <row r="632">
      <c r="A632" s="29" t="n"/>
      <c r="B632" s="31" t="n"/>
      <c r="C632" s="31">
        <f>IF(OR($A632="",$B632=""),"",SUMIFS(QuickLog!$K$2:$K$1000,QuickLog!$B$2:$B$1000,$B632,QuickLog!$O$2:$O$1000,$A632,QuickLog!$G$2:$G$1000,"Routine"))</f>
        <v/>
      </c>
      <c r="D632" s="31">
        <f>IF(OR($A632="",$B632=""),"",SUMIFS(QuickLog!$K$2:$K$1000,QuickLog!$B$2:$B$1000,$B632,QuickLog!$O$2:$O$1000,$A632,QuickLog!$G$2:$G$1000,"&lt;&gt;Routine"))</f>
        <v/>
      </c>
      <c r="E632" s="31">
        <f>IF($C632="","",MIN($C632,Settings!$B$2))</f>
        <v/>
      </c>
      <c r="F632" s="31">
        <f>IF($C632="","",MAX(0,$C632-$E632))</f>
        <v/>
      </c>
      <c r="G632" s="31">
        <f>IF(OR($E632="",$D632=""),"", $E632+$D632)</f>
        <v/>
      </c>
      <c r="H632" s="31">
        <f>IF(OR($A632="",$B632=""),"",SUMIFS(QuickLog!$L$2:$L$1000,QuickLog!$B$2:$B$1000,$B632,QuickLog!$O$2:$O$1000,$A632))</f>
        <v/>
      </c>
      <c r="I632" s="32">
        <f>IF($H632="","",$H632)</f>
        <v/>
      </c>
    </row>
    <row r="633">
      <c r="A633" s="29" t="n"/>
      <c r="B633" s="31" t="n"/>
      <c r="C633" s="31">
        <f>IF(OR($A633="",$B633=""),"",SUMIFS(QuickLog!$K$2:$K$1000,QuickLog!$B$2:$B$1000,$B633,QuickLog!$O$2:$O$1000,$A633,QuickLog!$G$2:$G$1000,"Routine"))</f>
        <v/>
      </c>
      <c r="D633" s="31">
        <f>IF(OR($A633="",$B633=""),"",SUMIFS(QuickLog!$K$2:$K$1000,QuickLog!$B$2:$B$1000,$B633,QuickLog!$O$2:$O$1000,$A633,QuickLog!$G$2:$G$1000,"&lt;&gt;Routine"))</f>
        <v/>
      </c>
      <c r="E633" s="31">
        <f>IF($C633="","",MIN($C633,Settings!$B$2))</f>
        <v/>
      </c>
      <c r="F633" s="31">
        <f>IF($C633="","",MAX(0,$C633-$E633))</f>
        <v/>
      </c>
      <c r="G633" s="31">
        <f>IF(OR($E633="",$D633=""),"", $E633+$D633)</f>
        <v/>
      </c>
      <c r="H633" s="31">
        <f>IF(OR($A633="",$B633=""),"",SUMIFS(QuickLog!$L$2:$L$1000,QuickLog!$B$2:$B$1000,$B633,QuickLog!$O$2:$O$1000,$A633))</f>
        <v/>
      </c>
      <c r="I633" s="32">
        <f>IF($H633="","",$H633)</f>
        <v/>
      </c>
    </row>
    <row r="634">
      <c r="A634" s="29" t="n"/>
      <c r="B634" s="31" t="n"/>
      <c r="C634" s="31">
        <f>IF(OR($A634="",$B634=""),"",SUMIFS(QuickLog!$K$2:$K$1000,QuickLog!$B$2:$B$1000,$B634,QuickLog!$O$2:$O$1000,$A634,QuickLog!$G$2:$G$1000,"Routine"))</f>
        <v/>
      </c>
      <c r="D634" s="31">
        <f>IF(OR($A634="",$B634=""),"",SUMIFS(QuickLog!$K$2:$K$1000,QuickLog!$B$2:$B$1000,$B634,QuickLog!$O$2:$O$1000,$A634,QuickLog!$G$2:$G$1000,"&lt;&gt;Routine"))</f>
        <v/>
      </c>
      <c r="E634" s="31">
        <f>IF($C634="","",MIN($C634,Settings!$B$2))</f>
        <v/>
      </c>
      <c r="F634" s="31">
        <f>IF($C634="","",MAX(0,$C634-$E634))</f>
        <v/>
      </c>
      <c r="G634" s="31">
        <f>IF(OR($E634="",$D634=""),"", $E634+$D634)</f>
        <v/>
      </c>
      <c r="H634" s="31">
        <f>IF(OR($A634="",$B634=""),"",SUMIFS(QuickLog!$L$2:$L$1000,QuickLog!$B$2:$B$1000,$B634,QuickLog!$O$2:$O$1000,$A634))</f>
        <v/>
      </c>
      <c r="I634" s="32">
        <f>IF($H634="","",$H634)</f>
        <v/>
      </c>
    </row>
    <row r="635">
      <c r="A635" s="29" t="n"/>
      <c r="B635" s="31" t="n"/>
      <c r="C635" s="31">
        <f>IF(OR($A635="",$B635=""),"",SUMIFS(QuickLog!$K$2:$K$1000,QuickLog!$B$2:$B$1000,$B635,QuickLog!$O$2:$O$1000,$A635,QuickLog!$G$2:$G$1000,"Routine"))</f>
        <v/>
      </c>
      <c r="D635" s="31">
        <f>IF(OR($A635="",$B635=""),"",SUMIFS(QuickLog!$K$2:$K$1000,QuickLog!$B$2:$B$1000,$B635,QuickLog!$O$2:$O$1000,$A635,QuickLog!$G$2:$G$1000,"&lt;&gt;Routine"))</f>
        <v/>
      </c>
      <c r="E635" s="31">
        <f>IF($C635="","",MIN($C635,Settings!$B$2))</f>
        <v/>
      </c>
      <c r="F635" s="31">
        <f>IF($C635="","",MAX(0,$C635-$E635))</f>
        <v/>
      </c>
      <c r="G635" s="31">
        <f>IF(OR($E635="",$D635=""),"", $E635+$D635)</f>
        <v/>
      </c>
      <c r="H635" s="31">
        <f>IF(OR($A635="",$B635=""),"",SUMIFS(QuickLog!$L$2:$L$1000,QuickLog!$B$2:$B$1000,$B635,QuickLog!$O$2:$O$1000,$A635))</f>
        <v/>
      </c>
      <c r="I635" s="32">
        <f>IF($H635="","",$H635)</f>
        <v/>
      </c>
    </row>
    <row r="636">
      <c r="A636" s="29" t="n"/>
      <c r="B636" s="31" t="n"/>
      <c r="C636" s="31">
        <f>IF(OR($A636="",$B636=""),"",SUMIFS(QuickLog!$K$2:$K$1000,QuickLog!$B$2:$B$1000,$B636,QuickLog!$O$2:$O$1000,$A636,QuickLog!$G$2:$G$1000,"Routine"))</f>
        <v/>
      </c>
      <c r="D636" s="31">
        <f>IF(OR($A636="",$B636=""),"",SUMIFS(QuickLog!$K$2:$K$1000,QuickLog!$B$2:$B$1000,$B636,QuickLog!$O$2:$O$1000,$A636,QuickLog!$G$2:$G$1000,"&lt;&gt;Routine"))</f>
        <v/>
      </c>
      <c r="E636" s="31">
        <f>IF($C636="","",MIN($C636,Settings!$B$2))</f>
        <v/>
      </c>
      <c r="F636" s="31">
        <f>IF($C636="","",MAX(0,$C636-$E636))</f>
        <v/>
      </c>
      <c r="G636" s="31">
        <f>IF(OR($E636="",$D636=""),"", $E636+$D636)</f>
        <v/>
      </c>
      <c r="H636" s="31">
        <f>IF(OR($A636="",$B636=""),"",SUMIFS(QuickLog!$L$2:$L$1000,QuickLog!$B$2:$B$1000,$B636,QuickLog!$O$2:$O$1000,$A636))</f>
        <v/>
      </c>
      <c r="I636" s="32">
        <f>IF($H636="","",$H636)</f>
        <v/>
      </c>
    </row>
    <row r="637">
      <c r="A637" s="29" t="n"/>
      <c r="B637" s="31" t="n"/>
      <c r="C637" s="31">
        <f>IF(OR($A637="",$B637=""),"",SUMIFS(QuickLog!$K$2:$K$1000,QuickLog!$B$2:$B$1000,$B637,QuickLog!$O$2:$O$1000,$A637,QuickLog!$G$2:$G$1000,"Routine"))</f>
        <v/>
      </c>
      <c r="D637" s="31">
        <f>IF(OR($A637="",$B637=""),"",SUMIFS(QuickLog!$K$2:$K$1000,QuickLog!$B$2:$B$1000,$B637,QuickLog!$O$2:$O$1000,$A637,QuickLog!$G$2:$G$1000,"&lt;&gt;Routine"))</f>
        <v/>
      </c>
      <c r="E637" s="31">
        <f>IF($C637="","",MIN($C637,Settings!$B$2))</f>
        <v/>
      </c>
      <c r="F637" s="31">
        <f>IF($C637="","",MAX(0,$C637-$E637))</f>
        <v/>
      </c>
      <c r="G637" s="31">
        <f>IF(OR($E637="",$D637=""),"", $E637+$D637)</f>
        <v/>
      </c>
      <c r="H637" s="31">
        <f>IF(OR($A637="",$B637=""),"",SUMIFS(QuickLog!$L$2:$L$1000,QuickLog!$B$2:$B$1000,$B637,QuickLog!$O$2:$O$1000,$A637))</f>
        <v/>
      </c>
      <c r="I637" s="32">
        <f>IF($H637="","",$H637)</f>
        <v/>
      </c>
    </row>
    <row r="638">
      <c r="A638" s="29" t="n"/>
      <c r="B638" s="31" t="n"/>
      <c r="C638" s="31">
        <f>IF(OR($A638="",$B638=""),"",SUMIFS(QuickLog!$K$2:$K$1000,QuickLog!$B$2:$B$1000,$B638,QuickLog!$O$2:$O$1000,$A638,QuickLog!$G$2:$G$1000,"Routine"))</f>
        <v/>
      </c>
      <c r="D638" s="31">
        <f>IF(OR($A638="",$B638=""),"",SUMIFS(QuickLog!$K$2:$K$1000,QuickLog!$B$2:$B$1000,$B638,QuickLog!$O$2:$O$1000,$A638,QuickLog!$G$2:$G$1000,"&lt;&gt;Routine"))</f>
        <v/>
      </c>
      <c r="E638" s="31">
        <f>IF($C638="","",MIN($C638,Settings!$B$2))</f>
        <v/>
      </c>
      <c r="F638" s="31">
        <f>IF($C638="","",MAX(0,$C638-$E638))</f>
        <v/>
      </c>
      <c r="G638" s="31">
        <f>IF(OR($E638="",$D638=""),"", $E638+$D638)</f>
        <v/>
      </c>
      <c r="H638" s="31">
        <f>IF(OR($A638="",$B638=""),"",SUMIFS(QuickLog!$L$2:$L$1000,QuickLog!$B$2:$B$1000,$B638,QuickLog!$O$2:$O$1000,$A638))</f>
        <v/>
      </c>
      <c r="I638" s="32">
        <f>IF($H638="","",$H638)</f>
        <v/>
      </c>
    </row>
    <row r="639">
      <c r="A639" s="29" t="n"/>
      <c r="B639" s="31" t="n"/>
      <c r="C639" s="31">
        <f>IF(OR($A639="",$B639=""),"",SUMIFS(QuickLog!$K$2:$K$1000,QuickLog!$B$2:$B$1000,$B639,QuickLog!$O$2:$O$1000,$A639,QuickLog!$G$2:$G$1000,"Routine"))</f>
        <v/>
      </c>
      <c r="D639" s="31">
        <f>IF(OR($A639="",$B639=""),"",SUMIFS(QuickLog!$K$2:$K$1000,QuickLog!$B$2:$B$1000,$B639,QuickLog!$O$2:$O$1000,$A639,QuickLog!$G$2:$G$1000,"&lt;&gt;Routine"))</f>
        <v/>
      </c>
      <c r="E639" s="31">
        <f>IF($C639="","",MIN($C639,Settings!$B$2))</f>
        <v/>
      </c>
      <c r="F639" s="31">
        <f>IF($C639="","",MAX(0,$C639-$E639))</f>
        <v/>
      </c>
      <c r="G639" s="31">
        <f>IF(OR($E639="",$D639=""),"", $E639+$D639)</f>
        <v/>
      </c>
      <c r="H639" s="31">
        <f>IF(OR($A639="",$B639=""),"",SUMIFS(QuickLog!$L$2:$L$1000,QuickLog!$B$2:$B$1000,$B639,QuickLog!$O$2:$O$1000,$A639))</f>
        <v/>
      </c>
      <c r="I639" s="32">
        <f>IF($H639="","",$H639)</f>
        <v/>
      </c>
    </row>
    <row r="640">
      <c r="A640" s="29" t="n"/>
      <c r="B640" s="31" t="n"/>
      <c r="C640" s="31">
        <f>IF(OR($A640="",$B640=""),"",SUMIFS(QuickLog!$K$2:$K$1000,QuickLog!$B$2:$B$1000,$B640,QuickLog!$O$2:$O$1000,$A640,QuickLog!$G$2:$G$1000,"Routine"))</f>
        <v/>
      </c>
      <c r="D640" s="31">
        <f>IF(OR($A640="",$B640=""),"",SUMIFS(QuickLog!$K$2:$K$1000,QuickLog!$B$2:$B$1000,$B640,QuickLog!$O$2:$O$1000,$A640,QuickLog!$G$2:$G$1000,"&lt;&gt;Routine"))</f>
        <v/>
      </c>
      <c r="E640" s="31">
        <f>IF($C640="","",MIN($C640,Settings!$B$2))</f>
        <v/>
      </c>
      <c r="F640" s="31">
        <f>IF($C640="","",MAX(0,$C640-$E640))</f>
        <v/>
      </c>
      <c r="G640" s="31">
        <f>IF(OR($E640="",$D640=""),"", $E640+$D640)</f>
        <v/>
      </c>
      <c r="H640" s="31">
        <f>IF(OR($A640="",$B640=""),"",SUMIFS(QuickLog!$L$2:$L$1000,QuickLog!$B$2:$B$1000,$B640,QuickLog!$O$2:$O$1000,$A640))</f>
        <v/>
      </c>
      <c r="I640" s="32">
        <f>IF($H640="","",$H640)</f>
        <v/>
      </c>
    </row>
    <row r="641">
      <c r="A641" s="29" t="n"/>
      <c r="B641" s="31" t="n"/>
      <c r="C641" s="31">
        <f>IF(OR($A641="",$B641=""),"",SUMIFS(QuickLog!$K$2:$K$1000,QuickLog!$B$2:$B$1000,$B641,QuickLog!$O$2:$O$1000,$A641,QuickLog!$G$2:$G$1000,"Routine"))</f>
        <v/>
      </c>
      <c r="D641" s="31">
        <f>IF(OR($A641="",$B641=""),"",SUMIFS(QuickLog!$K$2:$K$1000,QuickLog!$B$2:$B$1000,$B641,QuickLog!$O$2:$O$1000,$A641,QuickLog!$G$2:$G$1000,"&lt;&gt;Routine"))</f>
        <v/>
      </c>
      <c r="E641" s="31">
        <f>IF($C641="","",MIN($C641,Settings!$B$2))</f>
        <v/>
      </c>
      <c r="F641" s="31">
        <f>IF($C641="","",MAX(0,$C641-$E641))</f>
        <v/>
      </c>
      <c r="G641" s="31">
        <f>IF(OR($E641="",$D641=""),"", $E641+$D641)</f>
        <v/>
      </c>
      <c r="H641" s="31">
        <f>IF(OR($A641="",$B641=""),"",SUMIFS(QuickLog!$L$2:$L$1000,QuickLog!$B$2:$B$1000,$B641,QuickLog!$O$2:$O$1000,$A641))</f>
        <v/>
      </c>
      <c r="I641" s="32">
        <f>IF($H641="","",$H641)</f>
        <v/>
      </c>
    </row>
    <row r="642">
      <c r="A642" s="29" t="n"/>
      <c r="B642" s="31" t="n"/>
      <c r="C642" s="31">
        <f>IF(OR($A642="",$B642=""),"",SUMIFS(QuickLog!$K$2:$K$1000,QuickLog!$B$2:$B$1000,$B642,QuickLog!$O$2:$O$1000,$A642,QuickLog!$G$2:$G$1000,"Routine"))</f>
        <v/>
      </c>
      <c r="D642" s="31">
        <f>IF(OR($A642="",$B642=""),"",SUMIFS(QuickLog!$K$2:$K$1000,QuickLog!$B$2:$B$1000,$B642,QuickLog!$O$2:$O$1000,$A642,QuickLog!$G$2:$G$1000,"&lt;&gt;Routine"))</f>
        <v/>
      </c>
      <c r="E642" s="31">
        <f>IF($C642="","",MIN($C642,Settings!$B$2))</f>
        <v/>
      </c>
      <c r="F642" s="31">
        <f>IF($C642="","",MAX(0,$C642-$E642))</f>
        <v/>
      </c>
      <c r="G642" s="31">
        <f>IF(OR($E642="",$D642=""),"", $E642+$D642)</f>
        <v/>
      </c>
      <c r="H642" s="31">
        <f>IF(OR($A642="",$B642=""),"",SUMIFS(QuickLog!$L$2:$L$1000,QuickLog!$B$2:$B$1000,$B642,QuickLog!$O$2:$O$1000,$A642))</f>
        <v/>
      </c>
      <c r="I642" s="32">
        <f>IF($H642="","",$H642)</f>
        <v/>
      </c>
    </row>
    <row r="643">
      <c r="A643" s="29" t="n"/>
      <c r="B643" s="31" t="n"/>
      <c r="C643" s="31">
        <f>IF(OR($A643="",$B643=""),"",SUMIFS(QuickLog!$K$2:$K$1000,QuickLog!$B$2:$B$1000,$B643,QuickLog!$O$2:$O$1000,$A643,QuickLog!$G$2:$G$1000,"Routine"))</f>
        <v/>
      </c>
      <c r="D643" s="31">
        <f>IF(OR($A643="",$B643=""),"",SUMIFS(QuickLog!$K$2:$K$1000,QuickLog!$B$2:$B$1000,$B643,QuickLog!$O$2:$O$1000,$A643,QuickLog!$G$2:$G$1000,"&lt;&gt;Routine"))</f>
        <v/>
      </c>
      <c r="E643" s="31">
        <f>IF($C643="","",MIN($C643,Settings!$B$2))</f>
        <v/>
      </c>
      <c r="F643" s="31">
        <f>IF($C643="","",MAX(0,$C643-$E643))</f>
        <v/>
      </c>
      <c r="G643" s="31">
        <f>IF(OR($E643="",$D643=""),"", $E643+$D643)</f>
        <v/>
      </c>
      <c r="H643" s="31">
        <f>IF(OR($A643="",$B643=""),"",SUMIFS(QuickLog!$L$2:$L$1000,QuickLog!$B$2:$B$1000,$B643,QuickLog!$O$2:$O$1000,$A643))</f>
        <v/>
      </c>
      <c r="I643" s="32">
        <f>IF($H643="","",$H643)</f>
        <v/>
      </c>
    </row>
    <row r="644">
      <c r="A644" s="29" t="n"/>
      <c r="B644" s="31" t="n"/>
      <c r="C644" s="31">
        <f>IF(OR($A644="",$B644=""),"",SUMIFS(QuickLog!$K$2:$K$1000,QuickLog!$B$2:$B$1000,$B644,QuickLog!$O$2:$O$1000,$A644,QuickLog!$G$2:$G$1000,"Routine"))</f>
        <v/>
      </c>
      <c r="D644" s="31">
        <f>IF(OR($A644="",$B644=""),"",SUMIFS(QuickLog!$K$2:$K$1000,QuickLog!$B$2:$B$1000,$B644,QuickLog!$O$2:$O$1000,$A644,QuickLog!$G$2:$G$1000,"&lt;&gt;Routine"))</f>
        <v/>
      </c>
      <c r="E644" s="31">
        <f>IF($C644="","",MIN($C644,Settings!$B$2))</f>
        <v/>
      </c>
      <c r="F644" s="31">
        <f>IF($C644="","",MAX(0,$C644-$E644))</f>
        <v/>
      </c>
      <c r="G644" s="31">
        <f>IF(OR($E644="",$D644=""),"", $E644+$D644)</f>
        <v/>
      </c>
      <c r="H644" s="31">
        <f>IF(OR($A644="",$B644=""),"",SUMIFS(QuickLog!$L$2:$L$1000,QuickLog!$B$2:$B$1000,$B644,QuickLog!$O$2:$O$1000,$A644))</f>
        <v/>
      </c>
      <c r="I644" s="32">
        <f>IF($H644="","",$H644)</f>
        <v/>
      </c>
    </row>
    <row r="645">
      <c r="A645" s="29" t="n"/>
      <c r="B645" s="31" t="n"/>
      <c r="C645" s="31">
        <f>IF(OR($A645="",$B645=""),"",SUMIFS(QuickLog!$K$2:$K$1000,QuickLog!$B$2:$B$1000,$B645,QuickLog!$O$2:$O$1000,$A645,QuickLog!$G$2:$G$1000,"Routine"))</f>
        <v/>
      </c>
      <c r="D645" s="31">
        <f>IF(OR($A645="",$B645=""),"",SUMIFS(QuickLog!$K$2:$K$1000,QuickLog!$B$2:$B$1000,$B645,QuickLog!$O$2:$O$1000,$A645,QuickLog!$G$2:$G$1000,"&lt;&gt;Routine"))</f>
        <v/>
      </c>
      <c r="E645" s="31">
        <f>IF($C645="","",MIN($C645,Settings!$B$2))</f>
        <v/>
      </c>
      <c r="F645" s="31">
        <f>IF($C645="","",MAX(0,$C645-$E645))</f>
        <v/>
      </c>
      <c r="G645" s="31">
        <f>IF(OR($E645="",$D645=""),"", $E645+$D645)</f>
        <v/>
      </c>
      <c r="H645" s="31">
        <f>IF(OR($A645="",$B645=""),"",SUMIFS(QuickLog!$L$2:$L$1000,QuickLog!$B$2:$B$1000,$B645,QuickLog!$O$2:$O$1000,$A645))</f>
        <v/>
      </c>
      <c r="I645" s="32">
        <f>IF($H645="","",$H645)</f>
        <v/>
      </c>
    </row>
    <row r="646">
      <c r="A646" s="29" t="n"/>
      <c r="B646" s="31" t="n"/>
      <c r="C646" s="31">
        <f>IF(OR($A646="",$B646=""),"",SUMIFS(QuickLog!$K$2:$K$1000,QuickLog!$B$2:$B$1000,$B646,QuickLog!$O$2:$O$1000,$A646,QuickLog!$G$2:$G$1000,"Routine"))</f>
        <v/>
      </c>
      <c r="D646" s="31">
        <f>IF(OR($A646="",$B646=""),"",SUMIFS(QuickLog!$K$2:$K$1000,QuickLog!$B$2:$B$1000,$B646,QuickLog!$O$2:$O$1000,$A646,QuickLog!$G$2:$G$1000,"&lt;&gt;Routine"))</f>
        <v/>
      </c>
      <c r="E646" s="31">
        <f>IF($C646="","",MIN($C646,Settings!$B$2))</f>
        <v/>
      </c>
      <c r="F646" s="31">
        <f>IF($C646="","",MAX(0,$C646-$E646))</f>
        <v/>
      </c>
      <c r="G646" s="31">
        <f>IF(OR($E646="",$D646=""),"", $E646+$D646)</f>
        <v/>
      </c>
      <c r="H646" s="31">
        <f>IF(OR($A646="",$B646=""),"",SUMIFS(QuickLog!$L$2:$L$1000,QuickLog!$B$2:$B$1000,$B646,QuickLog!$O$2:$O$1000,$A646))</f>
        <v/>
      </c>
      <c r="I646" s="32">
        <f>IF($H646="","",$H646)</f>
        <v/>
      </c>
    </row>
    <row r="647">
      <c r="A647" s="29" t="n"/>
      <c r="B647" s="31" t="n"/>
      <c r="C647" s="31">
        <f>IF(OR($A647="",$B647=""),"",SUMIFS(QuickLog!$K$2:$K$1000,QuickLog!$B$2:$B$1000,$B647,QuickLog!$O$2:$O$1000,$A647,QuickLog!$G$2:$G$1000,"Routine"))</f>
        <v/>
      </c>
      <c r="D647" s="31">
        <f>IF(OR($A647="",$B647=""),"",SUMIFS(QuickLog!$K$2:$K$1000,QuickLog!$B$2:$B$1000,$B647,QuickLog!$O$2:$O$1000,$A647,QuickLog!$G$2:$G$1000,"&lt;&gt;Routine"))</f>
        <v/>
      </c>
      <c r="E647" s="31">
        <f>IF($C647="","",MIN($C647,Settings!$B$2))</f>
        <v/>
      </c>
      <c r="F647" s="31">
        <f>IF($C647="","",MAX(0,$C647-$E647))</f>
        <v/>
      </c>
      <c r="G647" s="31">
        <f>IF(OR($E647="",$D647=""),"", $E647+$D647)</f>
        <v/>
      </c>
      <c r="H647" s="31">
        <f>IF(OR($A647="",$B647=""),"",SUMIFS(QuickLog!$L$2:$L$1000,QuickLog!$B$2:$B$1000,$B647,QuickLog!$O$2:$O$1000,$A647))</f>
        <v/>
      </c>
      <c r="I647" s="32">
        <f>IF($H647="","",$H647)</f>
        <v/>
      </c>
    </row>
    <row r="648">
      <c r="A648" s="29" t="n"/>
      <c r="B648" s="31" t="n"/>
      <c r="C648" s="31">
        <f>IF(OR($A648="",$B648=""),"",SUMIFS(QuickLog!$K$2:$K$1000,QuickLog!$B$2:$B$1000,$B648,QuickLog!$O$2:$O$1000,$A648,QuickLog!$G$2:$G$1000,"Routine"))</f>
        <v/>
      </c>
      <c r="D648" s="31">
        <f>IF(OR($A648="",$B648=""),"",SUMIFS(QuickLog!$K$2:$K$1000,QuickLog!$B$2:$B$1000,$B648,QuickLog!$O$2:$O$1000,$A648,QuickLog!$G$2:$G$1000,"&lt;&gt;Routine"))</f>
        <v/>
      </c>
      <c r="E648" s="31">
        <f>IF($C648="","",MIN($C648,Settings!$B$2))</f>
        <v/>
      </c>
      <c r="F648" s="31">
        <f>IF($C648="","",MAX(0,$C648-$E648))</f>
        <v/>
      </c>
      <c r="G648" s="31">
        <f>IF(OR($E648="",$D648=""),"", $E648+$D648)</f>
        <v/>
      </c>
      <c r="H648" s="31">
        <f>IF(OR($A648="",$B648=""),"",SUMIFS(QuickLog!$L$2:$L$1000,QuickLog!$B$2:$B$1000,$B648,QuickLog!$O$2:$O$1000,$A648))</f>
        <v/>
      </c>
      <c r="I648" s="32">
        <f>IF($H648="","",$H648)</f>
        <v/>
      </c>
    </row>
    <row r="649">
      <c r="A649" s="29" t="n"/>
      <c r="B649" s="31" t="n"/>
      <c r="C649" s="31">
        <f>IF(OR($A649="",$B649=""),"",SUMIFS(QuickLog!$K$2:$K$1000,QuickLog!$B$2:$B$1000,$B649,QuickLog!$O$2:$O$1000,$A649,QuickLog!$G$2:$G$1000,"Routine"))</f>
        <v/>
      </c>
      <c r="D649" s="31">
        <f>IF(OR($A649="",$B649=""),"",SUMIFS(QuickLog!$K$2:$K$1000,QuickLog!$B$2:$B$1000,$B649,QuickLog!$O$2:$O$1000,$A649,QuickLog!$G$2:$G$1000,"&lt;&gt;Routine"))</f>
        <v/>
      </c>
      <c r="E649" s="31">
        <f>IF($C649="","",MIN($C649,Settings!$B$2))</f>
        <v/>
      </c>
      <c r="F649" s="31">
        <f>IF($C649="","",MAX(0,$C649-$E649))</f>
        <v/>
      </c>
      <c r="G649" s="31">
        <f>IF(OR($E649="",$D649=""),"", $E649+$D649)</f>
        <v/>
      </c>
      <c r="H649" s="31">
        <f>IF(OR($A649="",$B649=""),"",SUMIFS(QuickLog!$L$2:$L$1000,QuickLog!$B$2:$B$1000,$B649,QuickLog!$O$2:$O$1000,$A649))</f>
        <v/>
      </c>
      <c r="I649" s="32">
        <f>IF($H649="","",$H649)</f>
        <v/>
      </c>
    </row>
    <row r="650">
      <c r="A650" s="29" t="n"/>
      <c r="B650" s="31" t="n"/>
      <c r="C650" s="31">
        <f>IF(OR($A650="",$B650=""),"",SUMIFS(QuickLog!$K$2:$K$1000,QuickLog!$B$2:$B$1000,$B650,QuickLog!$O$2:$O$1000,$A650,QuickLog!$G$2:$G$1000,"Routine"))</f>
        <v/>
      </c>
      <c r="D650" s="31">
        <f>IF(OR($A650="",$B650=""),"",SUMIFS(QuickLog!$K$2:$K$1000,QuickLog!$B$2:$B$1000,$B650,QuickLog!$O$2:$O$1000,$A650,QuickLog!$G$2:$G$1000,"&lt;&gt;Routine"))</f>
        <v/>
      </c>
      <c r="E650" s="31">
        <f>IF($C650="","",MIN($C650,Settings!$B$2))</f>
        <v/>
      </c>
      <c r="F650" s="31">
        <f>IF($C650="","",MAX(0,$C650-$E650))</f>
        <v/>
      </c>
      <c r="G650" s="31">
        <f>IF(OR($E650="",$D650=""),"", $E650+$D650)</f>
        <v/>
      </c>
      <c r="H650" s="31">
        <f>IF(OR($A650="",$B650=""),"",SUMIFS(QuickLog!$L$2:$L$1000,QuickLog!$B$2:$B$1000,$B650,QuickLog!$O$2:$O$1000,$A650))</f>
        <v/>
      </c>
      <c r="I650" s="32">
        <f>IF($H650="","",$H650)</f>
        <v/>
      </c>
    </row>
    <row r="651">
      <c r="A651" s="29" t="n"/>
      <c r="B651" s="31" t="n"/>
      <c r="C651" s="31">
        <f>IF(OR($A651="",$B651=""),"",SUMIFS(QuickLog!$K$2:$K$1000,QuickLog!$B$2:$B$1000,$B651,QuickLog!$O$2:$O$1000,$A651,QuickLog!$G$2:$G$1000,"Routine"))</f>
        <v/>
      </c>
      <c r="D651" s="31">
        <f>IF(OR($A651="",$B651=""),"",SUMIFS(QuickLog!$K$2:$K$1000,QuickLog!$B$2:$B$1000,$B651,QuickLog!$O$2:$O$1000,$A651,QuickLog!$G$2:$G$1000,"&lt;&gt;Routine"))</f>
        <v/>
      </c>
      <c r="E651" s="31">
        <f>IF($C651="","",MIN($C651,Settings!$B$2))</f>
        <v/>
      </c>
      <c r="F651" s="31">
        <f>IF($C651="","",MAX(0,$C651-$E651))</f>
        <v/>
      </c>
      <c r="G651" s="31">
        <f>IF(OR($E651="",$D651=""),"", $E651+$D651)</f>
        <v/>
      </c>
      <c r="H651" s="31">
        <f>IF(OR($A651="",$B651=""),"",SUMIFS(QuickLog!$L$2:$L$1000,QuickLog!$B$2:$B$1000,$B651,QuickLog!$O$2:$O$1000,$A651))</f>
        <v/>
      </c>
      <c r="I651" s="32">
        <f>IF($H651="","",$H651)</f>
        <v/>
      </c>
    </row>
    <row r="652">
      <c r="A652" s="29" t="n"/>
      <c r="B652" s="31" t="n"/>
      <c r="C652" s="31">
        <f>IF(OR($A652="",$B652=""),"",SUMIFS(QuickLog!$K$2:$K$1000,QuickLog!$B$2:$B$1000,$B652,QuickLog!$O$2:$O$1000,$A652,QuickLog!$G$2:$G$1000,"Routine"))</f>
        <v/>
      </c>
      <c r="D652" s="31">
        <f>IF(OR($A652="",$B652=""),"",SUMIFS(QuickLog!$K$2:$K$1000,QuickLog!$B$2:$B$1000,$B652,QuickLog!$O$2:$O$1000,$A652,QuickLog!$G$2:$G$1000,"&lt;&gt;Routine"))</f>
        <v/>
      </c>
      <c r="E652" s="31">
        <f>IF($C652="","",MIN($C652,Settings!$B$2))</f>
        <v/>
      </c>
      <c r="F652" s="31">
        <f>IF($C652="","",MAX(0,$C652-$E652))</f>
        <v/>
      </c>
      <c r="G652" s="31">
        <f>IF(OR($E652="",$D652=""),"", $E652+$D652)</f>
        <v/>
      </c>
      <c r="H652" s="31">
        <f>IF(OR($A652="",$B652=""),"",SUMIFS(QuickLog!$L$2:$L$1000,QuickLog!$B$2:$B$1000,$B652,QuickLog!$O$2:$O$1000,$A652))</f>
        <v/>
      </c>
      <c r="I652" s="32">
        <f>IF($H652="","",$H652)</f>
        <v/>
      </c>
    </row>
    <row r="653">
      <c r="A653" s="29" t="n"/>
      <c r="B653" s="31" t="n"/>
      <c r="C653" s="31">
        <f>IF(OR($A653="",$B653=""),"",SUMIFS(QuickLog!$K$2:$K$1000,QuickLog!$B$2:$B$1000,$B653,QuickLog!$O$2:$O$1000,$A653,QuickLog!$G$2:$G$1000,"Routine"))</f>
        <v/>
      </c>
      <c r="D653" s="31">
        <f>IF(OR($A653="",$B653=""),"",SUMIFS(QuickLog!$K$2:$K$1000,QuickLog!$B$2:$B$1000,$B653,QuickLog!$O$2:$O$1000,$A653,QuickLog!$G$2:$G$1000,"&lt;&gt;Routine"))</f>
        <v/>
      </c>
      <c r="E653" s="31">
        <f>IF($C653="","",MIN($C653,Settings!$B$2))</f>
        <v/>
      </c>
      <c r="F653" s="31">
        <f>IF($C653="","",MAX(0,$C653-$E653))</f>
        <v/>
      </c>
      <c r="G653" s="31">
        <f>IF(OR($E653="",$D653=""),"", $E653+$D653)</f>
        <v/>
      </c>
      <c r="H653" s="31">
        <f>IF(OR($A653="",$B653=""),"",SUMIFS(QuickLog!$L$2:$L$1000,QuickLog!$B$2:$B$1000,$B653,QuickLog!$O$2:$O$1000,$A653))</f>
        <v/>
      </c>
      <c r="I653" s="32">
        <f>IF($H653="","",$H653)</f>
        <v/>
      </c>
    </row>
    <row r="654">
      <c r="A654" s="29" t="n"/>
      <c r="B654" s="31" t="n"/>
      <c r="C654" s="31">
        <f>IF(OR($A654="",$B654=""),"",SUMIFS(QuickLog!$K$2:$K$1000,QuickLog!$B$2:$B$1000,$B654,QuickLog!$O$2:$O$1000,$A654,QuickLog!$G$2:$G$1000,"Routine"))</f>
        <v/>
      </c>
      <c r="D654" s="31">
        <f>IF(OR($A654="",$B654=""),"",SUMIFS(QuickLog!$K$2:$K$1000,QuickLog!$B$2:$B$1000,$B654,QuickLog!$O$2:$O$1000,$A654,QuickLog!$G$2:$G$1000,"&lt;&gt;Routine"))</f>
        <v/>
      </c>
      <c r="E654" s="31">
        <f>IF($C654="","",MIN($C654,Settings!$B$2))</f>
        <v/>
      </c>
      <c r="F654" s="31">
        <f>IF($C654="","",MAX(0,$C654-$E654))</f>
        <v/>
      </c>
      <c r="G654" s="31">
        <f>IF(OR($E654="",$D654=""),"", $E654+$D654)</f>
        <v/>
      </c>
      <c r="H654" s="31">
        <f>IF(OR($A654="",$B654=""),"",SUMIFS(QuickLog!$L$2:$L$1000,QuickLog!$B$2:$B$1000,$B654,QuickLog!$O$2:$O$1000,$A654))</f>
        <v/>
      </c>
      <c r="I654" s="32">
        <f>IF($H654="","",$H654)</f>
        <v/>
      </c>
    </row>
    <row r="655">
      <c r="A655" s="29" t="n"/>
      <c r="B655" s="31" t="n"/>
      <c r="C655" s="31">
        <f>IF(OR($A655="",$B655=""),"",SUMIFS(QuickLog!$K$2:$K$1000,QuickLog!$B$2:$B$1000,$B655,QuickLog!$O$2:$O$1000,$A655,QuickLog!$G$2:$G$1000,"Routine"))</f>
        <v/>
      </c>
      <c r="D655" s="31">
        <f>IF(OR($A655="",$B655=""),"",SUMIFS(QuickLog!$K$2:$K$1000,QuickLog!$B$2:$B$1000,$B655,QuickLog!$O$2:$O$1000,$A655,QuickLog!$G$2:$G$1000,"&lt;&gt;Routine"))</f>
        <v/>
      </c>
      <c r="E655" s="31">
        <f>IF($C655="","",MIN($C655,Settings!$B$2))</f>
        <v/>
      </c>
      <c r="F655" s="31">
        <f>IF($C655="","",MAX(0,$C655-$E655))</f>
        <v/>
      </c>
      <c r="G655" s="31">
        <f>IF(OR($E655="",$D655=""),"", $E655+$D655)</f>
        <v/>
      </c>
      <c r="H655" s="31">
        <f>IF(OR($A655="",$B655=""),"",SUMIFS(QuickLog!$L$2:$L$1000,QuickLog!$B$2:$B$1000,$B655,QuickLog!$O$2:$O$1000,$A655))</f>
        <v/>
      </c>
      <c r="I655" s="32">
        <f>IF($H655="","",$H655)</f>
        <v/>
      </c>
    </row>
    <row r="656">
      <c r="A656" s="29" t="n"/>
      <c r="B656" s="31" t="n"/>
      <c r="C656" s="31">
        <f>IF(OR($A656="",$B656=""),"",SUMIFS(QuickLog!$K$2:$K$1000,QuickLog!$B$2:$B$1000,$B656,QuickLog!$O$2:$O$1000,$A656,QuickLog!$G$2:$G$1000,"Routine"))</f>
        <v/>
      </c>
      <c r="D656" s="31">
        <f>IF(OR($A656="",$B656=""),"",SUMIFS(QuickLog!$K$2:$K$1000,QuickLog!$B$2:$B$1000,$B656,QuickLog!$O$2:$O$1000,$A656,QuickLog!$G$2:$G$1000,"&lt;&gt;Routine"))</f>
        <v/>
      </c>
      <c r="E656" s="31">
        <f>IF($C656="","",MIN($C656,Settings!$B$2))</f>
        <v/>
      </c>
      <c r="F656" s="31">
        <f>IF($C656="","",MAX(0,$C656-$E656))</f>
        <v/>
      </c>
      <c r="G656" s="31">
        <f>IF(OR($E656="",$D656=""),"", $E656+$D656)</f>
        <v/>
      </c>
      <c r="H656" s="31">
        <f>IF(OR($A656="",$B656=""),"",SUMIFS(QuickLog!$L$2:$L$1000,QuickLog!$B$2:$B$1000,$B656,QuickLog!$O$2:$O$1000,$A656))</f>
        <v/>
      </c>
      <c r="I656" s="32">
        <f>IF($H656="","",$H656)</f>
        <v/>
      </c>
    </row>
    <row r="657">
      <c r="A657" s="29" t="n"/>
      <c r="B657" s="31" t="n"/>
      <c r="C657" s="31">
        <f>IF(OR($A657="",$B657=""),"",SUMIFS(QuickLog!$K$2:$K$1000,QuickLog!$B$2:$B$1000,$B657,QuickLog!$O$2:$O$1000,$A657,QuickLog!$G$2:$G$1000,"Routine"))</f>
        <v/>
      </c>
      <c r="D657" s="31">
        <f>IF(OR($A657="",$B657=""),"",SUMIFS(QuickLog!$K$2:$K$1000,QuickLog!$B$2:$B$1000,$B657,QuickLog!$O$2:$O$1000,$A657,QuickLog!$G$2:$G$1000,"&lt;&gt;Routine"))</f>
        <v/>
      </c>
      <c r="E657" s="31">
        <f>IF($C657="","",MIN($C657,Settings!$B$2))</f>
        <v/>
      </c>
      <c r="F657" s="31">
        <f>IF($C657="","",MAX(0,$C657-$E657))</f>
        <v/>
      </c>
      <c r="G657" s="31">
        <f>IF(OR($E657="",$D657=""),"", $E657+$D657)</f>
        <v/>
      </c>
      <c r="H657" s="31">
        <f>IF(OR($A657="",$B657=""),"",SUMIFS(QuickLog!$L$2:$L$1000,QuickLog!$B$2:$B$1000,$B657,QuickLog!$O$2:$O$1000,$A657))</f>
        <v/>
      </c>
      <c r="I657" s="32">
        <f>IF($H657="","",$H657)</f>
        <v/>
      </c>
    </row>
    <row r="658">
      <c r="A658" s="29" t="n"/>
      <c r="B658" s="31" t="n"/>
      <c r="C658" s="31">
        <f>IF(OR($A658="",$B658=""),"",SUMIFS(QuickLog!$K$2:$K$1000,QuickLog!$B$2:$B$1000,$B658,QuickLog!$O$2:$O$1000,$A658,QuickLog!$G$2:$G$1000,"Routine"))</f>
        <v/>
      </c>
      <c r="D658" s="31">
        <f>IF(OR($A658="",$B658=""),"",SUMIFS(QuickLog!$K$2:$K$1000,QuickLog!$B$2:$B$1000,$B658,QuickLog!$O$2:$O$1000,$A658,QuickLog!$G$2:$G$1000,"&lt;&gt;Routine"))</f>
        <v/>
      </c>
      <c r="E658" s="31">
        <f>IF($C658="","",MIN($C658,Settings!$B$2))</f>
        <v/>
      </c>
      <c r="F658" s="31">
        <f>IF($C658="","",MAX(0,$C658-$E658))</f>
        <v/>
      </c>
      <c r="G658" s="31">
        <f>IF(OR($E658="",$D658=""),"", $E658+$D658)</f>
        <v/>
      </c>
      <c r="H658" s="31">
        <f>IF(OR($A658="",$B658=""),"",SUMIFS(QuickLog!$L$2:$L$1000,QuickLog!$B$2:$B$1000,$B658,QuickLog!$O$2:$O$1000,$A658))</f>
        <v/>
      </c>
      <c r="I658" s="32">
        <f>IF($H658="","",$H658)</f>
        <v/>
      </c>
    </row>
    <row r="659">
      <c r="A659" s="29" t="n"/>
      <c r="B659" s="31" t="n"/>
      <c r="C659" s="31">
        <f>IF(OR($A659="",$B659=""),"",SUMIFS(QuickLog!$K$2:$K$1000,QuickLog!$B$2:$B$1000,$B659,QuickLog!$O$2:$O$1000,$A659,QuickLog!$G$2:$G$1000,"Routine"))</f>
        <v/>
      </c>
      <c r="D659" s="31">
        <f>IF(OR($A659="",$B659=""),"",SUMIFS(QuickLog!$K$2:$K$1000,QuickLog!$B$2:$B$1000,$B659,QuickLog!$O$2:$O$1000,$A659,QuickLog!$G$2:$G$1000,"&lt;&gt;Routine"))</f>
        <v/>
      </c>
      <c r="E659" s="31">
        <f>IF($C659="","",MIN($C659,Settings!$B$2))</f>
        <v/>
      </c>
      <c r="F659" s="31">
        <f>IF($C659="","",MAX(0,$C659-$E659))</f>
        <v/>
      </c>
      <c r="G659" s="31">
        <f>IF(OR($E659="",$D659=""),"", $E659+$D659)</f>
        <v/>
      </c>
      <c r="H659" s="31">
        <f>IF(OR($A659="",$B659=""),"",SUMIFS(QuickLog!$L$2:$L$1000,QuickLog!$B$2:$B$1000,$B659,QuickLog!$O$2:$O$1000,$A659))</f>
        <v/>
      </c>
      <c r="I659" s="32">
        <f>IF($H659="","",$H659)</f>
        <v/>
      </c>
    </row>
    <row r="660">
      <c r="A660" s="29" t="n"/>
      <c r="B660" s="31" t="n"/>
      <c r="C660" s="31">
        <f>IF(OR($A660="",$B660=""),"",SUMIFS(QuickLog!$K$2:$K$1000,QuickLog!$B$2:$B$1000,$B660,QuickLog!$O$2:$O$1000,$A660,QuickLog!$G$2:$G$1000,"Routine"))</f>
        <v/>
      </c>
      <c r="D660" s="31">
        <f>IF(OR($A660="",$B660=""),"",SUMIFS(QuickLog!$K$2:$K$1000,QuickLog!$B$2:$B$1000,$B660,QuickLog!$O$2:$O$1000,$A660,QuickLog!$G$2:$G$1000,"&lt;&gt;Routine"))</f>
        <v/>
      </c>
      <c r="E660" s="31">
        <f>IF($C660="","",MIN($C660,Settings!$B$2))</f>
        <v/>
      </c>
      <c r="F660" s="31">
        <f>IF($C660="","",MAX(0,$C660-$E660))</f>
        <v/>
      </c>
      <c r="G660" s="31">
        <f>IF(OR($E660="",$D660=""),"", $E660+$D660)</f>
        <v/>
      </c>
      <c r="H660" s="31">
        <f>IF(OR($A660="",$B660=""),"",SUMIFS(QuickLog!$L$2:$L$1000,QuickLog!$B$2:$B$1000,$B660,QuickLog!$O$2:$O$1000,$A660))</f>
        <v/>
      </c>
      <c r="I660" s="32">
        <f>IF($H660="","",$H660)</f>
        <v/>
      </c>
    </row>
    <row r="661">
      <c r="A661" s="29" t="n"/>
      <c r="B661" s="31" t="n"/>
      <c r="C661" s="31">
        <f>IF(OR($A661="",$B661=""),"",SUMIFS(QuickLog!$K$2:$K$1000,QuickLog!$B$2:$B$1000,$B661,QuickLog!$O$2:$O$1000,$A661,QuickLog!$G$2:$G$1000,"Routine"))</f>
        <v/>
      </c>
      <c r="D661" s="31">
        <f>IF(OR($A661="",$B661=""),"",SUMIFS(QuickLog!$K$2:$K$1000,QuickLog!$B$2:$B$1000,$B661,QuickLog!$O$2:$O$1000,$A661,QuickLog!$G$2:$G$1000,"&lt;&gt;Routine"))</f>
        <v/>
      </c>
      <c r="E661" s="31">
        <f>IF($C661="","",MIN($C661,Settings!$B$2))</f>
        <v/>
      </c>
      <c r="F661" s="31">
        <f>IF($C661="","",MAX(0,$C661-$E661))</f>
        <v/>
      </c>
      <c r="G661" s="31">
        <f>IF(OR($E661="",$D661=""),"", $E661+$D661)</f>
        <v/>
      </c>
      <c r="H661" s="31">
        <f>IF(OR($A661="",$B661=""),"",SUMIFS(QuickLog!$L$2:$L$1000,QuickLog!$B$2:$B$1000,$B661,QuickLog!$O$2:$O$1000,$A661))</f>
        <v/>
      </c>
      <c r="I661" s="32">
        <f>IF($H661="","",$H661)</f>
        <v/>
      </c>
    </row>
    <row r="662">
      <c r="A662" s="29" t="n"/>
      <c r="B662" s="31" t="n"/>
      <c r="C662" s="31">
        <f>IF(OR($A662="",$B662=""),"",SUMIFS(QuickLog!$K$2:$K$1000,QuickLog!$B$2:$B$1000,$B662,QuickLog!$O$2:$O$1000,$A662,QuickLog!$G$2:$G$1000,"Routine"))</f>
        <v/>
      </c>
      <c r="D662" s="31">
        <f>IF(OR($A662="",$B662=""),"",SUMIFS(QuickLog!$K$2:$K$1000,QuickLog!$B$2:$B$1000,$B662,QuickLog!$O$2:$O$1000,$A662,QuickLog!$G$2:$G$1000,"&lt;&gt;Routine"))</f>
        <v/>
      </c>
      <c r="E662" s="31">
        <f>IF($C662="","",MIN($C662,Settings!$B$2))</f>
        <v/>
      </c>
      <c r="F662" s="31">
        <f>IF($C662="","",MAX(0,$C662-$E662))</f>
        <v/>
      </c>
      <c r="G662" s="31">
        <f>IF(OR($E662="",$D662=""),"", $E662+$D662)</f>
        <v/>
      </c>
      <c r="H662" s="31">
        <f>IF(OR($A662="",$B662=""),"",SUMIFS(QuickLog!$L$2:$L$1000,QuickLog!$B$2:$B$1000,$B662,QuickLog!$O$2:$O$1000,$A662))</f>
        <v/>
      </c>
      <c r="I662" s="32">
        <f>IF($H662="","",$H662)</f>
        <v/>
      </c>
    </row>
    <row r="663">
      <c r="A663" s="29" t="n"/>
      <c r="B663" s="31" t="n"/>
      <c r="C663" s="31">
        <f>IF(OR($A663="",$B663=""),"",SUMIFS(QuickLog!$K$2:$K$1000,QuickLog!$B$2:$B$1000,$B663,QuickLog!$O$2:$O$1000,$A663,QuickLog!$G$2:$G$1000,"Routine"))</f>
        <v/>
      </c>
      <c r="D663" s="31">
        <f>IF(OR($A663="",$B663=""),"",SUMIFS(QuickLog!$K$2:$K$1000,QuickLog!$B$2:$B$1000,$B663,QuickLog!$O$2:$O$1000,$A663,QuickLog!$G$2:$G$1000,"&lt;&gt;Routine"))</f>
        <v/>
      </c>
      <c r="E663" s="31">
        <f>IF($C663="","",MIN($C663,Settings!$B$2))</f>
        <v/>
      </c>
      <c r="F663" s="31">
        <f>IF($C663="","",MAX(0,$C663-$E663))</f>
        <v/>
      </c>
      <c r="G663" s="31">
        <f>IF(OR($E663="",$D663=""),"", $E663+$D663)</f>
        <v/>
      </c>
      <c r="H663" s="31">
        <f>IF(OR($A663="",$B663=""),"",SUMIFS(QuickLog!$L$2:$L$1000,QuickLog!$B$2:$B$1000,$B663,QuickLog!$O$2:$O$1000,$A663))</f>
        <v/>
      </c>
      <c r="I663" s="32">
        <f>IF($H663="","",$H663)</f>
        <v/>
      </c>
    </row>
    <row r="664">
      <c r="A664" s="29" t="n"/>
      <c r="B664" s="31" t="n"/>
      <c r="C664" s="31">
        <f>IF(OR($A664="",$B664=""),"",SUMIFS(QuickLog!$K$2:$K$1000,QuickLog!$B$2:$B$1000,$B664,QuickLog!$O$2:$O$1000,$A664,QuickLog!$G$2:$G$1000,"Routine"))</f>
        <v/>
      </c>
      <c r="D664" s="31">
        <f>IF(OR($A664="",$B664=""),"",SUMIFS(QuickLog!$K$2:$K$1000,QuickLog!$B$2:$B$1000,$B664,QuickLog!$O$2:$O$1000,$A664,QuickLog!$G$2:$G$1000,"&lt;&gt;Routine"))</f>
        <v/>
      </c>
      <c r="E664" s="31">
        <f>IF($C664="","",MIN($C664,Settings!$B$2))</f>
        <v/>
      </c>
      <c r="F664" s="31">
        <f>IF($C664="","",MAX(0,$C664-$E664))</f>
        <v/>
      </c>
      <c r="G664" s="31">
        <f>IF(OR($E664="",$D664=""),"", $E664+$D664)</f>
        <v/>
      </c>
      <c r="H664" s="31">
        <f>IF(OR($A664="",$B664=""),"",SUMIFS(QuickLog!$L$2:$L$1000,QuickLog!$B$2:$B$1000,$B664,QuickLog!$O$2:$O$1000,$A664))</f>
        <v/>
      </c>
      <c r="I664" s="32">
        <f>IF($H664="","",$H664)</f>
        <v/>
      </c>
    </row>
    <row r="665">
      <c r="A665" s="29" t="n"/>
      <c r="B665" s="31" t="n"/>
      <c r="C665" s="31">
        <f>IF(OR($A665="",$B665=""),"",SUMIFS(QuickLog!$K$2:$K$1000,QuickLog!$B$2:$B$1000,$B665,QuickLog!$O$2:$O$1000,$A665,QuickLog!$G$2:$G$1000,"Routine"))</f>
        <v/>
      </c>
      <c r="D665" s="31">
        <f>IF(OR($A665="",$B665=""),"",SUMIFS(QuickLog!$K$2:$K$1000,QuickLog!$B$2:$B$1000,$B665,QuickLog!$O$2:$O$1000,$A665,QuickLog!$G$2:$G$1000,"&lt;&gt;Routine"))</f>
        <v/>
      </c>
      <c r="E665" s="31">
        <f>IF($C665="","",MIN($C665,Settings!$B$2))</f>
        <v/>
      </c>
      <c r="F665" s="31">
        <f>IF($C665="","",MAX(0,$C665-$E665))</f>
        <v/>
      </c>
      <c r="G665" s="31">
        <f>IF(OR($E665="",$D665=""),"", $E665+$D665)</f>
        <v/>
      </c>
      <c r="H665" s="31">
        <f>IF(OR($A665="",$B665=""),"",SUMIFS(QuickLog!$L$2:$L$1000,QuickLog!$B$2:$B$1000,$B665,QuickLog!$O$2:$O$1000,$A665))</f>
        <v/>
      </c>
      <c r="I665" s="32">
        <f>IF($H665="","",$H665)</f>
        <v/>
      </c>
    </row>
    <row r="666">
      <c r="A666" s="29" t="n"/>
      <c r="B666" s="31" t="n"/>
      <c r="C666" s="31">
        <f>IF(OR($A666="",$B666=""),"",SUMIFS(QuickLog!$K$2:$K$1000,QuickLog!$B$2:$B$1000,$B666,QuickLog!$O$2:$O$1000,$A666,QuickLog!$G$2:$G$1000,"Routine"))</f>
        <v/>
      </c>
      <c r="D666" s="31">
        <f>IF(OR($A666="",$B666=""),"",SUMIFS(QuickLog!$K$2:$K$1000,QuickLog!$B$2:$B$1000,$B666,QuickLog!$O$2:$O$1000,$A666,QuickLog!$G$2:$G$1000,"&lt;&gt;Routine"))</f>
        <v/>
      </c>
      <c r="E666" s="31">
        <f>IF($C666="","",MIN($C666,Settings!$B$2))</f>
        <v/>
      </c>
      <c r="F666" s="31">
        <f>IF($C666="","",MAX(0,$C666-$E666))</f>
        <v/>
      </c>
      <c r="G666" s="31">
        <f>IF(OR($E666="",$D666=""),"", $E666+$D666)</f>
        <v/>
      </c>
      <c r="H666" s="31">
        <f>IF(OR($A666="",$B666=""),"",SUMIFS(QuickLog!$L$2:$L$1000,QuickLog!$B$2:$B$1000,$B666,QuickLog!$O$2:$O$1000,$A666))</f>
        <v/>
      </c>
      <c r="I666" s="32">
        <f>IF($H666="","",$H666)</f>
        <v/>
      </c>
    </row>
    <row r="667">
      <c r="A667" s="29" t="n"/>
      <c r="B667" s="31" t="n"/>
      <c r="C667" s="31">
        <f>IF(OR($A667="",$B667=""),"",SUMIFS(QuickLog!$K$2:$K$1000,QuickLog!$B$2:$B$1000,$B667,QuickLog!$O$2:$O$1000,$A667,QuickLog!$G$2:$G$1000,"Routine"))</f>
        <v/>
      </c>
      <c r="D667" s="31">
        <f>IF(OR($A667="",$B667=""),"",SUMIFS(QuickLog!$K$2:$K$1000,QuickLog!$B$2:$B$1000,$B667,QuickLog!$O$2:$O$1000,$A667,QuickLog!$G$2:$G$1000,"&lt;&gt;Routine"))</f>
        <v/>
      </c>
      <c r="E667" s="31">
        <f>IF($C667="","",MIN($C667,Settings!$B$2))</f>
        <v/>
      </c>
      <c r="F667" s="31">
        <f>IF($C667="","",MAX(0,$C667-$E667))</f>
        <v/>
      </c>
      <c r="G667" s="31">
        <f>IF(OR($E667="",$D667=""),"", $E667+$D667)</f>
        <v/>
      </c>
      <c r="H667" s="31">
        <f>IF(OR($A667="",$B667=""),"",SUMIFS(QuickLog!$L$2:$L$1000,QuickLog!$B$2:$B$1000,$B667,QuickLog!$O$2:$O$1000,$A667))</f>
        <v/>
      </c>
      <c r="I667" s="32">
        <f>IF($H667="","",$H667)</f>
        <v/>
      </c>
    </row>
    <row r="668">
      <c r="A668" s="29" t="n"/>
      <c r="B668" s="31" t="n"/>
      <c r="C668" s="31">
        <f>IF(OR($A668="",$B668=""),"",SUMIFS(QuickLog!$K$2:$K$1000,QuickLog!$B$2:$B$1000,$B668,QuickLog!$O$2:$O$1000,$A668,QuickLog!$G$2:$G$1000,"Routine"))</f>
        <v/>
      </c>
      <c r="D668" s="31">
        <f>IF(OR($A668="",$B668=""),"",SUMIFS(QuickLog!$K$2:$K$1000,QuickLog!$B$2:$B$1000,$B668,QuickLog!$O$2:$O$1000,$A668,QuickLog!$G$2:$G$1000,"&lt;&gt;Routine"))</f>
        <v/>
      </c>
      <c r="E668" s="31">
        <f>IF($C668="","",MIN($C668,Settings!$B$2))</f>
        <v/>
      </c>
      <c r="F668" s="31">
        <f>IF($C668="","",MAX(0,$C668-$E668))</f>
        <v/>
      </c>
      <c r="G668" s="31">
        <f>IF(OR($E668="",$D668=""),"", $E668+$D668)</f>
        <v/>
      </c>
      <c r="H668" s="31">
        <f>IF(OR($A668="",$B668=""),"",SUMIFS(QuickLog!$L$2:$L$1000,QuickLog!$B$2:$B$1000,$B668,QuickLog!$O$2:$O$1000,$A668))</f>
        <v/>
      </c>
      <c r="I668" s="32">
        <f>IF($H668="","",$H668)</f>
        <v/>
      </c>
    </row>
    <row r="669">
      <c r="A669" s="29" t="n"/>
      <c r="B669" s="31" t="n"/>
      <c r="C669" s="31">
        <f>IF(OR($A669="",$B669=""),"",SUMIFS(QuickLog!$K$2:$K$1000,QuickLog!$B$2:$B$1000,$B669,QuickLog!$O$2:$O$1000,$A669,QuickLog!$G$2:$G$1000,"Routine"))</f>
        <v/>
      </c>
      <c r="D669" s="31">
        <f>IF(OR($A669="",$B669=""),"",SUMIFS(QuickLog!$K$2:$K$1000,QuickLog!$B$2:$B$1000,$B669,QuickLog!$O$2:$O$1000,$A669,QuickLog!$G$2:$G$1000,"&lt;&gt;Routine"))</f>
        <v/>
      </c>
      <c r="E669" s="31">
        <f>IF($C669="","",MIN($C669,Settings!$B$2))</f>
        <v/>
      </c>
      <c r="F669" s="31">
        <f>IF($C669="","",MAX(0,$C669-$E669))</f>
        <v/>
      </c>
      <c r="G669" s="31">
        <f>IF(OR($E669="",$D669=""),"", $E669+$D669)</f>
        <v/>
      </c>
      <c r="H669" s="31">
        <f>IF(OR($A669="",$B669=""),"",SUMIFS(QuickLog!$L$2:$L$1000,QuickLog!$B$2:$B$1000,$B669,QuickLog!$O$2:$O$1000,$A669))</f>
        <v/>
      </c>
      <c r="I669" s="32">
        <f>IF($H669="","",$H669)</f>
        <v/>
      </c>
    </row>
    <row r="670">
      <c r="A670" s="29" t="n"/>
      <c r="B670" s="31" t="n"/>
      <c r="C670" s="31">
        <f>IF(OR($A670="",$B670=""),"",SUMIFS(QuickLog!$K$2:$K$1000,QuickLog!$B$2:$B$1000,$B670,QuickLog!$O$2:$O$1000,$A670,QuickLog!$G$2:$G$1000,"Routine"))</f>
        <v/>
      </c>
      <c r="D670" s="31">
        <f>IF(OR($A670="",$B670=""),"",SUMIFS(QuickLog!$K$2:$K$1000,QuickLog!$B$2:$B$1000,$B670,QuickLog!$O$2:$O$1000,$A670,QuickLog!$G$2:$G$1000,"&lt;&gt;Routine"))</f>
        <v/>
      </c>
      <c r="E670" s="31">
        <f>IF($C670="","",MIN($C670,Settings!$B$2))</f>
        <v/>
      </c>
      <c r="F670" s="31">
        <f>IF($C670="","",MAX(0,$C670-$E670))</f>
        <v/>
      </c>
      <c r="G670" s="31">
        <f>IF(OR($E670="",$D670=""),"", $E670+$D670)</f>
        <v/>
      </c>
      <c r="H670" s="31">
        <f>IF(OR($A670="",$B670=""),"",SUMIFS(QuickLog!$L$2:$L$1000,QuickLog!$B$2:$B$1000,$B670,QuickLog!$O$2:$O$1000,$A670))</f>
        <v/>
      </c>
      <c r="I670" s="32">
        <f>IF($H670="","",$H670)</f>
        <v/>
      </c>
    </row>
    <row r="671">
      <c r="A671" s="29" t="n"/>
      <c r="B671" s="31" t="n"/>
      <c r="C671" s="31">
        <f>IF(OR($A671="",$B671=""),"",SUMIFS(QuickLog!$K$2:$K$1000,QuickLog!$B$2:$B$1000,$B671,QuickLog!$O$2:$O$1000,$A671,QuickLog!$G$2:$G$1000,"Routine"))</f>
        <v/>
      </c>
      <c r="D671" s="31">
        <f>IF(OR($A671="",$B671=""),"",SUMIFS(QuickLog!$K$2:$K$1000,QuickLog!$B$2:$B$1000,$B671,QuickLog!$O$2:$O$1000,$A671,QuickLog!$G$2:$G$1000,"&lt;&gt;Routine"))</f>
        <v/>
      </c>
      <c r="E671" s="31">
        <f>IF($C671="","",MIN($C671,Settings!$B$2))</f>
        <v/>
      </c>
      <c r="F671" s="31">
        <f>IF($C671="","",MAX(0,$C671-$E671))</f>
        <v/>
      </c>
      <c r="G671" s="31">
        <f>IF(OR($E671="",$D671=""),"", $E671+$D671)</f>
        <v/>
      </c>
      <c r="H671" s="31">
        <f>IF(OR($A671="",$B671=""),"",SUMIFS(QuickLog!$L$2:$L$1000,QuickLog!$B$2:$B$1000,$B671,QuickLog!$O$2:$O$1000,$A671))</f>
        <v/>
      </c>
      <c r="I671" s="32">
        <f>IF($H671="","",$H671)</f>
        <v/>
      </c>
    </row>
    <row r="672">
      <c r="A672" s="29" t="n"/>
      <c r="B672" s="31" t="n"/>
      <c r="C672" s="31">
        <f>IF(OR($A672="",$B672=""),"",SUMIFS(QuickLog!$K$2:$K$1000,QuickLog!$B$2:$B$1000,$B672,QuickLog!$O$2:$O$1000,$A672,QuickLog!$G$2:$G$1000,"Routine"))</f>
        <v/>
      </c>
      <c r="D672" s="31">
        <f>IF(OR($A672="",$B672=""),"",SUMIFS(QuickLog!$K$2:$K$1000,QuickLog!$B$2:$B$1000,$B672,QuickLog!$O$2:$O$1000,$A672,QuickLog!$G$2:$G$1000,"&lt;&gt;Routine"))</f>
        <v/>
      </c>
      <c r="E672" s="31">
        <f>IF($C672="","",MIN($C672,Settings!$B$2))</f>
        <v/>
      </c>
      <c r="F672" s="31">
        <f>IF($C672="","",MAX(0,$C672-$E672))</f>
        <v/>
      </c>
      <c r="G672" s="31">
        <f>IF(OR($E672="",$D672=""),"", $E672+$D672)</f>
        <v/>
      </c>
      <c r="H672" s="31">
        <f>IF(OR($A672="",$B672=""),"",SUMIFS(QuickLog!$L$2:$L$1000,QuickLog!$B$2:$B$1000,$B672,QuickLog!$O$2:$O$1000,$A672))</f>
        <v/>
      </c>
      <c r="I672" s="32">
        <f>IF($H672="","",$H672)</f>
        <v/>
      </c>
    </row>
    <row r="673">
      <c r="A673" s="29" t="n"/>
      <c r="B673" s="31" t="n"/>
      <c r="C673" s="31">
        <f>IF(OR($A673="",$B673=""),"",SUMIFS(QuickLog!$K$2:$K$1000,QuickLog!$B$2:$B$1000,$B673,QuickLog!$O$2:$O$1000,$A673,QuickLog!$G$2:$G$1000,"Routine"))</f>
        <v/>
      </c>
      <c r="D673" s="31">
        <f>IF(OR($A673="",$B673=""),"",SUMIFS(QuickLog!$K$2:$K$1000,QuickLog!$B$2:$B$1000,$B673,QuickLog!$O$2:$O$1000,$A673,QuickLog!$G$2:$G$1000,"&lt;&gt;Routine"))</f>
        <v/>
      </c>
      <c r="E673" s="31">
        <f>IF($C673="","",MIN($C673,Settings!$B$2))</f>
        <v/>
      </c>
      <c r="F673" s="31">
        <f>IF($C673="","",MAX(0,$C673-$E673))</f>
        <v/>
      </c>
      <c r="G673" s="31">
        <f>IF(OR($E673="",$D673=""),"", $E673+$D673)</f>
        <v/>
      </c>
      <c r="H673" s="31">
        <f>IF(OR($A673="",$B673=""),"",SUMIFS(QuickLog!$L$2:$L$1000,QuickLog!$B$2:$B$1000,$B673,QuickLog!$O$2:$O$1000,$A673))</f>
        <v/>
      </c>
      <c r="I673" s="32">
        <f>IF($H673="","",$H673)</f>
        <v/>
      </c>
    </row>
    <row r="674">
      <c r="A674" s="29" t="n"/>
      <c r="B674" s="31" t="n"/>
      <c r="C674" s="31">
        <f>IF(OR($A674="",$B674=""),"",SUMIFS(QuickLog!$K$2:$K$1000,QuickLog!$B$2:$B$1000,$B674,QuickLog!$O$2:$O$1000,$A674,QuickLog!$G$2:$G$1000,"Routine"))</f>
        <v/>
      </c>
      <c r="D674" s="31">
        <f>IF(OR($A674="",$B674=""),"",SUMIFS(QuickLog!$K$2:$K$1000,QuickLog!$B$2:$B$1000,$B674,QuickLog!$O$2:$O$1000,$A674,QuickLog!$G$2:$G$1000,"&lt;&gt;Routine"))</f>
        <v/>
      </c>
      <c r="E674" s="31">
        <f>IF($C674="","",MIN($C674,Settings!$B$2))</f>
        <v/>
      </c>
      <c r="F674" s="31">
        <f>IF($C674="","",MAX(0,$C674-$E674))</f>
        <v/>
      </c>
      <c r="G674" s="31">
        <f>IF(OR($E674="",$D674=""),"", $E674+$D674)</f>
        <v/>
      </c>
      <c r="H674" s="31">
        <f>IF(OR($A674="",$B674=""),"",SUMIFS(QuickLog!$L$2:$L$1000,QuickLog!$B$2:$B$1000,$B674,QuickLog!$O$2:$O$1000,$A674))</f>
        <v/>
      </c>
      <c r="I674" s="32">
        <f>IF($H674="","",$H674)</f>
        <v/>
      </c>
    </row>
    <row r="675">
      <c r="A675" s="29" t="n"/>
      <c r="B675" s="31" t="n"/>
      <c r="C675" s="31">
        <f>IF(OR($A675="",$B675=""),"",SUMIFS(QuickLog!$K$2:$K$1000,QuickLog!$B$2:$B$1000,$B675,QuickLog!$O$2:$O$1000,$A675,QuickLog!$G$2:$G$1000,"Routine"))</f>
        <v/>
      </c>
      <c r="D675" s="31">
        <f>IF(OR($A675="",$B675=""),"",SUMIFS(QuickLog!$K$2:$K$1000,QuickLog!$B$2:$B$1000,$B675,QuickLog!$O$2:$O$1000,$A675,QuickLog!$G$2:$G$1000,"&lt;&gt;Routine"))</f>
        <v/>
      </c>
      <c r="E675" s="31">
        <f>IF($C675="","",MIN($C675,Settings!$B$2))</f>
        <v/>
      </c>
      <c r="F675" s="31">
        <f>IF($C675="","",MAX(0,$C675-$E675))</f>
        <v/>
      </c>
      <c r="G675" s="31">
        <f>IF(OR($E675="",$D675=""),"", $E675+$D675)</f>
        <v/>
      </c>
      <c r="H675" s="31">
        <f>IF(OR($A675="",$B675=""),"",SUMIFS(QuickLog!$L$2:$L$1000,QuickLog!$B$2:$B$1000,$B675,QuickLog!$O$2:$O$1000,$A675))</f>
        <v/>
      </c>
      <c r="I675" s="32">
        <f>IF($H675="","",$H675)</f>
        <v/>
      </c>
    </row>
    <row r="676">
      <c r="A676" s="29" t="n"/>
      <c r="B676" s="31" t="n"/>
      <c r="C676" s="31">
        <f>IF(OR($A676="",$B676=""),"",SUMIFS(QuickLog!$K$2:$K$1000,QuickLog!$B$2:$B$1000,$B676,QuickLog!$O$2:$O$1000,$A676,QuickLog!$G$2:$G$1000,"Routine"))</f>
        <v/>
      </c>
      <c r="D676" s="31">
        <f>IF(OR($A676="",$B676=""),"",SUMIFS(QuickLog!$K$2:$K$1000,QuickLog!$B$2:$B$1000,$B676,QuickLog!$O$2:$O$1000,$A676,QuickLog!$G$2:$G$1000,"&lt;&gt;Routine"))</f>
        <v/>
      </c>
      <c r="E676" s="31">
        <f>IF($C676="","",MIN($C676,Settings!$B$2))</f>
        <v/>
      </c>
      <c r="F676" s="31">
        <f>IF($C676="","",MAX(0,$C676-$E676))</f>
        <v/>
      </c>
      <c r="G676" s="31">
        <f>IF(OR($E676="",$D676=""),"", $E676+$D676)</f>
        <v/>
      </c>
      <c r="H676" s="31">
        <f>IF(OR($A676="",$B676=""),"",SUMIFS(QuickLog!$L$2:$L$1000,QuickLog!$B$2:$B$1000,$B676,QuickLog!$O$2:$O$1000,$A676))</f>
        <v/>
      </c>
      <c r="I676" s="32">
        <f>IF($H676="","",$H676)</f>
        <v/>
      </c>
    </row>
    <row r="677">
      <c r="A677" s="29" t="n"/>
      <c r="B677" s="31" t="n"/>
      <c r="C677" s="31">
        <f>IF(OR($A677="",$B677=""),"",SUMIFS(QuickLog!$K$2:$K$1000,QuickLog!$B$2:$B$1000,$B677,QuickLog!$O$2:$O$1000,$A677,QuickLog!$G$2:$G$1000,"Routine"))</f>
        <v/>
      </c>
      <c r="D677" s="31">
        <f>IF(OR($A677="",$B677=""),"",SUMIFS(QuickLog!$K$2:$K$1000,QuickLog!$B$2:$B$1000,$B677,QuickLog!$O$2:$O$1000,$A677,QuickLog!$G$2:$G$1000,"&lt;&gt;Routine"))</f>
        <v/>
      </c>
      <c r="E677" s="31">
        <f>IF($C677="","",MIN($C677,Settings!$B$2))</f>
        <v/>
      </c>
      <c r="F677" s="31">
        <f>IF($C677="","",MAX(0,$C677-$E677))</f>
        <v/>
      </c>
      <c r="G677" s="31">
        <f>IF(OR($E677="",$D677=""),"", $E677+$D677)</f>
        <v/>
      </c>
      <c r="H677" s="31">
        <f>IF(OR($A677="",$B677=""),"",SUMIFS(QuickLog!$L$2:$L$1000,QuickLog!$B$2:$B$1000,$B677,QuickLog!$O$2:$O$1000,$A677))</f>
        <v/>
      </c>
      <c r="I677" s="32">
        <f>IF($H677="","",$H677)</f>
        <v/>
      </c>
    </row>
    <row r="678">
      <c r="A678" s="29" t="n"/>
      <c r="B678" s="31" t="n"/>
      <c r="C678" s="31">
        <f>IF(OR($A678="",$B678=""),"",SUMIFS(QuickLog!$K$2:$K$1000,QuickLog!$B$2:$B$1000,$B678,QuickLog!$O$2:$O$1000,$A678,QuickLog!$G$2:$G$1000,"Routine"))</f>
        <v/>
      </c>
      <c r="D678" s="31">
        <f>IF(OR($A678="",$B678=""),"",SUMIFS(QuickLog!$K$2:$K$1000,QuickLog!$B$2:$B$1000,$B678,QuickLog!$O$2:$O$1000,$A678,QuickLog!$G$2:$G$1000,"&lt;&gt;Routine"))</f>
        <v/>
      </c>
      <c r="E678" s="31">
        <f>IF($C678="","",MIN($C678,Settings!$B$2))</f>
        <v/>
      </c>
      <c r="F678" s="31">
        <f>IF($C678="","",MAX(0,$C678-$E678))</f>
        <v/>
      </c>
      <c r="G678" s="31">
        <f>IF(OR($E678="",$D678=""),"", $E678+$D678)</f>
        <v/>
      </c>
      <c r="H678" s="31">
        <f>IF(OR($A678="",$B678=""),"",SUMIFS(QuickLog!$L$2:$L$1000,QuickLog!$B$2:$B$1000,$B678,QuickLog!$O$2:$O$1000,$A678))</f>
        <v/>
      </c>
      <c r="I678" s="32">
        <f>IF($H678="","",$H678)</f>
        <v/>
      </c>
    </row>
    <row r="679">
      <c r="A679" s="29" t="n"/>
      <c r="B679" s="31" t="n"/>
      <c r="C679" s="31">
        <f>IF(OR($A679="",$B679=""),"",SUMIFS(QuickLog!$K$2:$K$1000,QuickLog!$B$2:$B$1000,$B679,QuickLog!$O$2:$O$1000,$A679,QuickLog!$G$2:$G$1000,"Routine"))</f>
        <v/>
      </c>
      <c r="D679" s="31">
        <f>IF(OR($A679="",$B679=""),"",SUMIFS(QuickLog!$K$2:$K$1000,QuickLog!$B$2:$B$1000,$B679,QuickLog!$O$2:$O$1000,$A679,QuickLog!$G$2:$G$1000,"&lt;&gt;Routine"))</f>
        <v/>
      </c>
      <c r="E679" s="31">
        <f>IF($C679="","",MIN($C679,Settings!$B$2))</f>
        <v/>
      </c>
      <c r="F679" s="31">
        <f>IF($C679="","",MAX(0,$C679-$E679))</f>
        <v/>
      </c>
      <c r="G679" s="31">
        <f>IF(OR($E679="",$D679=""),"", $E679+$D679)</f>
        <v/>
      </c>
      <c r="H679" s="31">
        <f>IF(OR($A679="",$B679=""),"",SUMIFS(QuickLog!$L$2:$L$1000,QuickLog!$B$2:$B$1000,$B679,QuickLog!$O$2:$O$1000,$A679))</f>
        <v/>
      </c>
      <c r="I679" s="32">
        <f>IF($H679="","",$H679)</f>
        <v/>
      </c>
    </row>
    <row r="680">
      <c r="A680" s="29" t="n"/>
      <c r="B680" s="31" t="n"/>
      <c r="C680" s="31">
        <f>IF(OR($A680="",$B680=""),"",SUMIFS(QuickLog!$K$2:$K$1000,QuickLog!$B$2:$B$1000,$B680,QuickLog!$O$2:$O$1000,$A680,QuickLog!$G$2:$G$1000,"Routine"))</f>
        <v/>
      </c>
      <c r="D680" s="31">
        <f>IF(OR($A680="",$B680=""),"",SUMIFS(QuickLog!$K$2:$K$1000,QuickLog!$B$2:$B$1000,$B680,QuickLog!$O$2:$O$1000,$A680,QuickLog!$G$2:$G$1000,"&lt;&gt;Routine"))</f>
        <v/>
      </c>
      <c r="E680" s="31">
        <f>IF($C680="","",MIN($C680,Settings!$B$2))</f>
        <v/>
      </c>
      <c r="F680" s="31">
        <f>IF($C680="","",MAX(0,$C680-$E680))</f>
        <v/>
      </c>
      <c r="G680" s="31">
        <f>IF(OR($E680="",$D680=""),"", $E680+$D680)</f>
        <v/>
      </c>
      <c r="H680" s="31">
        <f>IF(OR($A680="",$B680=""),"",SUMIFS(QuickLog!$L$2:$L$1000,QuickLog!$B$2:$B$1000,$B680,QuickLog!$O$2:$O$1000,$A680))</f>
        <v/>
      </c>
      <c r="I680" s="32">
        <f>IF($H680="","",$H680)</f>
        <v/>
      </c>
    </row>
    <row r="681">
      <c r="A681" s="29" t="n"/>
      <c r="B681" s="31" t="n"/>
      <c r="C681" s="31">
        <f>IF(OR($A681="",$B681=""),"",SUMIFS(QuickLog!$K$2:$K$1000,QuickLog!$B$2:$B$1000,$B681,QuickLog!$O$2:$O$1000,$A681,QuickLog!$G$2:$G$1000,"Routine"))</f>
        <v/>
      </c>
      <c r="D681" s="31">
        <f>IF(OR($A681="",$B681=""),"",SUMIFS(QuickLog!$K$2:$K$1000,QuickLog!$B$2:$B$1000,$B681,QuickLog!$O$2:$O$1000,$A681,QuickLog!$G$2:$G$1000,"&lt;&gt;Routine"))</f>
        <v/>
      </c>
      <c r="E681" s="31">
        <f>IF($C681="","",MIN($C681,Settings!$B$2))</f>
        <v/>
      </c>
      <c r="F681" s="31">
        <f>IF($C681="","",MAX(0,$C681-$E681))</f>
        <v/>
      </c>
      <c r="G681" s="31">
        <f>IF(OR($E681="",$D681=""),"", $E681+$D681)</f>
        <v/>
      </c>
      <c r="H681" s="31">
        <f>IF(OR($A681="",$B681=""),"",SUMIFS(QuickLog!$L$2:$L$1000,QuickLog!$B$2:$B$1000,$B681,QuickLog!$O$2:$O$1000,$A681))</f>
        <v/>
      </c>
      <c r="I681" s="32">
        <f>IF($H681="","",$H681)</f>
        <v/>
      </c>
    </row>
    <row r="682">
      <c r="A682" s="29" t="n"/>
      <c r="B682" s="31" t="n"/>
      <c r="C682" s="31">
        <f>IF(OR($A682="",$B682=""),"",SUMIFS(QuickLog!$K$2:$K$1000,QuickLog!$B$2:$B$1000,$B682,QuickLog!$O$2:$O$1000,$A682,QuickLog!$G$2:$G$1000,"Routine"))</f>
        <v/>
      </c>
      <c r="D682" s="31">
        <f>IF(OR($A682="",$B682=""),"",SUMIFS(QuickLog!$K$2:$K$1000,QuickLog!$B$2:$B$1000,$B682,QuickLog!$O$2:$O$1000,$A682,QuickLog!$G$2:$G$1000,"&lt;&gt;Routine"))</f>
        <v/>
      </c>
      <c r="E682" s="31">
        <f>IF($C682="","",MIN($C682,Settings!$B$2))</f>
        <v/>
      </c>
      <c r="F682" s="31">
        <f>IF($C682="","",MAX(0,$C682-$E682))</f>
        <v/>
      </c>
      <c r="G682" s="31">
        <f>IF(OR($E682="",$D682=""),"", $E682+$D682)</f>
        <v/>
      </c>
      <c r="H682" s="31">
        <f>IF(OR($A682="",$B682=""),"",SUMIFS(QuickLog!$L$2:$L$1000,QuickLog!$B$2:$B$1000,$B682,QuickLog!$O$2:$O$1000,$A682))</f>
        <v/>
      </c>
      <c r="I682" s="32">
        <f>IF($H682="","",$H682)</f>
        <v/>
      </c>
    </row>
    <row r="683">
      <c r="A683" s="29" t="n"/>
      <c r="B683" s="31" t="n"/>
      <c r="C683" s="31">
        <f>IF(OR($A683="",$B683=""),"",SUMIFS(QuickLog!$K$2:$K$1000,QuickLog!$B$2:$B$1000,$B683,QuickLog!$O$2:$O$1000,$A683,QuickLog!$G$2:$G$1000,"Routine"))</f>
        <v/>
      </c>
      <c r="D683" s="31">
        <f>IF(OR($A683="",$B683=""),"",SUMIFS(QuickLog!$K$2:$K$1000,QuickLog!$B$2:$B$1000,$B683,QuickLog!$O$2:$O$1000,$A683,QuickLog!$G$2:$G$1000,"&lt;&gt;Routine"))</f>
        <v/>
      </c>
      <c r="E683" s="31">
        <f>IF($C683="","",MIN($C683,Settings!$B$2))</f>
        <v/>
      </c>
      <c r="F683" s="31">
        <f>IF($C683="","",MAX(0,$C683-$E683))</f>
        <v/>
      </c>
      <c r="G683" s="31">
        <f>IF(OR($E683="",$D683=""),"", $E683+$D683)</f>
        <v/>
      </c>
      <c r="H683" s="31">
        <f>IF(OR($A683="",$B683=""),"",SUMIFS(QuickLog!$L$2:$L$1000,QuickLog!$B$2:$B$1000,$B683,QuickLog!$O$2:$O$1000,$A683))</f>
        <v/>
      </c>
      <c r="I683" s="32">
        <f>IF($H683="","",$H683)</f>
        <v/>
      </c>
    </row>
    <row r="684">
      <c r="A684" s="29" t="n"/>
      <c r="B684" s="31" t="n"/>
      <c r="C684" s="31">
        <f>IF(OR($A684="",$B684=""),"",SUMIFS(QuickLog!$K$2:$K$1000,QuickLog!$B$2:$B$1000,$B684,QuickLog!$O$2:$O$1000,$A684,QuickLog!$G$2:$G$1000,"Routine"))</f>
        <v/>
      </c>
      <c r="D684" s="31">
        <f>IF(OR($A684="",$B684=""),"",SUMIFS(QuickLog!$K$2:$K$1000,QuickLog!$B$2:$B$1000,$B684,QuickLog!$O$2:$O$1000,$A684,QuickLog!$G$2:$G$1000,"&lt;&gt;Routine"))</f>
        <v/>
      </c>
      <c r="E684" s="31">
        <f>IF($C684="","",MIN($C684,Settings!$B$2))</f>
        <v/>
      </c>
      <c r="F684" s="31">
        <f>IF($C684="","",MAX(0,$C684-$E684))</f>
        <v/>
      </c>
      <c r="G684" s="31">
        <f>IF(OR($E684="",$D684=""),"", $E684+$D684)</f>
        <v/>
      </c>
      <c r="H684" s="31">
        <f>IF(OR($A684="",$B684=""),"",SUMIFS(QuickLog!$L$2:$L$1000,QuickLog!$B$2:$B$1000,$B684,QuickLog!$O$2:$O$1000,$A684))</f>
        <v/>
      </c>
      <c r="I684" s="32">
        <f>IF($H684="","",$H684)</f>
        <v/>
      </c>
    </row>
    <row r="685">
      <c r="A685" s="29" t="n"/>
      <c r="B685" s="31" t="n"/>
      <c r="C685" s="31">
        <f>IF(OR($A685="",$B685=""),"",SUMIFS(QuickLog!$K$2:$K$1000,QuickLog!$B$2:$B$1000,$B685,QuickLog!$O$2:$O$1000,$A685,QuickLog!$G$2:$G$1000,"Routine"))</f>
        <v/>
      </c>
      <c r="D685" s="31">
        <f>IF(OR($A685="",$B685=""),"",SUMIFS(QuickLog!$K$2:$K$1000,QuickLog!$B$2:$B$1000,$B685,QuickLog!$O$2:$O$1000,$A685,QuickLog!$G$2:$G$1000,"&lt;&gt;Routine"))</f>
        <v/>
      </c>
      <c r="E685" s="31">
        <f>IF($C685="","",MIN($C685,Settings!$B$2))</f>
        <v/>
      </c>
      <c r="F685" s="31">
        <f>IF($C685="","",MAX(0,$C685-$E685))</f>
        <v/>
      </c>
      <c r="G685" s="31">
        <f>IF(OR($E685="",$D685=""),"", $E685+$D685)</f>
        <v/>
      </c>
      <c r="H685" s="31">
        <f>IF(OR($A685="",$B685=""),"",SUMIFS(QuickLog!$L$2:$L$1000,QuickLog!$B$2:$B$1000,$B685,QuickLog!$O$2:$O$1000,$A685))</f>
        <v/>
      </c>
      <c r="I685" s="32">
        <f>IF($H685="","",$H685)</f>
        <v/>
      </c>
    </row>
    <row r="686">
      <c r="A686" s="29" t="n"/>
      <c r="B686" s="31" t="n"/>
      <c r="C686" s="31">
        <f>IF(OR($A686="",$B686=""),"",SUMIFS(QuickLog!$K$2:$K$1000,QuickLog!$B$2:$B$1000,$B686,QuickLog!$O$2:$O$1000,$A686,QuickLog!$G$2:$G$1000,"Routine"))</f>
        <v/>
      </c>
      <c r="D686" s="31">
        <f>IF(OR($A686="",$B686=""),"",SUMIFS(QuickLog!$K$2:$K$1000,QuickLog!$B$2:$B$1000,$B686,QuickLog!$O$2:$O$1000,$A686,QuickLog!$G$2:$G$1000,"&lt;&gt;Routine"))</f>
        <v/>
      </c>
      <c r="E686" s="31">
        <f>IF($C686="","",MIN($C686,Settings!$B$2))</f>
        <v/>
      </c>
      <c r="F686" s="31">
        <f>IF($C686="","",MAX(0,$C686-$E686))</f>
        <v/>
      </c>
      <c r="G686" s="31">
        <f>IF(OR($E686="",$D686=""),"", $E686+$D686)</f>
        <v/>
      </c>
      <c r="H686" s="31">
        <f>IF(OR($A686="",$B686=""),"",SUMIFS(QuickLog!$L$2:$L$1000,QuickLog!$B$2:$B$1000,$B686,QuickLog!$O$2:$O$1000,$A686))</f>
        <v/>
      </c>
      <c r="I686" s="32">
        <f>IF($H686="","",$H686)</f>
        <v/>
      </c>
    </row>
    <row r="687">
      <c r="A687" s="29" t="n"/>
      <c r="B687" s="31" t="n"/>
      <c r="C687" s="31">
        <f>IF(OR($A687="",$B687=""),"",SUMIFS(QuickLog!$K$2:$K$1000,QuickLog!$B$2:$B$1000,$B687,QuickLog!$O$2:$O$1000,$A687,QuickLog!$G$2:$G$1000,"Routine"))</f>
        <v/>
      </c>
      <c r="D687" s="31">
        <f>IF(OR($A687="",$B687=""),"",SUMIFS(QuickLog!$K$2:$K$1000,QuickLog!$B$2:$B$1000,$B687,QuickLog!$O$2:$O$1000,$A687,QuickLog!$G$2:$G$1000,"&lt;&gt;Routine"))</f>
        <v/>
      </c>
      <c r="E687" s="31">
        <f>IF($C687="","",MIN($C687,Settings!$B$2))</f>
        <v/>
      </c>
      <c r="F687" s="31">
        <f>IF($C687="","",MAX(0,$C687-$E687))</f>
        <v/>
      </c>
      <c r="G687" s="31">
        <f>IF(OR($E687="",$D687=""),"", $E687+$D687)</f>
        <v/>
      </c>
      <c r="H687" s="31">
        <f>IF(OR($A687="",$B687=""),"",SUMIFS(QuickLog!$L$2:$L$1000,QuickLog!$B$2:$B$1000,$B687,QuickLog!$O$2:$O$1000,$A687))</f>
        <v/>
      </c>
      <c r="I687" s="32">
        <f>IF($H687="","",$H687)</f>
        <v/>
      </c>
    </row>
    <row r="688">
      <c r="A688" s="29" t="n"/>
      <c r="B688" s="31" t="n"/>
      <c r="C688" s="31">
        <f>IF(OR($A688="",$B688=""),"",SUMIFS(QuickLog!$K$2:$K$1000,QuickLog!$B$2:$B$1000,$B688,QuickLog!$O$2:$O$1000,$A688,QuickLog!$G$2:$G$1000,"Routine"))</f>
        <v/>
      </c>
      <c r="D688" s="31">
        <f>IF(OR($A688="",$B688=""),"",SUMIFS(QuickLog!$K$2:$K$1000,QuickLog!$B$2:$B$1000,$B688,QuickLog!$O$2:$O$1000,$A688,QuickLog!$G$2:$G$1000,"&lt;&gt;Routine"))</f>
        <v/>
      </c>
      <c r="E688" s="31">
        <f>IF($C688="","",MIN($C688,Settings!$B$2))</f>
        <v/>
      </c>
      <c r="F688" s="31">
        <f>IF($C688="","",MAX(0,$C688-$E688))</f>
        <v/>
      </c>
      <c r="G688" s="31">
        <f>IF(OR($E688="",$D688=""),"", $E688+$D688)</f>
        <v/>
      </c>
      <c r="H688" s="31">
        <f>IF(OR($A688="",$B688=""),"",SUMIFS(QuickLog!$L$2:$L$1000,QuickLog!$B$2:$B$1000,$B688,QuickLog!$O$2:$O$1000,$A688))</f>
        <v/>
      </c>
      <c r="I688" s="32">
        <f>IF($H688="","",$H688)</f>
        <v/>
      </c>
    </row>
    <row r="689">
      <c r="A689" s="29" t="n"/>
      <c r="B689" s="31" t="n"/>
      <c r="C689" s="31">
        <f>IF(OR($A689="",$B689=""),"",SUMIFS(QuickLog!$K$2:$K$1000,QuickLog!$B$2:$B$1000,$B689,QuickLog!$O$2:$O$1000,$A689,QuickLog!$G$2:$G$1000,"Routine"))</f>
        <v/>
      </c>
      <c r="D689" s="31">
        <f>IF(OR($A689="",$B689=""),"",SUMIFS(QuickLog!$K$2:$K$1000,QuickLog!$B$2:$B$1000,$B689,QuickLog!$O$2:$O$1000,$A689,QuickLog!$G$2:$G$1000,"&lt;&gt;Routine"))</f>
        <v/>
      </c>
      <c r="E689" s="31">
        <f>IF($C689="","",MIN($C689,Settings!$B$2))</f>
        <v/>
      </c>
      <c r="F689" s="31">
        <f>IF($C689="","",MAX(0,$C689-$E689))</f>
        <v/>
      </c>
      <c r="G689" s="31">
        <f>IF(OR($E689="",$D689=""),"", $E689+$D689)</f>
        <v/>
      </c>
      <c r="H689" s="31">
        <f>IF(OR($A689="",$B689=""),"",SUMIFS(QuickLog!$L$2:$L$1000,QuickLog!$B$2:$B$1000,$B689,QuickLog!$O$2:$O$1000,$A689))</f>
        <v/>
      </c>
      <c r="I689" s="32">
        <f>IF($H689="","",$H689)</f>
        <v/>
      </c>
    </row>
    <row r="690">
      <c r="A690" s="29" t="n"/>
      <c r="B690" s="31" t="n"/>
      <c r="C690" s="31">
        <f>IF(OR($A690="",$B690=""),"",SUMIFS(QuickLog!$K$2:$K$1000,QuickLog!$B$2:$B$1000,$B690,QuickLog!$O$2:$O$1000,$A690,QuickLog!$G$2:$G$1000,"Routine"))</f>
        <v/>
      </c>
      <c r="D690" s="31">
        <f>IF(OR($A690="",$B690=""),"",SUMIFS(QuickLog!$K$2:$K$1000,QuickLog!$B$2:$B$1000,$B690,QuickLog!$O$2:$O$1000,$A690,QuickLog!$G$2:$G$1000,"&lt;&gt;Routine"))</f>
        <v/>
      </c>
      <c r="E690" s="31">
        <f>IF($C690="","",MIN($C690,Settings!$B$2))</f>
        <v/>
      </c>
      <c r="F690" s="31">
        <f>IF($C690="","",MAX(0,$C690-$E690))</f>
        <v/>
      </c>
      <c r="G690" s="31">
        <f>IF(OR($E690="",$D690=""),"", $E690+$D690)</f>
        <v/>
      </c>
      <c r="H690" s="31">
        <f>IF(OR($A690="",$B690=""),"",SUMIFS(QuickLog!$L$2:$L$1000,QuickLog!$B$2:$B$1000,$B690,QuickLog!$O$2:$O$1000,$A690))</f>
        <v/>
      </c>
      <c r="I690" s="32">
        <f>IF($H690="","",$H690)</f>
        <v/>
      </c>
    </row>
    <row r="691">
      <c r="A691" s="29" t="n"/>
      <c r="B691" s="31" t="n"/>
      <c r="C691" s="31">
        <f>IF(OR($A691="",$B691=""),"",SUMIFS(QuickLog!$K$2:$K$1000,QuickLog!$B$2:$B$1000,$B691,QuickLog!$O$2:$O$1000,$A691,QuickLog!$G$2:$G$1000,"Routine"))</f>
        <v/>
      </c>
      <c r="D691" s="31">
        <f>IF(OR($A691="",$B691=""),"",SUMIFS(QuickLog!$K$2:$K$1000,QuickLog!$B$2:$B$1000,$B691,QuickLog!$O$2:$O$1000,$A691,QuickLog!$G$2:$G$1000,"&lt;&gt;Routine"))</f>
        <v/>
      </c>
      <c r="E691" s="31">
        <f>IF($C691="","",MIN($C691,Settings!$B$2))</f>
        <v/>
      </c>
      <c r="F691" s="31">
        <f>IF($C691="","",MAX(0,$C691-$E691))</f>
        <v/>
      </c>
      <c r="G691" s="31">
        <f>IF(OR($E691="",$D691=""),"", $E691+$D691)</f>
        <v/>
      </c>
      <c r="H691" s="31">
        <f>IF(OR($A691="",$B691=""),"",SUMIFS(QuickLog!$L$2:$L$1000,QuickLog!$B$2:$B$1000,$B691,QuickLog!$O$2:$O$1000,$A691))</f>
        <v/>
      </c>
      <c r="I691" s="32">
        <f>IF($H691="","",$H691)</f>
        <v/>
      </c>
    </row>
    <row r="692">
      <c r="A692" s="29" t="n"/>
      <c r="B692" s="31" t="n"/>
      <c r="C692" s="31">
        <f>IF(OR($A692="",$B692=""),"",SUMIFS(QuickLog!$K$2:$K$1000,QuickLog!$B$2:$B$1000,$B692,QuickLog!$O$2:$O$1000,$A692,QuickLog!$G$2:$G$1000,"Routine"))</f>
        <v/>
      </c>
      <c r="D692" s="31">
        <f>IF(OR($A692="",$B692=""),"",SUMIFS(QuickLog!$K$2:$K$1000,QuickLog!$B$2:$B$1000,$B692,QuickLog!$O$2:$O$1000,$A692,QuickLog!$G$2:$G$1000,"&lt;&gt;Routine"))</f>
        <v/>
      </c>
      <c r="E692" s="31">
        <f>IF($C692="","",MIN($C692,Settings!$B$2))</f>
        <v/>
      </c>
      <c r="F692" s="31">
        <f>IF($C692="","",MAX(0,$C692-$E692))</f>
        <v/>
      </c>
      <c r="G692" s="31">
        <f>IF(OR($E692="",$D692=""),"", $E692+$D692)</f>
        <v/>
      </c>
      <c r="H692" s="31">
        <f>IF(OR($A692="",$B692=""),"",SUMIFS(QuickLog!$L$2:$L$1000,QuickLog!$B$2:$B$1000,$B692,QuickLog!$O$2:$O$1000,$A692))</f>
        <v/>
      </c>
      <c r="I692" s="32">
        <f>IF($H692="","",$H692)</f>
        <v/>
      </c>
    </row>
    <row r="693">
      <c r="A693" s="29" t="n"/>
      <c r="B693" s="31" t="n"/>
      <c r="C693" s="31">
        <f>IF(OR($A693="",$B693=""),"",SUMIFS(QuickLog!$K$2:$K$1000,QuickLog!$B$2:$B$1000,$B693,QuickLog!$O$2:$O$1000,$A693,QuickLog!$G$2:$G$1000,"Routine"))</f>
        <v/>
      </c>
      <c r="D693" s="31">
        <f>IF(OR($A693="",$B693=""),"",SUMIFS(QuickLog!$K$2:$K$1000,QuickLog!$B$2:$B$1000,$B693,QuickLog!$O$2:$O$1000,$A693,QuickLog!$G$2:$G$1000,"&lt;&gt;Routine"))</f>
        <v/>
      </c>
      <c r="E693" s="31">
        <f>IF($C693="","",MIN($C693,Settings!$B$2))</f>
        <v/>
      </c>
      <c r="F693" s="31">
        <f>IF($C693="","",MAX(0,$C693-$E693))</f>
        <v/>
      </c>
      <c r="G693" s="31">
        <f>IF(OR($E693="",$D693=""),"", $E693+$D693)</f>
        <v/>
      </c>
      <c r="H693" s="31">
        <f>IF(OR($A693="",$B693=""),"",SUMIFS(QuickLog!$L$2:$L$1000,QuickLog!$B$2:$B$1000,$B693,QuickLog!$O$2:$O$1000,$A693))</f>
        <v/>
      </c>
      <c r="I693" s="32">
        <f>IF($H693="","",$H693)</f>
        <v/>
      </c>
    </row>
    <row r="694">
      <c r="A694" s="29" t="n"/>
      <c r="B694" s="31" t="n"/>
      <c r="C694" s="31">
        <f>IF(OR($A694="",$B694=""),"",SUMIFS(QuickLog!$K$2:$K$1000,QuickLog!$B$2:$B$1000,$B694,QuickLog!$O$2:$O$1000,$A694,QuickLog!$G$2:$G$1000,"Routine"))</f>
        <v/>
      </c>
      <c r="D694" s="31">
        <f>IF(OR($A694="",$B694=""),"",SUMIFS(QuickLog!$K$2:$K$1000,QuickLog!$B$2:$B$1000,$B694,QuickLog!$O$2:$O$1000,$A694,QuickLog!$G$2:$G$1000,"&lt;&gt;Routine"))</f>
        <v/>
      </c>
      <c r="E694" s="31">
        <f>IF($C694="","",MIN($C694,Settings!$B$2))</f>
        <v/>
      </c>
      <c r="F694" s="31">
        <f>IF($C694="","",MAX(0,$C694-$E694))</f>
        <v/>
      </c>
      <c r="G694" s="31">
        <f>IF(OR($E694="",$D694=""),"", $E694+$D694)</f>
        <v/>
      </c>
      <c r="H694" s="31">
        <f>IF(OR($A694="",$B694=""),"",SUMIFS(QuickLog!$L$2:$L$1000,QuickLog!$B$2:$B$1000,$B694,QuickLog!$O$2:$O$1000,$A694))</f>
        <v/>
      </c>
      <c r="I694" s="32">
        <f>IF($H694="","",$H694)</f>
        <v/>
      </c>
    </row>
    <row r="695">
      <c r="A695" s="29" t="n"/>
      <c r="B695" s="31" t="n"/>
      <c r="C695" s="31">
        <f>IF(OR($A695="",$B695=""),"",SUMIFS(QuickLog!$K$2:$K$1000,QuickLog!$B$2:$B$1000,$B695,QuickLog!$O$2:$O$1000,$A695,QuickLog!$G$2:$G$1000,"Routine"))</f>
        <v/>
      </c>
      <c r="D695" s="31">
        <f>IF(OR($A695="",$B695=""),"",SUMIFS(QuickLog!$K$2:$K$1000,QuickLog!$B$2:$B$1000,$B695,QuickLog!$O$2:$O$1000,$A695,QuickLog!$G$2:$G$1000,"&lt;&gt;Routine"))</f>
        <v/>
      </c>
      <c r="E695" s="31">
        <f>IF($C695="","",MIN($C695,Settings!$B$2))</f>
        <v/>
      </c>
      <c r="F695" s="31">
        <f>IF($C695="","",MAX(0,$C695-$E695))</f>
        <v/>
      </c>
      <c r="G695" s="31">
        <f>IF(OR($E695="",$D695=""),"", $E695+$D695)</f>
        <v/>
      </c>
      <c r="H695" s="31">
        <f>IF(OR($A695="",$B695=""),"",SUMIFS(QuickLog!$L$2:$L$1000,QuickLog!$B$2:$B$1000,$B695,QuickLog!$O$2:$O$1000,$A695))</f>
        <v/>
      </c>
      <c r="I695" s="32">
        <f>IF($H695="","",$H695)</f>
        <v/>
      </c>
    </row>
    <row r="696">
      <c r="A696" s="29" t="n"/>
      <c r="B696" s="31" t="n"/>
      <c r="C696" s="31">
        <f>IF(OR($A696="",$B696=""),"",SUMIFS(QuickLog!$K$2:$K$1000,QuickLog!$B$2:$B$1000,$B696,QuickLog!$O$2:$O$1000,$A696,QuickLog!$G$2:$G$1000,"Routine"))</f>
        <v/>
      </c>
      <c r="D696" s="31">
        <f>IF(OR($A696="",$B696=""),"",SUMIFS(QuickLog!$K$2:$K$1000,QuickLog!$B$2:$B$1000,$B696,QuickLog!$O$2:$O$1000,$A696,QuickLog!$G$2:$G$1000,"&lt;&gt;Routine"))</f>
        <v/>
      </c>
      <c r="E696" s="31">
        <f>IF($C696="","",MIN($C696,Settings!$B$2))</f>
        <v/>
      </c>
      <c r="F696" s="31">
        <f>IF($C696="","",MAX(0,$C696-$E696))</f>
        <v/>
      </c>
      <c r="G696" s="31">
        <f>IF(OR($E696="",$D696=""),"", $E696+$D696)</f>
        <v/>
      </c>
      <c r="H696" s="31">
        <f>IF(OR($A696="",$B696=""),"",SUMIFS(QuickLog!$L$2:$L$1000,QuickLog!$B$2:$B$1000,$B696,QuickLog!$O$2:$O$1000,$A696))</f>
        <v/>
      </c>
      <c r="I696" s="32">
        <f>IF($H696="","",$H696)</f>
        <v/>
      </c>
    </row>
    <row r="697">
      <c r="A697" s="29" t="n"/>
      <c r="B697" s="31" t="n"/>
      <c r="C697" s="31">
        <f>IF(OR($A697="",$B697=""),"",SUMIFS(QuickLog!$K$2:$K$1000,QuickLog!$B$2:$B$1000,$B697,QuickLog!$O$2:$O$1000,$A697,QuickLog!$G$2:$G$1000,"Routine"))</f>
        <v/>
      </c>
      <c r="D697" s="31">
        <f>IF(OR($A697="",$B697=""),"",SUMIFS(QuickLog!$K$2:$K$1000,QuickLog!$B$2:$B$1000,$B697,QuickLog!$O$2:$O$1000,$A697,QuickLog!$G$2:$G$1000,"&lt;&gt;Routine"))</f>
        <v/>
      </c>
      <c r="E697" s="31">
        <f>IF($C697="","",MIN($C697,Settings!$B$2))</f>
        <v/>
      </c>
      <c r="F697" s="31">
        <f>IF($C697="","",MAX(0,$C697-$E697))</f>
        <v/>
      </c>
      <c r="G697" s="31">
        <f>IF(OR($E697="",$D697=""),"", $E697+$D697)</f>
        <v/>
      </c>
      <c r="H697" s="31">
        <f>IF(OR($A697="",$B697=""),"",SUMIFS(QuickLog!$L$2:$L$1000,QuickLog!$B$2:$B$1000,$B697,QuickLog!$O$2:$O$1000,$A697))</f>
        <v/>
      </c>
      <c r="I697" s="32">
        <f>IF($H697="","",$H697)</f>
        <v/>
      </c>
    </row>
    <row r="698">
      <c r="A698" s="29" t="n"/>
      <c r="B698" s="31" t="n"/>
      <c r="C698" s="31">
        <f>IF(OR($A698="",$B698=""),"",SUMIFS(QuickLog!$K$2:$K$1000,QuickLog!$B$2:$B$1000,$B698,QuickLog!$O$2:$O$1000,$A698,QuickLog!$G$2:$G$1000,"Routine"))</f>
        <v/>
      </c>
      <c r="D698" s="31">
        <f>IF(OR($A698="",$B698=""),"",SUMIFS(QuickLog!$K$2:$K$1000,QuickLog!$B$2:$B$1000,$B698,QuickLog!$O$2:$O$1000,$A698,QuickLog!$G$2:$G$1000,"&lt;&gt;Routine"))</f>
        <v/>
      </c>
      <c r="E698" s="31">
        <f>IF($C698="","",MIN($C698,Settings!$B$2))</f>
        <v/>
      </c>
      <c r="F698" s="31">
        <f>IF($C698="","",MAX(0,$C698-$E698))</f>
        <v/>
      </c>
      <c r="G698" s="31">
        <f>IF(OR($E698="",$D698=""),"", $E698+$D698)</f>
        <v/>
      </c>
      <c r="H698" s="31">
        <f>IF(OR($A698="",$B698=""),"",SUMIFS(QuickLog!$L$2:$L$1000,QuickLog!$B$2:$B$1000,$B698,QuickLog!$O$2:$O$1000,$A698))</f>
        <v/>
      </c>
      <c r="I698" s="32">
        <f>IF($H698="","",$H698)</f>
        <v/>
      </c>
    </row>
    <row r="699">
      <c r="A699" s="29" t="n"/>
      <c r="B699" s="31" t="n"/>
      <c r="C699" s="31">
        <f>IF(OR($A699="",$B699=""),"",SUMIFS(QuickLog!$K$2:$K$1000,QuickLog!$B$2:$B$1000,$B699,QuickLog!$O$2:$O$1000,$A699,QuickLog!$G$2:$G$1000,"Routine"))</f>
        <v/>
      </c>
      <c r="D699" s="31">
        <f>IF(OR($A699="",$B699=""),"",SUMIFS(QuickLog!$K$2:$K$1000,QuickLog!$B$2:$B$1000,$B699,QuickLog!$O$2:$O$1000,$A699,QuickLog!$G$2:$G$1000,"&lt;&gt;Routine"))</f>
        <v/>
      </c>
      <c r="E699" s="31">
        <f>IF($C699="","",MIN($C699,Settings!$B$2))</f>
        <v/>
      </c>
      <c r="F699" s="31">
        <f>IF($C699="","",MAX(0,$C699-$E699))</f>
        <v/>
      </c>
      <c r="G699" s="31">
        <f>IF(OR($E699="",$D699=""),"", $E699+$D699)</f>
        <v/>
      </c>
      <c r="H699" s="31">
        <f>IF(OR($A699="",$B699=""),"",SUMIFS(QuickLog!$L$2:$L$1000,QuickLog!$B$2:$B$1000,$B699,QuickLog!$O$2:$O$1000,$A699))</f>
        <v/>
      </c>
      <c r="I699" s="32">
        <f>IF($H699="","",$H699)</f>
        <v/>
      </c>
    </row>
    <row r="700">
      <c r="A700" s="29" t="n"/>
      <c r="B700" s="31" t="n"/>
      <c r="C700" s="31">
        <f>IF(OR($A700="",$B700=""),"",SUMIFS(QuickLog!$K$2:$K$1000,QuickLog!$B$2:$B$1000,$B700,QuickLog!$O$2:$O$1000,$A700,QuickLog!$G$2:$G$1000,"Routine"))</f>
        <v/>
      </c>
      <c r="D700" s="31">
        <f>IF(OR($A700="",$B700=""),"",SUMIFS(QuickLog!$K$2:$K$1000,QuickLog!$B$2:$B$1000,$B700,QuickLog!$O$2:$O$1000,$A700,QuickLog!$G$2:$G$1000,"&lt;&gt;Routine"))</f>
        <v/>
      </c>
      <c r="E700" s="31">
        <f>IF($C700="","",MIN($C700,Settings!$B$2))</f>
        <v/>
      </c>
      <c r="F700" s="31">
        <f>IF($C700="","",MAX(0,$C700-$E700))</f>
        <v/>
      </c>
      <c r="G700" s="31">
        <f>IF(OR($E700="",$D700=""),"", $E700+$D700)</f>
        <v/>
      </c>
      <c r="H700" s="31">
        <f>IF(OR($A700="",$B700=""),"",SUMIFS(QuickLog!$L$2:$L$1000,QuickLog!$B$2:$B$1000,$B700,QuickLog!$O$2:$O$1000,$A700))</f>
        <v/>
      </c>
      <c r="I700" s="32">
        <f>IF($H700="","",$H700)</f>
        <v/>
      </c>
    </row>
    <row r="701">
      <c r="A701" s="29" t="n"/>
      <c r="B701" s="31" t="n"/>
      <c r="C701" s="31">
        <f>IF(OR($A701="",$B701=""),"",SUMIFS(QuickLog!$K$2:$K$1000,QuickLog!$B$2:$B$1000,$B701,QuickLog!$O$2:$O$1000,$A701,QuickLog!$G$2:$G$1000,"Routine"))</f>
        <v/>
      </c>
      <c r="D701" s="31">
        <f>IF(OR($A701="",$B701=""),"",SUMIFS(QuickLog!$K$2:$K$1000,QuickLog!$B$2:$B$1000,$B701,QuickLog!$O$2:$O$1000,$A701,QuickLog!$G$2:$G$1000,"&lt;&gt;Routine"))</f>
        <v/>
      </c>
      <c r="E701" s="31">
        <f>IF($C701="","",MIN($C701,Settings!$B$2))</f>
        <v/>
      </c>
      <c r="F701" s="31">
        <f>IF($C701="","",MAX(0,$C701-$E701))</f>
        <v/>
      </c>
      <c r="G701" s="31">
        <f>IF(OR($E701="",$D701=""),"", $E701+$D701)</f>
        <v/>
      </c>
      <c r="H701" s="31">
        <f>IF(OR($A701="",$B701=""),"",SUMIFS(QuickLog!$L$2:$L$1000,QuickLog!$B$2:$B$1000,$B701,QuickLog!$O$2:$O$1000,$A701))</f>
        <v/>
      </c>
      <c r="I701" s="32">
        <f>IF($H701="","",$H701)</f>
        <v/>
      </c>
    </row>
    <row r="702">
      <c r="A702" s="29" t="n"/>
      <c r="B702" s="31" t="n"/>
      <c r="C702" s="31">
        <f>IF(OR($A702="",$B702=""),"",SUMIFS(QuickLog!$K$2:$K$1000,QuickLog!$B$2:$B$1000,$B702,QuickLog!$O$2:$O$1000,$A702,QuickLog!$G$2:$G$1000,"Routine"))</f>
        <v/>
      </c>
      <c r="D702" s="31">
        <f>IF(OR($A702="",$B702=""),"",SUMIFS(QuickLog!$K$2:$K$1000,QuickLog!$B$2:$B$1000,$B702,QuickLog!$O$2:$O$1000,$A702,QuickLog!$G$2:$G$1000,"&lt;&gt;Routine"))</f>
        <v/>
      </c>
      <c r="E702" s="31">
        <f>IF($C702="","",MIN($C702,Settings!$B$2))</f>
        <v/>
      </c>
      <c r="F702" s="31">
        <f>IF($C702="","",MAX(0,$C702-$E702))</f>
        <v/>
      </c>
      <c r="G702" s="31">
        <f>IF(OR($E702="",$D702=""),"", $E702+$D702)</f>
        <v/>
      </c>
      <c r="H702" s="31">
        <f>IF(OR($A702="",$B702=""),"",SUMIFS(QuickLog!$L$2:$L$1000,QuickLog!$B$2:$B$1000,$B702,QuickLog!$O$2:$O$1000,$A702))</f>
        <v/>
      </c>
      <c r="I702" s="32">
        <f>IF($H702="","",$H702)</f>
        <v/>
      </c>
    </row>
    <row r="703">
      <c r="A703" s="29" t="n"/>
      <c r="B703" s="31" t="n"/>
      <c r="C703" s="31">
        <f>IF(OR($A703="",$B703=""),"",SUMIFS(QuickLog!$K$2:$K$1000,QuickLog!$B$2:$B$1000,$B703,QuickLog!$O$2:$O$1000,$A703,QuickLog!$G$2:$G$1000,"Routine"))</f>
        <v/>
      </c>
      <c r="D703" s="31">
        <f>IF(OR($A703="",$B703=""),"",SUMIFS(QuickLog!$K$2:$K$1000,QuickLog!$B$2:$B$1000,$B703,QuickLog!$O$2:$O$1000,$A703,QuickLog!$G$2:$G$1000,"&lt;&gt;Routine"))</f>
        <v/>
      </c>
      <c r="E703" s="31">
        <f>IF($C703="","",MIN($C703,Settings!$B$2))</f>
        <v/>
      </c>
      <c r="F703" s="31">
        <f>IF($C703="","",MAX(0,$C703-$E703))</f>
        <v/>
      </c>
      <c r="G703" s="31">
        <f>IF(OR($E703="",$D703=""),"", $E703+$D703)</f>
        <v/>
      </c>
      <c r="H703" s="31">
        <f>IF(OR($A703="",$B703=""),"",SUMIFS(QuickLog!$L$2:$L$1000,QuickLog!$B$2:$B$1000,$B703,QuickLog!$O$2:$O$1000,$A703))</f>
        <v/>
      </c>
      <c r="I703" s="32">
        <f>IF($H703="","",$H703)</f>
        <v/>
      </c>
    </row>
    <row r="704">
      <c r="A704" s="29" t="n"/>
      <c r="B704" s="31" t="n"/>
      <c r="C704" s="31">
        <f>IF(OR($A704="",$B704=""),"",SUMIFS(QuickLog!$K$2:$K$1000,QuickLog!$B$2:$B$1000,$B704,QuickLog!$O$2:$O$1000,$A704,QuickLog!$G$2:$G$1000,"Routine"))</f>
        <v/>
      </c>
      <c r="D704" s="31">
        <f>IF(OR($A704="",$B704=""),"",SUMIFS(QuickLog!$K$2:$K$1000,QuickLog!$B$2:$B$1000,$B704,QuickLog!$O$2:$O$1000,$A704,QuickLog!$G$2:$G$1000,"&lt;&gt;Routine"))</f>
        <v/>
      </c>
      <c r="E704" s="31">
        <f>IF($C704="","",MIN($C704,Settings!$B$2))</f>
        <v/>
      </c>
      <c r="F704" s="31">
        <f>IF($C704="","",MAX(0,$C704-$E704))</f>
        <v/>
      </c>
      <c r="G704" s="31">
        <f>IF(OR($E704="",$D704=""),"", $E704+$D704)</f>
        <v/>
      </c>
      <c r="H704" s="31">
        <f>IF(OR($A704="",$B704=""),"",SUMIFS(QuickLog!$L$2:$L$1000,QuickLog!$B$2:$B$1000,$B704,QuickLog!$O$2:$O$1000,$A704))</f>
        <v/>
      </c>
      <c r="I704" s="32">
        <f>IF($H704="","",$H704)</f>
        <v/>
      </c>
    </row>
    <row r="705">
      <c r="A705" s="29" t="n"/>
      <c r="B705" s="31" t="n"/>
      <c r="C705" s="31">
        <f>IF(OR($A705="",$B705=""),"",SUMIFS(QuickLog!$K$2:$K$1000,QuickLog!$B$2:$B$1000,$B705,QuickLog!$O$2:$O$1000,$A705,QuickLog!$G$2:$G$1000,"Routine"))</f>
        <v/>
      </c>
      <c r="D705" s="31">
        <f>IF(OR($A705="",$B705=""),"",SUMIFS(QuickLog!$K$2:$K$1000,QuickLog!$B$2:$B$1000,$B705,QuickLog!$O$2:$O$1000,$A705,QuickLog!$G$2:$G$1000,"&lt;&gt;Routine"))</f>
        <v/>
      </c>
      <c r="E705" s="31">
        <f>IF($C705="","",MIN($C705,Settings!$B$2))</f>
        <v/>
      </c>
      <c r="F705" s="31">
        <f>IF($C705="","",MAX(0,$C705-$E705))</f>
        <v/>
      </c>
      <c r="G705" s="31">
        <f>IF(OR($E705="",$D705=""),"", $E705+$D705)</f>
        <v/>
      </c>
      <c r="H705" s="31">
        <f>IF(OR($A705="",$B705=""),"",SUMIFS(QuickLog!$L$2:$L$1000,QuickLog!$B$2:$B$1000,$B705,QuickLog!$O$2:$O$1000,$A705))</f>
        <v/>
      </c>
      <c r="I705" s="32">
        <f>IF($H705="","",$H705)</f>
        <v/>
      </c>
    </row>
    <row r="706">
      <c r="A706" s="29" t="n"/>
      <c r="B706" s="31" t="n"/>
      <c r="C706" s="31">
        <f>IF(OR($A706="",$B706=""),"",SUMIFS(QuickLog!$K$2:$K$1000,QuickLog!$B$2:$B$1000,$B706,QuickLog!$O$2:$O$1000,$A706,QuickLog!$G$2:$G$1000,"Routine"))</f>
        <v/>
      </c>
      <c r="D706" s="31">
        <f>IF(OR($A706="",$B706=""),"",SUMIFS(QuickLog!$K$2:$K$1000,QuickLog!$B$2:$B$1000,$B706,QuickLog!$O$2:$O$1000,$A706,QuickLog!$G$2:$G$1000,"&lt;&gt;Routine"))</f>
        <v/>
      </c>
      <c r="E706" s="31">
        <f>IF($C706="","",MIN($C706,Settings!$B$2))</f>
        <v/>
      </c>
      <c r="F706" s="31">
        <f>IF($C706="","",MAX(0,$C706-$E706))</f>
        <v/>
      </c>
      <c r="G706" s="31">
        <f>IF(OR($E706="",$D706=""),"", $E706+$D706)</f>
        <v/>
      </c>
      <c r="H706" s="31">
        <f>IF(OR($A706="",$B706=""),"",SUMIFS(QuickLog!$L$2:$L$1000,QuickLog!$B$2:$B$1000,$B706,QuickLog!$O$2:$O$1000,$A706))</f>
        <v/>
      </c>
      <c r="I706" s="32">
        <f>IF($H706="","",$H706)</f>
        <v/>
      </c>
    </row>
    <row r="707">
      <c r="A707" s="29" t="n"/>
      <c r="B707" s="31" t="n"/>
      <c r="C707" s="31">
        <f>IF(OR($A707="",$B707=""),"",SUMIFS(QuickLog!$K$2:$K$1000,QuickLog!$B$2:$B$1000,$B707,QuickLog!$O$2:$O$1000,$A707,QuickLog!$G$2:$G$1000,"Routine"))</f>
        <v/>
      </c>
      <c r="D707" s="31">
        <f>IF(OR($A707="",$B707=""),"",SUMIFS(QuickLog!$K$2:$K$1000,QuickLog!$B$2:$B$1000,$B707,QuickLog!$O$2:$O$1000,$A707,QuickLog!$G$2:$G$1000,"&lt;&gt;Routine"))</f>
        <v/>
      </c>
      <c r="E707" s="31">
        <f>IF($C707="","",MIN($C707,Settings!$B$2))</f>
        <v/>
      </c>
      <c r="F707" s="31">
        <f>IF($C707="","",MAX(0,$C707-$E707))</f>
        <v/>
      </c>
      <c r="G707" s="31">
        <f>IF(OR($E707="",$D707=""),"", $E707+$D707)</f>
        <v/>
      </c>
      <c r="H707" s="31">
        <f>IF(OR($A707="",$B707=""),"",SUMIFS(QuickLog!$L$2:$L$1000,QuickLog!$B$2:$B$1000,$B707,QuickLog!$O$2:$O$1000,$A707))</f>
        <v/>
      </c>
      <c r="I707" s="32">
        <f>IF($H707="","",$H707)</f>
        <v/>
      </c>
    </row>
    <row r="708">
      <c r="A708" s="29" t="n"/>
      <c r="B708" s="31" t="n"/>
      <c r="C708" s="31">
        <f>IF(OR($A708="",$B708=""),"",SUMIFS(QuickLog!$K$2:$K$1000,QuickLog!$B$2:$B$1000,$B708,QuickLog!$O$2:$O$1000,$A708,QuickLog!$G$2:$G$1000,"Routine"))</f>
        <v/>
      </c>
      <c r="D708" s="31">
        <f>IF(OR($A708="",$B708=""),"",SUMIFS(QuickLog!$K$2:$K$1000,QuickLog!$B$2:$B$1000,$B708,QuickLog!$O$2:$O$1000,$A708,QuickLog!$G$2:$G$1000,"&lt;&gt;Routine"))</f>
        <v/>
      </c>
      <c r="E708" s="31">
        <f>IF($C708="","",MIN($C708,Settings!$B$2))</f>
        <v/>
      </c>
      <c r="F708" s="31">
        <f>IF($C708="","",MAX(0,$C708-$E708))</f>
        <v/>
      </c>
      <c r="G708" s="31">
        <f>IF(OR($E708="",$D708=""),"", $E708+$D708)</f>
        <v/>
      </c>
      <c r="H708" s="31">
        <f>IF(OR($A708="",$B708=""),"",SUMIFS(QuickLog!$L$2:$L$1000,QuickLog!$B$2:$B$1000,$B708,QuickLog!$O$2:$O$1000,$A708))</f>
        <v/>
      </c>
      <c r="I708" s="32">
        <f>IF($H708="","",$H708)</f>
        <v/>
      </c>
    </row>
    <row r="709">
      <c r="A709" s="29" t="n"/>
      <c r="B709" s="31" t="n"/>
      <c r="C709" s="31">
        <f>IF(OR($A709="",$B709=""),"",SUMIFS(QuickLog!$K$2:$K$1000,QuickLog!$B$2:$B$1000,$B709,QuickLog!$O$2:$O$1000,$A709,QuickLog!$G$2:$G$1000,"Routine"))</f>
        <v/>
      </c>
      <c r="D709" s="31">
        <f>IF(OR($A709="",$B709=""),"",SUMIFS(QuickLog!$K$2:$K$1000,QuickLog!$B$2:$B$1000,$B709,QuickLog!$O$2:$O$1000,$A709,QuickLog!$G$2:$G$1000,"&lt;&gt;Routine"))</f>
        <v/>
      </c>
      <c r="E709" s="31">
        <f>IF($C709="","",MIN($C709,Settings!$B$2))</f>
        <v/>
      </c>
      <c r="F709" s="31">
        <f>IF($C709="","",MAX(0,$C709-$E709))</f>
        <v/>
      </c>
      <c r="G709" s="31">
        <f>IF(OR($E709="",$D709=""),"", $E709+$D709)</f>
        <v/>
      </c>
      <c r="H709" s="31">
        <f>IF(OR($A709="",$B709=""),"",SUMIFS(QuickLog!$L$2:$L$1000,QuickLog!$B$2:$B$1000,$B709,QuickLog!$O$2:$O$1000,$A709))</f>
        <v/>
      </c>
      <c r="I709" s="32">
        <f>IF($H709="","",$H709)</f>
        <v/>
      </c>
    </row>
    <row r="710">
      <c r="A710" s="29" t="n"/>
      <c r="B710" s="31" t="n"/>
      <c r="C710" s="31">
        <f>IF(OR($A710="",$B710=""),"",SUMIFS(QuickLog!$K$2:$K$1000,QuickLog!$B$2:$B$1000,$B710,QuickLog!$O$2:$O$1000,$A710,QuickLog!$G$2:$G$1000,"Routine"))</f>
        <v/>
      </c>
      <c r="D710" s="31">
        <f>IF(OR($A710="",$B710=""),"",SUMIFS(QuickLog!$K$2:$K$1000,QuickLog!$B$2:$B$1000,$B710,QuickLog!$O$2:$O$1000,$A710,QuickLog!$G$2:$G$1000,"&lt;&gt;Routine"))</f>
        <v/>
      </c>
      <c r="E710" s="31">
        <f>IF($C710="","",MIN($C710,Settings!$B$2))</f>
        <v/>
      </c>
      <c r="F710" s="31">
        <f>IF($C710="","",MAX(0,$C710-$E710))</f>
        <v/>
      </c>
      <c r="G710" s="31">
        <f>IF(OR($E710="",$D710=""),"", $E710+$D710)</f>
        <v/>
      </c>
      <c r="H710" s="31">
        <f>IF(OR($A710="",$B710=""),"",SUMIFS(QuickLog!$L$2:$L$1000,QuickLog!$B$2:$B$1000,$B710,QuickLog!$O$2:$O$1000,$A710))</f>
        <v/>
      </c>
      <c r="I710" s="32">
        <f>IF($H710="","",$H710)</f>
        <v/>
      </c>
    </row>
    <row r="711">
      <c r="A711" s="29" t="n"/>
      <c r="B711" s="31" t="n"/>
      <c r="C711" s="31">
        <f>IF(OR($A711="",$B711=""),"",SUMIFS(QuickLog!$K$2:$K$1000,QuickLog!$B$2:$B$1000,$B711,QuickLog!$O$2:$O$1000,$A711,QuickLog!$G$2:$G$1000,"Routine"))</f>
        <v/>
      </c>
      <c r="D711" s="31">
        <f>IF(OR($A711="",$B711=""),"",SUMIFS(QuickLog!$K$2:$K$1000,QuickLog!$B$2:$B$1000,$B711,QuickLog!$O$2:$O$1000,$A711,QuickLog!$G$2:$G$1000,"&lt;&gt;Routine"))</f>
        <v/>
      </c>
      <c r="E711" s="31">
        <f>IF($C711="","",MIN($C711,Settings!$B$2))</f>
        <v/>
      </c>
      <c r="F711" s="31">
        <f>IF($C711="","",MAX(0,$C711-$E711))</f>
        <v/>
      </c>
      <c r="G711" s="31">
        <f>IF(OR($E711="",$D711=""),"", $E711+$D711)</f>
        <v/>
      </c>
      <c r="H711" s="31">
        <f>IF(OR($A711="",$B711=""),"",SUMIFS(QuickLog!$L$2:$L$1000,QuickLog!$B$2:$B$1000,$B711,QuickLog!$O$2:$O$1000,$A711))</f>
        <v/>
      </c>
      <c r="I711" s="32">
        <f>IF($H711="","",$H711)</f>
        <v/>
      </c>
    </row>
    <row r="712">
      <c r="A712" s="29" t="n"/>
      <c r="B712" s="31" t="n"/>
      <c r="C712" s="31">
        <f>IF(OR($A712="",$B712=""),"",SUMIFS(QuickLog!$K$2:$K$1000,QuickLog!$B$2:$B$1000,$B712,QuickLog!$O$2:$O$1000,$A712,QuickLog!$G$2:$G$1000,"Routine"))</f>
        <v/>
      </c>
      <c r="D712" s="31">
        <f>IF(OR($A712="",$B712=""),"",SUMIFS(QuickLog!$K$2:$K$1000,QuickLog!$B$2:$B$1000,$B712,QuickLog!$O$2:$O$1000,$A712,QuickLog!$G$2:$G$1000,"&lt;&gt;Routine"))</f>
        <v/>
      </c>
      <c r="E712" s="31">
        <f>IF($C712="","",MIN($C712,Settings!$B$2))</f>
        <v/>
      </c>
      <c r="F712" s="31">
        <f>IF($C712="","",MAX(0,$C712-$E712))</f>
        <v/>
      </c>
      <c r="G712" s="31">
        <f>IF(OR($E712="",$D712=""),"", $E712+$D712)</f>
        <v/>
      </c>
      <c r="H712" s="31">
        <f>IF(OR($A712="",$B712=""),"",SUMIFS(QuickLog!$L$2:$L$1000,QuickLog!$B$2:$B$1000,$B712,QuickLog!$O$2:$O$1000,$A712))</f>
        <v/>
      </c>
      <c r="I712" s="32">
        <f>IF($H712="","",$H712)</f>
        <v/>
      </c>
    </row>
    <row r="713">
      <c r="A713" s="29" t="n"/>
      <c r="B713" s="31" t="n"/>
      <c r="C713" s="31">
        <f>IF(OR($A713="",$B713=""),"",SUMIFS(QuickLog!$K$2:$K$1000,QuickLog!$B$2:$B$1000,$B713,QuickLog!$O$2:$O$1000,$A713,QuickLog!$G$2:$G$1000,"Routine"))</f>
        <v/>
      </c>
      <c r="D713" s="31">
        <f>IF(OR($A713="",$B713=""),"",SUMIFS(QuickLog!$K$2:$K$1000,QuickLog!$B$2:$B$1000,$B713,QuickLog!$O$2:$O$1000,$A713,QuickLog!$G$2:$G$1000,"&lt;&gt;Routine"))</f>
        <v/>
      </c>
      <c r="E713" s="31">
        <f>IF($C713="","",MIN($C713,Settings!$B$2))</f>
        <v/>
      </c>
      <c r="F713" s="31">
        <f>IF($C713="","",MAX(0,$C713-$E713))</f>
        <v/>
      </c>
      <c r="G713" s="31">
        <f>IF(OR($E713="",$D713=""),"", $E713+$D713)</f>
        <v/>
      </c>
      <c r="H713" s="31">
        <f>IF(OR($A713="",$B713=""),"",SUMIFS(QuickLog!$L$2:$L$1000,QuickLog!$B$2:$B$1000,$B713,QuickLog!$O$2:$O$1000,$A713))</f>
        <v/>
      </c>
      <c r="I713" s="32">
        <f>IF($H713="","",$H713)</f>
        <v/>
      </c>
    </row>
    <row r="714">
      <c r="A714" s="29" t="n"/>
      <c r="B714" s="31" t="n"/>
      <c r="C714" s="31">
        <f>IF(OR($A714="",$B714=""),"",SUMIFS(QuickLog!$K$2:$K$1000,QuickLog!$B$2:$B$1000,$B714,QuickLog!$O$2:$O$1000,$A714,QuickLog!$G$2:$G$1000,"Routine"))</f>
        <v/>
      </c>
      <c r="D714" s="31">
        <f>IF(OR($A714="",$B714=""),"",SUMIFS(QuickLog!$K$2:$K$1000,QuickLog!$B$2:$B$1000,$B714,QuickLog!$O$2:$O$1000,$A714,QuickLog!$G$2:$G$1000,"&lt;&gt;Routine"))</f>
        <v/>
      </c>
      <c r="E714" s="31">
        <f>IF($C714="","",MIN($C714,Settings!$B$2))</f>
        <v/>
      </c>
      <c r="F714" s="31">
        <f>IF($C714="","",MAX(0,$C714-$E714))</f>
        <v/>
      </c>
      <c r="G714" s="31">
        <f>IF(OR($E714="",$D714=""),"", $E714+$D714)</f>
        <v/>
      </c>
      <c r="H714" s="31">
        <f>IF(OR($A714="",$B714=""),"",SUMIFS(QuickLog!$L$2:$L$1000,QuickLog!$B$2:$B$1000,$B714,QuickLog!$O$2:$O$1000,$A714))</f>
        <v/>
      </c>
      <c r="I714" s="32">
        <f>IF($H714="","",$H714)</f>
        <v/>
      </c>
    </row>
    <row r="715">
      <c r="A715" s="29" t="n"/>
      <c r="B715" s="31" t="n"/>
      <c r="C715" s="31">
        <f>IF(OR($A715="",$B715=""),"",SUMIFS(QuickLog!$K$2:$K$1000,QuickLog!$B$2:$B$1000,$B715,QuickLog!$O$2:$O$1000,$A715,QuickLog!$G$2:$G$1000,"Routine"))</f>
        <v/>
      </c>
      <c r="D715" s="31">
        <f>IF(OR($A715="",$B715=""),"",SUMIFS(QuickLog!$K$2:$K$1000,QuickLog!$B$2:$B$1000,$B715,QuickLog!$O$2:$O$1000,$A715,QuickLog!$G$2:$G$1000,"&lt;&gt;Routine"))</f>
        <v/>
      </c>
      <c r="E715" s="31">
        <f>IF($C715="","",MIN($C715,Settings!$B$2))</f>
        <v/>
      </c>
      <c r="F715" s="31">
        <f>IF($C715="","",MAX(0,$C715-$E715))</f>
        <v/>
      </c>
      <c r="G715" s="31">
        <f>IF(OR($E715="",$D715=""),"", $E715+$D715)</f>
        <v/>
      </c>
      <c r="H715" s="31">
        <f>IF(OR($A715="",$B715=""),"",SUMIFS(QuickLog!$L$2:$L$1000,QuickLog!$B$2:$B$1000,$B715,QuickLog!$O$2:$O$1000,$A715))</f>
        <v/>
      </c>
      <c r="I715" s="32">
        <f>IF($H715="","",$H715)</f>
        <v/>
      </c>
    </row>
    <row r="716">
      <c r="A716" s="29" t="n"/>
      <c r="B716" s="31" t="n"/>
      <c r="C716" s="31">
        <f>IF(OR($A716="",$B716=""),"",SUMIFS(QuickLog!$K$2:$K$1000,QuickLog!$B$2:$B$1000,$B716,QuickLog!$O$2:$O$1000,$A716,QuickLog!$G$2:$G$1000,"Routine"))</f>
        <v/>
      </c>
      <c r="D716" s="31">
        <f>IF(OR($A716="",$B716=""),"",SUMIFS(QuickLog!$K$2:$K$1000,QuickLog!$B$2:$B$1000,$B716,QuickLog!$O$2:$O$1000,$A716,QuickLog!$G$2:$G$1000,"&lt;&gt;Routine"))</f>
        <v/>
      </c>
      <c r="E716" s="31">
        <f>IF($C716="","",MIN($C716,Settings!$B$2))</f>
        <v/>
      </c>
      <c r="F716" s="31">
        <f>IF($C716="","",MAX(0,$C716-$E716))</f>
        <v/>
      </c>
      <c r="G716" s="31">
        <f>IF(OR($E716="",$D716=""),"", $E716+$D716)</f>
        <v/>
      </c>
      <c r="H716" s="31">
        <f>IF(OR($A716="",$B716=""),"",SUMIFS(QuickLog!$L$2:$L$1000,QuickLog!$B$2:$B$1000,$B716,QuickLog!$O$2:$O$1000,$A716))</f>
        <v/>
      </c>
      <c r="I716" s="32">
        <f>IF($H716="","",$H716)</f>
        <v/>
      </c>
    </row>
    <row r="717">
      <c r="A717" s="29" t="n"/>
      <c r="B717" s="31" t="n"/>
      <c r="C717" s="31">
        <f>IF(OR($A717="",$B717=""),"",SUMIFS(QuickLog!$K$2:$K$1000,QuickLog!$B$2:$B$1000,$B717,QuickLog!$O$2:$O$1000,$A717,QuickLog!$G$2:$G$1000,"Routine"))</f>
        <v/>
      </c>
      <c r="D717" s="31">
        <f>IF(OR($A717="",$B717=""),"",SUMIFS(QuickLog!$K$2:$K$1000,QuickLog!$B$2:$B$1000,$B717,QuickLog!$O$2:$O$1000,$A717,QuickLog!$G$2:$G$1000,"&lt;&gt;Routine"))</f>
        <v/>
      </c>
      <c r="E717" s="31">
        <f>IF($C717="","",MIN($C717,Settings!$B$2))</f>
        <v/>
      </c>
      <c r="F717" s="31">
        <f>IF($C717="","",MAX(0,$C717-$E717))</f>
        <v/>
      </c>
      <c r="G717" s="31">
        <f>IF(OR($E717="",$D717=""),"", $E717+$D717)</f>
        <v/>
      </c>
      <c r="H717" s="31">
        <f>IF(OR($A717="",$B717=""),"",SUMIFS(QuickLog!$L$2:$L$1000,QuickLog!$B$2:$B$1000,$B717,QuickLog!$O$2:$O$1000,$A717))</f>
        <v/>
      </c>
      <c r="I717" s="32">
        <f>IF($H717="","",$H717)</f>
        <v/>
      </c>
    </row>
    <row r="718">
      <c r="A718" s="29" t="n"/>
      <c r="B718" s="31" t="n"/>
      <c r="C718" s="31">
        <f>IF(OR($A718="",$B718=""),"",SUMIFS(QuickLog!$K$2:$K$1000,QuickLog!$B$2:$B$1000,$B718,QuickLog!$O$2:$O$1000,$A718,QuickLog!$G$2:$G$1000,"Routine"))</f>
        <v/>
      </c>
      <c r="D718" s="31">
        <f>IF(OR($A718="",$B718=""),"",SUMIFS(QuickLog!$K$2:$K$1000,QuickLog!$B$2:$B$1000,$B718,QuickLog!$O$2:$O$1000,$A718,QuickLog!$G$2:$G$1000,"&lt;&gt;Routine"))</f>
        <v/>
      </c>
      <c r="E718" s="31">
        <f>IF($C718="","",MIN($C718,Settings!$B$2))</f>
        <v/>
      </c>
      <c r="F718" s="31">
        <f>IF($C718="","",MAX(0,$C718-$E718))</f>
        <v/>
      </c>
      <c r="G718" s="31">
        <f>IF(OR($E718="",$D718=""),"", $E718+$D718)</f>
        <v/>
      </c>
      <c r="H718" s="31">
        <f>IF(OR($A718="",$B718=""),"",SUMIFS(QuickLog!$L$2:$L$1000,QuickLog!$B$2:$B$1000,$B718,QuickLog!$O$2:$O$1000,$A718))</f>
        <v/>
      </c>
      <c r="I718" s="32">
        <f>IF($H718="","",$H718)</f>
        <v/>
      </c>
    </row>
    <row r="719">
      <c r="A719" s="29" t="n"/>
      <c r="B719" s="31" t="n"/>
      <c r="C719" s="31">
        <f>IF(OR($A719="",$B719=""),"",SUMIFS(QuickLog!$K$2:$K$1000,QuickLog!$B$2:$B$1000,$B719,QuickLog!$O$2:$O$1000,$A719,QuickLog!$G$2:$G$1000,"Routine"))</f>
        <v/>
      </c>
      <c r="D719" s="31">
        <f>IF(OR($A719="",$B719=""),"",SUMIFS(QuickLog!$K$2:$K$1000,QuickLog!$B$2:$B$1000,$B719,QuickLog!$O$2:$O$1000,$A719,QuickLog!$G$2:$G$1000,"&lt;&gt;Routine"))</f>
        <v/>
      </c>
      <c r="E719" s="31">
        <f>IF($C719="","",MIN($C719,Settings!$B$2))</f>
        <v/>
      </c>
      <c r="F719" s="31">
        <f>IF($C719="","",MAX(0,$C719-$E719))</f>
        <v/>
      </c>
      <c r="G719" s="31">
        <f>IF(OR($E719="",$D719=""),"", $E719+$D719)</f>
        <v/>
      </c>
      <c r="H719" s="31">
        <f>IF(OR($A719="",$B719=""),"",SUMIFS(QuickLog!$L$2:$L$1000,QuickLog!$B$2:$B$1000,$B719,QuickLog!$O$2:$O$1000,$A719))</f>
        <v/>
      </c>
      <c r="I719" s="32">
        <f>IF($H719="","",$H719)</f>
        <v/>
      </c>
    </row>
    <row r="720">
      <c r="A720" s="29" t="n"/>
      <c r="B720" s="31" t="n"/>
      <c r="C720" s="31">
        <f>IF(OR($A720="",$B720=""),"",SUMIFS(QuickLog!$K$2:$K$1000,QuickLog!$B$2:$B$1000,$B720,QuickLog!$O$2:$O$1000,$A720,QuickLog!$G$2:$G$1000,"Routine"))</f>
        <v/>
      </c>
      <c r="D720" s="31">
        <f>IF(OR($A720="",$B720=""),"",SUMIFS(QuickLog!$K$2:$K$1000,QuickLog!$B$2:$B$1000,$B720,QuickLog!$O$2:$O$1000,$A720,QuickLog!$G$2:$G$1000,"&lt;&gt;Routine"))</f>
        <v/>
      </c>
      <c r="E720" s="31">
        <f>IF($C720="","",MIN($C720,Settings!$B$2))</f>
        <v/>
      </c>
      <c r="F720" s="31">
        <f>IF($C720="","",MAX(0,$C720-$E720))</f>
        <v/>
      </c>
      <c r="G720" s="31">
        <f>IF(OR($E720="",$D720=""),"", $E720+$D720)</f>
        <v/>
      </c>
      <c r="H720" s="31">
        <f>IF(OR($A720="",$B720=""),"",SUMIFS(QuickLog!$L$2:$L$1000,QuickLog!$B$2:$B$1000,$B720,QuickLog!$O$2:$O$1000,$A720))</f>
        <v/>
      </c>
      <c r="I720" s="32">
        <f>IF($H720="","",$H720)</f>
        <v/>
      </c>
    </row>
    <row r="721">
      <c r="A721" s="29" t="n"/>
      <c r="B721" s="31" t="n"/>
      <c r="C721" s="31">
        <f>IF(OR($A721="",$B721=""),"",SUMIFS(QuickLog!$K$2:$K$1000,QuickLog!$B$2:$B$1000,$B721,QuickLog!$O$2:$O$1000,$A721,QuickLog!$G$2:$G$1000,"Routine"))</f>
        <v/>
      </c>
      <c r="D721" s="31">
        <f>IF(OR($A721="",$B721=""),"",SUMIFS(QuickLog!$K$2:$K$1000,QuickLog!$B$2:$B$1000,$B721,QuickLog!$O$2:$O$1000,$A721,QuickLog!$G$2:$G$1000,"&lt;&gt;Routine"))</f>
        <v/>
      </c>
      <c r="E721" s="31">
        <f>IF($C721="","",MIN($C721,Settings!$B$2))</f>
        <v/>
      </c>
      <c r="F721" s="31">
        <f>IF($C721="","",MAX(0,$C721-$E721))</f>
        <v/>
      </c>
      <c r="G721" s="31">
        <f>IF(OR($E721="",$D721=""),"", $E721+$D721)</f>
        <v/>
      </c>
      <c r="H721" s="31">
        <f>IF(OR($A721="",$B721=""),"",SUMIFS(QuickLog!$L$2:$L$1000,QuickLog!$B$2:$B$1000,$B721,QuickLog!$O$2:$O$1000,$A721))</f>
        <v/>
      </c>
      <c r="I721" s="32">
        <f>IF($H721="","",$H721)</f>
        <v/>
      </c>
    </row>
    <row r="722">
      <c r="A722" s="29" t="n"/>
      <c r="B722" s="31" t="n"/>
      <c r="C722" s="31">
        <f>IF(OR($A722="",$B722=""),"",SUMIFS(QuickLog!$K$2:$K$1000,QuickLog!$B$2:$B$1000,$B722,QuickLog!$O$2:$O$1000,$A722,QuickLog!$G$2:$G$1000,"Routine"))</f>
        <v/>
      </c>
      <c r="D722" s="31">
        <f>IF(OR($A722="",$B722=""),"",SUMIFS(QuickLog!$K$2:$K$1000,QuickLog!$B$2:$B$1000,$B722,QuickLog!$O$2:$O$1000,$A722,QuickLog!$G$2:$G$1000,"&lt;&gt;Routine"))</f>
        <v/>
      </c>
      <c r="E722" s="31">
        <f>IF($C722="","",MIN($C722,Settings!$B$2))</f>
        <v/>
      </c>
      <c r="F722" s="31">
        <f>IF($C722="","",MAX(0,$C722-$E722))</f>
        <v/>
      </c>
      <c r="G722" s="31">
        <f>IF(OR($E722="",$D722=""),"", $E722+$D722)</f>
        <v/>
      </c>
      <c r="H722" s="31">
        <f>IF(OR($A722="",$B722=""),"",SUMIFS(QuickLog!$L$2:$L$1000,QuickLog!$B$2:$B$1000,$B722,QuickLog!$O$2:$O$1000,$A722))</f>
        <v/>
      </c>
      <c r="I722" s="32">
        <f>IF($H722="","",$H722)</f>
        <v/>
      </c>
    </row>
    <row r="723">
      <c r="A723" s="29" t="n"/>
      <c r="B723" s="31" t="n"/>
      <c r="C723" s="31">
        <f>IF(OR($A723="",$B723=""),"",SUMIFS(QuickLog!$K$2:$K$1000,QuickLog!$B$2:$B$1000,$B723,QuickLog!$O$2:$O$1000,$A723,QuickLog!$G$2:$G$1000,"Routine"))</f>
        <v/>
      </c>
      <c r="D723" s="31">
        <f>IF(OR($A723="",$B723=""),"",SUMIFS(QuickLog!$K$2:$K$1000,QuickLog!$B$2:$B$1000,$B723,QuickLog!$O$2:$O$1000,$A723,QuickLog!$G$2:$G$1000,"&lt;&gt;Routine"))</f>
        <v/>
      </c>
      <c r="E723" s="31">
        <f>IF($C723="","",MIN($C723,Settings!$B$2))</f>
        <v/>
      </c>
      <c r="F723" s="31">
        <f>IF($C723="","",MAX(0,$C723-$E723))</f>
        <v/>
      </c>
      <c r="G723" s="31">
        <f>IF(OR($E723="",$D723=""),"", $E723+$D723)</f>
        <v/>
      </c>
      <c r="H723" s="31">
        <f>IF(OR($A723="",$B723=""),"",SUMIFS(QuickLog!$L$2:$L$1000,QuickLog!$B$2:$B$1000,$B723,QuickLog!$O$2:$O$1000,$A723))</f>
        <v/>
      </c>
      <c r="I723" s="32">
        <f>IF($H723="","",$H723)</f>
        <v/>
      </c>
    </row>
    <row r="724">
      <c r="A724" s="29" t="n"/>
      <c r="B724" s="31" t="n"/>
      <c r="C724" s="31">
        <f>IF(OR($A724="",$B724=""),"",SUMIFS(QuickLog!$K$2:$K$1000,QuickLog!$B$2:$B$1000,$B724,QuickLog!$O$2:$O$1000,$A724,QuickLog!$G$2:$G$1000,"Routine"))</f>
        <v/>
      </c>
      <c r="D724" s="31">
        <f>IF(OR($A724="",$B724=""),"",SUMIFS(QuickLog!$K$2:$K$1000,QuickLog!$B$2:$B$1000,$B724,QuickLog!$O$2:$O$1000,$A724,QuickLog!$G$2:$G$1000,"&lt;&gt;Routine"))</f>
        <v/>
      </c>
      <c r="E724" s="31">
        <f>IF($C724="","",MIN($C724,Settings!$B$2))</f>
        <v/>
      </c>
      <c r="F724" s="31">
        <f>IF($C724="","",MAX(0,$C724-$E724))</f>
        <v/>
      </c>
      <c r="G724" s="31">
        <f>IF(OR($E724="",$D724=""),"", $E724+$D724)</f>
        <v/>
      </c>
      <c r="H724" s="31">
        <f>IF(OR($A724="",$B724=""),"",SUMIFS(QuickLog!$L$2:$L$1000,QuickLog!$B$2:$B$1000,$B724,QuickLog!$O$2:$O$1000,$A724))</f>
        <v/>
      </c>
      <c r="I724" s="32">
        <f>IF($H724="","",$H724)</f>
        <v/>
      </c>
    </row>
    <row r="725">
      <c r="A725" s="29" t="n"/>
      <c r="B725" s="31" t="n"/>
      <c r="C725" s="31">
        <f>IF(OR($A725="",$B725=""),"",SUMIFS(QuickLog!$K$2:$K$1000,QuickLog!$B$2:$B$1000,$B725,QuickLog!$O$2:$O$1000,$A725,QuickLog!$G$2:$G$1000,"Routine"))</f>
        <v/>
      </c>
      <c r="D725" s="31">
        <f>IF(OR($A725="",$B725=""),"",SUMIFS(QuickLog!$K$2:$K$1000,QuickLog!$B$2:$B$1000,$B725,QuickLog!$O$2:$O$1000,$A725,QuickLog!$G$2:$G$1000,"&lt;&gt;Routine"))</f>
        <v/>
      </c>
      <c r="E725" s="31">
        <f>IF($C725="","",MIN($C725,Settings!$B$2))</f>
        <v/>
      </c>
      <c r="F725" s="31">
        <f>IF($C725="","",MAX(0,$C725-$E725))</f>
        <v/>
      </c>
      <c r="G725" s="31">
        <f>IF(OR($E725="",$D725=""),"", $E725+$D725)</f>
        <v/>
      </c>
      <c r="H725" s="31">
        <f>IF(OR($A725="",$B725=""),"",SUMIFS(QuickLog!$L$2:$L$1000,QuickLog!$B$2:$B$1000,$B725,QuickLog!$O$2:$O$1000,$A725))</f>
        <v/>
      </c>
      <c r="I725" s="32">
        <f>IF($H725="","",$H725)</f>
        <v/>
      </c>
    </row>
    <row r="726">
      <c r="A726" s="29" t="n"/>
      <c r="B726" s="31" t="n"/>
      <c r="C726" s="31">
        <f>IF(OR($A726="",$B726=""),"",SUMIFS(QuickLog!$K$2:$K$1000,QuickLog!$B$2:$B$1000,$B726,QuickLog!$O$2:$O$1000,$A726,QuickLog!$G$2:$G$1000,"Routine"))</f>
        <v/>
      </c>
      <c r="D726" s="31">
        <f>IF(OR($A726="",$B726=""),"",SUMIFS(QuickLog!$K$2:$K$1000,QuickLog!$B$2:$B$1000,$B726,QuickLog!$O$2:$O$1000,$A726,QuickLog!$G$2:$G$1000,"&lt;&gt;Routine"))</f>
        <v/>
      </c>
      <c r="E726" s="31">
        <f>IF($C726="","",MIN($C726,Settings!$B$2))</f>
        <v/>
      </c>
      <c r="F726" s="31">
        <f>IF($C726="","",MAX(0,$C726-$E726))</f>
        <v/>
      </c>
      <c r="G726" s="31">
        <f>IF(OR($E726="",$D726=""),"", $E726+$D726)</f>
        <v/>
      </c>
      <c r="H726" s="31">
        <f>IF(OR($A726="",$B726=""),"",SUMIFS(QuickLog!$L$2:$L$1000,QuickLog!$B$2:$B$1000,$B726,QuickLog!$O$2:$O$1000,$A726))</f>
        <v/>
      </c>
      <c r="I726" s="32">
        <f>IF($H726="","",$H726)</f>
        <v/>
      </c>
    </row>
    <row r="727">
      <c r="A727" s="29" t="n"/>
      <c r="B727" s="31" t="n"/>
      <c r="C727" s="31">
        <f>IF(OR($A727="",$B727=""),"",SUMIFS(QuickLog!$K$2:$K$1000,QuickLog!$B$2:$B$1000,$B727,QuickLog!$O$2:$O$1000,$A727,QuickLog!$G$2:$G$1000,"Routine"))</f>
        <v/>
      </c>
      <c r="D727" s="31">
        <f>IF(OR($A727="",$B727=""),"",SUMIFS(QuickLog!$K$2:$K$1000,QuickLog!$B$2:$B$1000,$B727,QuickLog!$O$2:$O$1000,$A727,QuickLog!$G$2:$G$1000,"&lt;&gt;Routine"))</f>
        <v/>
      </c>
      <c r="E727" s="31">
        <f>IF($C727="","",MIN($C727,Settings!$B$2))</f>
        <v/>
      </c>
      <c r="F727" s="31">
        <f>IF($C727="","",MAX(0,$C727-$E727))</f>
        <v/>
      </c>
      <c r="G727" s="31">
        <f>IF(OR($E727="",$D727=""),"", $E727+$D727)</f>
        <v/>
      </c>
      <c r="H727" s="31">
        <f>IF(OR($A727="",$B727=""),"",SUMIFS(QuickLog!$L$2:$L$1000,QuickLog!$B$2:$B$1000,$B727,QuickLog!$O$2:$O$1000,$A727))</f>
        <v/>
      </c>
      <c r="I727" s="32">
        <f>IF($H727="","",$H727)</f>
        <v/>
      </c>
    </row>
    <row r="728">
      <c r="A728" s="29" t="n"/>
      <c r="B728" s="31" t="n"/>
      <c r="C728" s="31">
        <f>IF(OR($A728="",$B728=""),"",SUMIFS(QuickLog!$K$2:$K$1000,QuickLog!$B$2:$B$1000,$B728,QuickLog!$O$2:$O$1000,$A728,QuickLog!$G$2:$G$1000,"Routine"))</f>
        <v/>
      </c>
      <c r="D728" s="31">
        <f>IF(OR($A728="",$B728=""),"",SUMIFS(QuickLog!$K$2:$K$1000,QuickLog!$B$2:$B$1000,$B728,QuickLog!$O$2:$O$1000,$A728,QuickLog!$G$2:$G$1000,"&lt;&gt;Routine"))</f>
        <v/>
      </c>
      <c r="E728" s="31">
        <f>IF($C728="","",MIN($C728,Settings!$B$2))</f>
        <v/>
      </c>
      <c r="F728" s="31">
        <f>IF($C728="","",MAX(0,$C728-$E728))</f>
        <v/>
      </c>
      <c r="G728" s="31">
        <f>IF(OR($E728="",$D728=""),"", $E728+$D728)</f>
        <v/>
      </c>
      <c r="H728" s="31">
        <f>IF(OR($A728="",$B728=""),"",SUMIFS(QuickLog!$L$2:$L$1000,QuickLog!$B$2:$B$1000,$B728,QuickLog!$O$2:$O$1000,$A728))</f>
        <v/>
      </c>
      <c r="I728" s="32">
        <f>IF($H728="","",$H728)</f>
        <v/>
      </c>
    </row>
    <row r="729">
      <c r="A729" s="29" t="n"/>
      <c r="B729" s="31" t="n"/>
      <c r="C729" s="31">
        <f>IF(OR($A729="",$B729=""),"",SUMIFS(QuickLog!$K$2:$K$1000,QuickLog!$B$2:$B$1000,$B729,QuickLog!$O$2:$O$1000,$A729,QuickLog!$G$2:$G$1000,"Routine"))</f>
        <v/>
      </c>
      <c r="D729" s="31">
        <f>IF(OR($A729="",$B729=""),"",SUMIFS(QuickLog!$K$2:$K$1000,QuickLog!$B$2:$B$1000,$B729,QuickLog!$O$2:$O$1000,$A729,QuickLog!$G$2:$G$1000,"&lt;&gt;Routine"))</f>
        <v/>
      </c>
      <c r="E729" s="31">
        <f>IF($C729="","",MIN($C729,Settings!$B$2))</f>
        <v/>
      </c>
      <c r="F729" s="31">
        <f>IF($C729="","",MAX(0,$C729-$E729))</f>
        <v/>
      </c>
      <c r="G729" s="31">
        <f>IF(OR($E729="",$D729=""),"", $E729+$D729)</f>
        <v/>
      </c>
      <c r="H729" s="31">
        <f>IF(OR($A729="",$B729=""),"",SUMIFS(QuickLog!$L$2:$L$1000,QuickLog!$B$2:$B$1000,$B729,QuickLog!$O$2:$O$1000,$A729))</f>
        <v/>
      </c>
      <c r="I729" s="32">
        <f>IF($H729="","",$H729)</f>
        <v/>
      </c>
    </row>
    <row r="730">
      <c r="A730" s="29" t="n"/>
      <c r="B730" s="31" t="n"/>
      <c r="C730" s="31">
        <f>IF(OR($A730="",$B730=""),"",SUMIFS(QuickLog!$K$2:$K$1000,QuickLog!$B$2:$B$1000,$B730,QuickLog!$O$2:$O$1000,$A730,QuickLog!$G$2:$G$1000,"Routine"))</f>
        <v/>
      </c>
      <c r="D730" s="31">
        <f>IF(OR($A730="",$B730=""),"",SUMIFS(QuickLog!$K$2:$K$1000,QuickLog!$B$2:$B$1000,$B730,QuickLog!$O$2:$O$1000,$A730,QuickLog!$G$2:$G$1000,"&lt;&gt;Routine"))</f>
        <v/>
      </c>
      <c r="E730" s="31">
        <f>IF($C730="","",MIN($C730,Settings!$B$2))</f>
        <v/>
      </c>
      <c r="F730" s="31">
        <f>IF($C730="","",MAX(0,$C730-$E730))</f>
        <v/>
      </c>
      <c r="G730" s="31">
        <f>IF(OR($E730="",$D730=""),"", $E730+$D730)</f>
        <v/>
      </c>
      <c r="H730" s="31">
        <f>IF(OR($A730="",$B730=""),"",SUMIFS(QuickLog!$L$2:$L$1000,QuickLog!$B$2:$B$1000,$B730,QuickLog!$O$2:$O$1000,$A730))</f>
        <v/>
      </c>
      <c r="I730" s="32">
        <f>IF($H730="","",$H730)</f>
        <v/>
      </c>
    </row>
    <row r="731">
      <c r="A731" s="29" t="n"/>
      <c r="B731" s="31" t="n"/>
      <c r="C731" s="31">
        <f>IF(OR($A731="",$B731=""),"",SUMIFS(QuickLog!$K$2:$K$1000,QuickLog!$B$2:$B$1000,$B731,QuickLog!$O$2:$O$1000,$A731,QuickLog!$G$2:$G$1000,"Routine"))</f>
        <v/>
      </c>
      <c r="D731" s="31">
        <f>IF(OR($A731="",$B731=""),"",SUMIFS(QuickLog!$K$2:$K$1000,QuickLog!$B$2:$B$1000,$B731,QuickLog!$O$2:$O$1000,$A731,QuickLog!$G$2:$G$1000,"&lt;&gt;Routine"))</f>
        <v/>
      </c>
      <c r="E731" s="31">
        <f>IF($C731="","",MIN($C731,Settings!$B$2))</f>
        <v/>
      </c>
      <c r="F731" s="31">
        <f>IF($C731="","",MAX(0,$C731-$E731))</f>
        <v/>
      </c>
      <c r="G731" s="31">
        <f>IF(OR($E731="",$D731=""),"", $E731+$D731)</f>
        <v/>
      </c>
      <c r="H731" s="31">
        <f>IF(OR($A731="",$B731=""),"",SUMIFS(QuickLog!$L$2:$L$1000,QuickLog!$B$2:$B$1000,$B731,QuickLog!$O$2:$O$1000,$A731))</f>
        <v/>
      </c>
      <c r="I731" s="32">
        <f>IF($H731="","",$H731)</f>
        <v/>
      </c>
    </row>
    <row r="732">
      <c r="A732" s="29" t="n"/>
      <c r="B732" s="31" t="n"/>
      <c r="C732" s="31">
        <f>IF(OR($A732="",$B732=""),"",SUMIFS(QuickLog!$K$2:$K$1000,QuickLog!$B$2:$B$1000,$B732,QuickLog!$O$2:$O$1000,$A732,QuickLog!$G$2:$G$1000,"Routine"))</f>
        <v/>
      </c>
      <c r="D732" s="31">
        <f>IF(OR($A732="",$B732=""),"",SUMIFS(QuickLog!$K$2:$K$1000,QuickLog!$B$2:$B$1000,$B732,QuickLog!$O$2:$O$1000,$A732,QuickLog!$G$2:$G$1000,"&lt;&gt;Routine"))</f>
        <v/>
      </c>
      <c r="E732" s="31">
        <f>IF($C732="","",MIN($C732,Settings!$B$2))</f>
        <v/>
      </c>
      <c r="F732" s="31">
        <f>IF($C732="","",MAX(0,$C732-$E732))</f>
        <v/>
      </c>
      <c r="G732" s="31">
        <f>IF(OR($E732="",$D732=""),"", $E732+$D732)</f>
        <v/>
      </c>
      <c r="H732" s="31">
        <f>IF(OR($A732="",$B732=""),"",SUMIFS(QuickLog!$L$2:$L$1000,QuickLog!$B$2:$B$1000,$B732,QuickLog!$O$2:$O$1000,$A732))</f>
        <v/>
      </c>
      <c r="I732" s="32">
        <f>IF($H732="","",$H732)</f>
        <v/>
      </c>
    </row>
    <row r="733">
      <c r="A733" s="29" t="n"/>
      <c r="B733" s="31" t="n"/>
      <c r="C733" s="31">
        <f>IF(OR($A733="",$B733=""),"",SUMIFS(QuickLog!$K$2:$K$1000,QuickLog!$B$2:$B$1000,$B733,QuickLog!$O$2:$O$1000,$A733,QuickLog!$G$2:$G$1000,"Routine"))</f>
        <v/>
      </c>
      <c r="D733" s="31">
        <f>IF(OR($A733="",$B733=""),"",SUMIFS(QuickLog!$K$2:$K$1000,QuickLog!$B$2:$B$1000,$B733,QuickLog!$O$2:$O$1000,$A733,QuickLog!$G$2:$G$1000,"&lt;&gt;Routine"))</f>
        <v/>
      </c>
      <c r="E733" s="31">
        <f>IF($C733="","",MIN($C733,Settings!$B$2))</f>
        <v/>
      </c>
      <c r="F733" s="31">
        <f>IF($C733="","",MAX(0,$C733-$E733))</f>
        <v/>
      </c>
      <c r="G733" s="31">
        <f>IF(OR($E733="",$D733=""),"", $E733+$D733)</f>
        <v/>
      </c>
      <c r="H733" s="31">
        <f>IF(OR($A733="",$B733=""),"",SUMIFS(QuickLog!$L$2:$L$1000,QuickLog!$B$2:$B$1000,$B733,QuickLog!$O$2:$O$1000,$A733))</f>
        <v/>
      </c>
      <c r="I733" s="32">
        <f>IF($H733="","",$H733)</f>
        <v/>
      </c>
    </row>
    <row r="734">
      <c r="A734" s="29" t="n"/>
      <c r="B734" s="31" t="n"/>
      <c r="C734" s="31">
        <f>IF(OR($A734="",$B734=""),"",SUMIFS(QuickLog!$K$2:$K$1000,QuickLog!$B$2:$B$1000,$B734,QuickLog!$O$2:$O$1000,$A734,QuickLog!$G$2:$G$1000,"Routine"))</f>
        <v/>
      </c>
      <c r="D734" s="31">
        <f>IF(OR($A734="",$B734=""),"",SUMIFS(QuickLog!$K$2:$K$1000,QuickLog!$B$2:$B$1000,$B734,QuickLog!$O$2:$O$1000,$A734,QuickLog!$G$2:$G$1000,"&lt;&gt;Routine"))</f>
        <v/>
      </c>
      <c r="E734" s="31">
        <f>IF($C734="","",MIN($C734,Settings!$B$2))</f>
        <v/>
      </c>
      <c r="F734" s="31">
        <f>IF($C734="","",MAX(0,$C734-$E734))</f>
        <v/>
      </c>
      <c r="G734" s="31">
        <f>IF(OR($E734="",$D734=""),"", $E734+$D734)</f>
        <v/>
      </c>
      <c r="H734" s="31">
        <f>IF(OR($A734="",$B734=""),"",SUMIFS(QuickLog!$L$2:$L$1000,QuickLog!$B$2:$B$1000,$B734,QuickLog!$O$2:$O$1000,$A734))</f>
        <v/>
      </c>
      <c r="I734" s="32">
        <f>IF($H734="","",$H734)</f>
        <v/>
      </c>
    </row>
    <row r="735">
      <c r="A735" s="29" t="n"/>
      <c r="B735" s="31" t="n"/>
      <c r="C735" s="31">
        <f>IF(OR($A735="",$B735=""),"",SUMIFS(QuickLog!$K$2:$K$1000,QuickLog!$B$2:$B$1000,$B735,QuickLog!$O$2:$O$1000,$A735,QuickLog!$G$2:$G$1000,"Routine"))</f>
        <v/>
      </c>
      <c r="D735" s="31">
        <f>IF(OR($A735="",$B735=""),"",SUMIFS(QuickLog!$K$2:$K$1000,QuickLog!$B$2:$B$1000,$B735,QuickLog!$O$2:$O$1000,$A735,QuickLog!$G$2:$G$1000,"&lt;&gt;Routine"))</f>
        <v/>
      </c>
      <c r="E735" s="31">
        <f>IF($C735="","",MIN($C735,Settings!$B$2))</f>
        <v/>
      </c>
      <c r="F735" s="31">
        <f>IF($C735="","",MAX(0,$C735-$E735))</f>
        <v/>
      </c>
      <c r="G735" s="31">
        <f>IF(OR($E735="",$D735=""),"", $E735+$D735)</f>
        <v/>
      </c>
      <c r="H735" s="31">
        <f>IF(OR($A735="",$B735=""),"",SUMIFS(QuickLog!$L$2:$L$1000,QuickLog!$B$2:$B$1000,$B735,QuickLog!$O$2:$O$1000,$A735))</f>
        <v/>
      </c>
      <c r="I735" s="32">
        <f>IF($H735="","",$H735)</f>
        <v/>
      </c>
    </row>
    <row r="736">
      <c r="A736" s="29" t="n"/>
      <c r="B736" s="31" t="n"/>
      <c r="C736" s="31">
        <f>IF(OR($A736="",$B736=""),"",SUMIFS(QuickLog!$K$2:$K$1000,QuickLog!$B$2:$B$1000,$B736,QuickLog!$O$2:$O$1000,$A736,QuickLog!$G$2:$G$1000,"Routine"))</f>
        <v/>
      </c>
      <c r="D736" s="31">
        <f>IF(OR($A736="",$B736=""),"",SUMIFS(QuickLog!$K$2:$K$1000,QuickLog!$B$2:$B$1000,$B736,QuickLog!$O$2:$O$1000,$A736,QuickLog!$G$2:$G$1000,"&lt;&gt;Routine"))</f>
        <v/>
      </c>
      <c r="E736" s="31">
        <f>IF($C736="","",MIN($C736,Settings!$B$2))</f>
        <v/>
      </c>
      <c r="F736" s="31">
        <f>IF($C736="","",MAX(0,$C736-$E736))</f>
        <v/>
      </c>
      <c r="G736" s="31">
        <f>IF(OR($E736="",$D736=""),"", $E736+$D736)</f>
        <v/>
      </c>
      <c r="H736" s="31">
        <f>IF(OR($A736="",$B736=""),"",SUMIFS(QuickLog!$L$2:$L$1000,QuickLog!$B$2:$B$1000,$B736,QuickLog!$O$2:$O$1000,$A736))</f>
        <v/>
      </c>
      <c r="I736" s="32">
        <f>IF($H736="","",$H736)</f>
        <v/>
      </c>
    </row>
    <row r="737">
      <c r="A737" s="29" t="n"/>
      <c r="B737" s="31" t="n"/>
      <c r="C737" s="31">
        <f>IF(OR($A737="",$B737=""),"",SUMIFS(QuickLog!$K$2:$K$1000,QuickLog!$B$2:$B$1000,$B737,QuickLog!$O$2:$O$1000,$A737,QuickLog!$G$2:$G$1000,"Routine"))</f>
        <v/>
      </c>
      <c r="D737" s="31">
        <f>IF(OR($A737="",$B737=""),"",SUMIFS(QuickLog!$K$2:$K$1000,QuickLog!$B$2:$B$1000,$B737,QuickLog!$O$2:$O$1000,$A737,QuickLog!$G$2:$G$1000,"&lt;&gt;Routine"))</f>
        <v/>
      </c>
      <c r="E737" s="31">
        <f>IF($C737="","",MIN($C737,Settings!$B$2))</f>
        <v/>
      </c>
      <c r="F737" s="31">
        <f>IF($C737="","",MAX(0,$C737-$E737))</f>
        <v/>
      </c>
      <c r="G737" s="31">
        <f>IF(OR($E737="",$D737=""),"", $E737+$D737)</f>
        <v/>
      </c>
      <c r="H737" s="31">
        <f>IF(OR($A737="",$B737=""),"",SUMIFS(QuickLog!$L$2:$L$1000,QuickLog!$B$2:$B$1000,$B737,QuickLog!$O$2:$O$1000,$A737))</f>
        <v/>
      </c>
      <c r="I737" s="32">
        <f>IF($H737="","",$H737)</f>
        <v/>
      </c>
    </row>
    <row r="738">
      <c r="A738" s="29" t="n"/>
      <c r="B738" s="31" t="n"/>
      <c r="C738" s="31">
        <f>IF(OR($A738="",$B738=""),"",SUMIFS(QuickLog!$K$2:$K$1000,QuickLog!$B$2:$B$1000,$B738,QuickLog!$O$2:$O$1000,$A738,QuickLog!$G$2:$G$1000,"Routine"))</f>
        <v/>
      </c>
      <c r="D738" s="31">
        <f>IF(OR($A738="",$B738=""),"",SUMIFS(QuickLog!$K$2:$K$1000,QuickLog!$B$2:$B$1000,$B738,QuickLog!$O$2:$O$1000,$A738,QuickLog!$G$2:$G$1000,"&lt;&gt;Routine"))</f>
        <v/>
      </c>
      <c r="E738" s="31">
        <f>IF($C738="","",MIN($C738,Settings!$B$2))</f>
        <v/>
      </c>
      <c r="F738" s="31">
        <f>IF($C738="","",MAX(0,$C738-$E738))</f>
        <v/>
      </c>
      <c r="G738" s="31">
        <f>IF(OR($E738="",$D738=""),"", $E738+$D738)</f>
        <v/>
      </c>
      <c r="H738" s="31">
        <f>IF(OR($A738="",$B738=""),"",SUMIFS(QuickLog!$L$2:$L$1000,QuickLog!$B$2:$B$1000,$B738,QuickLog!$O$2:$O$1000,$A738))</f>
        <v/>
      </c>
      <c r="I738" s="32">
        <f>IF($H738="","",$H738)</f>
        <v/>
      </c>
    </row>
    <row r="739">
      <c r="A739" s="29" t="n"/>
      <c r="B739" s="31" t="n"/>
      <c r="C739" s="31">
        <f>IF(OR($A739="",$B739=""),"",SUMIFS(QuickLog!$K$2:$K$1000,QuickLog!$B$2:$B$1000,$B739,QuickLog!$O$2:$O$1000,$A739,QuickLog!$G$2:$G$1000,"Routine"))</f>
        <v/>
      </c>
      <c r="D739" s="31">
        <f>IF(OR($A739="",$B739=""),"",SUMIFS(QuickLog!$K$2:$K$1000,QuickLog!$B$2:$B$1000,$B739,QuickLog!$O$2:$O$1000,$A739,QuickLog!$G$2:$G$1000,"&lt;&gt;Routine"))</f>
        <v/>
      </c>
      <c r="E739" s="31">
        <f>IF($C739="","",MIN($C739,Settings!$B$2))</f>
        <v/>
      </c>
      <c r="F739" s="31">
        <f>IF($C739="","",MAX(0,$C739-$E739))</f>
        <v/>
      </c>
      <c r="G739" s="31">
        <f>IF(OR($E739="",$D739=""),"", $E739+$D739)</f>
        <v/>
      </c>
      <c r="H739" s="31">
        <f>IF(OR($A739="",$B739=""),"",SUMIFS(QuickLog!$L$2:$L$1000,QuickLog!$B$2:$B$1000,$B739,QuickLog!$O$2:$O$1000,$A739))</f>
        <v/>
      </c>
      <c r="I739" s="32">
        <f>IF($H739="","",$H739)</f>
        <v/>
      </c>
    </row>
    <row r="740">
      <c r="A740" s="29" t="n"/>
      <c r="B740" s="31" t="n"/>
      <c r="C740" s="31">
        <f>IF(OR($A740="",$B740=""),"",SUMIFS(QuickLog!$K$2:$K$1000,QuickLog!$B$2:$B$1000,$B740,QuickLog!$O$2:$O$1000,$A740,QuickLog!$G$2:$G$1000,"Routine"))</f>
        <v/>
      </c>
      <c r="D740" s="31">
        <f>IF(OR($A740="",$B740=""),"",SUMIFS(QuickLog!$K$2:$K$1000,QuickLog!$B$2:$B$1000,$B740,QuickLog!$O$2:$O$1000,$A740,QuickLog!$G$2:$G$1000,"&lt;&gt;Routine"))</f>
        <v/>
      </c>
      <c r="E740" s="31">
        <f>IF($C740="","",MIN($C740,Settings!$B$2))</f>
        <v/>
      </c>
      <c r="F740" s="31">
        <f>IF($C740="","",MAX(0,$C740-$E740))</f>
        <v/>
      </c>
      <c r="G740" s="31">
        <f>IF(OR($E740="",$D740=""),"", $E740+$D740)</f>
        <v/>
      </c>
      <c r="H740" s="31">
        <f>IF(OR($A740="",$B740=""),"",SUMIFS(QuickLog!$L$2:$L$1000,QuickLog!$B$2:$B$1000,$B740,QuickLog!$O$2:$O$1000,$A740))</f>
        <v/>
      </c>
      <c r="I740" s="32">
        <f>IF($H740="","",$H740)</f>
        <v/>
      </c>
    </row>
    <row r="741">
      <c r="A741" s="29" t="n"/>
      <c r="B741" s="31" t="n"/>
      <c r="C741" s="31">
        <f>IF(OR($A741="",$B741=""),"",SUMIFS(QuickLog!$K$2:$K$1000,QuickLog!$B$2:$B$1000,$B741,QuickLog!$O$2:$O$1000,$A741,QuickLog!$G$2:$G$1000,"Routine"))</f>
        <v/>
      </c>
      <c r="D741" s="31">
        <f>IF(OR($A741="",$B741=""),"",SUMIFS(QuickLog!$K$2:$K$1000,QuickLog!$B$2:$B$1000,$B741,QuickLog!$O$2:$O$1000,$A741,QuickLog!$G$2:$G$1000,"&lt;&gt;Routine"))</f>
        <v/>
      </c>
      <c r="E741" s="31">
        <f>IF($C741="","",MIN($C741,Settings!$B$2))</f>
        <v/>
      </c>
      <c r="F741" s="31">
        <f>IF($C741="","",MAX(0,$C741-$E741))</f>
        <v/>
      </c>
      <c r="G741" s="31">
        <f>IF(OR($E741="",$D741=""),"", $E741+$D741)</f>
        <v/>
      </c>
      <c r="H741" s="31">
        <f>IF(OR($A741="",$B741=""),"",SUMIFS(QuickLog!$L$2:$L$1000,QuickLog!$B$2:$B$1000,$B741,QuickLog!$O$2:$O$1000,$A741))</f>
        <v/>
      </c>
      <c r="I741" s="32">
        <f>IF($H741="","",$H741)</f>
        <v/>
      </c>
    </row>
    <row r="742">
      <c r="A742" s="29" t="n"/>
      <c r="B742" s="31" t="n"/>
      <c r="C742" s="31">
        <f>IF(OR($A742="",$B742=""),"",SUMIFS(QuickLog!$K$2:$K$1000,QuickLog!$B$2:$B$1000,$B742,QuickLog!$O$2:$O$1000,$A742,QuickLog!$G$2:$G$1000,"Routine"))</f>
        <v/>
      </c>
      <c r="D742" s="31">
        <f>IF(OR($A742="",$B742=""),"",SUMIFS(QuickLog!$K$2:$K$1000,QuickLog!$B$2:$B$1000,$B742,QuickLog!$O$2:$O$1000,$A742,QuickLog!$G$2:$G$1000,"&lt;&gt;Routine"))</f>
        <v/>
      </c>
      <c r="E742" s="31">
        <f>IF($C742="","",MIN($C742,Settings!$B$2))</f>
        <v/>
      </c>
      <c r="F742" s="31">
        <f>IF($C742="","",MAX(0,$C742-$E742))</f>
        <v/>
      </c>
      <c r="G742" s="31">
        <f>IF(OR($E742="",$D742=""),"", $E742+$D742)</f>
        <v/>
      </c>
      <c r="H742" s="31">
        <f>IF(OR($A742="",$B742=""),"",SUMIFS(QuickLog!$L$2:$L$1000,QuickLog!$B$2:$B$1000,$B742,QuickLog!$O$2:$O$1000,$A742))</f>
        <v/>
      </c>
      <c r="I742" s="32">
        <f>IF($H742="","",$H742)</f>
        <v/>
      </c>
    </row>
    <row r="743">
      <c r="A743" s="29" t="n"/>
      <c r="B743" s="31" t="n"/>
      <c r="C743" s="31">
        <f>IF(OR($A743="",$B743=""),"",SUMIFS(QuickLog!$K$2:$K$1000,QuickLog!$B$2:$B$1000,$B743,QuickLog!$O$2:$O$1000,$A743,QuickLog!$G$2:$G$1000,"Routine"))</f>
        <v/>
      </c>
      <c r="D743" s="31">
        <f>IF(OR($A743="",$B743=""),"",SUMIFS(QuickLog!$K$2:$K$1000,QuickLog!$B$2:$B$1000,$B743,QuickLog!$O$2:$O$1000,$A743,QuickLog!$G$2:$G$1000,"&lt;&gt;Routine"))</f>
        <v/>
      </c>
      <c r="E743" s="31">
        <f>IF($C743="","",MIN($C743,Settings!$B$2))</f>
        <v/>
      </c>
      <c r="F743" s="31">
        <f>IF($C743="","",MAX(0,$C743-$E743))</f>
        <v/>
      </c>
      <c r="G743" s="31">
        <f>IF(OR($E743="",$D743=""),"", $E743+$D743)</f>
        <v/>
      </c>
      <c r="H743" s="31">
        <f>IF(OR($A743="",$B743=""),"",SUMIFS(QuickLog!$L$2:$L$1000,QuickLog!$B$2:$B$1000,$B743,QuickLog!$O$2:$O$1000,$A743))</f>
        <v/>
      </c>
      <c r="I743" s="32">
        <f>IF($H743="","",$H743)</f>
        <v/>
      </c>
    </row>
    <row r="744">
      <c r="A744" s="29" t="n"/>
      <c r="B744" s="31" t="n"/>
      <c r="C744" s="31">
        <f>IF(OR($A744="",$B744=""),"",SUMIFS(QuickLog!$K$2:$K$1000,QuickLog!$B$2:$B$1000,$B744,QuickLog!$O$2:$O$1000,$A744,QuickLog!$G$2:$G$1000,"Routine"))</f>
        <v/>
      </c>
      <c r="D744" s="31">
        <f>IF(OR($A744="",$B744=""),"",SUMIFS(QuickLog!$K$2:$K$1000,QuickLog!$B$2:$B$1000,$B744,QuickLog!$O$2:$O$1000,$A744,QuickLog!$G$2:$G$1000,"&lt;&gt;Routine"))</f>
        <v/>
      </c>
      <c r="E744" s="31">
        <f>IF($C744="","",MIN($C744,Settings!$B$2))</f>
        <v/>
      </c>
      <c r="F744" s="31">
        <f>IF($C744="","",MAX(0,$C744-$E744))</f>
        <v/>
      </c>
      <c r="G744" s="31">
        <f>IF(OR($E744="",$D744=""),"", $E744+$D744)</f>
        <v/>
      </c>
      <c r="H744" s="31">
        <f>IF(OR($A744="",$B744=""),"",SUMIFS(QuickLog!$L$2:$L$1000,QuickLog!$B$2:$B$1000,$B744,QuickLog!$O$2:$O$1000,$A744))</f>
        <v/>
      </c>
      <c r="I744" s="32">
        <f>IF($H744="","",$H744)</f>
        <v/>
      </c>
    </row>
    <row r="745">
      <c r="A745" s="29" t="n"/>
      <c r="B745" s="31" t="n"/>
      <c r="C745" s="31">
        <f>IF(OR($A745="",$B745=""),"",SUMIFS(QuickLog!$K$2:$K$1000,QuickLog!$B$2:$B$1000,$B745,QuickLog!$O$2:$O$1000,$A745,QuickLog!$G$2:$G$1000,"Routine"))</f>
        <v/>
      </c>
      <c r="D745" s="31">
        <f>IF(OR($A745="",$B745=""),"",SUMIFS(QuickLog!$K$2:$K$1000,QuickLog!$B$2:$B$1000,$B745,QuickLog!$O$2:$O$1000,$A745,QuickLog!$G$2:$G$1000,"&lt;&gt;Routine"))</f>
        <v/>
      </c>
      <c r="E745" s="31">
        <f>IF($C745="","",MIN($C745,Settings!$B$2))</f>
        <v/>
      </c>
      <c r="F745" s="31">
        <f>IF($C745="","",MAX(0,$C745-$E745))</f>
        <v/>
      </c>
      <c r="G745" s="31">
        <f>IF(OR($E745="",$D745=""),"", $E745+$D745)</f>
        <v/>
      </c>
      <c r="H745" s="31">
        <f>IF(OR($A745="",$B745=""),"",SUMIFS(QuickLog!$L$2:$L$1000,QuickLog!$B$2:$B$1000,$B745,QuickLog!$O$2:$O$1000,$A745))</f>
        <v/>
      </c>
      <c r="I745" s="32">
        <f>IF($H745="","",$H745)</f>
        <v/>
      </c>
    </row>
    <row r="746">
      <c r="A746" s="29" t="n"/>
      <c r="B746" s="31" t="n"/>
      <c r="C746" s="31">
        <f>IF(OR($A746="",$B746=""),"",SUMIFS(QuickLog!$K$2:$K$1000,QuickLog!$B$2:$B$1000,$B746,QuickLog!$O$2:$O$1000,$A746,QuickLog!$G$2:$G$1000,"Routine"))</f>
        <v/>
      </c>
      <c r="D746" s="31">
        <f>IF(OR($A746="",$B746=""),"",SUMIFS(QuickLog!$K$2:$K$1000,QuickLog!$B$2:$B$1000,$B746,QuickLog!$O$2:$O$1000,$A746,QuickLog!$G$2:$G$1000,"&lt;&gt;Routine"))</f>
        <v/>
      </c>
      <c r="E746" s="31">
        <f>IF($C746="","",MIN($C746,Settings!$B$2))</f>
        <v/>
      </c>
      <c r="F746" s="31">
        <f>IF($C746="","",MAX(0,$C746-$E746))</f>
        <v/>
      </c>
      <c r="G746" s="31">
        <f>IF(OR($E746="",$D746=""),"", $E746+$D746)</f>
        <v/>
      </c>
      <c r="H746" s="31">
        <f>IF(OR($A746="",$B746=""),"",SUMIFS(QuickLog!$L$2:$L$1000,QuickLog!$B$2:$B$1000,$B746,QuickLog!$O$2:$O$1000,$A746))</f>
        <v/>
      </c>
      <c r="I746" s="32">
        <f>IF($H746="","",$H746)</f>
        <v/>
      </c>
    </row>
    <row r="747">
      <c r="A747" s="29" t="n"/>
      <c r="B747" s="31" t="n"/>
      <c r="C747" s="31">
        <f>IF(OR($A747="",$B747=""),"",SUMIFS(QuickLog!$K$2:$K$1000,QuickLog!$B$2:$B$1000,$B747,QuickLog!$O$2:$O$1000,$A747,QuickLog!$G$2:$G$1000,"Routine"))</f>
        <v/>
      </c>
      <c r="D747" s="31">
        <f>IF(OR($A747="",$B747=""),"",SUMIFS(QuickLog!$K$2:$K$1000,QuickLog!$B$2:$B$1000,$B747,QuickLog!$O$2:$O$1000,$A747,QuickLog!$G$2:$G$1000,"&lt;&gt;Routine"))</f>
        <v/>
      </c>
      <c r="E747" s="31">
        <f>IF($C747="","",MIN($C747,Settings!$B$2))</f>
        <v/>
      </c>
      <c r="F747" s="31">
        <f>IF($C747="","",MAX(0,$C747-$E747))</f>
        <v/>
      </c>
      <c r="G747" s="31">
        <f>IF(OR($E747="",$D747=""),"", $E747+$D747)</f>
        <v/>
      </c>
      <c r="H747" s="31">
        <f>IF(OR($A747="",$B747=""),"",SUMIFS(QuickLog!$L$2:$L$1000,QuickLog!$B$2:$B$1000,$B747,QuickLog!$O$2:$O$1000,$A747))</f>
        <v/>
      </c>
      <c r="I747" s="32">
        <f>IF($H747="","",$H747)</f>
        <v/>
      </c>
    </row>
    <row r="748">
      <c r="A748" s="29" t="n"/>
      <c r="B748" s="31" t="n"/>
      <c r="C748" s="31">
        <f>IF(OR($A748="",$B748=""),"",SUMIFS(QuickLog!$K$2:$K$1000,QuickLog!$B$2:$B$1000,$B748,QuickLog!$O$2:$O$1000,$A748,QuickLog!$G$2:$G$1000,"Routine"))</f>
        <v/>
      </c>
      <c r="D748" s="31">
        <f>IF(OR($A748="",$B748=""),"",SUMIFS(QuickLog!$K$2:$K$1000,QuickLog!$B$2:$B$1000,$B748,QuickLog!$O$2:$O$1000,$A748,QuickLog!$G$2:$G$1000,"&lt;&gt;Routine"))</f>
        <v/>
      </c>
      <c r="E748" s="31">
        <f>IF($C748="","",MIN($C748,Settings!$B$2))</f>
        <v/>
      </c>
      <c r="F748" s="31">
        <f>IF($C748="","",MAX(0,$C748-$E748))</f>
        <v/>
      </c>
      <c r="G748" s="31">
        <f>IF(OR($E748="",$D748=""),"", $E748+$D748)</f>
        <v/>
      </c>
      <c r="H748" s="31">
        <f>IF(OR($A748="",$B748=""),"",SUMIFS(QuickLog!$L$2:$L$1000,QuickLog!$B$2:$B$1000,$B748,QuickLog!$O$2:$O$1000,$A748))</f>
        <v/>
      </c>
      <c r="I748" s="32">
        <f>IF($H748="","",$H748)</f>
        <v/>
      </c>
    </row>
    <row r="749">
      <c r="A749" s="29" t="n"/>
      <c r="B749" s="31" t="n"/>
      <c r="C749" s="31">
        <f>IF(OR($A749="",$B749=""),"",SUMIFS(QuickLog!$K$2:$K$1000,QuickLog!$B$2:$B$1000,$B749,QuickLog!$O$2:$O$1000,$A749,QuickLog!$G$2:$G$1000,"Routine"))</f>
        <v/>
      </c>
      <c r="D749" s="31">
        <f>IF(OR($A749="",$B749=""),"",SUMIFS(QuickLog!$K$2:$K$1000,QuickLog!$B$2:$B$1000,$B749,QuickLog!$O$2:$O$1000,$A749,QuickLog!$G$2:$G$1000,"&lt;&gt;Routine"))</f>
        <v/>
      </c>
      <c r="E749" s="31">
        <f>IF($C749="","",MIN($C749,Settings!$B$2))</f>
        <v/>
      </c>
      <c r="F749" s="31">
        <f>IF($C749="","",MAX(0,$C749-$E749))</f>
        <v/>
      </c>
      <c r="G749" s="31">
        <f>IF(OR($E749="",$D749=""),"", $E749+$D749)</f>
        <v/>
      </c>
      <c r="H749" s="31">
        <f>IF(OR($A749="",$B749=""),"",SUMIFS(QuickLog!$L$2:$L$1000,QuickLog!$B$2:$B$1000,$B749,QuickLog!$O$2:$O$1000,$A749))</f>
        <v/>
      </c>
      <c r="I749" s="32">
        <f>IF($H749="","",$H749)</f>
        <v/>
      </c>
    </row>
    <row r="750">
      <c r="A750" s="29" t="n"/>
      <c r="B750" s="31" t="n"/>
      <c r="C750" s="31">
        <f>IF(OR($A750="",$B750=""),"",SUMIFS(QuickLog!$K$2:$K$1000,QuickLog!$B$2:$B$1000,$B750,QuickLog!$O$2:$O$1000,$A750,QuickLog!$G$2:$G$1000,"Routine"))</f>
        <v/>
      </c>
      <c r="D750" s="31">
        <f>IF(OR($A750="",$B750=""),"",SUMIFS(QuickLog!$K$2:$K$1000,QuickLog!$B$2:$B$1000,$B750,QuickLog!$O$2:$O$1000,$A750,QuickLog!$G$2:$G$1000,"&lt;&gt;Routine"))</f>
        <v/>
      </c>
      <c r="E750" s="31">
        <f>IF($C750="","",MIN($C750,Settings!$B$2))</f>
        <v/>
      </c>
      <c r="F750" s="31">
        <f>IF($C750="","",MAX(0,$C750-$E750))</f>
        <v/>
      </c>
      <c r="G750" s="31">
        <f>IF(OR($E750="",$D750=""),"", $E750+$D750)</f>
        <v/>
      </c>
      <c r="H750" s="31">
        <f>IF(OR($A750="",$B750=""),"",SUMIFS(QuickLog!$L$2:$L$1000,QuickLog!$B$2:$B$1000,$B750,QuickLog!$O$2:$O$1000,$A750))</f>
        <v/>
      </c>
      <c r="I750" s="32">
        <f>IF($H750="","",$H750)</f>
        <v/>
      </c>
    </row>
    <row r="751">
      <c r="A751" s="29" t="n"/>
      <c r="B751" s="31" t="n"/>
      <c r="C751" s="31">
        <f>IF(OR($A751="",$B751=""),"",SUMIFS(QuickLog!$K$2:$K$1000,QuickLog!$B$2:$B$1000,$B751,QuickLog!$O$2:$O$1000,$A751,QuickLog!$G$2:$G$1000,"Routine"))</f>
        <v/>
      </c>
      <c r="D751" s="31">
        <f>IF(OR($A751="",$B751=""),"",SUMIFS(QuickLog!$K$2:$K$1000,QuickLog!$B$2:$B$1000,$B751,QuickLog!$O$2:$O$1000,$A751,QuickLog!$G$2:$G$1000,"&lt;&gt;Routine"))</f>
        <v/>
      </c>
      <c r="E751" s="31">
        <f>IF($C751="","",MIN($C751,Settings!$B$2))</f>
        <v/>
      </c>
      <c r="F751" s="31">
        <f>IF($C751="","",MAX(0,$C751-$E751))</f>
        <v/>
      </c>
      <c r="G751" s="31">
        <f>IF(OR($E751="",$D751=""),"", $E751+$D751)</f>
        <v/>
      </c>
      <c r="H751" s="31">
        <f>IF(OR($A751="",$B751=""),"",SUMIFS(QuickLog!$L$2:$L$1000,QuickLog!$B$2:$B$1000,$B751,QuickLog!$O$2:$O$1000,$A751))</f>
        <v/>
      </c>
      <c r="I751" s="32">
        <f>IF($H751="","",$H751)</f>
        <v/>
      </c>
    </row>
    <row r="752">
      <c r="A752" s="29" t="n"/>
      <c r="B752" s="31" t="n"/>
      <c r="C752" s="31">
        <f>IF(OR($A752="",$B752=""),"",SUMIFS(QuickLog!$K$2:$K$1000,QuickLog!$B$2:$B$1000,$B752,QuickLog!$O$2:$O$1000,$A752,QuickLog!$G$2:$G$1000,"Routine"))</f>
        <v/>
      </c>
      <c r="D752" s="31">
        <f>IF(OR($A752="",$B752=""),"",SUMIFS(QuickLog!$K$2:$K$1000,QuickLog!$B$2:$B$1000,$B752,QuickLog!$O$2:$O$1000,$A752,QuickLog!$G$2:$G$1000,"&lt;&gt;Routine"))</f>
        <v/>
      </c>
      <c r="E752" s="31">
        <f>IF($C752="","",MIN($C752,Settings!$B$2))</f>
        <v/>
      </c>
      <c r="F752" s="31">
        <f>IF($C752="","",MAX(0,$C752-$E752))</f>
        <v/>
      </c>
      <c r="G752" s="31">
        <f>IF(OR($E752="",$D752=""),"", $E752+$D752)</f>
        <v/>
      </c>
      <c r="H752" s="31">
        <f>IF(OR($A752="",$B752=""),"",SUMIFS(QuickLog!$L$2:$L$1000,QuickLog!$B$2:$B$1000,$B752,QuickLog!$O$2:$O$1000,$A752))</f>
        <v/>
      </c>
      <c r="I752" s="32">
        <f>IF($H752="","",$H752)</f>
        <v/>
      </c>
    </row>
    <row r="753">
      <c r="A753" s="29" t="n"/>
      <c r="B753" s="31" t="n"/>
      <c r="C753" s="31">
        <f>IF(OR($A753="",$B753=""),"",SUMIFS(QuickLog!$K$2:$K$1000,QuickLog!$B$2:$B$1000,$B753,QuickLog!$O$2:$O$1000,$A753,QuickLog!$G$2:$G$1000,"Routine"))</f>
        <v/>
      </c>
      <c r="D753" s="31">
        <f>IF(OR($A753="",$B753=""),"",SUMIFS(QuickLog!$K$2:$K$1000,QuickLog!$B$2:$B$1000,$B753,QuickLog!$O$2:$O$1000,$A753,QuickLog!$G$2:$G$1000,"&lt;&gt;Routine"))</f>
        <v/>
      </c>
      <c r="E753" s="31">
        <f>IF($C753="","",MIN($C753,Settings!$B$2))</f>
        <v/>
      </c>
      <c r="F753" s="31">
        <f>IF($C753="","",MAX(0,$C753-$E753))</f>
        <v/>
      </c>
      <c r="G753" s="31">
        <f>IF(OR($E753="",$D753=""),"", $E753+$D753)</f>
        <v/>
      </c>
      <c r="H753" s="31">
        <f>IF(OR($A753="",$B753=""),"",SUMIFS(QuickLog!$L$2:$L$1000,QuickLog!$B$2:$B$1000,$B753,QuickLog!$O$2:$O$1000,$A753))</f>
        <v/>
      </c>
      <c r="I753" s="32">
        <f>IF($H753="","",$H753)</f>
        <v/>
      </c>
    </row>
    <row r="754">
      <c r="A754" s="29" t="n"/>
      <c r="B754" s="31" t="n"/>
      <c r="C754" s="31">
        <f>IF(OR($A754="",$B754=""),"",SUMIFS(QuickLog!$K$2:$K$1000,QuickLog!$B$2:$B$1000,$B754,QuickLog!$O$2:$O$1000,$A754,QuickLog!$G$2:$G$1000,"Routine"))</f>
        <v/>
      </c>
      <c r="D754" s="31">
        <f>IF(OR($A754="",$B754=""),"",SUMIFS(QuickLog!$K$2:$K$1000,QuickLog!$B$2:$B$1000,$B754,QuickLog!$O$2:$O$1000,$A754,QuickLog!$G$2:$G$1000,"&lt;&gt;Routine"))</f>
        <v/>
      </c>
      <c r="E754" s="31">
        <f>IF($C754="","",MIN($C754,Settings!$B$2))</f>
        <v/>
      </c>
      <c r="F754" s="31">
        <f>IF($C754="","",MAX(0,$C754-$E754))</f>
        <v/>
      </c>
      <c r="G754" s="31">
        <f>IF(OR($E754="",$D754=""),"", $E754+$D754)</f>
        <v/>
      </c>
      <c r="H754" s="31">
        <f>IF(OR($A754="",$B754=""),"",SUMIFS(QuickLog!$L$2:$L$1000,QuickLog!$B$2:$B$1000,$B754,QuickLog!$O$2:$O$1000,$A754))</f>
        <v/>
      </c>
      <c r="I754" s="32">
        <f>IF($H754="","",$H754)</f>
        <v/>
      </c>
    </row>
    <row r="755">
      <c r="A755" s="29" t="n"/>
      <c r="B755" s="31" t="n"/>
      <c r="C755" s="31">
        <f>IF(OR($A755="",$B755=""),"",SUMIFS(QuickLog!$K$2:$K$1000,QuickLog!$B$2:$B$1000,$B755,QuickLog!$O$2:$O$1000,$A755,QuickLog!$G$2:$G$1000,"Routine"))</f>
        <v/>
      </c>
      <c r="D755" s="31">
        <f>IF(OR($A755="",$B755=""),"",SUMIFS(QuickLog!$K$2:$K$1000,QuickLog!$B$2:$B$1000,$B755,QuickLog!$O$2:$O$1000,$A755,QuickLog!$G$2:$G$1000,"&lt;&gt;Routine"))</f>
        <v/>
      </c>
      <c r="E755" s="31">
        <f>IF($C755="","",MIN($C755,Settings!$B$2))</f>
        <v/>
      </c>
      <c r="F755" s="31">
        <f>IF($C755="","",MAX(0,$C755-$E755))</f>
        <v/>
      </c>
      <c r="G755" s="31">
        <f>IF(OR($E755="",$D755=""),"", $E755+$D755)</f>
        <v/>
      </c>
      <c r="H755" s="31">
        <f>IF(OR($A755="",$B755=""),"",SUMIFS(QuickLog!$L$2:$L$1000,QuickLog!$B$2:$B$1000,$B755,QuickLog!$O$2:$O$1000,$A755))</f>
        <v/>
      </c>
      <c r="I755" s="32">
        <f>IF($H755="","",$H755)</f>
        <v/>
      </c>
    </row>
    <row r="756">
      <c r="A756" s="29" t="n"/>
      <c r="B756" s="31" t="n"/>
      <c r="C756" s="31">
        <f>IF(OR($A756="",$B756=""),"",SUMIFS(QuickLog!$K$2:$K$1000,QuickLog!$B$2:$B$1000,$B756,QuickLog!$O$2:$O$1000,$A756,QuickLog!$G$2:$G$1000,"Routine"))</f>
        <v/>
      </c>
      <c r="D756" s="31">
        <f>IF(OR($A756="",$B756=""),"",SUMIFS(QuickLog!$K$2:$K$1000,QuickLog!$B$2:$B$1000,$B756,QuickLog!$O$2:$O$1000,$A756,QuickLog!$G$2:$G$1000,"&lt;&gt;Routine"))</f>
        <v/>
      </c>
      <c r="E756" s="31">
        <f>IF($C756="","",MIN($C756,Settings!$B$2))</f>
        <v/>
      </c>
      <c r="F756" s="31">
        <f>IF($C756="","",MAX(0,$C756-$E756))</f>
        <v/>
      </c>
      <c r="G756" s="31">
        <f>IF(OR($E756="",$D756=""),"", $E756+$D756)</f>
        <v/>
      </c>
      <c r="H756" s="31">
        <f>IF(OR($A756="",$B756=""),"",SUMIFS(QuickLog!$L$2:$L$1000,QuickLog!$B$2:$B$1000,$B756,QuickLog!$O$2:$O$1000,$A756))</f>
        <v/>
      </c>
      <c r="I756" s="32">
        <f>IF($H756="","",$H756)</f>
        <v/>
      </c>
    </row>
    <row r="757">
      <c r="A757" s="29" t="n"/>
      <c r="B757" s="31" t="n"/>
      <c r="C757" s="31">
        <f>IF(OR($A757="",$B757=""),"",SUMIFS(QuickLog!$K$2:$K$1000,QuickLog!$B$2:$B$1000,$B757,QuickLog!$O$2:$O$1000,$A757,QuickLog!$G$2:$G$1000,"Routine"))</f>
        <v/>
      </c>
      <c r="D757" s="31">
        <f>IF(OR($A757="",$B757=""),"",SUMIFS(QuickLog!$K$2:$K$1000,QuickLog!$B$2:$B$1000,$B757,QuickLog!$O$2:$O$1000,$A757,QuickLog!$G$2:$G$1000,"&lt;&gt;Routine"))</f>
        <v/>
      </c>
      <c r="E757" s="31">
        <f>IF($C757="","",MIN($C757,Settings!$B$2))</f>
        <v/>
      </c>
      <c r="F757" s="31">
        <f>IF($C757="","",MAX(0,$C757-$E757))</f>
        <v/>
      </c>
      <c r="G757" s="31">
        <f>IF(OR($E757="",$D757=""),"", $E757+$D757)</f>
        <v/>
      </c>
      <c r="H757" s="31">
        <f>IF(OR($A757="",$B757=""),"",SUMIFS(QuickLog!$L$2:$L$1000,QuickLog!$B$2:$B$1000,$B757,QuickLog!$O$2:$O$1000,$A757))</f>
        <v/>
      </c>
      <c r="I757" s="32">
        <f>IF($H757="","",$H757)</f>
        <v/>
      </c>
    </row>
    <row r="758">
      <c r="A758" s="29" t="n"/>
      <c r="B758" s="31" t="n"/>
      <c r="C758" s="31">
        <f>IF(OR($A758="",$B758=""),"",SUMIFS(QuickLog!$K$2:$K$1000,QuickLog!$B$2:$B$1000,$B758,QuickLog!$O$2:$O$1000,$A758,QuickLog!$G$2:$G$1000,"Routine"))</f>
        <v/>
      </c>
      <c r="D758" s="31">
        <f>IF(OR($A758="",$B758=""),"",SUMIFS(QuickLog!$K$2:$K$1000,QuickLog!$B$2:$B$1000,$B758,QuickLog!$O$2:$O$1000,$A758,QuickLog!$G$2:$G$1000,"&lt;&gt;Routine"))</f>
        <v/>
      </c>
      <c r="E758" s="31">
        <f>IF($C758="","",MIN($C758,Settings!$B$2))</f>
        <v/>
      </c>
      <c r="F758" s="31">
        <f>IF($C758="","",MAX(0,$C758-$E758))</f>
        <v/>
      </c>
      <c r="G758" s="31">
        <f>IF(OR($E758="",$D758=""),"", $E758+$D758)</f>
        <v/>
      </c>
      <c r="H758" s="31">
        <f>IF(OR($A758="",$B758=""),"",SUMIFS(QuickLog!$L$2:$L$1000,QuickLog!$B$2:$B$1000,$B758,QuickLog!$O$2:$O$1000,$A758))</f>
        <v/>
      </c>
      <c r="I758" s="32">
        <f>IF($H758="","",$H758)</f>
        <v/>
      </c>
    </row>
    <row r="759">
      <c r="A759" s="29" t="n"/>
      <c r="B759" s="31" t="n"/>
      <c r="C759" s="31">
        <f>IF(OR($A759="",$B759=""),"",SUMIFS(QuickLog!$K$2:$K$1000,QuickLog!$B$2:$B$1000,$B759,QuickLog!$O$2:$O$1000,$A759,QuickLog!$G$2:$G$1000,"Routine"))</f>
        <v/>
      </c>
      <c r="D759" s="31">
        <f>IF(OR($A759="",$B759=""),"",SUMIFS(QuickLog!$K$2:$K$1000,QuickLog!$B$2:$B$1000,$B759,QuickLog!$O$2:$O$1000,$A759,QuickLog!$G$2:$G$1000,"&lt;&gt;Routine"))</f>
        <v/>
      </c>
      <c r="E759" s="31">
        <f>IF($C759="","",MIN($C759,Settings!$B$2))</f>
        <v/>
      </c>
      <c r="F759" s="31">
        <f>IF($C759="","",MAX(0,$C759-$E759))</f>
        <v/>
      </c>
      <c r="G759" s="31">
        <f>IF(OR($E759="",$D759=""),"", $E759+$D759)</f>
        <v/>
      </c>
      <c r="H759" s="31">
        <f>IF(OR($A759="",$B759=""),"",SUMIFS(QuickLog!$L$2:$L$1000,QuickLog!$B$2:$B$1000,$B759,QuickLog!$O$2:$O$1000,$A759))</f>
        <v/>
      </c>
      <c r="I759" s="32">
        <f>IF($H759="","",$H759)</f>
        <v/>
      </c>
    </row>
    <row r="760">
      <c r="A760" s="29" t="n"/>
      <c r="B760" s="31" t="n"/>
      <c r="C760" s="31">
        <f>IF(OR($A760="",$B760=""),"",SUMIFS(QuickLog!$K$2:$K$1000,QuickLog!$B$2:$B$1000,$B760,QuickLog!$O$2:$O$1000,$A760,QuickLog!$G$2:$G$1000,"Routine"))</f>
        <v/>
      </c>
      <c r="D760" s="31">
        <f>IF(OR($A760="",$B760=""),"",SUMIFS(QuickLog!$K$2:$K$1000,QuickLog!$B$2:$B$1000,$B760,QuickLog!$O$2:$O$1000,$A760,QuickLog!$G$2:$G$1000,"&lt;&gt;Routine"))</f>
        <v/>
      </c>
      <c r="E760" s="31">
        <f>IF($C760="","",MIN($C760,Settings!$B$2))</f>
        <v/>
      </c>
      <c r="F760" s="31">
        <f>IF($C760="","",MAX(0,$C760-$E760))</f>
        <v/>
      </c>
      <c r="G760" s="31">
        <f>IF(OR($E760="",$D760=""),"", $E760+$D760)</f>
        <v/>
      </c>
      <c r="H760" s="31">
        <f>IF(OR($A760="",$B760=""),"",SUMIFS(QuickLog!$L$2:$L$1000,QuickLog!$B$2:$B$1000,$B760,QuickLog!$O$2:$O$1000,$A760))</f>
        <v/>
      </c>
      <c r="I760" s="32">
        <f>IF($H760="","",$H760)</f>
        <v/>
      </c>
    </row>
    <row r="761">
      <c r="A761" s="29" t="n"/>
      <c r="B761" s="31" t="n"/>
      <c r="C761" s="31">
        <f>IF(OR($A761="",$B761=""),"",SUMIFS(QuickLog!$K$2:$K$1000,QuickLog!$B$2:$B$1000,$B761,QuickLog!$O$2:$O$1000,$A761,QuickLog!$G$2:$G$1000,"Routine"))</f>
        <v/>
      </c>
      <c r="D761" s="31">
        <f>IF(OR($A761="",$B761=""),"",SUMIFS(QuickLog!$K$2:$K$1000,QuickLog!$B$2:$B$1000,$B761,QuickLog!$O$2:$O$1000,$A761,QuickLog!$G$2:$G$1000,"&lt;&gt;Routine"))</f>
        <v/>
      </c>
      <c r="E761" s="31">
        <f>IF($C761="","",MIN($C761,Settings!$B$2))</f>
        <v/>
      </c>
      <c r="F761" s="31">
        <f>IF($C761="","",MAX(0,$C761-$E761))</f>
        <v/>
      </c>
      <c r="G761" s="31">
        <f>IF(OR($E761="",$D761=""),"", $E761+$D761)</f>
        <v/>
      </c>
      <c r="H761" s="31">
        <f>IF(OR($A761="",$B761=""),"",SUMIFS(QuickLog!$L$2:$L$1000,QuickLog!$B$2:$B$1000,$B761,QuickLog!$O$2:$O$1000,$A761))</f>
        <v/>
      </c>
      <c r="I761" s="32">
        <f>IF($H761="","",$H761)</f>
        <v/>
      </c>
    </row>
    <row r="762">
      <c r="A762" s="29" t="n"/>
      <c r="B762" s="31" t="n"/>
      <c r="C762" s="31">
        <f>IF(OR($A762="",$B762=""),"",SUMIFS(QuickLog!$K$2:$K$1000,QuickLog!$B$2:$B$1000,$B762,QuickLog!$O$2:$O$1000,$A762,QuickLog!$G$2:$G$1000,"Routine"))</f>
        <v/>
      </c>
      <c r="D762" s="31">
        <f>IF(OR($A762="",$B762=""),"",SUMIFS(QuickLog!$K$2:$K$1000,QuickLog!$B$2:$B$1000,$B762,QuickLog!$O$2:$O$1000,$A762,QuickLog!$G$2:$G$1000,"&lt;&gt;Routine"))</f>
        <v/>
      </c>
      <c r="E762" s="31">
        <f>IF($C762="","",MIN($C762,Settings!$B$2))</f>
        <v/>
      </c>
      <c r="F762" s="31">
        <f>IF($C762="","",MAX(0,$C762-$E762))</f>
        <v/>
      </c>
      <c r="G762" s="31">
        <f>IF(OR($E762="",$D762=""),"", $E762+$D762)</f>
        <v/>
      </c>
      <c r="H762" s="31">
        <f>IF(OR($A762="",$B762=""),"",SUMIFS(QuickLog!$L$2:$L$1000,QuickLog!$B$2:$B$1000,$B762,QuickLog!$O$2:$O$1000,$A762))</f>
        <v/>
      </c>
      <c r="I762" s="32">
        <f>IF($H762="","",$H762)</f>
        <v/>
      </c>
    </row>
    <row r="763">
      <c r="A763" s="29" t="n"/>
      <c r="B763" s="31" t="n"/>
      <c r="C763" s="31">
        <f>IF(OR($A763="",$B763=""),"",SUMIFS(QuickLog!$K$2:$K$1000,QuickLog!$B$2:$B$1000,$B763,QuickLog!$O$2:$O$1000,$A763,QuickLog!$G$2:$G$1000,"Routine"))</f>
        <v/>
      </c>
      <c r="D763" s="31">
        <f>IF(OR($A763="",$B763=""),"",SUMIFS(QuickLog!$K$2:$K$1000,QuickLog!$B$2:$B$1000,$B763,QuickLog!$O$2:$O$1000,$A763,QuickLog!$G$2:$G$1000,"&lt;&gt;Routine"))</f>
        <v/>
      </c>
      <c r="E763" s="31">
        <f>IF($C763="","",MIN($C763,Settings!$B$2))</f>
        <v/>
      </c>
      <c r="F763" s="31">
        <f>IF($C763="","",MAX(0,$C763-$E763))</f>
        <v/>
      </c>
      <c r="G763" s="31">
        <f>IF(OR($E763="",$D763=""),"", $E763+$D763)</f>
        <v/>
      </c>
      <c r="H763" s="31">
        <f>IF(OR($A763="",$B763=""),"",SUMIFS(QuickLog!$L$2:$L$1000,QuickLog!$B$2:$B$1000,$B763,QuickLog!$O$2:$O$1000,$A763))</f>
        <v/>
      </c>
      <c r="I763" s="32">
        <f>IF($H763="","",$H763)</f>
        <v/>
      </c>
    </row>
    <row r="764">
      <c r="A764" s="29" t="n"/>
      <c r="B764" s="31" t="n"/>
      <c r="C764" s="31">
        <f>IF(OR($A764="",$B764=""),"",SUMIFS(QuickLog!$K$2:$K$1000,QuickLog!$B$2:$B$1000,$B764,QuickLog!$O$2:$O$1000,$A764,QuickLog!$G$2:$G$1000,"Routine"))</f>
        <v/>
      </c>
      <c r="D764" s="31">
        <f>IF(OR($A764="",$B764=""),"",SUMIFS(QuickLog!$K$2:$K$1000,QuickLog!$B$2:$B$1000,$B764,QuickLog!$O$2:$O$1000,$A764,QuickLog!$G$2:$G$1000,"&lt;&gt;Routine"))</f>
        <v/>
      </c>
      <c r="E764" s="31">
        <f>IF($C764="","",MIN($C764,Settings!$B$2))</f>
        <v/>
      </c>
      <c r="F764" s="31">
        <f>IF($C764="","",MAX(0,$C764-$E764))</f>
        <v/>
      </c>
      <c r="G764" s="31">
        <f>IF(OR($E764="",$D764=""),"", $E764+$D764)</f>
        <v/>
      </c>
      <c r="H764" s="31">
        <f>IF(OR($A764="",$B764=""),"",SUMIFS(QuickLog!$L$2:$L$1000,QuickLog!$B$2:$B$1000,$B764,QuickLog!$O$2:$O$1000,$A764))</f>
        <v/>
      </c>
      <c r="I764" s="32">
        <f>IF($H764="","",$H764)</f>
        <v/>
      </c>
    </row>
    <row r="765">
      <c r="A765" s="29" t="n"/>
      <c r="B765" s="31" t="n"/>
      <c r="C765" s="31">
        <f>IF(OR($A765="",$B765=""),"",SUMIFS(QuickLog!$K$2:$K$1000,QuickLog!$B$2:$B$1000,$B765,QuickLog!$O$2:$O$1000,$A765,QuickLog!$G$2:$G$1000,"Routine"))</f>
        <v/>
      </c>
      <c r="D765" s="31">
        <f>IF(OR($A765="",$B765=""),"",SUMIFS(QuickLog!$K$2:$K$1000,QuickLog!$B$2:$B$1000,$B765,QuickLog!$O$2:$O$1000,$A765,QuickLog!$G$2:$G$1000,"&lt;&gt;Routine"))</f>
        <v/>
      </c>
      <c r="E765" s="31">
        <f>IF($C765="","",MIN($C765,Settings!$B$2))</f>
        <v/>
      </c>
      <c r="F765" s="31">
        <f>IF($C765="","",MAX(0,$C765-$E765))</f>
        <v/>
      </c>
      <c r="G765" s="31">
        <f>IF(OR($E765="",$D765=""),"", $E765+$D765)</f>
        <v/>
      </c>
      <c r="H765" s="31">
        <f>IF(OR($A765="",$B765=""),"",SUMIFS(QuickLog!$L$2:$L$1000,QuickLog!$B$2:$B$1000,$B765,QuickLog!$O$2:$O$1000,$A765))</f>
        <v/>
      </c>
      <c r="I765" s="32">
        <f>IF($H765="","",$H765)</f>
        <v/>
      </c>
    </row>
    <row r="766">
      <c r="A766" s="29" t="n"/>
      <c r="B766" s="31" t="n"/>
      <c r="C766" s="31">
        <f>IF(OR($A766="",$B766=""),"",SUMIFS(QuickLog!$K$2:$K$1000,QuickLog!$B$2:$B$1000,$B766,QuickLog!$O$2:$O$1000,$A766,QuickLog!$G$2:$G$1000,"Routine"))</f>
        <v/>
      </c>
      <c r="D766" s="31">
        <f>IF(OR($A766="",$B766=""),"",SUMIFS(QuickLog!$K$2:$K$1000,QuickLog!$B$2:$B$1000,$B766,QuickLog!$O$2:$O$1000,$A766,QuickLog!$G$2:$G$1000,"&lt;&gt;Routine"))</f>
        <v/>
      </c>
      <c r="E766" s="31">
        <f>IF($C766="","",MIN($C766,Settings!$B$2))</f>
        <v/>
      </c>
      <c r="F766" s="31">
        <f>IF($C766="","",MAX(0,$C766-$E766))</f>
        <v/>
      </c>
      <c r="G766" s="31">
        <f>IF(OR($E766="",$D766=""),"", $E766+$D766)</f>
        <v/>
      </c>
      <c r="H766" s="31">
        <f>IF(OR($A766="",$B766=""),"",SUMIFS(QuickLog!$L$2:$L$1000,QuickLog!$B$2:$B$1000,$B766,QuickLog!$O$2:$O$1000,$A766))</f>
        <v/>
      </c>
      <c r="I766" s="32">
        <f>IF($H766="","",$H766)</f>
        <v/>
      </c>
    </row>
    <row r="767">
      <c r="A767" s="29" t="n"/>
      <c r="B767" s="31" t="n"/>
      <c r="C767" s="31">
        <f>IF(OR($A767="",$B767=""),"",SUMIFS(QuickLog!$K$2:$K$1000,QuickLog!$B$2:$B$1000,$B767,QuickLog!$O$2:$O$1000,$A767,QuickLog!$G$2:$G$1000,"Routine"))</f>
        <v/>
      </c>
      <c r="D767" s="31">
        <f>IF(OR($A767="",$B767=""),"",SUMIFS(QuickLog!$K$2:$K$1000,QuickLog!$B$2:$B$1000,$B767,QuickLog!$O$2:$O$1000,$A767,QuickLog!$G$2:$G$1000,"&lt;&gt;Routine"))</f>
        <v/>
      </c>
      <c r="E767" s="31">
        <f>IF($C767="","",MIN($C767,Settings!$B$2))</f>
        <v/>
      </c>
      <c r="F767" s="31">
        <f>IF($C767="","",MAX(0,$C767-$E767))</f>
        <v/>
      </c>
      <c r="G767" s="31">
        <f>IF(OR($E767="",$D767=""),"", $E767+$D767)</f>
        <v/>
      </c>
      <c r="H767" s="31">
        <f>IF(OR($A767="",$B767=""),"",SUMIFS(QuickLog!$L$2:$L$1000,QuickLog!$B$2:$B$1000,$B767,QuickLog!$O$2:$O$1000,$A767))</f>
        <v/>
      </c>
      <c r="I767" s="32">
        <f>IF($H767="","",$H767)</f>
        <v/>
      </c>
    </row>
    <row r="768">
      <c r="A768" s="29" t="n"/>
      <c r="B768" s="31" t="n"/>
      <c r="C768" s="31">
        <f>IF(OR($A768="",$B768=""),"",SUMIFS(QuickLog!$K$2:$K$1000,QuickLog!$B$2:$B$1000,$B768,QuickLog!$O$2:$O$1000,$A768,QuickLog!$G$2:$G$1000,"Routine"))</f>
        <v/>
      </c>
      <c r="D768" s="31">
        <f>IF(OR($A768="",$B768=""),"",SUMIFS(QuickLog!$K$2:$K$1000,QuickLog!$B$2:$B$1000,$B768,QuickLog!$O$2:$O$1000,$A768,QuickLog!$G$2:$G$1000,"&lt;&gt;Routine"))</f>
        <v/>
      </c>
      <c r="E768" s="31">
        <f>IF($C768="","",MIN($C768,Settings!$B$2))</f>
        <v/>
      </c>
      <c r="F768" s="31">
        <f>IF($C768="","",MAX(0,$C768-$E768))</f>
        <v/>
      </c>
      <c r="G768" s="31">
        <f>IF(OR($E768="",$D768=""),"", $E768+$D768)</f>
        <v/>
      </c>
      <c r="H768" s="31">
        <f>IF(OR($A768="",$B768=""),"",SUMIFS(QuickLog!$L$2:$L$1000,QuickLog!$B$2:$B$1000,$B768,QuickLog!$O$2:$O$1000,$A768))</f>
        <v/>
      </c>
      <c r="I768" s="32">
        <f>IF($H768="","",$H768)</f>
        <v/>
      </c>
    </row>
    <row r="769">
      <c r="A769" s="29" t="n"/>
      <c r="B769" s="31" t="n"/>
      <c r="C769" s="31">
        <f>IF(OR($A769="",$B769=""),"",SUMIFS(QuickLog!$K$2:$K$1000,QuickLog!$B$2:$B$1000,$B769,QuickLog!$O$2:$O$1000,$A769,QuickLog!$G$2:$G$1000,"Routine"))</f>
        <v/>
      </c>
      <c r="D769" s="31">
        <f>IF(OR($A769="",$B769=""),"",SUMIFS(QuickLog!$K$2:$K$1000,QuickLog!$B$2:$B$1000,$B769,QuickLog!$O$2:$O$1000,$A769,QuickLog!$G$2:$G$1000,"&lt;&gt;Routine"))</f>
        <v/>
      </c>
      <c r="E769" s="31">
        <f>IF($C769="","",MIN($C769,Settings!$B$2))</f>
        <v/>
      </c>
      <c r="F769" s="31">
        <f>IF($C769="","",MAX(0,$C769-$E769))</f>
        <v/>
      </c>
      <c r="G769" s="31">
        <f>IF(OR($E769="",$D769=""),"", $E769+$D769)</f>
        <v/>
      </c>
      <c r="H769" s="31">
        <f>IF(OR($A769="",$B769=""),"",SUMIFS(QuickLog!$L$2:$L$1000,QuickLog!$B$2:$B$1000,$B769,QuickLog!$O$2:$O$1000,$A769))</f>
        <v/>
      </c>
      <c r="I769" s="32">
        <f>IF($H769="","",$H769)</f>
        <v/>
      </c>
    </row>
    <row r="770">
      <c r="A770" s="29" t="n"/>
      <c r="B770" s="31" t="n"/>
      <c r="C770" s="31">
        <f>IF(OR($A770="",$B770=""),"",SUMIFS(QuickLog!$K$2:$K$1000,QuickLog!$B$2:$B$1000,$B770,QuickLog!$O$2:$O$1000,$A770,QuickLog!$G$2:$G$1000,"Routine"))</f>
        <v/>
      </c>
      <c r="D770" s="31">
        <f>IF(OR($A770="",$B770=""),"",SUMIFS(QuickLog!$K$2:$K$1000,QuickLog!$B$2:$B$1000,$B770,QuickLog!$O$2:$O$1000,$A770,QuickLog!$G$2:$G$1000,"&lt;&gt;Routine"))</f>
        <v/>
      </c>
      <c r="E770" s="31">
        <f>IF($C770="","",MIN($C770,Settings!$B$2))</f>
        <v/>
      </c>
      <c r="F770" s="31">
        <f>IF($C770="","",MAX(0,$C770-$E770))</f>
        <v/>
      </c>
      <c r="G770" s="31">
        <f>IF(OR($E770="",$D770=""),"", $E770+$D770)</f>
        <v/>
      </c>
      <c r="H770" s="31">
        <f>IF(OR($A770="",$B770=""),"",SUMIFS(QuickLog!$L$2:$L$1000,QuickLog!$B$2:$B$1000,$B770,QuickLog!$O$2:$O$1000,$A770))</f>
        <v/>
      </c>
      <c r="I770" s="32">
        <f>IF($H770="","",$H770)</f>
        <v/>
      </c>
    </row>
    <row r="771">
      <c r="A771" s="29" t="n"/>
      <c r="B771" s="31" t="n"/>
      <c r="C771" s="31">
        <f>IF(OR($A771="",$B771=""),"",SUMIFS(QuickLog!$K$2:$K$1000,QuickLog!$B$2:$B$1000,$B771,QuickLog!$O$2:$O$1000,$A771,QuickLog!$G$2:$G$1000,"Routine"))</f>
        <v/>
      </c>
      <c r="D771" s="31">
        <f>IF(OR($A771="",$B771=""),"",SUMIFS(QuickLog!$K$2:$K$1000,QuickLog!$B$2:$B$1000,$B771,QuickLog!$O$2:$O$1000,$A771,QuickLog!$G$2:$G$1000,"&lt;&gt;Routine"))</f>
        <v/>
      </c>
      <c r="E771" s="31">
        <f>IF($C771="","",MIN($C771,Settings!$B$2))</f>
        <v/>
      </c>
      <c r="F771" s="31">
        <f>IF($C771="","",MAX(0,$C771-$E771))</f>
        <v/>
      </c>
      <c r="G771" s="31">
        <f>IF(OR($E771="",$D771=""),"", $E771+$D771)</f>
        <v/>
      </c>
      <c r="H771" s="31">
        <f>IF(OR($A771="",$B771=""),"",SUMIFS(QuickLog!$L$2:$L$1000,QuickLog!$B$2:$B$1000,$B771,QuickLog!$O$2:$O$1000,$A771))</f>
        <v/>
      </c>
      <c r="I771" s="32">
        <f>IF($H771="","",$H771)</f>
        <v/>
      </c>
    </row>
    <row r="772">
      <c r="A772" s="29" t="n"/>
      <c r="B772" s="31" t="n"/>
      <c r="C772" s="31">
        <f>IF(OR($A772="",$B772=""),"",SUMIFS(QuickLog!$K$2:$K$1000,QuickLog!$B$2:$B$1000,$B772,QuickLog!$O$2:$O$1000,$A772,QuickLog!$G$2:$G$1000,"Routine"))</f>
        <v/>
      </c>
      <c r="D772" s="31">
        <f>IF(OR($A772="",$B772=""),"",SUMIFS(QuickLog!$K$2:$K$1000,QuickLog!$B$2:$B$1000,$B772,QuickLog!$O$2:$O$1000,$A772,QuickLog!$G$2:$G$1000,"&lt;&gt;Routine"))</f>
        <v/>
      </c>
      <c r="E772" s="31">
        <f>IF($C772="","",MIN($C772,Settings!$B$2))</f>
        <v/>
      </c>
      <c r="F772" s="31">
        <f>IF($C772="","",MAX(0,$C772-$E772))</f>
        <v/>
      </c>
      <c r="G772" s="31">
        <f>IF(OR($E772="",$D772=""),"", $E772+$D772)</f>
        <v/>
      </c>
      <c r="H772" s="31">
        <f>IF(OR($A772="",$B772=""),"",SUMIFS(QuickLog!$L$2:$L$1000,QuickLog!$B$2:$B$1000,$B772,QuickLog!$O$2:$O$1000,$A772))</f>
        <v/>
      </c>
      <c r="I772" s="32">
        <f>IF($H772="","",$H772)</f>
        <v/>
      </c>
    </row>
    <row r="773">
      <c r="A773" s="29" t="n"/>
      <c r="B773" s="31" t="n"/>
      <c r="C773" s="31">
        <f>IF(OR($A773="",$B773=""),"",SUMIFS(QuickLog!$K$2:$K$1000,QuickLog!$B$2:$B$1000,$B773,QuickLog!$O$2:$O$1000,$A773,QuickLog!$G$2:$G$1000,"Routine"))</f>
        <v/>
      </c>
      <c r="D773" s="31">
        <f>IF(OR($A773="",$B773=""),"",SUMIFS(QuickLog!$K$2:$K$1000,QuickLog!$B$2:$B$1000,$B773,QuickLog!$O$2:$O$1000,$A773,QuickLog!$G$2:$G$1000,"&lt;&gt;Routine"))</f>
        <v/>
      </c>
      <c r="E773" s="31">
        <f>IF($C773="","",MIN($C773,Settings!$B$2))</f>
        <v/>
      </c>
      <c r="F773" s="31">
        <f>IF($C773="","",MAX(0,$C773-$E773))</f>
        <v/>
      </c>
      <c r="G773" s="31">
        <f>IF(OR($E773="",$D773=""),"", $E773+$D773)</f>
        <v/>
      </c>
      <c r="H773" s="31">
        <f>IF(OR($A773="",$B773=""),"",SUMIFS(QuickLog!$L$2:$L$1000,QuickLog!$B$2:$B$1000,$B773,QuickLog!$O$2:$O$1000,$A773))</f>
        <v/>
      </c>
      <c r="I773" s="32">
        <f>IF($H773="","",$H773)</f>
        <v/>
      </c>
    </row>
    <row r="774">
      <c r="A774" s="29" t="n"/>
      <c r="B774" s="31" t="n"/>
      <c r="C774" s="31">
        <f>IF(OR($A774="",$B774=""),"",SUMIFS(QuickLog!$K$2:$K$1000,QuickLog!$B$2:$B$1000,$B774,QuickLog!$O$2:$O$1000,$A774,QuickLog!$G$2:$G$1000,"Routine"))</f>
        <v/>
      </c>
      <c r="D774" s="31">
        <f>IF(OR($A774="",$B774=""),"",SUMIFS(QuickLog!$K$2:$K$1000,QuickLog!$B$2:$B$1000,$B774,QuickLog!$O$2:$O$1000,$A774,QuickLog!$G$2:$G$1000,"&lt;&gt;Routine"))</f>
        <v/>
      </c>
      <c r="E774" s="31">
        <f>IF($C774="","",MIN($C774,Settings!$B$2))</f>
        <v/>
      </c>
      <c r="F774" s="31">
        <f>IF($C774="","",MAX(0,$C774-$E774))</f>
        <v/>
      </c>
      <c r="G774" s="31">
        <f>IF(OR($E774="",$D774=""),"", $E774+$D774)</f>
        <v/>
      </c>
      <c r="H774" s="31">
        <f>IF(OR($A774="",$B774=""),"",SUMIFS(QuickLog!$L$2:$L$1000,QuickLog!$B$2:$B$1000,$B774,QuickLog!$O$2:$O$1000,$A774))</f>
        <v/>
      </c>
      <c r="I774" s="32">
        <f>IF($H774="","",$H774)</f>
        <v/>
      </c>
    </row>
    <row r="775">
      <c r="A775" s="29" t="n"/>
      <c r="B775" s="31" t="n"/>
      <c r="C775" s="31">
        <f>IF(OR($A775="",$B775=""),"",SUMIFS(QuickLog!$K$2:$K$1000,QuickLog!$B$2:$B$1000,$B775,QuickLog!$O$2:$O$1000,$A775,QuickLog!$G$2:$G$1000,"Routine"))</f>
        <v/>
      </c>
      <c r="D775" s="31">
        <f>IF(OR($A775="",$B775=""),"",SUMIFS(QuickLog!$K$2:$K$1000,QuickLog!$B$2:$B$1000,$B775,QuickLog!$O$2:$O$1000,$A775,QuickLog!$G$2:$G$1000,"&lt;&gt;Routine"))</f>
        <v/>
      </c>
      <c r="E775" s="31">
        <f>IF($C775="","",MIN($C775,Settings!$B$2))</f>
        <v/>
      </c>
      <c r="F775" s="31">
        <f>IF($C775="","",MAX(0,$C775-$E775))</f>
        <v/>
      </c>
      <c r="G775" s="31">
        <f>IF(OR($E775="",$D775=""),"", $E775+$D775)</f>
        <v/>
      </c>
      <c r="H775" s="31">
        <f>IF(OR($A775="",$B775=""),"",SUMIFS(QuickLog!$L$2:$L$1000,QuickLog!$B$2:$B$1000,$B775,QuickLog!$O$2:$O$1000,$A775))</f>
        <v/>
      </c>
      <c r="I775" s="32">
        <f>IF($H775="","",$H775)</f>
        <v/>
      </c>
    </row>
    <row r="776">
      <c r="A776" s="29" t="n"/>
      <c r="B776" s="31" t="n"/>
      <c r="C776" s="31">
        <f>IF(OR($A776="",$B776=""),"",SUMIFS(QuickLog!$K$2:$K$1000,QuickLog!$B$2:$B$1000,$B776,QuickLog!$O$2:$O$1000,$A776,QuickLog!$G$2:$G$1000,"Routine"))</f>
        <v/>
      </c>
      <c r="D776" s="31">
        <f>IF(OR($A776="",$B776=""),"",SUMIFS(QuickLog!$K$2:$K$1000,QuickLog!$B$2:$B$1000,$B776,QuickLog!$O$2:$O$1000,$A776,QuickLog!$G$2:$G$1000,"&lt;&gt;Routine"))</f>
        <v/>
      </c>
      <c r="E776" s="31">
        <f>IF($C776="","",MIN($C776,Settings!$B$2))</f>
        <v/>
      </c>
      <c r="F776" s="31">
        <f>IF($C776="","",MAX(0,$C776-$E776))</f>
        <v/>
      </c>
      <c r="G776" s="31">
        <f>IF(OR($E776="",$D776=""),"", $E776+$D776)</f>
        <v/>
      </c>
      <c r="H776" s="31">
        <f>IF(OR($A776="",$B776=""),"",SUMIFS(QuickLog!$L$2:$L$1000,QuickLog!$B$2:$B$1000,$B776,QuickLog!$O$2:$O$1000,$A776))</f>
        <v/>
      </c>
      <c r="I776" s="32">
        <f>IF($H776="","",$H776)</f>
        <v/>
      </c>
    </row>
    <row r="777">
      <c r="A777" s="29" t="n"/>
      <c r="B777" s="31" t="n"/>
      <c r="C777" s="31">
        <f>IF(OR($A777="",$B777=""),"",SUMIFS(QuickLog!$K$2:$K$1000,QuickLog!$B$2:$B$1000,$B777,QuickLog!$O$2:$O$1000,$A777,QuickLog!$G$2:$G$1000,"Routine"))</f>
        <v/>
      </c>
      <c r="D777" s="31">
        <f>IF(OR($A777="",$B777=""),"",SUMIFS(QuickLog!$K$2:$K$1000,QuickLog!$B$2:$B$1000,$B777,QuickLog!$O$2:$O$1000,$A777,QuickLog!$G$2:$G$1000,"&lt;&gt;Routine"))</f>
        <v/>
      </c>
      <c r="E777" s="31">
        <f>IF($C777="","",MIN($C777,Settings!$B$2))</f>
        <v/>
      </c>
      <c r="F777" s="31">
        <f>IF($C777="","",MAX(0,$C777-$E777))</f>
        <v/>
      </c>
      <c r="G777" s="31">
        <f>IF(OR($E777="",$D777=""),"", $E777+$D777)</f>
        <v/>
      </c>
      <c r="H777" s="31">
        <f>IF(OR($A777="",$B777=""),"",SUMIFS(QuickLog!$L$2:$L$1000,QuickLog!$B$2:$B$1000,$B777,QuickLog!$O$2:$O$1000,$A777))</f>
        <v/>
      </c>
      <c r="I777" s="32">
        <f>IF($H777="","",$H777)</f>
        <v/>
      </c>
    </row>
    <row r="778">
      <c r="A778" s="29" t="n"/>
      <c r="B778" s="31" t="n"/>
      <c r="C778" s="31">
        <f>IF(OR($A778="",$B778=""),"",SUMIFS(QuickLog!$K$2:$K$1000,QuickLog!$B$2:$B$1000,$B778,QuickLog!$O$2:$O$1000,$A778,QuickLog!$G$2:$G$1000,"Routine"))</f>
        <v/>
      </c>
      <c r="D778" s="31">
        <f>IF(OR($A778="",$B778=""),"",SUMIFS(QuickLog!$K$2:$K$1000,QuickLog!$B$2:$B$1000,$B778,QuickLog!$O$2:$O$1000,$A778,QuickLog!$G$2:$G$1000,"&lt;&gt;Routine"))</f>
        <v/>
      </c>
      <c r="E778" s="31">
        <f>IF($C778="","",MIN($C778,Settings!$B$2))</f>
        <v/>
      </c>
      <c r="F778" s="31">
        <f>IF($C778="","",MAX(0,$C778-$E778))</f>
        <v/>
      </c>
      <c r="G778" s="31">
        <f>IF(OR($E778="",$D778=""),"", $E778+$D778)</f>
        <v/>
      </c>
      <c r="H778" s="31">
        <f>IF(OR($A778="",$B778=""),"",SUMIFS(QuickLog!$L$2:$L$1000,QuickLog!$B$2:$B$1000,$B778,QuickLog!$O$2:$O$1000,$A778))</f>
        <v/>
      </c>
      <c r="I778" s="32">
        <f>IF($H778="","",$H778)</f>
        <v/>
      </c>
    </row>
    <row r="779">
      <c r="A779" s="29" t="n"/>
      <c r="B779" s="31" t="n"/>
      <c r="C779" s="31">
        <f>IF(OR($A779="",$B779=""),"",SUMIFS(QuickLog!$K$2:$K$1000,QuickLog!$B$2:$B$1000,$B779,QuickLog!$O$2:$O$1000,$A779,QuickLog!$G$2:$G$1000,"Routine"))</f>
        <v/>
      </c>
      <c r="D779" s="31">
        <f>IF(OR($A779="",$B779=""),"",SUMIFS(QuickLog!$K$2:$K$1000,QuickLog!$B$2:$B$1000,$B779,QuickLog!$O$2:$O$1000,$A779,QuickLog!$G$2:$G$1000,"&lt;&gt;Routine"))</f>
        <v/>
      </c>
      <c r="E779" s="31">
        <f>IF($C779="","",MIN($C779,Settings!$B$2))</f>
        <v/>
      </c>
      <c r="F779" s="31">
        <f>IF($C779="","",MAX(0,$C779-$E779))</f>
        <v/>
      </c>
      <c r="G779" s="31">
        <f>IF(OR($E779="",$D779=""),"", $E779+$D779)</f>
        <v/>
      </c>
      <c r="H779" s="31">
        <f>IF(OR($A779="",$B779=""),"",SUMIFS(QuickLog!$L$2:$L$1000,QuickLog!$B$2:$B$1000,$B779,QuickLog!$O$2:$O$1000,$A779))</f>
        <v/>
      </c>
      <c r="I779" s="32">
        <f>IF($H779="","",$H779)</f>
        <v/>
      </c>
    </row>
    <row r="780">
      <c r="A780" s="29" t="n"/>
      <c r="B780" s="31" t="n"/>
      <c r="C780" s="31">
        <f>IF(OR($A780="",$B780=""),"",SUMIFS(QuickLog!$K$2:$K$1000,QuickLog!$B$2:$B$1000,$B780,QuickLog!$O$2:$O$1000,$A780,QuickLog!$G$2:$G$1000,"Routine"))</f>
        <v/>
      </c>
      <c r="D780" s="31">
        <f>IF(OR($A780="",$B780=""),"",SUMIFS(QuickLog!$K$2:$K$1000,QuickLog!$B$2:$B$1000,$B780,QuickLog!$O$2:$O$1000,$A780,QuickLog!$G$2:$G$1000,"&lt;&gt;Routine"))</f>
        <v/>
      </c>
      <c r="E780" s="31">
        <f>IF($C780="","",MIN($C780,Settings!$B$2))</f>
        <v/>
      </c>
      <c r="F780" s="31">
        <f>IF($C780="","",MAX(0,$C780-$E780))</f>
        <v/>
      </c>
      <c r="G780" s="31">
        <f>IF(OR($E780="",$D780=""),"", $E780+$D780)</f>
        <v/>
      </c>
      <c r="H780" s="31">
        <f>IF(OR($A780="",$B780=""),"",SUMIFS(QuickLog!$L$2:$L$1000,QuickLog!$B$2:$B$1000,$B780,QuickLog!$O$2:$O$1000,$A780))</f>
        <v/>
      </c>
      <c r="I780" s="32">
        <f>IF($H780="","",$H780)</f>
        <v/>
      </c>
    </row>
    <row r="781">
      <c r="A781" s="29" t="n"/>
      <c r="B781" s="31" t="n"/>
      <c r="C781" s="31">
        <f>IF(OR($A781="",$B781=""),"",SUMIFS(QuickLog!$K$2:$K$1000,QuickLog!$B$2:$B$1000,$B781,QuickLog!$O$2:$O$1000,$A781,QuickLog!$G$2:$G$1000,"Routine"))</f>
        <v/>
      </c>
      <c r="D781" s="31">
        <f>IF(OR($A781="",$B781=""),"",SUMIFS(QuickLog!$K$2:$K$1000,QuickLog!$B$2:$B$1000,$B781,QuickLog!$O$2:$O$1000,$A781,QuickLog!$G$2:$G$1000,"&lt;&gt;Routine"))</f>
        <v/>
      </c>
      <c r="E781" s="31">
        <f>IF($C781="","",MIN($C781,Settings!$B$2))</f>
        <v/>
      </c>
      <c r="F781" s="31">
        <f>IF($C781="","",MAX(0,$C781-$E781))</f>
        <v/>
      </c>
      <c r="G781" s="31">
        <f>IF(OR($E781="",$D781=""),"", $E781+$D781)</f>
        <v/>
      </c>
      <c r="H781" s="31">
        <f>IF(OR($A781="",$B781=""),"",SUMIFS(QuickLog!$L$2:$L$1000,QuickLog!$B$2:$B$1000,$B781,QuickLog!$O$2:$O$1000,$A781))</f>
        <v/>
      </c>
      <c r="I781" s="32">
        <f>IF($H781="","",$H781)</f>
        <v/>
      </c>
    </row>
    <row r="782">
      <c r="A782" s="29" t="n"/>
      <c r="B782" s="31" t="n"/>
      <c r="C782" s="31">
        <f>IF(OR($A782="",$B782=""),"",SUMIFS(QuickLog!$K$2:$K$1000,QuickLog!$B$2:$B$1000,$B782,QuickLog!$O$2:$O$1000,$A782,QuickLog!$G$2:$G$1000,"Routine"))</f>
        <v/>
      </c>
      <c r="D782" s="31">
        <f>IF(OR($A782="",$B782=""),"",SUMIFS(QuickLog!$K$2:$K$1000,QuickLog!$B$2:$B$1000,$B782,QuickLog!$O$2:$O$1000,$A782,QuickLog!$G$2:$G$1000,"&lt;&gt;Routine"))</f>
        <v/>
      </c>
      <c r="E782" s="31">
        <f>IF($C782="","",MIN($C782,Settings!$B$2))</f>
        <v/>
      </c>
      <c r="F782" s="31">
        <f>IF($C782="","",MAX(0,$C782-$E782))</f>
        <v/>
      </c>
      <c r="G782" s="31">
        <f>IF(OR($E782="",$D782=""),"", $E782+$D782)</f>
        <v/>
      </c>
      <c r="H782" s="31">
        <f>IF(OR($A782="",$B782=""),"",SUMIFS(QuickLog!$L$2:$L$1000,QuickLog!$B$2:$B$1000,$B782,QuickLog!$O$2:$O$1000,$A782))</f>
        <v/>
      </c>
      <c r="I782" s="32">
        <f>IF($H782="","",$H782)</f>
        <v/>
      </c>
    </row>
    <row r="783">
      <c r="A783" s="29" t="n"/>
      <c r="B783" s="31" t="n"/>
      <c r="C783" s="31">
        <f>IF(OR($A783="",$B783=""),"",SUMIFS(QuickLog!$K$2:$K$1000,QuickLog!$B$2:$B$1000,$B783,QuickLog!$O$2:$O$1000,$A783,QuickLog!$G$2:$G$1000,"Routine"))</f>
        <v/>
      </c>
      <c r="D783" s="31">
        <f>IF(OR($A783="",$B783=""),"",SUMIFS(QuickLog!$K$2:$K$1000,QuickLog!$B$2:$B$1000,$B783,QuickLog!$O$2:$O$1000,$A783,QuickLog!$G$2:$G$1000,"&lt;&gt;Routine"))</f>
        <v/>
      </c>
      <c r="E783" s="31">
        <f>IF($C783="","",MIN($C783,Settings!$B$2))</f>
        <v/>
      </c>
      <c r="F783" s="31">
        <f>IF($C783="","",MAX(0,$C783-$E783))</f>
        <v/>
      </c>
      <c r="G783" s="31">
        <f>IF(OR($E783="",$D783=""),"", $E783+$D783)</f>
        <v/>
      </c>
      <c r="H783" s="31">
        <f>IF(OR($A783="",$B783=""),"",SUMIFS(QuickLog!$L$2:$L$1000,QuickLog!$B$2:$B$1000,$B783,QuickLog!$O$2:$O$1000,$A783))</f>
        <v/>
      </c>
      <c r="I783" s="32">
        <f>IF($H783="","",$H783)</f>
        <v/>
      </c>
    </row>
    <row r="784">
      <c r="A784" s="29" t="n"/>
      <c r="B784" s="31" t="n"/>
      <c r="C784" s="31">
        <f>IF(OR($A784="",$B784=""),"",SUMIFS(QuickLog!$K$2:$K$1000,QuickLog!$B$2:$B$1000,$B784,QuickLog!$O$2:$O$1000,$A784,QuickLog!$G$2:$G$1000,"Routine"))</f>
        <v/>
      </c>
      <c r="D784" s="31">
        <f>IF(OR($A784="",$B784=""),"",SUMIFS(QuickLog!$K$2:$K$1000,QuickLog!$B$2:$B$1000,$B784,QuickLog!$O$2:$O$1000,$A784,QuickLog!$G$2:$G$1000,"&lt;&gt;Routine"))</f>
        <v/>
      </c>
      <c r="E784" s="31">
        <f>IF($C784="","",MIN($C784,Settings!$B$2))</f>
        <v/>
      </c>
      <c r="F784" s="31">
        <f>IF($C784="","",MAX(0,$C784-$E784))</f>
        <v/>
      </c>
      <c r="G784" s="31">
        <f>IF(OR($E784="",$D784=""),"", $E784+$D784)</f>
        <v/>
      </c>
      <c r="H784" s="31">
        <f>IF(OR($A784="",$B784=""),"",SUMIFS(QuickLog!$L$2:$L$1000,QuickLog!$B$2:$B$1000,$B784,QuickLog!$O$2:$O$1000,$A784))</f>
        <v/>
      </c>
      <c r="I784" s="32">
        <f>IF($H784="","",$H784)</f>
        <v/>
      </c>
    </row>
    <row r="785">
      <c r="A785" s="29" t="n"/>
      <c r="B785" s="31" t="n"/>
      <c r="C785" s="31">
        <f>IF(OR($A785="",$B785=""),"",SUMIFS(QuickLog!$K$2:$K$1000,QuickLog!$B$2:$B$1000,$B785,QuickLog!$O$2:$O$1000,$A785,QuickLog!$G$2:$G$1000,"Routine"))</f>
        <v/>
      </c>
      <c r="D785" s="31">
        <f>IF(OR($A785="",$B785=""),"",SUMIFS(QuickLog!$K$2:$K$1000,QuickLog!$B$2:$B$1000,$B785,QuickLog!$O$2:$O$1000,$A785,QuickLog!$G$2:$G$1000,"&lt;&gt;Routine"))</f>
        <v/>
      </c>
      <c r="E785" s="31">
        <f>IF($C785="","",MIN($C785,Settings!$B$2))</f>
        <v/>
      </c>
      <c r="F785" s="31">
        <f>IF($C785="","",MAX(0,$C785-$E785))</f>
        <v/>
      </c>
      <c r="G785" s="31">
        <f>IF(OR($E785="",$D785=""),"", $E785+$D785)</f>
        <v/>
      </c>
      <c r="H785" s="31">
        <f>IF(OR($A785="",$B785=""),"",SUMIFS(QuickLog!$L$2:$L$1000,QuickLog!$B$2:$B$1000,$B785,QuickLog!$O$2:$O$1000,$A785))</f>
        <v/>
      </c>
      <c r="I785" s="32">
        <f>IF($H785="","",$H785)</f>
        <v/>
      </c>
    </row>
    <row r="786">
      <c r="A786" s="29" t="n"/>
      <c r="B786" s="31" t="n"/>
      <c r="C786" s="31">
        <f>IF(OR($A786="",$B786=""),"",SUMIFS(QuickLog!$K$2:$K$1000,QuickLog!$B$2:$B$1000,$B786,QuickLog!$O$2:$O$1000,$A786,QuickLog!$G$2:$G$1000,"Routine"))</f>
        <v/>
      </c>
      <c r="D786" s="31">
        <f>IF(OR($A786="",$B786=""),"",SUMIFS(QuickLog!$K$2:$K$1000,QuickLog!$B$2:$B$1000,$B786,QuickLog!$O$2:$O$1000,$A786,QuickLog!$G$2:$G$1000,"&lt;&gt;Routine"))</f>
        <v/>
      </c>
      <c r="E786" s="31">
        <f>IF($C786="","",MIN($C786,Settings!$B$2))</f>
        <v/>
      </c>
      <c r="F786" s="31">
        <f>IF($C786="","",MAX(0,$C786-$E786))</f>
        <v/>
      </c>
      <c r="G786" s="31">
        <f>IF(OR($E786="",$D786=""),"", $E786+$D786)</f>
        <v/>
      </c>
      <c r="H786" s="31">
        <f>IF(OR($A786="",$B786=""),"",SUMIFS(QuickLog!$L$2:$L$1000,QuickLog!$B$2:$B$1000,$B786,QuickLog!$O$2:$O$1000,$A786))</f>
        <v/>
      </c>
      <c r="I786" s="32">
        <f>IF($H786="","",$H786)</f>
        <v/>
      </c>
    </row>
    <row r="787">
      <c r="A787" s="29" t="n"/>
      <c r="B787" s="31" t="n"/>
      <c r="C787" s="31">
        <f>IF(OR($A787="",$B787=""),"",SUMIFS(QuickLog!$K$2:$K$1000,QuickLog!$B$2:$B$1000,$B787,QuickLog!$O$2:$O$1000,$A787,QuickLog!$G$2:$G$1000,"Routine"))</f>
        <v/>
      </c>
      <c r="D787" s="31">
        <f>IF(OR($A787="",$B787=""),"",SUMIFS(QuickLog!$K$2:$K$1000,QuickLog!$B$2:$B$1000,$B787,QuickLog!$O$2:$O$1000,$A787,QuickLog!$G$2:$G$1000,"&lt;&gt;Routine"))</f>
        <v/>
      </c>
      <c r="E787" s="31">
        <f>IF($C787="","",MIN($C787,Settings!$B$2))</f>
        <v/>
      </c>
      <c r="F787" s="31">
        <f>IF($C787="","",MAX(0,$C787-$E787))</f>
        <v/>
      </c>
      <c r="G787" s="31">
        <f>IF(OR($E787="",$D787=""),"", $E787+$D787)</f>
        <v/>
      </c>
      <c r="H787" s="31">
        <f>IF(OR($A787="",$B787=""),"",SUMIFS(QuickLog!$L$2:$L$1000,QuickLog!$B$2:$B$1000,$B787,QuickLog!$O$2:$O$1000,$A787))</f>
        <v/>
      </c>
      <c r="I787" s="32">
        <f>IF($H787="","",$H787)</f>
        <v/>
      </c>
    </row>
    <row r="788">
      <c r="A788" s="29" t="n"/>
      <c r="B788" s="31" t="n"/>
      <c r="C788" s="31">
        <f>IF(OR($A788="",$B788=""),"",SUMIFS(QuickLog!$K$2:$K$1000,QuickLog!$B$2:$B$1000,$B788,QuickLog!$O$2:$O$1000,$A788,QuickLog!$G$2:$G$1000,"Routine"))</f>
        <v/>
      </c>
      <c r="D788" s="31">
        <f>IF(OR($A788="",$B788=""),"",SUMIFS(QuickLog!$K$2:$K$1000,QuickLog!$B$2:$B$1000,$B788,QuickLog!$O$2:$O$1000,$A788,QuickLog!$G$2:$G$1000,"&lt;&gt;Routine"))</f>
        <v/>
      </c>
      <c r="E788" s="31">
        <f>IF($C788="","",MIN($C788,Settings!$B$2))</f>
        <v/>
      </c>
      <c r="F788" s="31">
        <f>IF($C788="","",MAX(0,$C788-$E788))</f>
        <v/>
      </c>
      <c r="G788" s="31">
        <f>IF(OR($E788="",$D788=""),"", $E788+$D788)</f>
        <v/>
      </c>
      <c r="H788" s="31">
        <f>IF(OR($A788="",$B788=""),"",SUMIFS(QuickLog!$L$2:$L$1000,QuickLog!$B$2:$B$1000,$B788,QuickLog!$O$2:$O$1000,$A788))</f>
        <v/>
      </c>
      <c r="I788" s="32">
        <f>IF($H788="","",$H788)</f>
        <v/>
      </c>
    </row>
    <row r="789">
      <c r="A789" s="29" t="n"/>
      <c r="B789" s="31" t="n"/>
      <c r="C789" s="31">
        <f>IF(OR($A789="",$B789=""),"",SUMIFS(QuickLog!$K$2:$K$1000,QuickLog!$B$2:$B$1000,$B789,QuickLog!$O$2:$O$1000,$A789,QuickLog!$G$2:$G$1000,"Routine"))</f>
        <v/>
      </c>
      <c r="D789" s="31">
        <f>IF(OR($A789="",$B789=""),"",SUMIFS(QuickLog!$K$2:$K$1000,QuickLog!$B$2:$B$1000,$B789,QuickLog!$O$2:$O$1000,$A789,QuickLog!$G$2:$G$1000,"&lt;&gt;Routine"))</f>
        <v/>
      </c>
      <c r="E789" s="31">
        <f>IF($C789="","",MIN($C789,Settings!$B$2))</f>
        <v/>
      </c>
      <c r="F789" s="31">
        <f>IF($C789="","",MAX(0,$C789-$E789))</f>
        <v/>
      </c>
      <c r="G789" s="31">
        <f>IF(OR($E789="",$D789=""),"", $E789+$D789)</f>
        <v/>
      </c>
      <c r="H789" s="31">
        <f>IF(OR($A789="",$B789=""),"",SUMIFS(QuickLog!$L$2:$L$1000,QuickLog!$B$2:$B$1000,$B789,QuickLog!$O$2:$O$1000,$A789))</f>
        <v/>
      </c>
      <c r="I789" s="32">
        <f>IF($H789="","",$H789)</f>
        <v/>
      </c>
    </row>
    <row r="790">
      <c r="A790" s="29" t="n"/>
      <c r="B790" s="31" t="n"/>
      <c r="C790" s="31">
        <f>IF(OR($A790="",$B790=""),"",SUMIFS(QuickLog!$K$2:$K$1000,QuickLog!$B$2:$B$1000,$B790,QuickLog!$O$2:$O$1000,$A790,QuickLog!$G$2:$G$1000,"Routine"))</f>
        <v/>
      </c>
      <c r="D790" s="31">
        <f>IF(OR($A790="",$B790=""),"",SUMIFS(QuickLog!$K$2:$K$1000,QuickLog!$B$2:$B$1000,$B790,QuickLog!$O$2:$O$1000,$A790,QuickLog!$G$2:$G$1000,"&lt;&gt;Routine"))</f>
        <v/>
      </c>
      <c r="E790" s="31">
        <f>IF($C790="","",MIN($C790,Settings!$B$2))</f>
        <v/>
      </c>
      <c r="F790" s="31">
        <f>IF($C790="","",MAX(0,$C790-$E790))</f>
        <v/>
      </c>
      <c r="G790" s="31">
        <f>IF(OR($E790="",$D790=""),"", $E790+$D790)</f>
        <v/>
      </c>
      <c r="H790" s="31">
        <f>IF(OR($A790="",$B790=""),"",SUMIFS(QuickLog!$L$2:$L$1000,QuickLog!$B$2:$B$1000,$B790,QuickLog!$O$2:$O$1000,$A790))</f>
        <v/>
      </c>
      <c r="I790" s="32">
        <f>IF($H790="","",$H790)</f>
        <v/>
      </c>
    </row>
    <row r="791">
      <c r="A791" s="29" t="n"/>
      <c r="B791" s="31" t="n"/>
      <c r="C791" s="31">
        <f>IF(OR($A791="",$B791=""),"",SUMIFS(QuickLog!$K$2:$K$1000,QuickLog!$B$2:$B$1000,$B791,QuickLog!$O$2:$O$1000,$A791,QuickLog!$G$2:$G$1000,"Routine"))</f>
        <v/>
      </c>
      <c r="D791" s="31">
        <f>IF(OR($A791="",$B791=""),"",SUMIFS(QuickLog!$K$2:$K$1000,QuickLog!$B$2:$B$1000,$B791,QuickLog!$O$2:$O$1000,$A791,QuickLog!$G$2:$G$1000,"&lt;&gt;Routine"))</f>
        <v/>
      </c>
      <c r="E791" s="31">
        <f>IF($C791="","",MIN($C791,Settings!$B$2))</f>
        <v/>
      </c>
      <c r="F791" s="31">
        <f>IF($C791="","",MAX(0,$C791-$E791))</f>
        <v/>
      </c>
      <c r="G791" s="31">
        <f>IF(OR($E791="",$D791=""),"", $E791+$D791)</f>
        <v/>
      </c>
      <c r="H791" s="31">
        <f>IF(OR($A791="",$B791=""),"",SUMIFS(QuickLog!$L$2:$L$1000,QuickLog!$B$2:$B$1000,$B791,QuickLog!$O$2:$O$1000,$A791))</f>
        <v/>
      </c>
      <c r="I791" s="32">
        <f>IF($H791="","",$H791)</f>
        <v/>
      </c>
    </row>
    <row r="792">
      <c r="A792" s="29" t="n"/>
      <c r="B792" s="31" t="n"/>
      <c r="C792" s="31">
        <f>IF(OR($A792="",$B792=""),"",SUMIFS(QuickLog!$K$2:$K$1000,QuickLog!$B$2:$B$1000,$B792,QuickLog!$O$2:$O$1000,$A792,QuickLog!$G$2:$G$1000,"Routine"))</f>
        <v/>
      </c>
      <c r="D792" s="31">
        <f>IF(OR($A792="",$B792=""),"",SUMIFS(QuickLog!$K$2:$K$1000,QuickLog!$B$2:$B$1000,$B792,QuickLog!$O$2:$O$1000,$A792,QuickLog!$G$2:$G$1000,"&lt;&gt;Routine"))</f>
        <v/>
      </c>
      <c r="E792" s="31">
        <f>IF($C792="","",MIN($C792,Settings!$B$2))</f>
        <v/>
      </c>
      <c r="F792" s="31">
        <f>IF($C792="","",MAX(0,$C792-$E792))</f>
        <v/>
      </c>
      <c r="G792" s="31">
        <f>IF(OR($E792="",$D792=""),"", $E792+$D792)</f>
        <v/>
      </c>
      <c r="H792" s="31">
        <f>IF(OR($A792="",$B792=""),"",SUMIFS(QuickLog!$L$2:$L$1000,QuickLog!$B$2:$B$1000,$B792,QuickLog!$O$2:$O$1000,$A792))</f>
        <v/>
      </c>
      <c r="I792" s="32">
        <f>IF($H792="","",$H792)</f>
        <v/>
      </c>
    </row>
    <row r="793">
      <c r="A793" s="29" t="n"/>
      <c r="B793" s="31" t="n"/>
      <c r="C793" s="31">
        <f>IF(OR($A793="",$B793=""),"",SUMIFS(QuickLog!$K$2:$K$1000,QuickLog!$B$2:$B$1000,$B793,QuickLog!$O$2:$O$1000,$A793,QuickLog!$G$2:$G$1000,"Routine"))</f>
        <v/>
      </c>
      <c r="D793" s="31">
        <f>IF(OR($A793="",$B793=""),"",SUMIFS(QuickLog!$K$2:$K$1000,QuickLog!$B$2:$B$1000,$B793,QuickLog!$O$2:$O$1000,$A793,QuickLog!$G$2:$G$1000,"&lt;&gt;Routine"))</f>
        <v/>
      </c>
      <c r="E793" s="31">
        <f>IF($C793="","",MIN($C793,Settings!$B$2))</f>
        <v/>
      </c>
      <c r="F793" s="31">
        <f>IF($C793="","",MAX(0,$C793-$E793))</f>
        <v/>
      </c>
      <c r="G793" s="31">
        <f>IF(OR($E793="",$D793=""),"", $E793+$D793)</f>
        <v/>
      </c>
      <c r="H793" s="31">
        <f>IF(OR($A793="",$B793=""),"",SUMIFS(QuickLog!$L$2:$L$1000,QuickLog!$B$2:$B$1000,$B793,QuickLog!$O$2:$O$1000,$A793))</f>
        <v/>
      </c>
      <c r="I793" s="32">
        <f>IF($H793="","",$H793)</f>
        <v/>
      </c>
    </row>
    <row r="794">
      <c r="A794" s="29" t="n"/>
      <c r="B794" s="31" t="n"/>
      <c r="C794" s="31">
        <f>IF(OR($A794="",$B794=""),"",SUMIFS(QuickLog!$K$2:$K$1000,QuickLog!$B$2:$B$1000,$B794,QuickLog!$O$2:$O$1000,$A794,QuickLog!$G$2:$G$1000,"Routine"))</f>
        <v/>
      </c>
      <c r="D794" s="31">
        <f>IF(OR($A794="",$B794=""),"",SUMIFS(QuickLog!$K$2:$K$1000,QuickLog!$B$2:$B$1000,$B794,QuickLog!$O$2:$O$1000,$A794,QuickLog!$G$2:$G$1000,"&lt;&gt;Routine"))</f>
        <v/>
      </c>
      <c r="E794" s="31">
        <f>IF($C794="","",MIN($C794,Settings!$B$2))</f>
        <v/>
      </c>
      <c r="F794" s="31">
        <f>IF($C794="","",MAX(0,$C794-$E794))</f>
        <v/>
      </c>
      <c r="G794" s="31">
        <f>IF(OR($E794="",$D794=""),"", $E794+$D794)</f>
        <v/>
      </c>
      <c r="H794" s="31">
        <f>IF(OR($A794="",$B794=""),"",SUMIFS(QuickLog!$L$2:$L$1000,QuickLog!$B$2:$B$1000,$B794,QuickLog!$O$2:$O$1000,$A794))</f>
        <v/>
      </c>
      <c r="I794" s="32">
        <f>IF($H794="","",$H794)</f>
        <v/>
      </c>
    </row>
    <row r="795">
      <c r="A795" s="29" t="n"/>
      <c r="B795" s="31" t="n"/>
      <c r="C795" s="31">
        <f>IF(OR($A795="",$B795=""),"",SUMIFS(QuickLog!$K$2:$K$1000,QuickLog!$B$2:$B$1000,$B795,QuickLog!$O$2:$O$1000,$A795,QuickLog!$G$2:$G$1000,"Routine"))</f>
        <v/>
      </c>
      <c r="D795" s="31">
        <f>IF(OR($A795="",$B795=""),"",SUMIFS(QuickLog!$K$2:$K$1000,QuickLog!$B$2:$B$1000,$B795,QuickLog!$O$2:$O$1000,$A795,QuickLog!$G$2:$G$1000,"&lt;&gt;Routine"))</f>
        <v/>
      </c>
      <c r="E795" s="31">
        <f>IF($C795="","",MIN($C795,Settings!$B$2))</f>
        <v/>
      </c>
      <c r="F795" s="31">
        <f>IF($C795="","",MAX(0,$C795-$E795))</f>
        <v/>
      </c>
      <c r="G795" s="31">
        <f>IF(OR($E795="",$D795=""),"", $E795+$D795)</f>
        <v/>
      </c>
      <c r="H795" s="31">
        <f>IF(OR($A795="",$B795=""),"",SUMIFS(QuickLog!$L$2:$L$1000,QuickLog!$B$2:$B$1000,$B795,QuickLog!$O$2:$O$1000,$A795))</f>
        <v/>
      </c>
      <c r="I795" s="32">
        <f>IF($H795="","",$H795)</f>
        <v/>
      </c>
    </row>
    <row r="796">
      <c r="A796" s="29" t="n"/>
      <c r="B796" s="31" t="n"/>
      <c r="C796" s="31">
        <f>IF(OR($A796="",$B796=""),"",SUMIFS(QuickLog!$K$2:$K$1000,QuickLog!$B$2:$B$1000,$B796,QuickLog!$O$2:$O$1000,$A796,QuickLog!$G$2:$G$1000,"Routine"))</f>
        <v/>
      </c>
      <c r="D796" s="31">
        <f>IF(OR($A796="",$B796=""),"",SUMIFS(QuickLog!$K$2:$K$1000,QuickLog!$B$2:$B$1000,$B796,QuickLog!$O$2:$O$1000,$A796,QuickLog!$G$2:$G$1000,"&lt;&gt;Routine"))</f>
        <v/>
      </c>
      <c r="E796" s="31">
        <f>IF($C796="","",MIN($C796,Settings!$B$2))</f>
        <v/>
      </c>
      <c r="F796" s="31">
        <f>IF($C796="","",MAX(0,$C796-$E796))</f>
        <v/>
      </c>
      <c r="G796" s="31">
        <f>IF(OR($E796="",$D796=""),"", $E796+$D796)</f>
        <v/>
      </c>
      <c r="H796" s="31">
        <f>IF(OR($A796="",$B796=""),"",SUMIFS(QuickLog!$L$2:$L$1000,QuickLog!$B$2:$B$1000,$B796,QuickLog!$O$2:$O$1000,$A796))</f>
        <v/>
      </c>
      <c r="I796" s="32">
        <f>IF($H796="","",$H796)</f>
        <v/>
      </c>
    </row>
    <row r="797">
      <c r="A797" s="29" t="n"/>
      <c r="B797" s="31" t="n"/>
      <c r="C797" s="31">
        <f>IF(OR($A797="",$B797=""),"",SUMIFS(QuickLog!$K$2:$K$1000,QuickLog!$B$2:$B$1000,$B797,QuickLog!$O$2:$O$1000,$A797,QuickLog!$G$2:$G$1000,"Routine"))</f>
        <v/>
      </c>
      <c r="D797" s="31">
        <f>IF(OR($A797="",$B797=""),"",SUMIFS(QuickLog!$K$2:$K$1000,QuickLog!$B$2:$B$1000,$B797,QuickLog!$O$2:$O$1000,$A797,QuickLog!$G$2:$G$1000,"&lt;&gt;Routine"))</f>
        <v/>
      </c>
      <c r="E797" s="31">
        <f>IF($C797="","",MIN($C797,Settings!$B$2))</f>
        <v/>
      </c>
      <c r="F797" s="31">
        <f>IF($C797="","",MAX(0,$C797-$E797))</f>
        <v/>
      </c>
      <c r="G797" s="31">
        <f>IF(OR($E797="",$D797=""),"", $E797+$D797)</f>
        <v/>
      </c>
      <c r="H797" s="31">
        <f>IF(OR($A797="",$B797=""),"",SUMIFS(QuickLog!$L$2:$L$1000,QuickLog!$B$2:$B$1000,$B797,QuickLog!$O$2:$O$1000,$A797))</f>
        <v/>
      </c>
      <c r="I797" s="32">
        <f>IF($H797="","",$H797)</f>
        <v/>
      </c>
    </row>
    <row r="798">
      <c r="A798" s="29" t="n"/>
      <c r="B798" s="31" t="n"/>
      <c r="C798" s="31">
        <f>IF(OR($A798="",$B798=""),"",SUMIFS(QuickLog!$K$2:$K$1000,QuickLog!$B$2:$B$1000,$B798,QuickLog!$O$2:$O$1000,$A798,QuickLog!$G$2:$G$1000,"Routine"))</f>
        <v/>
      </c>
      <c r="D798" s="31">
        <f>IF(OR($A798="",$B798=""),"",SUMIFS(QuickLog!$K$2:$K$1000,QuickLog!$B$2:$B$1000,$B798,QuickLog!$O$2:$O$1000,$A798,QuickLog!$G$2:$G$1000,"&lt;&gt;Routine"))</f>
        <v/>
      </c>
      <c r="E798" s="31">
        <f>IF($C798="","",MIN($C798,Settings!$B$2))</f>
        <v/>
      </c>
      <c r="F798" s="31">
        <f>IF($C798="","",MAX(0,$C798-$E798))</f>
        <v/>
      </c>
      <c r="G798" s="31">
        <f>IF(OR($E798="",$D798=""),"", $E798+$D798)</f>
        <v/>
      </c>
      <c r="H798" s="31">
        <f>IF(OR($A798="",$B798=""),"",SUMIFS(QuickLog!$L$2:$L$1000,QuickLog!$B$2:$B$1000,$B798,QuickLog!$O$2:$O$1000,$A798))</f>
        <v/>
      </c>
      <c r="I798" s="32">
        <f>IF($H798="","",$H798)</f>
        <v/>
      </c>
    </row>
    <row r="799">
      <c r="A799" s="29" t="n"/>
      <c r="B799" s="31" t="n"/>
      <c r="C799" s="31">
        <f>IF(OR($A799="",$B799=""),"",SUMIFS(QuickLog!$K$2:$K$1000,QuickLog!$B$2:$B$1000,$B799,QuickLog!$O$2:$O$1000,$A799,QuickLog!$G$2:$G$1000,"Routine"))</f>
        <v/>
      </c>
      <c r="D799" s="31">
        <f>IF(OR($A799="",$B799=""),"",SUMIFS(QuickLog!$K$2:$K$1000,QuickLog!$B$2:$B$1000,$B799,QuickLog!$O$2:$O$1000,$A799,QuickLog!$G$2:$G$1000,"&lt;&gt;Routine"))</f>
        <v/>
      </c>
      <c r="E799" s="31">
        <f>IF($C799="","",MIN($C799,Settings!$B$2))</f>
        <v/>
      </c>
      <c r="F799" s="31">
        <f>IF($C799="","",MAX(0,$C799-$E799))</f>
        <v/>
      </c>
      <c r="G799" s="31">
        <f>IF(OR($E799="",$D799=""),"", $E799+$D799)</f>
        <v/>
      </c>
      <c r="H799" s="31">
        <f>IF(OR($A799="",$B799=""),"",SUMIFS(QuickLog!$L$2:$L$1000,QuickLog!$B$2:$B$1000,$B799,QuickLog!$O$2:$O$1000,$A799))</f>
        <v/>
      </c>
      <c r="I799" s="32">
        <f>IF($H799="","",$H799)</f>
        <v/>
      </c>
    </row>
    <row r="800">
      <c r="A800" s="29" t="n"/>
      <c r="B800" s="31" t="n"/>
      <c r="C800" s="31">
        <f>IF(OR($A800="",$B800=""),"",SUMIFS(QuickLog!$K$2:$K$1000,QuickLog!$B$2:$B$1000,$B800,QuickLog!$O$2:$O$1000,$A800,QuickLog!$G$2:$G$1000,"Routine"))</f>
        <v/>
      </c>
      <c r="D800" s="31">
        <f>IF(OR($A800="",$B800=""),"",SUMIFS(QuickLog!$K$2:$K$1000,QuickLog!$B$2:$B$1000,$B800,QuickLog!$O$2:$O$1000,$A800,QuickLog!$G$2:$G$1000,"&lt;&gt;Routine"))</f>
        <v/>
      </c>
      <c r="E800" s="31">
        <f>IF($C800="","",MIN($C800,Settings!$B$2))</f>
        <v/>
      </c>
      <c r="F800" s="31">
        <f>IF($C800="","",MAX(0,$C800-$E800))</f>
        <v/>
      </c>
      <c r="G800" s="31">
        <f>IF(OR($E800="",$D800=""),"", $E800+$D800)</f>
        <v/>
      </c>
      <c r="H800" s="31">
        <f>IF(OR($A800="",$B800=""),"",SUMIFS(QuickLog!$L$2:$L$1000,QuickLog!$B$2:$B$1000,$B800,QuickLog!$O$2:$O$1000,$A800))</f>
        <v/>
      </c>
      <c r="I800" s="32">
        <f>IF($H800="","",$H800)</f>
        <v/>
      </c>
    </row>
    <row r="801">
      <c r="A801" s="29" t="n"/>
      <c r="B801" s="31" t="n"/>
      <c r="C801" s="31">
        <f>IF(OR($A801="",$B801=""),"",SUMIFS(QuickLog!$K$2:$K$1000,QuickLog!$B$2:$B$1000,$B801,QuickLog!$O$2:$O$1000,$A801,QuickLog!$G$2:$G$1000,"Routine"))</f>
        <v/>
      </c>
      <c r="D801" s="31">
        <f>IF(OR($A801="",$B801=""),"",SUMIFS(QuickLog!$K$2:$K$1000,QuickLog!$B$2:$B$1000,$B801,QuickLog!$O$2:$O$1000,$A801,QuickLog!$G$2:$G$1000,"&lt;&gt;Routine"))</f>
        <v/>
      </c>
      <c r="E801" s="31">
        <f>IF($C801="","",MIN($C801,Settings!$B$2))</f>
        <v/>
      </c>
      <c r="F801" s="31">
        <f>IF($C801="","",MAX(0,$C801-$E801))</f>
        <v/>
      </c>
      <c r="G801" s="31">
        <f>IF(OR($E801="",$D801=""),"", $E801+$D801)</f>
        <v/>
      </c>
      <c r="H801" s="31">
        <f>IF(OR($A801="",$B801=""),"",SUMIFS(QuickLog!$L$2:$L$1000,QuickLog!$B$2:$B$1000,$B801,QuickLog!$O$2:$O$1000,$A801))</f>
        <v/>
      </c>
      <c r="I801" s="32">
        <f>IF($H801="","",$H801)</f>
        <v/>
      </c>
    </row>
    <row r="802">
      <c r="A802" s="29" t="n"/>
      <c r="B802" s="31" t="n"/>
      <c r="C802" s="31">
        <f>IF(OR($A802="",$B802=""),"",SUMIFS(QuickLog!$K$2:$K$1000,QuickLog!$B$2:$B$1000,$B802,QuickLog!$O$2:$O$1000,$A802,QuickLog!$G$2:$G$1000,"Routine"))</f>
        <v/>
      </c>
      <c r="D802" s="31">
        <f>IF(OR($A802="",$B802=""),"",SUMIFS(QuickLog!$K$2:$K$1000,QuickLog!$B$2:$B$1000,$B802,QuickLog!$O$2:$O$1000,$A802,QuickLog!$G$2:$G$1000,"&lt;&gt;Routine"))</f>
        <v/>
      </c>
      <c r="E802" s="31">
        <f>IF($C802="","",MIN($C802,Settings!$B$2))</f>
        <v/>
      </c>
      <c r="F802" s="31">
        <f>IF($C802="","",MAX(0,$C802-$E802))</f>
        <v/>
      </c>
      <c r="G802" s="31">
        <f>IF(OR($E802="",$D802=""),"", $E802+$D802)</f>
        <v/>
      </c>
      <c r="H802" s="31">
        <f>IF(OR($A802="",$B802=""),"",SUMIFS(QuickLog!$L$2:$L$1000,QuickLog!$B$2:$B$1000,$B802,QuickLog!$O$2:$O$1000,$A802))</f>
        <v/>
      </c>
      <c r="I802" s="32">
        <f>IF($H802="","",$H802)</f>
        <v/>
      </c>
    </row>
    <row r="803">
      <c r="A803" s="29" t="n"/>
      <c r="B803" s="31" t="n"/>
      <c r="C803" s="31">
        <f>IF(OR($A803="",$B803=""),"",SUMIFS(QuickLog!$K$2:$K$1000,QuickLog!$B$2:$B$1000,$B803,QuickLog!$O$2:$O$1000,$A803,QuickLog!$G$2:$G$1000,"Routine"))</f>
        <v/>
      </c>
      <c r="D803" s="31">
        <f>IF(OR($A803="",$B803=""),"",SUMIFS(QuickLog!$K$2:$K$1000,QuickLog!$B$2:$B$1000,$B803,QuickLog!$O$2:$O$1000,$A803,QuickLog!$G$2:$G$1000,"&lt;&gt;Routine"))</f>
        <v/>
      </c>
      <c r="E803" s="31">
        <f>IF($C803="","",MIN($C803,Settings!$B$2))</f>
        <v/>
      </c>
      <c r="F803" s="31">
        <f>IF($C803="","",MAX(0,$C803-$E803))</f>
        <v/>
      </c>
      <c r="G803" s="31">
        <f>IF(OR($E803="",$D803=""),"", $E803+$D803)</f>
        <v/>
      </c>
      <c r="H803" s="31">
        <f>IF(OR($A803="",$B803=""),"",SUMIFS(QuickLog!$L$2:$L$1000,QuickLog!$B$2:$B$1000,$B803,QuickLog!$O$2:$O$1000,$A803))</f>
        <v/>
      </c>
      <c r="I803" s="32">
        <f>IF($H803="","",$H803)</f>
        <v/>
      </c>
    </row>
    <row r="804">
      <c r="A804" s="29" t="n"/>
      <c r="B804" s="31" t="n"/>
      <c r="C804" s="31">
        <f>IF(OR($A804="",$B804=""),"",SUMIFS(QuickLog!$K$2:$K$1000,QuickLog!$B$2:$B$1000,$B804,QuickLog!$O$2:$O$1000,$A804,QuickLog!$G$2:$G$1000,"Routine"))</f>
        <v/>
      </c>
      <c r="D804" s="31">
        <f>IF(OR($A804="",$B804=""),"",SUMIFS(QuickLog!$K$2:$K$1000,QuickLog!$B$2:$B$1000,$B804,QuickLog!$O$2:$O$1000,$A804,QuickLog!$G$2:$G$1000,"&lt;&gt;Routine"))</f>
        <v/>
      </c>
      <c r="E804" s="31">
        <f>IF($C804="","",MIN($C804,Settings!$B$2))</f>
        <v/>
      </c>
      <c r="F804" s="31">
        <f>IF($C804="","",MAX(0,$C804-$E804))</f>
        <v/>
      </c>
      <c r="G804" s="31">
        <f>IF(OR($E804="",$D804=""),"", $E804+$D804)</f>
        <v/>
      </c>
      <c r="H804" s="31">
        <f>IF(OR($A804="",$B804=""),"",SUMIFS(QuickLog!$L$2:$L$1000,QuickLog!$B$2:$B$1000,$B804,QuickLog!$O$2:$O$1000,$A804))</f>
        <v/>
      </c>
      <c r="I804" s="32">
        <f>IF($H804="","",$H804)</f>
        <v/>
      </c>
    </row>
    <row r="805">
      <c r="A805" s="29" t="n"/>
      <c r="B805" s="31" t="n"/>
      <c r="C805" s="31">
        <f>IF(OR($A805="",$B805=""),"",SUMIFS(QuickLog!$K$2:$K$1000,QuickLog!$B$2:$B$1000,$B805,QuickLog!$O$2:$O$1000,$A805,QuickLog!$G$2:$G$1000,"Routine"))</f>
        <v/>
      </c>
      <c r="D805" s="31">
        <f>IF(OR($A805="",$B805=""),"",SUMIFS(QuickLog!$K$2:$K$1000,QuickLog!$B$2:$B$1000,$B805,QuickLog!$O$2:$O$1000,$A805,QuickLog!$G$2:$G$1000,"&lt;&gt;Routine"))</f>
        <v/>
      </c>
      <c r="E805" s="31">
        <f>IF($C805="","",MIN($C805,Settings!$B$2))</f>
        <v/>
      </c>
      <c r="F805" s="31">
        <f>IF($C805="","",MAX(0,$C805-$E805))</f>
        <v/>
      </c>
      <c r="G805" s="31">
        <f>IF(OR($E805="",$D805=""),"", $E805+$D805)</f>
        <v/>
      </c>
      <c r="H805" s="31">
        <f>IF(OR($A805="",$B805=""),"",SUMIFS(QuickLog!$L$2:$L$1000,QuickLog!$B$2:$B$1000,$B805,QuickLog!$O$2:$O$1000,$A805))</f>
        <v/>
      </c>
      <c r="I805" s="32">
        <f>IF($H805="","",$H805)</f>
        <v/>
      </c>
    </row>
    <row r="806">
      <c r="A806" s="29" t="n"/>
      <c r="B806" s="31" t="n"/>
      <c r="C806" s="31">
        <f>IF(OR($A806="",$B806=""),"",SUMIFS(QuickLog!$K$2:$K$1000,QuickLog!$B$2:$B$1000,$B806,QuickLog!$O$2:$O$1000,$A806,QuickLog!$G$2:$G$1000,"Routine"))</f>
        <v/>
      </c>
      <c r="D806" s="31">
        <f>IF(OR($A806="",$B806=""),"",SUMIFS(QuickLog!$K$2:$K$1000,QuickLog!$B$2:$B$1000,$B806,QuickLog!$O$2:$O$1000,$A806,QuickLog!$G$2:$G$1000,"&lt;&gt;Routine"))</f>
        <v/>
      </c>
      <c r="E806" s="31">
        <f>IF($C806="","",MIN($C806,Settings!$B$2))</f>
        <v/>
      </c>
      <c r="F806" s="31">
        <f>IF($C806="","",MAX(0,$C806-$E806))</f>
        <v/>
      </c>
      <c r="G806" s="31">
        <f>IF(OR($E806="",$D806=""),"", $E806+$D806)</f>
        <v/>
      </c>
      <c r="H806" s="31">
        <f>IF(OR($A806="",$B806=""),"",SUMIFS(QuickLog!$L$2:$L$1000,QuickLog!$B$2:$B$1000,$B806,QuickLog!$O$2:$O$1000,$A806))</f>
        <v/>
      </c>
      <c r="I806" s="32">
        <f>IF($H806="","",$H806)</f>
        <v/>
      </c>
    </row>
    <row r="807">
      <c r="A807" s="29" t="n"/>
      <c r="B807" s="31" t="n"/>
      <c r="C807" s="31">
        <f>IF(OR($A807="",$B807=""),"",SUMIFS(QuickLog!$K$2:$K$1000,QuickLog!$B$2:$B$1000,$B807,QuickLog!$O$2:$O$1000,$A807,QuickLog!$G$2:$G$1000,"Routine"))</f>
        <v/>
      </c>
      <c r="D807" s="31">
        <f>IF(OR($A807="",$B807=""),"",SUMIFS(QuickLog!$K$2:$K$1000,QuickLog!$B$2:$B$1000,$B807,QuickLog!$O$2:$O$1000,$A807,QuickLog!$G$2:$G$1000,"&lt;&gt;Routine"))</f>
        <v/>
      </c>
      <c r="E807" s="31">
        <f>IF($C807="","",MIN($C807,Settings!$B$2))</f>
        <v/>
      </c>
      <c r="F807" s="31">
        <f>IF($C807="","",MAX(0,$C807-$E807))</f>
        <v/>
      </c>
      <c r="G807" s="31">
        <f>IF(OR($E807="",$D807=""),"", $E807+$D807)</f>
        <v/>
      </c>
      <c r="H807" s="31">
        <f>IF(OR($A807="",$B807=""),"",SUMIFS(QuickLog!$L$2:$L$1000,QuickLog!$B$2:$B$1000,$B807,QuickLog!$O$2:$O$1000,$A807))</f>
        <v/>
      </c>
      <c r="I807" s="32">
        <f>IF($H807="","",$H807)</f>
        <v/>
      </c>
    </row>
    <row r="808">
      <c r="A808" s="29" t="n"/>
      <c r="B808" s="31" t="n"/>
      <c r="C808" s="31">
        <f>IF(OR($A808="",$B808=""),"",SUMIFS(QuickLog!$K$2:$K$1000,QuickLog!$B$2:$B$1000,$B808,QuickLog!$O$2:$O$1000,$A808,QuickLog!$G$2:$G$1000,"Routine"))</f>
        <v/>
      </c>
      <c r="D808" s="31">
        <f>IF(OR($A808="",$B808=""),"",SUMIFS(QuickLog!$K$2:$K$1000,QuickLog!$B$2:$B$1000,$B808,QuickLog!$O$2:$O$1000,$A808,QuickLog!$G$2:$G$1000,"&lt;&gt;Routine"))</f>
        <v/>
      </c>
      <c r="E808" s="31">
        <f>IF($C808="","",MIN($C808,Settings!$B$2))</f>
        <v/>
      </c>
      <c r="F808" s="31">
        <f>IF($C808="","",MAX(0,$C808-$E808))</f>
        <v/>
      </c>
      <c r="G808" s="31">
        <f>IF(OR($E808="",$D808=""),"", $E808+$D808)</f>
        <v/>
      </c>
      <c r="H808" s="31">
        <f>IF(OR($A808="",$B808=""),"",SUMIFS(QuickLog!$L$2:$L$1000,QuickLog!$B$2:$B$1000,$B808,QuickLog!$O$2:$O$1000,$A808))</f>
        <v/>
      </c>
      <c r="I808" s="32">
        <f>IF($H808="","",$H808)</f>
        <v/>
      </c>
    </row>
    <row r="809">
      <c r="A809" s="29" t="n"/>
      <c r="B809" s="31" t="n"/>
      <c r="C809" s="31">
        <f>IF(OR($A809="",$B809=""),"",SUMIFS(QuickLog!$K$2:$K$1000,QuickLog!$B$2:$B$1000,$B809,QuickLog!$O$2:$O$1000,$A809,QuickLog!$G$2:$G$1000,"Routine"))</f>
        <v/>
      </c>
      <c r="D809" s="31">
        <f>IF(OR($A809="",$B809=""),"",SUMIFS(QuickLog!$K$2:$K$1000,QuickLog!$B$2:$B$1000,$B809,QuickLog!$O$2:$O$1000,$A809,QuickLog!$G$2:$G$1000,"&lt;&gt;Routine"))</f>
        <v/>
      </c>
      <c r="E809" s="31">
        <f>IF($C809="","",MIN($C809,Settings!$B$2))</f>
        <v/>
      </c>
      <c r="F809" s="31">
        <f>IF($C809="","",MAX(0,$C809-$E809))</f>
        <v/>
      </c>
      <c r="G809" s="31">
        <f>IF(OR($E809="",$D809=""),"", $E809+$D809)</f>
        <v/>
      </c>
      <c r="H809" s="31">
        <f>IF(OR($A809="",$B809=""),"",SUMIFS(QuickLog!$L$2:$L$1000,QuickLog!$B$2:$B$1000,$B809,QuickLog!$O$2:$O$1000,$A809))</f>
        <v/>
      </c>
      <c r="I809" s="32">
        <f>IF($H809="","",$H809)</f>
        <v/>
      </c>
    </row>
    <row r="810">
      <c r="A810" s="29" t="n"/>
      <c r="B810" s="31" t="n"/>
      <c r="C810" s="31">
        <f>IF(OR($A810="",$B810=""),"",SUMIFS(QuickLog!$K$2:$K$1000,QuickLog!$B$2:$B$1000,$B810,QuickLog!$O$2:$O$1000,$A810,QuickLog!$G$2:$G$1000,"Routine"))</f>
        <v/>
      </c>
      <c r="D810" s="31">
        <f>IF(OR($A810="",$B810=""),"",SUMIFS(QuickLog!$K$2:$K$1000,QuickLog!$B$2:$B$1000,$B810,QuickLog!$O$2:$O$1000,$A810,QuickLog!$G$2:$G$1000,"&lt;&gt;Routine"))</f>
        <v/>
      </c>
      <c r="E810" s="31">
        <f>IF($C810="","",MIN($C810,Settings!$B$2))</f>
        <v/>
      </c>
      <c r="F810" s="31">
        <f>IF($C810="","",MAX(0,$C810-$E810))</f>
        <v/>
      </c>
      <c r="G810" s="31">
        <f>IF(OR($E810="",$D810=""),"", $E810+$D810)</f>
        <v/>
      </c>
      <c r="H810" s="31">
        <f>IF(OR($A810="",$B810=""),"",SUMIFS(QuickLog!$L$2:$L$1000,QuickLog!$B$2:$B$1000,$B810,QuickLog!$O$2:$O$1000,$A810))</f>
        <v/>
      </c>
      <c r="I810" s="32">
        <f>IF($H810="","",$H810)</f>
        <v/>
      </c>
    </row>
    <row r="811">
      <c r="A811" s="29" t="n"/>
      <c r="B811" s="31" t="n"/>
      <c r="C811" s="31">
        <f>IF(OR($A811="",$B811=""),"",SUMIFS(QuickLog!$K$2:$K$1000,QuickLog!$B$2:$B$1000,$B811,QuickLog!$O$2:$O$1000,$A811,QuickLog!$G$2:$G$1000,"Routine"))</f>
        <v/>
      </c>
      <c r="D811" s="31">
        <f>IF(OR($A811="",$B811=""),"",SUMIFS(QuickLog!$K$2:$K$1000,QuickLog!$B$2:$B$1000,$B811,QuickLog!$O$2:$O$1000,$A811,QuickLog!$G$2:$G$1000,"&lt;&gt;Routine"))</f>
        <v/>
      </c>
      <c r="E811" s="31">
        <f>IF($C811="","",MIN($C811,Settings!$B$2))</f>
        <v/>
      </c>
      <c r="F811" s="31">
        <f>IF($C811="","",MAX(0,$C811-$E811))</f>
        <v/>
      </c>
      <c r="G811" s="31">
        <f>IF(OR($E811="",$D811=""),"", $E811+$D811)</f>
        <v/>
      </c>
      <c r="H811" s="31">
        <f>IF(OR($A811="",$B811=""),"",SUMIFS(QuickLog!$L$2:$L$1000,QuickLog!$B$2:$B$1000,$B811,QuickLog!$O$2:$O$1000,$A811))</f>
        <v/>
      </c>
      <c r="I811" s="32">
        <f>IF($H811="","",$H811)</f>
        <v/>
      </c>
    </row>
    <row r="812">
      <c r="A812" s="29" t="n"/>
      <c r="B812" s="31" t="n"/>
      <c r="C812" s="31">
        <f>IF(OR($A812="",$B812=""),"",SUMIFS(QuickLog!$K$2:$K$1000,QuickLog!$B$2:$B$1000,$B812,QuickLog!$O$2:$O$1000,$A812,QuickLog!$G$2:$G$1000,"Routine"))</f>
        <v/>
      </c>
      <c r="D812" s="31">
        <f>IF(OR($A812="",$B812=""),"",SUMIFS(QuickLog!$K$2:$K$1000,QuickLog!$B$2:$B$1000,$B812,QuickLog!$O$2:$O$1000,$A812,QuickLog!$G$2:$G$1000,"&lt;&gt;Routine"))</f>
        <v/>
      </c>
      <c r="E812" s="31">
        <f>IF($C812="","",MIN($C812,Settings!$B$2))</f>
        <v/>
      </c>
      <c r="F812" s="31">
        <f>IF($C812="","",MAX(0,$C812-$E812))</f>
        <v/>
      </c>
      <c r="G812" s="31">
        <f>IF(OR($E812="",$D812=""),"", $E812+$D812)</f>
        <v/>
      </c>
      <c r="H812" s="31">
        <f>IF(OR($A812="",$B812=""),"",SUMIFS(QuickLog!$L$2:$L$1000,QuickLog!$B$2:$B$1000,$B812,QuickLog!$O$2:$O$1000,$A812))</f>
        <v/>
      </c>
      <c r="I812" s="32">
        <f>IF($H812="","",$H812)</f>
        <v/>
      </c>
    </row>
    <row r="813">
      <c r="A813" s="29" t="n"/>
      <c r="B813" s="31" t="n"/>
      <c r="C813" s="31">
        <f>IF(OR($A813="",$B813=""),"",SUMIFS(QuickLog!$K$2:$K$1000,QuickLog!$B$2:$B$1000,$B813,QuickLog!$O$2:$O$1000,$A813,QuickLog!$G$2:$G$1000,"Routine"))</f>
        <v/>
      </c>
      <c r="D813" s="31">
        <f>IF(OR($A813="",$B813=""),"",SUMIFS(QuickLog!$K$2:$K$1000,QuickLog!$B$2:$B$1000,$B813,QuickLog!$O$2:$O$1000,$A813,QuickLog!$G$2:$G$1000,"&lt;&gt;Routine"))</f>
        <v/>
      </c>
      <c r="E813" s="31">
        <f>IF($C813="","",MIN($C813,Settings!$B$2))</f>
        <v/>
      </c>
      <c r="F813" s="31">
        <f>IF($C813="","",MAX(0,$C813-$E813))</f>
        <v/>
      </c>
      <c r="G813" s="31">
        <f>IF(OR($E813="",$D813=""),"", $E813+$D813)</f>
        <v/>
      </c>
      <c r="H813" s="31">
        <f>IF(OR($A813="",$B813=""),"",SUMIFS(QuickLog!$L$2:$L$1000,QuickLog!$B$2:$B$1000,$B813,QuickLog!$O$2:$O$1000,$A813))</f>
        <v/>
      </c>
      <c r="I813" s="32">
        <f>IF($H813="","",$H813)</f>
        <v/>
      </c>
    </row>
    <row r="814">
      <c r="A814" s="29" t="n"/>
      <c r="B814" s="31" t="n"/>
      <c r="C814" s="31">
        <f>IF(OR($A814="",$B814=""),"",SUMIFS(QuickLog!$K$2:$K$1000,QuickLog!$B$2:$B$1000,$B814,QuickLog!$O$2:$O$1000,$A814,QuickLog!$G$2:$G$1000,"Routine"))</f>
        <v/>
      </c>
      <c r="D814" s="31">
        <f>IF(OR($A814="",$B814=""),"",SUMIFS(QuickLog!$K$2:$K$1000,QuickLog!$B$2:$B$1000,$B814,QuickLog!$O$2:$O$1000,$A814,QuickLog!$G$2:$G$1000,"&lt;&gt;Routine"))</f>
        <v/>
      </c>
      <c r="E814" s="31">
        <f>IF($C814="","",MIN($C814,Settings!$B$2))</f>
        <v/>
      </c>
      <c r="F814" s="31">
        <f>IF($C814="","",MAX(0,$C814-$E814))</f>
        <v/>
      </c>
      <c r="G814" s="31">
        <f>IF(OR($E814="",$D814=""),"", $E814+$D814)</f>
        <v/>
      </c>
      <c r="H814" s="31">
        <f>IF(OR($A814="",$B814=""),"",SUMIFS(QuickLog!$L$2:$L$1000,QuickLog!$B$2:$B$1000,$B814,QuickLog!$O$2:$O$1000,$A814))</f>
        <v/>
      </c>
      <c r="I814" s="32">
        <f>IF($H814="","",$H814)</f>
        <v/>
      </c>
    </row>
    <row r="815">
      <c r="A815" s="29" t="n"/>
      <c r="B815" s="31" t="n"/>
      <c r="C815" s="31">
        <f>IF(OR($A815="",$B815=""),"",SUMIFS(QuickLog!$K$2:$K$1000,QuickLog!$B$2:$B$1000,$B815,QuickLog!$O$2:$O$1000,$A815,QuickLog!$G$2:$G$1000,"Routine"))</f>
        <v/>
      </c>
      <c r="D815" s="31">
        <f>IF(OR($A815="",$B815=""),"",SUMIFS(QuickLog!$K$2:$K$1000,QuickLog!$B$2:$B$1000,$B815,QuickLog!$O$2:$O$1000,$A815,QuickLog!$G$2:$G$1000,"&lt;&gt;Routine"))</f>
        <v/>
      </c>
      <c r="E815" s="31">
        <f>IF($C815="","",MIN($C815,Settings!$B$2))</f>
        <v/>
      </c>
      <c r="F815" s="31">
        <f>IF($C815="","",MAX(0,$C815-$E815))</f>
        <v/>
      </c>
      <c r="G815" s="31">
        <f>IF(OR($E815="",$D815=""),"", $E815+$D815)</f>
        <v/>
      </c>
      <c r="H815" s="31">
        <f>IF(OR($A815="",$B815=""),"",SUMIFS(QuickLog!$L$2:$L$1000,QuickLog!$B$2:$B$1000,$B815,QuickLog!$O$2:$O$1000,$A815))</f>
        <v/>
      </c>
      <c r="I815" s="32">
        <f>IF($H815="","",$H815)</f>
        <v/>
      </c>
    </row>
    <row r="816">
      <c r="A816" s="29" t="n"/>
      <c r="B816" s="31" t="n"/>
      <c r="C816" s="31">
        <f>IF(OR($A816="",$B816=""),"",SUMIFS(QuickLog!$K$2:$K$1000,QuickLog!$B$2:$B$1000,$B816,QuickLog!$O$2:$O$1000,$A816,QuickLog!$G$2:$G$1000,"Routine"))</f>
        <v/>
      </c>
      <c r="D816" s="31">
        <f>IF(OR($A816="",$B816=""),"",SUMIFS(QuickLog!$K$2:$K$1000,QuickLog!$B$2:$B$1000,$B816,QuickLog!$O$2:$O$1000,$A816,QuickLog!$G$2:$G$1000,"&lt;&gt;Routine"))</f>
        <v/>
      </c>
      <c r="E816" s="31">
        <f>IF($C816="","",MIN($C816,Settings!$B$2))</f>
        <v/>
      </c>
      <c r="F816" s="31">
        <f>IF($C816="","",MAX(0,$C816-$E816))</f>
        <v/>
      </c>
      <c r="G816" s="31">
        <f>IF(OR($E816="",$D816=""),"", $E816+$D816)</f>
        <v/>
      </c>
      <c r="H816" s="31">
        <f>IF(OR($A816="",$B816=""),"",SUMIFS(QuickLog!$L$2:$L$1000,QuickLog!$B$2:$B$1000,$B816,QuickLog!$O$2:$O$1000,$A816))</f>
        <v/>
      </c>
      <c r="I816" s="32">
        <f>IF($H816="","",$H816)</f>
        <v/>
      </c>
    </row>
    <row r="817">
      <c r="A817" s="29" t="n"/>
      <c r="B817" s="31" t="n"/>
      <c r="C817" s="31">
        <f>IF(OR($A817="",$B817=""),"",SUMIFS(QuickLog!$K$2:$K$1000,QuickLog!$B$2:$B$1000,$B817,QuickLog!$O$2:$O$1000,$A817,QuickLog!$G$2:$G$1000,"Routine"))</f>
        <v/>
      </c>
      <c r="D817" s="31">
        <f>IF(OR($A817="",$B817=""),"",SUMIFS(QuickLog!$K$2:$K$1000,QuickLog!$B$2:$B$1000,$B817,QuickLog!$O$2:$O$1000,$A817,QuickLog!$G$2:$G$1000,"&lt;&gt;Routine"))</f>
        <v/>
      </c>
      <c r="E817" s="31">
        <f>IF($C817="","",MIN($C817,Settings!$B$2))</f>
        <v/>
      </c>
      <c r="F817" s="31">
        <f>IF($C817="","",MAX(0,$C817-$E817))</f>
        <v/>
      </c>
      <c r="G817" s="31">
        <f>IF(OR($E817="",$D817=""),"", $E817+$D817)</f>
        <v/>
      </c>
      <c r="H817" s="31">
        <f>IF(OR($A817="",$B817=""),"",SUMIFS(QuickLog!$L$2:$L$1000,QuickLog!$B$2:$B$1000,$B817,QuickLog!$O$2:$O$1000,$A817))</f>
        <v/>
      </c>
      <c r="I817" s="32">
        <f>IF($H817="","",$H817)</f>
        <v/>
      </c>
    </row>
    <row r="818">
      <c r="A818" s="29" t="n"/>
      <c r="B818" s="31" t="n"/>
      <c r="C818" s="31">
        <f>IF(OR($A818="",$B818=""),"",SUMIFS(QuickLog!$K$2:$K$1000,QuickLog!$B$2:$B$1000,$B818,QuickLog!$O$2:$O$1000,$A818,QuickLog!$G$2:$G$1000,"Routine"))</f>
        <v/>
      </c>
      <c r="D818" s="31">
        <f>IF(OR($A818="",$B818=""),"",SUMIFS(QuickLog!$K$2:$K$1000,QuickLog!$B$2:$B$1000,$B818,QuickLog!$O$2:$O$1000,$A818,QuickLog!$G$2:$G$1000,"&lt;&gt;Routine"))</f>
        <v/>
      </c>
      <c r="E818" s="31">
        <f>IF($C818="","",MIN($C818,Settings!$B$2))</f>
        <v/>
      </c>
      <c r="F818" s="31">
        <f>IF($C818="","",MAX(0,$C818-$E818))</f>
        <v/>
      </c>
      <c r="G818" s="31">
        <f>IF(OR($E818="",$D818=""),"", $E818+$D818)</f>
        <v/>
      </c>
      <c r="H818" s="31">
        <f>IF(OR($A818="",$B818=""),"",SUMIFS(QuickLog!$L$2:$L$1000,QuickLog!$B$2:$B$1000,$B818,QuickLog!$O$2:$O$1000,$A818))</f>
        <v/>
      </c>
      <c r="I818" s="32">
        <f>IF($H818="","",$H818)</f>
        <v/>
      </c>
    </row>
    <row r="819">
      <c r="A819" s="29" t="n"/>
      <c r="B819" s="31" t="n"/>
      <c r="C819" s="31">
        <f>IF(OR($A819="",$B819=""),"",SUMIFS(QuickLog!$K$2:$K$1000,QuickLog!$B$2:$B$1000,$B819,QuickLog!$O$2:$O$1000,$A819,QuickLog!$G$2:$G$1000,"Routine"))</f>
        <v/>
      </c>
      <c r="D819" s="31">
        <f>IF(OR($A819="",$B819=""),"",SUMIFS(QuickLog!$K$2:$K$1000,QuickLog!$B$2:$B$1000,$B819,QuickLog!$O$2:$O$1000,$A819,QuickLog!$G$2:$G$1000,"&lt;&gt;Routine"))</f>
        <v/>
      </c>
      <c r="E819" s="31">
        <f>IF($C819="","",MIN($C819,Settings!$B$2))</f>
        <v/>
      </c>
      <c r="F819" s="31">
        <f>IF($C819="","",MAX(0,$C819-$E819))</f>
        <v/>
      </c>
      <c r="G819" s="31">
        <f>IF(OR($E819="",$D819=""),"", $E819+$D819)</f>
        <v/>
      </c>
      <c r="H819" s="31">
        <f>IF(OR($A819="",$B819=""),"",SUMIFS(QuickLog!$L$2:$L$1000,QuickLog!$B$2:$B$1000,$B819,QuickLog!$O$2:$O$1000,$A819))</f>
        <v/>
      </c>
      <c r="I819" s="32">
        <f>IF($H819="","",$H819)</f>
        <v/>
      </c>
    </row>
    <row r="820">
      <c r="A820" s="29" t="n"/>
      <c r="B820" s="31" t="n"/>
      <c r="C820" s="31">
        <f>IF(OR($A820="",$B820=""),"",SUMIFS(QuickLog!$K$2:$K$1000,QuickLog!$B$2:$B$1000,$B820,QuickLog!$O$2:$O$1000,$A820,QuickLog!$G$2:$G$1000,"Routine"))</f>
        <v/>
      </c>
      <c r="D820" s="31">
        <f>IF(OR($A820="",$B820=""),"",SUMIFS(QuickLog!$K$2:$K$1000,QuickLog!$B$2:$B$1000,$B820,QuickLog!$O$2:$O$1000,$A820,QuickLog!$G$2:$G$1000,"&lt;&gt;Routine"))</f>
        <v/>
      </c>
      <c r="E820" s="31">
        <f>IF($C820="","",MIN($C820,Settings!$B$2))</f>
        <v/>
      </c>
      <c r="F820" s="31">
        <f>IF($C820="","",MAX(0,$C820-$E820))</f>
        <v/>
      </c>
      <c r="G820" s="31">
        <f>IF(OR($E820="",$D820=""),"", $E820+$D820)</f>
        <v/>
      </c>
      <c r="H820" s="31">
        <f>IF(OR($A820="",$B820=""),"",SUMIFS(QuickLog!$L$2:$L$1000,QuickLog!$B$2:$B$1000,$B820,QuickLog!$O$2:$O$1000,$A820))</f>
        <v/>
      </c>
      <c r="I820" s="32">
        <f>IF($H820="","",$H820)</f>
        <v/>
      </c>
    </row>
    <row r="821">
      <c r="A821" s="29" t="n"/>
      <c r="B821" s="31" t="n"/>
      <c r="C821" s="31">
        <f>IF(OR($A821="",$B821=""),"",SUMIFS(QuickLog!$K$2:$K$1000,QuickLog!$B$2:$B$1000,$B821,QuickLog!$O$2:$O$1000,$A821,QuickLog!$G$2:$G$1000,"Routine"))</f>
        <v/>
      </c>
      <c r="D821" s="31">
        <f>IF(OR($A821="",$B821=""),"",SUMIFS(QuickLog!$K$2:$K$1000,QuickLog!$B$2:$B$1000,$B821,QuickLog!$O$2:$O$1000,$A821,QuickLog!$G$2:$G$1000,"&lt;&gt;Routine"))</f>
        <v/>
      </c>
      <c r="E821" s="31">
        <f>IF($C821="","",MIN($C821,Settings!$B$2))</f>
        <v/>
      </c>
      <c r="F821" s="31">
        <f>IF($C821="","",MAX(0,$C821-$E821))</f>
        <v/>
      </c>
      <c r="G821" s="31">
        <f>IF(OR($E821="",$D821=""),"", $E821+$D821)</f>
        <v/>
      </c>
      <c r="H821" s="31">
        <f>IF(OR($A821="",$B821=""),"",SUMIFS(QuickLog!$L$2:$L$1000,QuickLog!$B$2:$B$1000,$B821,QuickLog!$O$2:$O$1000,$A821))</f>
        <v/>
      </c>
      <c r="I821" s="32">
        <f>IF($H821="","",$H821)</f>
        <v/>
      </c>
    </row>
    <row r="822">
      <c r="A822" s="29" t="n"/>
      <c r="B822" s="31" t="n"/>
      <c r="C822" s="31">
        <f>IF(OR($A822="",$B822=""),"",SUMIFS(QuickLog!$K$2:$K$1000,QuickLog!$B$2:$B$1000,$B822,QuickLog!$O$2:$O$1000,$A822,QuickLog!$G$2:$G$1000,"Routine"))</f>
        <v/>
      </c>
      <c r="D822" s="31">
        <f>IF(OR($A822="",$B822=""),"",SUMIFS(QuickLog!$K$2:$K$1000,QuickLog!$B$2:$B$1000,$B822,QuickLog!$O$2:$O$1000,$A822,QuickLog!$G$2:$G$1000,"&lt;&gt;Routine"))</f>
        <v/>
      </c>
      <c r="E822" s="31">
        <f>IF($C822="","",MIN($C822,Settings!$B$2))</f>
        <v/>
      </c>
      <c r="F822" s="31">
        <f>IF($C822="","",MAX(0,$C822-$E822))</f>
        <v/>
      </c>
      <c r="G822" s="31">
        <f>IF(OR($E822="",$D822=""),"", $E822+$D822)</f>
        <v/>
      </c>
      <c r="H822" s="31">
        <f>IF(OR($A822="",$B822=""),"",SUMIFS(QuickLog!$L$2:$L$1000,QuickLog!$B$2:$B$1000,$B822,QuickLog!$O$2:$O$1000,$A822))</f>
        <v/>
      </c>
      <c r="I822" s="32">
        <f>IF($H822="","",$H822)</f>
        <v/>
      </c>
    </row>
    <row r="823">
      <c r="A823" s="29" t="n"/>
      <c r="B823" s="31" t="n"/>
      <c r="C823" s="31">
        <f>IF(OR($A823="",$B823=""),"",SUMIFS(QuickLog!$K$2:$K$1000,QuickLog!$B$2:$B$1000,$B823,QuickLog!$O$2:$O$1000,$A823,QuickLog!$G$2:$G$1000,"Routine"))</f>
        <v/>
      </c>
      <c r="D823" s="31">
        <f>IF(OR($A823="",$B823=""),"",SUMIFS(QuickLog!$K$2:$K$1000,QuickLog!$B$2:$B$1000,$B823,QuickLog!$O$2:$O$1000,$A823,QuickLog!$G$2:$G$1000,"&lt;&gt;Routine"))</f>
        <v/>
      </c>
      <c r="E823" s="31">
        <f>IF($C823="","",MIN($C823,Settings!$B$2))</f>
        <v/>
      </c>
      <c r="F823" s="31">
        <f>IF($C823="","",MAX(0,$C823-$E823))</f>
        <v/>
      </c>
      <c r="G823" s="31">
        <f>IF(OR($E823="",$D823=""),"", $E823+$D823)</f>
        <v/>
      </c>
      <c r="H823" s="31">
        <f>IF(OR($A823="",$B823=""),"",SUMIFS(QuickLog!$L$2:$L$1000,QuickLog!$B$2:$B$1000,$B823,QuickLog!$O$2:$O$1000,$A823))</f>
        <v/>
      </c>
      <c r="I823" s="32">
        <f>IF($H823="","",$H823)</f>
        <v/>
      </c>
    </row>
    <row r="824">
      <c r="A824" s="29" t="n"/>
      <c r="B824" s="31" t="n"/>
      <c r="C824" s="31">
        <f>IF(OR($A824="",$B824=""),"",SUMIFS(QuickLog!$K$2:$K$1000,QuickLog!$B$2:$B$1000,$B824,QuickLog!$O$2:$O$1000,$A824,QuickLog!$G$2:$G$1000,"Routine"))</f>
        <v/>
      </c>
      <c r="D824" s="31">
        <f>IF(OR($A824="",$B824=""),"",SUMIFS(QuickLog!$K$2:$K$1000,QuickLog!$B$2:$B$1000,$B824,QuickLog!$O$2:$O$1000,$A824,QuickLog!$G$2:$G$1000,"&lt;&gt;Routine"))</f>
        <v/>
      </c>
      <c r="E824" s="31">
        <f>IF($C824="","",MIN($C824,Settings!$B$2))</f>
        <v/>
      </c>
      <c r="F824" s="31">
        <f>IF($C824="","",MAX(0,$C824-$E824))</f>
        <v/>
      </c>
      <c r="G824" s="31">
        <f>IF(OR($E824="",$D824=""),"", $E824+$D824)</f>
        <v/>
      </c>
      <c r="H824" s="31">
        <f>IF(OR($A824="",$B824=""),"",SUMIFS(QuickLog!$L$2:$L$1000,QuickLog!$B$2:$B$1000,$B824,QuickLog!$O$2:$O$1000,$A824))</f>
        <v/>
      </c>
      <c r="I824" s="32">
        <f>IF($H824="","",$H824)</f>
        <v/>
      </c>
    </row>
    <row r="825">
      <c r="A825" s="29" t="n"/>
      <c r="B825" s="31" t="n"/>
      <c r="C825" s="31">
        <f>IF(OR($A825="",$B825=""),"",SUMIFS(QuickLog!$K$2:$K$1000,QuickLog!$B$2:$B$1000,$B825,QuickLog!$O$2:$O$1000,$A825,QuickLog!$G$2:$G$1000,"Routine"))</f>
        <v/>
      </c>
      <c r="D825" s="31">
        <f>IF(OR($A825="",$B825=""),"",SUMIFS(QuickLog!$K$2:$K$1000,QuickLog!$B$2:$B$1000,$B825,QuickLog!$O$2:$O$1000,$A825,QuickLog!$G$2:$G$1000,"&lt;&gt;Routine"))</f>
        <v/>
      </c>
      <c r="E825" s="31">
        <f>IF($C825="","",MIN($C825,Settings!$B$2))</f>
        <v/>
      </c>
      <c r="F825" s="31">
        <f>IF($C825="","",MAX(0,$C825-$E825))</f>
        <v/>
      </c>
      <c r="G825" s="31">
        <f>IF(OR($E825="",$D825=""),"", $E825+$D825)</f>
        <v/>
      </c>
      <c r="H825" s="31">
        <f>IF(OR($A825="",$B825=""),"",SUMIFS(QuickLog!$L$2:$L$1000,QuickLog!$B$2:$B$1000,$B825,QuickLog!$O$2:$O$1000,$A825))</f>
        <v/>
      </c>
      <c r="I825" s="32">
        <f>IF($H825="","",$H825)</f>
        <v/>
      </c>
    </row>
    <row r="826">
      <c r="A826" s="29" t="n"/>
      <c r="B826" s="31" t="n"/>
      <c r="C826" s="31">
        <f>IF(OR($A826="",$B826=""),"",SUMIFS(QuickLog!$K$2:$K$1000,QuickLog!$B$2:$B$1000,$B826,QuickLog!$O$2:$O$1000,$A826,QuickLog!$G$2:$G$1000,"Routine"))</f>
        <v/>
      </c>
      <c r="D826" s="31">
        <f>IF(OR($A826="",$B826=""),"",SUMIFS(QuickLog!$K$2:$K$1000,QuickLog!$B$2:$B$1000,$B826,QuickLog!$O$2:$O$1000,$A826,QuickLog!$G$2:$G$1000,"&lt;&gt;Routine"))</f>
        <v/>
      </c>
      <c r="E826" s="31">
        <f>IF($C826="","",MIN($C826,Settings!$B$2))</f>
        <v/>
      </c>
      <c r="F826" s="31">
        <f>IF($C826="","",MAX(0,$C826-$E826))</f>
        <v/>
      </c>
      <c r="G826" s="31">
        <f>IF(OR($E826="",$D826=""),"", $E826+$D826)</f>
        <v/>
      </c>
      <c r="H826" s="31">
        <f>IF(OR($A826="",$B826=""),"",SUMIFS(QuickLog!$L$2:$L$1000,QuickLog!$B$2:$B$1000,$B826,QuickLog!$O$2:$O$1000,$A826))</f>
        <v/>
      </c>
      <c r="I826" s="32">
        <f>IF($H826="","",$H826)</f>
        <v/>
      </c>
    </row>
    <row r="827">
      <c r="A827" s="29" t="n"/>
      <c r="B827" s="31" t="n"/>
      <c r="C827" s="31">
        <f>IF(OR($A827="",$B827=""),"",SUMIFS(QuickLog!$K$2:$K$1000,QuickLog!$B$2:$B$1000,$B827,QuickLog!$O$2:$O$1000,$A827,QuickLog!$G$2:$G$1000,"Routine"))</f>
        <v/>
      </c>
      <c r="D827" s="31">
        <f>IF(OR($A827="",$B827=""),"",SUMIFS(QuickLog!$K$2:$K$1000,QuickLog!$B$2:$B$1000,$B827,QuickLog!$O$2:$O$1000,$A827,QuickLog!$G$2:$G$1000,"&lt;&gt;Routine"))</f>
        <v/>
      </c>
      <c r="E827" s="31">
        <f>IF($C827="","",MIN($C827,Settings!$B$2))</f>
        <v/>
      </c>
      <c r="F827" s="31">
        <f>IF($C827="","",MAX(0,$C827-$E827))</f>
        <v/>
      </c>
      <c r="G827" s="31">
        <f>IF(OR($E827="",$D827=""),"", $E827+$D827)</f>
        <v/>
      </c>
      <c r="H827" s="31">
        <f>IF(OR($A827="",$B827=""),"",SUMIFS(QuickLog!$L$2:$L$1000,QuickLog!$B$2:$B$1000,$B827,QuickLog!$O$2:$O$1000,$A827))</f>
        <v/>
      </c>
      <c r="I827" s="32">
        <f>IF($H827="","",$H827)</f>
        <v/>
      </c>
    </row>
    <row r="828">
      <c r="A828" s="29" t="n"/>
      <c r="B828" s="31" t="n"/>
      <c r="C828" s="31">
        <f>IF(OR($A828="",$B828=""),"",SUMIFS(QuickLog!$K$2:$K$1000,QuickLog!$B$2:$B$1000,$B828,QuickLog!$O$2:$O$1000,$A828,QuickLog!$G$2:$G$1000,"Routine"))</f>
        <v/>
      </c>
      <c r="D828" s="31">
        <f>IF(OR($A828="",$B828=""),"",SUMIFS(QuickLog!$K$2:$K$1000,QuickLog!$B$2:$B$1000,$B828,QuickLog!$O$2:$O$1000,$A828,QuickLog!$G$2:$G$1000,"&lt;&gt;Routine"))</f>
        <v/>
      </c>
      <c r="E828" s="31">
        <f>IF($C828="","",MIN($C828,Settings!$B$2))</f>
        <v/>
      </c>
      <c r="F828" s="31">
        <f>IF($C828="","",MAX(0,$C828-$E828))</f>
        <v/>
      </c>
      <c r="G828" s="31">
        <f>IF(OR($E828="",$D828=""),"", $E828+$D828)</f>
        <v/>
      </c>
      <c r="H828" s="31">
        <f>IF(OR($A828="",$B828=""),"",SUMIFS(QuickLog!$L$2:$L$1000,QuickLog!$B$2:$B$1000,$B828,QuickLog!$O$2:$O$1000,$A828))</f>
        <v/>
      </c>
      <c r="I828" s="32">
        <f>IF($H828="","",$H828)</f>
        <v/>
      </c>
    </row>
    <row r="829">
      <c r="A829" s="29" t="n"/>
      <c r="B829" s="31" t="n"/>
      <c r="C829" s="31">
        <f>IF(OR($A829="",$B829=""),"",SUMIFS(QuickLog!$K$2:$K$1000,QuickLog!$B$2:$B$1000,$B829,QuickLog!$O$2:$O$1000,$A829,QuickLog!$G$2:$G$1000,"Routine"))</f>
        <v/>
      </c>
      <c r="D829" s="31">
        <f>IF(OR($A829="",$B829=""),"",SUMIFS(QuickLog!$K$2:$K$1000,QuickLog!$B$2:$B$1000,$B829,QuickLog!$O$2:$O$1000,$A829,QuickLog!$G$2:$G$1000,"&lt;&gt;Routine"))</f>
        <v/>
      </c>
      <c r="E829" s="31">
        <f>IF($C829="","",MIN($C829,Settings!$B$2))</f>
        <v/>
      </c>
      <c r="F829" s="31">
        <f>IF($C829="","",MAX(0,$C829-$E829))</f>
        <v/>
      </c>
      <c r="G829" s="31">
        <f>IF(OR($E829="",$D829=""),"", $E829+$D829)</f>
        <v/>
      </c>
      <c r="H829" s="31">
        <f>IF(OR($A829="",$B829=""),"",SUMIFS(QuickLog!$L$2:$L$1000,QuickLog!$B$2:$B$1000,$B829,QuickLog!$O$2:$O$1000,$A829))</f>
        <v/>
      </c>
      <c r="I829" s="32">
        <f>IF($H829="","",$H829)</f>
        <v/>
      </c>
    </row>
    <row r="830">
      <c r="A830" s="29" t="n"/>
      <c r="B830" s="31" t="n"/>
      <c r="C830" s="31">
        <f>IF(OR($A830="",$B830=""),"",SUMIFS(QuickLog!$K$2:$K$1000,QuickLog!$B$2:$B$1000,$B830,QuickLog!$O$2:$O$1000,$A830,QuickLog!$G$2:$G$1000,"Routine"))</f>
        <v/>
      </c>
      <c r="D830" s="31">
        <f>IF(OR($A830="",$B830=""),"",SUMIFS(QuickLog!$K$2:$K$1000,QuickLog!$B$2:$B$1000,$B830,QuickLog!$O$2:$O$1000,$A830,QuickLog!$G$2:$G$1000,"&lt;&gt;Routine"))</f>
        <v/>
      </c>
      <c r="E830" s="31">
        <f>IF($C830="","",MIN($C830,Settings!$B$2))</f>
        <v/>
      </c>
      <c r="F830" s="31">
        <f>IF($C830="","",MAX(0,$C830-$E830))</f>
        <v/>
      </c>
      <c r="G830" s="31">
        <f>IF(OR($E830="",$D830=""),"", $E830+$D830)</f>
        <v/>
      </c>
      <c r="H830" s="31">
        <f>IF(OR($A830="",$B830=""),"",SUMIFS(QuickLog!$L$2:$L$1000,QuickLog!$B$2:$B$1000,$B830,QuickLog!$O$2:$O$1000,$A830))</f>
        <v/>
      </c>
      <c r="I830" s="32">
        <f>IF($H830="","",$H830)</f>
        <v/>
      </c>
    </row>
    <row r="831">
      <c r="A831" s="29" t="n"/>
      <c r="B831" s="31" t="n"/>
      <c r="C831" s="31">
        <f>IF(OR($A831="",$B831=""),"",SUMIFS(QuickLog!$K$2:$K$1000,QuickLog!$B$2:$B$1000,$B831,QuickLog!$O$2:$O$1000,$A831,QuickLog!$G$2:$G$1000,"Routine"))</f>
        <v/>
      </c>
      <c r="D831" s="31">
        <f>IF(OR($A831="",$B831=""),"",SUMIFS(QuickLog!$K$2:$K$1000,QuickLog!$B$2:$B$1000,$B831,QuickLog!$O$2:$O$1000,$A831,QuickLog!$G$2:$G$1000,"&lt;&gt;Routine"))</f>
        <v/>
      </c>
      <c r="E831" s="31">
        <f>IF($C831="","",MIN($C831,Settings!$B$2))</f>
        <v/>
      </c>
      <c r="F831" s="31">
        <f>IF($C831="","",MAX(0,$C831-$E831))</f>
        <v/>
      </c>
      <c r="G831" s="31">
        <f>IF(OR($E831="",$D831=""),"", $E831+$D831)</f>
        <v/>
      </c>
      <c r="H831" s="31">
        <f>IF(OR($A831="",$B831=""),"",SUMIFS(QuickLog!$L$2:$L$1000,QuickLog!$B$2:$B$1000,$B831,QuickLog!$O$2:$O$1000,$A831))</f>
        <v/>
      </c>
      <c r="I831" s="32">
        <f>IF($H831="","",$H831)</f>
        <v/>
      </c>
    </row>
    <row r="832">
      <c r="A832" s="29" t="n"/>
      <c r="B832" s="31" t="n"/>
      <c r="C832" s="31">
        <f>IF(OR($A832="",$B832=""),"",SUMIFS(QuickLog!$K$2:$K$1000,QuickLog!$B$2:$B$1000,$B832,QuickLog!$O$2:$O$1000,$A832,QuickLog!$G$2:$G$1000,"Routine"))</f>
        <v/>
      </c>
      <c r="D832" s="31">
        <f>IF(OR($A832="",$B832=""),"",SUMIFS(QuickLog!$K$2:$K$1000,QuickLog!$B$2:$B$1000,$B832,QuickLog!$O$2:$O$1000,$A832,QuickLog!$G$2:$G$1000,"&lt;&gt;Routine"))</f>
        <v/>
      </c>
      <c r="E832" s="31">
        <f>IF($C832="","",MIN($C832,Settings!$B$2))</f>
        <v/>
      </c>
      <c r="F832" s="31">
        <f>IF($C832="","",MAX(0,$C832-$E832))</f>
        <v/>
      </c>
      <c r="G832" s="31">
        <f>IF(OR($E832="",$D832=""),"", $E832+$D832)</f>
        <v/>
      </c>
      <c r="H832" s="31">
        <f>IF(OR($A832="",$B832=""),"",SUMIFS(QuickLog!$L$2:$L$1000,QuickLog!$B$2:$B$1000,$B832,QuickLog!$O$2:$O$1000,$A832))</f>
        <v/>
      </c>
      <c r="I832" s="32">
        <f>IF($H832="","",$H832)</f>
        <v/>
      </c>
    </row>
    <row r="833">
      <c r="A833" s="29" t="n"/>
      <c r="B833" s="31" t="n"/>
      <c r="C833" s="31">
        <f>IF(OR($A833="",$B833=""),"",SUMIFS(QuickLog!$K$2:$K$1000,QuickLog!$B$2:$B$1000,$B833,QuickLog!$O$2:$O$1000,$A833,QuickLog!$G$2:$G$1000,"Routine"))</f>
        <v/>
      </c>
      <c r="D833" s="31">
        <f>IF(OR($A833="",$B833=""),"",SUMIFS(QuickLog!$K$2:$K$1000,QuickLog!$B$2:$B$1000,$B833,QuickLog!$O$2:$O$1000,$A833,QuickLog!$G$2:$G$1000,"&lt;&gt;Routine"))</f>
        <v/>
      </c>
      <c r="E833" s="31">
        <f>IF($C833="","",MIN($C833,Settings!$B$2))</f>
        <v/>
      </c>
      <c r="F833" s="31">
        <f>IF($C833="","",MAX(0,$C833-$E833))</f>
        <v/>
      </c>
      <c r="G833" s="31">
        <f>IF(OR($E833="",$D833=""),"", $E833+$D833)</f>
        <v/>
      </c>
      <c r="H833" s="31">
        <f>IF(OR($A833="",$B833=""),"",SUMIFS(QuickLog!$L$2:$L$1000,QuickLog!$B$2:$B$1000,$B833,QuickLog!$O$2:$O$1000,$A833))</f>
        <v/>
      </c>
      <c r="I833" s="32">
        <f>IF($H833="","",$H833)</f>
        <v/>
      </c>
    </row>
    <row r="834">
      <c r="A834" s="29" t="n"/>
      <c r="B834" s="31" t="n"/>
      <c r="C834" s="31">
        <f>IF(OR($A834="",$B834=""),"",SUMIFS(QuickLog!$K$2:$K$1000,QuickLog!$B$2:$B$1000,$B834,QuickLog!$O$2:$O$1000,$A834,QuickLog!$G$2:$G$1000,"Routine"))</f>
        <v/>
      </c>
      <c r="D834" s="31">
        <f>IF(OR($A834="",$B834=""),"",SUMIFS(QuickLog!$K$2:$K$1000,QuickLog!$B$2:$B$1000,$B834,QuickLog!$O$2:$O$1000,$A834,QuickLog!$G$2:$G$1000,"&lt;&gt;Routine"))</f>
        <v/>
      </c>
      <c r="E834" s="31">
        <f>IF($C834="","",MIN($C834,Settings!$B$2))</f>
        <v/>
      </c>
      <c r="F834" s="31">
        <f>IF($C834="","",MAX(0,$C834-$E834))</f>
        <v/>
      </c>
      <c r="G834" s="31">
        <f>IF(OR($E834="",$D834=""),"", $E834+$D834)</f>
        <v/>
      </c>
      <c r="H834" s="31">
        <f>IF(OR($A834="",$B834=""),"",SUMIFS(QuickLog!$L$2:$L$1000,QuickLog!$B$2:$B$1000,$B834,QuickLog!$O$2:$O$1000,$A834))</f>
        <v/>
      </c>
      <c r="I834" s="32">
        <f>IF($H834="","",$H834)</f>
        <v/>
      </c>
    </row>
    <row r="835">
      <c r="A835" s="29" t="n"/>
      <c r="B835" s="31" t="n"/>
      <c r="C835" s="31">
        <f>IF(OR($A835="",$B835=""),"",SUMIFS(QuickLog!$K$2:$K$1000,QuickLog!$B$2:$B$1000,$B835,QuickLog!$O$2:$O$1000,$A835,QuickLog!$G$2:$G$1000,"Routine"))</f>
        <v/>
      </c>
      <c r="D835" s="31">
        <f>IF(OR($A835="",$B835=""),"",SUMIFS(QuickLog!$K$2:$K$1000,QuickLog!$B$2:$B$1000,$B835,QuickLog!$O$2:$O$1000,$A835,QuickLog!$G$2:$G$1000,"&lt;&gt;Routine"))</f>
        <v/>
      </c>
      <c r="E835" s="31">
        <f>IF($C835="","",MIN($C835,Settings!$B$2))</f>
        <v/>
      </c>
      <c r="F835" s="31">
        <f>IF($C835="","",MAX(0,$C835-$E835))</f>
        <v/>
      </c>
      <c r="G835" s="31">
        <f>IF(OR($E835="",$D835=""),"", $E835+$D835)</f>
        <v/>
      </c>
      <c r="H835" s="31">
        <f>IF(OR($A835="",$B835=""),"",SUMIFS(QuickLog!$L$2:$L$1000,QuickLog!$B$2:$B$1000,$B835,QuickLog!$O$2:$O$1000,$A835))</f>
        <v/>
      </c>
      <c r="I835" s="32">
        <f>IF($H835="","",$H835)</f>
        <v/>
      </c>
    </row>
    <row r="836">
      <c r="A836" s="29" t="n"/>
      <c r="B836" s="31" t="n"/>
      <c r="C836" s="31">
        <f>IF(OR($A836="",$B836=""),"",SUMIFS(QuickLog!$K$2:$K$1000,QuickLog!$B$2:$B$1000,$B836,QuickLog!$O$2:$O$1000,$A836,QuickLog!$G$2:$G$1000,"Routine"))</f>
        <v/>
      </c>
      <c r="D836" s="31">
        <f>IF(OR($A836="",$B836=""),"",SUMIFS(QuickLog!$K$2:$K$1000,QuickLog!$B$2:$B$1000,$B836,QuickLog!$O$2:$O$1000,$A836,QuickLog!$G$2:$G$1000,"&lt;&gt;Routine"))</f>
        <v/>
      </c>
      <c r="E836" s="31">
        <f>IF($C836="","",MIN($C836,Settings!$B$2))</f>
        <v/>
      </c>
      <c r="F836" s="31">
        <f>IF($C836="","",MAX(0,$C836-$E836))</f>
        <v/>
      </c>
      <c r="G836" s="31">
        <f>IF(OR($E836="",$D836=""),"", $E836+$D836)</f>
        <v/>
      </c>
      <c r="H836" s="31">
        <f>IF(OR($A836="",$B836=""),"",SUMIFS(QuickLog!$L$2:$L$1000,QuickLog!$B$2:$B$1000,$B836,QuickLog!$O$2:$O$1000,$A836))</f>
        <v/>
      </c>
      <c r="I836" s="32">
        <f>IF($H836="","",$H836)</f>
        <v/>
      </c>
    </row>
    <row r="837">
      <c r="A837" s="29" t="n"/>
      <c r="B837" s="31" t="n"/>
      <c r="C837" s="31">
        <f>IF(OR($A837="",$B837=""),"",SUMIFS(QuickLog!$K$2:$K$1000,QuickLog!$B$2:$B$1000,$B837,QuickLog!$O$2:$O$1000,$A837,QuickLog!$G$2:$G$1000,"Routine"))</f>
        <v/>
      </c>
      <c r="D837" s="31">
        <f>IF(OR($A837="",$B837=""),"",SUMIFS(QuickLog!$K$2:$K$1000,QuickLog!$B$2:$B$1000,$B837,QuickLog!$O$2:$O$1000,$A837,QuickLog!$G$2:$G$1000,"&lt;&gt;Routine"))</f>
        <v/>
      </c>
      <c r="E837" s="31">
        <f>IF($C837="","",MIN($C837,Settings!$B$2))</f>
        <v/>
      </c>
      <c r="F837" s="31">
        <f>IF($C837="","",MAX(0,$C837-$E837))</f>
        <v/>
      </c>
      <c r="G837" s="31">
        <f>IF(OR($E837="",$D837=""),"", $E837+$D837)</f>
        <v/>
      </c>
      <c r="H837" s="31">
        <f>IF(OR($A837="",$B837=""),"",SUMIFS(QuickLog!$L$2:$L$1000,QuickLog!$B$2:$B$1000,$B837,QuickLog!$O$2:$O$1000,$A837))</f>
        <v/>
      </c>
      <c r="I837" s="32">
        <f>IF($H837="","",$H837)</f>
        <v/>
      </c>
    </row>
    <row r="838">
      <c r="A838" s="29" t="n"/>
      <c r="B838" s="31" t="n"/>
      <c r="C838" s="31">
        <f>IF(OR($A838="",$B838=""),"",SUMIFS(QuickLog!$K$2:$K$1000,QuickLog!$B$2:$B$1000,$B838,QuickLog!$O$2:$O$1000,$A838,QuickLog!$G$2:$G$1000,"Routine"))</f>
        <v/>
      </c>
      <c r="D838" s="31">
        <f>IF(OR($A838="",$B838=""),"",SUMIFS(QuickLog!$K$2:$K$1000,QuickLog!$B$2:$B$1000,$B838,QuickLog!$O$2:$O$1000,$A838,QuickLog!$G$2:$G$1000,"&lt;&gt;Routine"))</f>
        <v/>
      </c>
      <c r="E838" s="31">
        <f>IF($C838="","",MIN($C838,Settings!$B$2))</f>
        <v/>
      </c>
      <c r="F838" s="31">
        <f>IF($C838="","",MAX(0,$C838-$E838))</f>
        <v/>
      </c>
      <c r="G838" s="31">
        <f>IF(OR($E838="",$D838=""),"", $E838+$D838)</f>
        <v/>
      </c>
      <c r="H838" s="31">
        <f>IF(OR($A838="",$B838=""),"",SUMIFS(QuickLog!$L$2:$L$1000,QuickLog!$B$2:$B$1000,$B838,QuickLog!$O$2:$O$1000,$A838))</f>
        <v/>
      </c>
      <c r="I838" s="32">
        <f>IF($H838="","",$H838)</f>
        <v/>
      </c>
    </row>
    <row r="839">
      <c r="A839" s="29" t="n"/>
      <c r="B839" s="31" t="n"/>
      <c r="C839" s="31">
        <f>IF(OR($A839="",$B839=""),"",SUMIFS(QuickLog!$K$2:$K$1000,QuickLog!$B$2:$B$1000,$B839,QuickLog!$O$2:$O$1000,$A839,QuickLog!$G$2:$G$1000,"Routine"))</f>
        <v/>
      </c>
      <c r="D839" s="31">
        <f>IF(OR($A839="",$B839=""),"",SUMIFS(QuickLog!$K$2:$K$1000,QuickLog!$B$2:$B$1000,$B839,QuickLog!$O$2:$O$1000,$A839,QuickLog!$G$2:$G$1000,"&lt;&gt;Routine"))</f>
        <v/>
      </c>
      <c r="E839" s="31">
        <f>IF($C839="","",MIN($C839,Settings!$B$2))</f>
        <v/>
      </c>
      <c r="F839" s="31">
        <f>IF($C839="","",MAX(0,$C839-$E839))</f>
        <v/>
      </c>
      <c r="G839" s="31">
        <f>IF(OR($E839="",$D839=""),"", $E839+$D839)</f>
        <v/>
      </c>
      <c r="H839" s="31">
        <f>IF(OR($A839="",$B839=""),"",SUMIFS(QuickLog!$L$2:$L$1000,QuickLog!$B$2:$B$1000,$B839,QuickLog!$O$2:$O$1000,$A839))</f>
        <v/>
      </c>
      <c r="I839" s="32">
        <f>IF($H839="","",$H839)</f>
        <v/>
      </c>
    </row>
    <row r="840">
      <c r="A840" s="29" t="n"/>
      <c r="B840" s="31" t="n"/>
      <c r="C840" s="31">
        <f>IF(OR($A840="",$B840=""),"",SUMIFS(QuickLog!$K$2:$K$1000,QuickLog!$B$2:$B$1000,$B840,QuickLog!$O$2:$O$1000,$A840,QuickLog!$G$2:$G$1000,"Routine"))</f>
        <v/>
      </c>
      <c r="D840" s="31">
        <f>IF(OR($A840="",$B840=""),"",SUMIFS(QuickLog!$K$2:$K$1000,QuickLog!$B$2:$B$1000,$B840,QuickLog!$O$2:$O$1000,$A840,QuickLog!$G$2:$G$1000,"&lt;&gt;Routine"))</f>
        <v/>
      </c>
      <c r="E840" s="31">
        <f>IF($C840="","",MIN($C840,Settings!$B$2))</f>
        <v/>
      </c>
      <c r="F840" s="31">
        <f>IF($C840="","",MAX(0,$C840-$E840))</f>
        <v/>
      </c>
      <c r="G840" s="31">
        <f>IF(OR($E840="",$D840=""),"", $E840+$D840)</f>
        <v/>
      </c>
      <c r="H840" s="31">
        <f>IF(OR($A840="",$B840=""),"",SUMIFS(QuickLog!$L$2:$L$1000,QuickLog!$B$2:$B$1000,$B840,QuickLog!$O$2:$O$1000,$A840))</f>
        <v/>
      </c>
      <c r="I840" s="32">
        <f>IF($H840="","",$H840)</f>
        <v/>
      </c>
    </row>
    <row r="841">
      <c r="A841" s="29" t="n"/>
      <c r="B841" s="31" t="n"/>
      <c r="C841" s="31">
        <f>IF(OR($A841="",$B841=""),"",SUMIFS(QuickLog!$K$2:$K$1000,QuickLog!$B$2:$B$1000,$B841,QuickLog!$O$2:$O$1000,$A841,QuickLog!$G$2:$G$1000,"Routine"))</f>
        <v/>
      </c>
      <c r="D841" s="31">
        <f>IF(OR($A841="",$B841=""),"",SUMIFS(QuickLog!$K$2:$K$1000,QuickLog!$B$2:$B$1000,$B841,QuickLog!$O$2:$O$1000,$A841,QuickLog!$G$2:$G$1000,"&lt;&gt;Routine"))</f>
        <v/>
      </c>
      <c r="E841" s="31">
        <f>IF($C841="","",MIN($C841,Settings!$B$2))</f>
        <v/>
      </c>
      <c r="F841" s="31">
        <f>IF($C841="","",MAX(0,$C841-$E841))</f>
        <v/>
      </c>
      <c r="G841" s="31">
        <f>IF(OR($E841="",$D841=""),"", $E841+$D841)</f>
        <v/>
      </c>
      <c r="H841" s="31">
        <f>IF(OR($A841="",$B841=""),"",SUMIFS(QuickLog!$L$2:$L$1000,QuickLog!$B$2:$B$1000,$B841,QuickLog!$O$2:$O$1000,$A841))</f>
        <v/>
      </c>
      <c r="I841" s="32">
        <f>IF($H841="","",$H841)</f>
        <v/>
      </c>
    </row>
    <row r="842">
      <c r="A842" s="29" t="n"/>
      <c r="B842" s="31" t="n"/>
      <c r="C842" s="31">
        <f>IF(OR($A842="",$B842=""),"",SUMIFS(QuickLog!$K$2:$K$1000,QuickLog!$B$2:$B$1000,$B842,QuickLog!$O$2:$O$1000,$A842,QuickLog!$G$2:$G$1000,"Routine"))</f>
        <v/>
      </c>
      <c r="D842" s="31">
        <f>IF(OR($A842="",$B842=""),"",SUMIFS(QuickLog!$K$2:$K$1000,QuickLog!$B$2:$B$1000,$B842,QuickLog!$O$2:$O$1000,$A842,QuickLog!$G$2:$G$1000,"&lt;&gt;Routine"))</f>
        <v/>
      </c>
      <c r="E842" s="31">
        <f>IF($C842="","",MIN($C842,Settings!$B$2))</f>
        <v/>
      </c>
      <c r="F842" s="31">
        <f>IF($C842="","",MAX(0,$C842-$E842))</f>
        <v/>
      </c>
      <c r="G842" s="31">
        <f>IF(OR($E842="",$D842=""),"", $E842+$D842)</f>
        <v/>
      </c>
      <c r="H842" s="31">
        <f>IF(OR($A842="",$B842=""),"",SUMIFS(QuickLog!$L$2:$L$1000,QuickLog!$B$2:$B$1000,$B842,QuickLog!$O$2:$O$1000,$A842))</f>
        <v/>
      </c>
      <c r="I842" s="32">
        <f>IF($H842="","",$H842)</f>
        <v/>
      </c>
    </row>
    <row r="843">
      <c r="A843" s="29" t="n"/>
      <c r="B843" s="31" t="n"/>
      <c r="C843" s="31">
        <f>IF(OR($A843="",$B843=""),"",SUMIFS(QuickLog!$K$2:$K$1000,QuickLog!$B$2:$B$1000,$B843,QuickLog!$O$2:$O$1000,$A843,QuickLog!$G$2:$G$1000,"Routine"))</f>
        <v/>
      </c>
      <c r="D843" s="31">
        <f>IF(OR($A843="",$B843=""),"",SUMIFS(QuickLog!$K$2:$K$1000,QuickLog!$B$2:$B$1000,$B843,QuickLog!$O$2:$O$1000,$A843,QuickLog!$G$2:$G$1000,"&lt;&gt;Routine"))</f>
        <v/>
      </c>
      <c r="E843" s="31">
        <f>IF($C843="","",MIN($C843,Settings!$B$2))</f>
        <v/>
      </c>
      <c r="F843" s="31">
        <f>IF($C843="","",MAX(0,$C843-$E843))</f>
        <v/>
      </c>
      <c r="G843" s="31">
        <f>IF(OR($E843="",$D843=""),"", $E843+$D843)</f>
        <v/>
      </c>
      <c r="H843" s="31">
        <f>IF(OR($A843="",$B843=""),"",SUMIFS(QuickLog!$L$2:$L$1000,QuickLog!$B$2:$B$1000,$B843,QuickLog!$O$2:$O$1000,$A843))</f>
        <v/>
      </c>
      <c r="I843" s="32">
        <f>IF($H843="","",$H843)</f>
        <v/>
      </c>
    </row>
    <row r="844">
      <c r="A844" s="29" t="n"/>
      <c r="B844" s="31" t="n"/>
      <c r="C844" s="31">
        <f>IF(OR($A844="",$B844=""),"",SUMIFS(QuickLog!$K$2:$K$1000,QuickLog!$B$2:$B$1000,$B844,QuickLog!$O$2:$O$1000,$A844,QuickLog!$G$2:$G$1000,"Routine"))</f>
        <v/>
      </c>
      <c r="D844" s="31">
        <f>IF(OR($A844="",$B844=""),"",SUMIFS(QuickLog!$K$2:$K$1000,QuickLog!$B$2:$B$1000,$B844,QuickLog!$O$2:$O$1000,$A844,QuickLog!$G$2:$G$1000,"&lt;&gt;Routine"))</f>
        <v/>
      </c>
      <c r="E844" s="31">
        <f>IF($C844="","",MIN($C844,Settings!$B$2))</f>
        <v/>
      </c>
      <c r="F844" s="31">
        <f>IF($C844="","",MAX(0,$C844-$E844))</f>
        <v/>
      </c>
      <c r="G844" s="31">
        <f>IF(OR($E844="",$D844=""),"", $E844+$D844)</f>
        <v/>
      </c>
      <c r="H844" s="31">
        <f>IF(OR($A844="",$B844=""),"",SUMIFS(QuickLog!$L$2:$L$1000,QuickLog!$B$2:$B$1000,$B844,QuickLog!$O$2:$O$1000,$A844))</f>
        <v/>
      </c>
      <c r="I844" s="32">
        <f>IF($H844="","",$H844)</f>
        <v/>
      </c>
    </row>
    <row r="845">
      <c r="A845" s="29" t="n"/>
      <c r="B845" s="31" t="n"/>
      <c r="C845" s="31">
        <f>IF(OR($A845="",$B845=""),"",SUMIFS(QuickLog!$K$2:$K$1000,QuickLog!$B$2:$B$1000,$B845,QuickLog!$O$2:$O$1000,$A845,QuickLog!$G$2:$G$1000,"Routine"))</f>
        <v/>
      </c>
      <c r="D845" s="31">
        <f>IF(OR($A845="",$B845=""),"",SUMIFS(QuickLog!$K$2:$K$1000,QuickLog!$B$2:$B$1000,$B845,QuickLog!$O$2:$O$1000,$A845,QuickLog!$G$2:$G$1000,"&lt;&gt;Routine"))</f>
        <v/>
      </c>
      <c r="E845" s="31">
        <f>IF($C845="","",MIN($C845,Settings!$B$2))</f>
        <v/>
      </c>
      <c r="F845" s="31">
        <f>IF($C845="","",MAX(0,$C845-$E845))</f>
        <v/>
      </c>
      <c r="G845" s="31">
        <f>IF(OR($E845="",$D845=""),"", $E845+$D845)</f>
        <v/>
      </c>
      <c r="H845" s="31">
        <f>IF(OR($A845="",$B845=""),"",SUMIFS(QuickLog!$L$2:$L$1000,QuickLog!$B$2:$B$1000,$B845,QuickLog!$O$2:$O$1000,$A845))</f>
        <v/>
      </c>
      <c r="I845" s="32">
        <f>IF($H845="","",$H845)</f>
        <v/>
      </c>
    </row>
    <row r="846">
      <c r="A846" s="29" t="n"/>
      <c r="B846" s="31" t="n"/>
      <c r="C846" s="31">
        <f>IF(OR($A846="",$B846=""),"",SUMIFS(QuickLog!$K$2:$K$1000,QuickLog!$B$2:$B$1000,$B846,QuickLog!$O$2:$O$1000,$A846,QuickLog!$G$2:$G$1000,"Routine"))</f>
        <v/>
      </c>
      <c r="D846" s="31">
        <f>IF(OR($A846="",$B846=""),"",SUMIFS(QuickLog!$K$2:$K$1000,QuickLog!$B$2:$B$1000,$B846,QuickLog!$O$2:$O$1000,$A846,QuickLog!$G$2:$G$1000,"&lt;&gt;Routine"))</f>
        <v/>
      </c>
      <c r="E846" s="31">
        <f>IF($C846="","",MIN($C846,Settings!$B$2))</f>
        <v/>
      </c>
      <c r="F846" s="31">
        <f>IF($C846="","",MAX(0,$C846-$E846))</f>
        <v/>
      </c>
      <c r="G846" s="31">
        <f>IF(OR($E846="",$D846=""),"", $E846+$D846)</f>
        <v/>
      </c>
      <c r="H846" s="31">
        <f>IF(OR($A846="",$B846=""),"",SUMIFS(QuickLog!$L$2:$L$1000,QuickLog!$B$2:$B$1000,$B846,QuickLog!$O$2:$O$1000,$A846))</f>
        <v/>
      </c>
      <c r="I846" s="32">
        <f>IF($H846="","",$H846)</f>
        <v/>
      </c>
    </row>
    <row r="847">
      <c r="A847" s="29" t="n"/>
      <c r="B847" s="31" t="n"/>
      <c r="C847" s="31">
        <f>IF(OR($A847="",$B847=""),"",SUMIFS(QuickLog!$K$2:$K$1000,QuickLog!$B$2:$B$1000,$B847,QuickLog!$O$2:$O$1000,$A847,QuickLog!$G$2:$G$1000,"Routine"))</f>
        <v/>
      </c>
      <c r="D847" s="31">
        <f>IF(OR($A847="",$B847=""),"",SUMIFS(QuickLog!$K$2:$K$1000,QuickLog!$B$2:$B$1000,$B847,QuickLog!$O$2:$O$1000,$A847,QuickLog!$G$2:$G$1000,"&lt;&gt;Routine"))</f>
        <v/>
      </c>
      <c r="E847" s="31">
        <f>IF($C847="","",MIN($C847,Settings!$B$2))</f>
        <v/>
      </c>
      <c r="F847" s="31">
        <f>IF($C847="","",MAX(0,$C847-$E847))</f>
        <v/>
      </c>
      <c r="G847" s="31">
        <f>IF(OR($E847="",$D847=""),"", $E847+$D847)</f>
        <v/>
      </c>
      <c r="H847" s="31">
        <f>IF(OR($A847="",$B847=""),"",SUMIFS(QuickLog!$L$2:$L$1000,QuickLog!$B$2:$B$1000,$B847,QuickLog!$O$2:$O$1000,$A847))</f>
        <v/>
      </c>
      <c r="I847" s="32">
        <f>IF($H847="","",$H847)</f>
        <v/>
      </c>
    </row>
    <row r="848">
      <c r="A848" s="29" t="n"/>
      <c r="B848" s="31" t="n"/>
      <c r="C848" s="31">
        <f>IF(OR($A848="",$B848=""),"",SUMIFS(QuickLog!$K$2:$K$1000,QuickLog!$B$2:$B$1000,$B848,QuickLog!$O$2:$O$1000,$A848,QuickLog!$G$2:$G$1000,"Routine"))</f>
        <v/>
      </c>
      <c r="D848" s="31">
        <f>IF(OR($A848="",$B848=""),"",SUMIFS(QuickLog!$K$2:$K$1000,QuickLog!$B$2:$B$1000,$B848,QuickLog!$O$2:$O$1000,$A848,QuickLog!$G$2:$G$1000,"&lt;&gt;Routine"))</f>
        <v/>
      </c>
      <c r="E848" s="31">
        <f>IF($C848="","",MIN($C848,Settings!$B$2))</f>
        <v/>
      </c>
      <c r="F848" s="31">
        <f>IF($C848="","",MAX(0,$C848-$E848))</f>
        <v/>
      </c>
      <c r="G848" s="31">
        <f>IF(OR($E848="",$D848=""),"", $E848+$D848)</f>
        <v/>
      </c>
      <c r="H848" s="31">
        <f>IF(OR($A848="",$B848=""),"",SUMIFS(QuickLog!$L$2:$L$1000,QuickLog!$B$2:$B$1000,$B848,QuickLog!$O$2:$O$1000,$A848))</f>
        <v/>
      </c>
      <c r="I848" s="32">
        <f>IF($H848="","",$H848)</f>
        <v/>
      </c>
    </row>
    <row r="849">
      <c r="A849" s="29" t="n"/>
      <c r="B849" s="31" t="n"/>
      <c r="C849" s="31">
        <f>IF(OR($A849="",$B849=""),"",SUMIFS(QuickLog!$K$2:$K$1000,QuickLog!$B$2:$B$1000,$B849,QuickLog!$O$2:$O$1000,$A849,QuickLog!$G$2:$G$1000,"Routine"))</f>
        <v/>
      </c>
      <c r="D849" s="31">
        <f>IF(OR($A849="",$B849=""),"",SUMIFS(QuickLog!$K$2:$K$1000,QuickLog!$B$2:$B$1000,$B849,QuickLog!$O$2:$O$1000,$A849,QuickLog!$G$2:$G$1000,"&lt;&gt;Routine"))</f>
        <v/>
      </c>
      <c r="E849" s="31">
        <f>IF($C849="","",MIN($C849,Settings!$B$2))</f>
        <v/>
      </c>
      <c r="F849" s="31">
        <f>IF($C849="","",MAX(0,$C849-$E849))</f>
        <v/>
      </c>
      <c r="G849" s="31">
        <f>IF(OR($E849="",$D849=""),"", $E849+$D849)</f>
        <v/>
      </c>
      <c r="H849" s="31">
        <f>IF(OR($A849="",$B849=""),"",SUMIFS(QuickLog!$L$2:$L$1000,QuickLog!$B$2:$B$1000,$B849,QuickLog!$O$2:$O$1000,$A849))</f>
        <v/>
      </c>
      <c r="I849" s="32">
        <f>IF($H849="","",$H849)</f>
        <v/>
      </c>
    </row>
    <row r="850">
      <c r="A850" s="29" t="n"/>
      <c r="B850" s="31" t="n"/>
      <c r="C850" s="31">
        <f>IF(OR($A850="",$B850=""),"",SUMIFS(QuickLog!$K$2:$K$1000,QuickLog!$B$2:$B$1000,$B850,QuickLog!$O$2:$O$1000,$A850,QuickLog!$G$2:$G$1000,"Routine"))</f>
        <v/>
      </c>
      <c r="D850" s="31">
        <f>IF(OR($A850="",$B850=""),"",SUMIFS(QuickLog!$K$2:$K$1000,QuickLog!$B$2:$B$1000,$B850,QuickLog!$O$2:$O$1000,$A850,QuickLog!$G$2:$G$1000,"&lt;&gt;Routine"))</f>
        <v/>
      </c>
      <c r="E850" s="31">
        <f>IF($C850="","",MIN($C850,Settings!$B$2))</f>
        <v/>
      </c>
      <c r="F850" s="31">
        <f>IF($C850="","",MAX(0,$C850-$E850))</f>
        <v/>
      </c>
      <c r="G850" s="31">
        <f>IF(OR($E850="",$D850=""),"", $E850+$D850)</f>
        <v/>
      </c>
      <c r="H850" s="31">
        <f>IF(OR($A850="",$B850=""),"",SUMIFS(QuickLog!$L$2:$L$1000,QuickLog!$B$2:$B$1000,$B850,QuickLog!$O$2:$O$1000,$A850))</f>
        <v/>
      </c>
      <c r="I850" s="32">
        <f>IF($H850="","",$H850)</f>
        <v/>
      </c>
    </row>
    <row r="851">
      <c r="A851" s="29" t="n"/>
      <c r="B851" s="31" t="n"/>
      <c r="C851" s="31">
        <f>IF(OR($A851="",$B851=""),"",SUMIFS(QuickLog!$K$2:$K$1000,QuickLog!$B$2:$B$1000,$B851,QuickLog!$O$2:$O$1000,$A851,QuickLog!$G$2:$G$1000,"Routine"))</f>
        <v/>
      </c>
      <c r="D851" s="31">
        <f>IF(OR($A851="",$B851=""),"",SUMIFS(QuickLog!$K$2:$K$1000,QuickLog!$B$2:$B$1000,$B851,QuickLog!$O$2:$O$1000,$A851,QuickLog!$G$2:$G$1000,"&lt;&gt;Routine"))</f>
        <v/>
      </c>
      <c r="E851" s="31">
        <f>IF($C851="","",MIN($C851,Settings!$B$2))</f>
        <v/>
      </c>
      <c r="F851" s="31">
        <f>IF($C851="","",MAX(0,$C851-$E851))</f>
        <v/>
      </c>
      <c r="G851" s="31">
        <f>IF(OR($E851="",$D851=""),"", $E851+$D851)</f>
        <v/>
      </c>
      <c r="H851" s="31">
        <f>IF(OR($A851="",$B851=""),"",SUMIFS(QuickLog!$L$2:$L$1000,QuickLog!$B$2:$B$1000,$B851,QuickLog!$O$2:$O$1000,$A851))</f>
        <v/>
      </c>
      <c r="I851" s="32">
        <f>IF($H851="","",$H851)</f>
        <v/>
      </c>
    </row>
    <row r="852">
      <c r="A852" s="29" t="n"/>
      <c r="B852" s="31" t="n"/>
      <c r="C852" s="31">
        <f>IF(OR($A852="",$B852=""),"",SUMIFS(QuickLog!$K$2:$K$1000,QuickLog!$B$2:$B$1000,$B852,QuickLog!$O$2:$O$1000,$A852,QuickLog!$G$2:$G$1000,"Routine"))</f>
        <v/>
      </c>
      <c r="D852" s="31">
        <f>IF(OR($A852="",$B852=""),"",SUMIFS(QuickLog!$K$2:$K$1000,QuickLog!$B$2:$B$1000,$B852,QuickLog!$O$2:$O$1000,$A852,QuickLog!$G$2:$G$1000,"&lt;&gt;Routine"))</f>
        <v/>
      </c>
      <c r="E852" s="31">
        <f>IF($C852="","",MIN($C852,Settings!$B$2))</f>
        <v/>
      </c>
      <c r="F852" s="31">
        <f>IF($C852="","",MAX(0,$C852-$E852))</f>
        <v/>
      </c>
      <c r="G852" s="31">
        <f>IF(OR($E852="",$D852=""),"", $E852+$D852)</f>
        <v/>
      </c>
      <c r="H852" s="31">
        <f>IF(OR($A852="",$B852=""),"",SUMIFS(QuickLog!$L$2:$L$1000,QuickLog!$B$2:$B$1000,$B852,QuickLog!$O$2:$O$1000,$A852))</f>
        <v/>
      </c>
      <c r="I852" s="32">
        <f>IF($H852="","",$H852)</f>
        <v/>
      </c>
    </row>
    <row r="853">
      <c r="A853" s="29" t="n"/>
      <c r="B853" s="31" t="n"/>
      <c r="C853" s="31">
        <f>IF(OR($A853="",$B853=""),"",SUMIFS(QuickLog!$K$2:$K$1000,QuickLog!$B$2:$B$1000,$B853,QuickLog!$O$2:$O$1000,$A853,QuickLog!$G$2:$G$1000,"Routine"))</f>
        <v/>
      </c>
      <c r="D853" s="31">
        <f>IF(OR($A853="",$B853=""),"",SUMIFS(QuickLog!$K$2:$K$1000,QuickLog!$B$2:$B$1000,$B853,QuickLog!$O$2:$O$1000,$A853,QuickLog!$G$2:$G$1000,"&lt;&gt;Routine"))</f>
        <v/>
      </c>
      <c r="E853" s="31">
        <f>IF($C853="","",MIN($C853,Settings!$B$2))</f>
        <v/>
      </c>
      <c r="F853" s="31">
        <f>IF($C853="","",MAX(0,$C853-$E853))</f>
        <v/>
      </c>
      <c r="G853" s="31">
        <f>IF(OR($E853="",$D853=""),"", $E853+$D853)</f>
        <v/>
      </c>
      <c r="H853" s="31">
        <f>IF(OR($A853="",$B853=""),"",SUMIFS(QuickLog!$L$2:$L$1000,QuickLog!$B$2:$B$1000,$B853,QuickLog!$O$2:$O$1000,$A853))</f>
        <v/>
      </c>
      <c r="I853" s="32">
        <f>IF($H853="","",$H853)</f>
        <v/>
      </c>
    </row>
    <row r="854">
      <c r="A854" s="29" t="n"/>
      <c r="B854" s="31" t="n"/>
      <c r="C854" s="31">
        <f>IF(OR($A854="",$B854=""),"",SUMIFS(QuickLog!$K$2:$K$1000,QuickLog!$B$2:$B$1000,$B854,QuickLog!$O$2:$O$1000,$A854,QuickLog!$G$2:$G$1000,"Routine"))</f>
        <v/>
      </c>
      <c r="D854" s="31">
        <f>IF(OR($A854="",$B854=""),"",SUMIFS(QuickLog!$K$2:$K$1000,QuickLog!$B$2:$B$1000,$B854,QuickLog!$O$2:$O$1000,$A854,QuickLog!$G$2:$G$1000,"&lt;&gt;Routine"))</f>
        <v/>
      </c>
      <c r="E854" s="31">
        <f>IF($C854="","",MIN($C854,Settings!$B$2))</f>
        <v/>
      </c>
      <c r="F854" s="31">
        <f>IF($C854="","",MAX(0,$C854-$E854))</f>
        <v/>
      </c>
      <c r="G854" s="31">
        <f>IF(OR($E854="",$D854=""),"", $E854+$D854)</f>
        <v/>
      </c>
      <c r="H854" s="31">
        <f>IF(OR($A854="",$B854=""),"",SUMIFS(QuickLog!$L$2:$L$1000,QuickLog!$B$2:$B$1000,$B854,QuickLog!$O$2:$O$1000,$A854))</f>
        <v/>
      </c>
      <c r="I854" s="32">
        <f>IF($H854="","",$H854)</f>
        <v/>
      </c>
    </row>
    <row r="855">
      <c r="A855" s="29" t="n"/>
      <c r="B855" s="31" t="n"/>
      <c r="C855" s="31">
        <f>IF(OR($A855="",$B855=""),"",SUMIFS(QuickLog!$K$2:$K$1000,QuickLog!$B$2:$B$1000,$B855,QuickLog!$O$2:$O$1000,$A855,QuickLog!$G$2:$G$1000,"Routine"))</f>
        <v/>
      </c>
      <c r="D855" s="31">
        <f>IF(OR($A855="",$B855=""),"",SUMIFS(QuickLog!$K$2:$K$1000,QuickLog!$B$2:$B$1000,$B855,QuickLog!$O$2:$O$1000,$A855,QuickLog!$G$2:$G$1000,"&lt;&gt;Routine"))</f>
        <v/>
      </c>
      <c r="E855" s="31">
        <f>IF($C855="","",MIN($C855,Settings!$B$2))</f>
        <v/>
      </c>
      <c r="F855" s="31">
        <f>IF($C855="","",MAX(0,$C855-$E855))</f>
        <v/>
      </c>
      <c r="G855" s="31">
        <f>IF(OR($E855="",$D855=""),"", $E855+$D855)</f>
        <v/>
      </c>
      <c r="H855" s="31">
        <f>IF(OR($A855="",$B855=""),"",SUMIFS(QuickLog!$L$2:$L$1000,QuickLog!$B$2:$B$1000,$B855,QuickLog!$O$2:$O$1000,$A855))</f>
        <v/>
      </c>
      <c r="I855" s="32">
        <f>IF($H855="","",$H855)</f>
        <v/>
      </c>
    </row>
    <row r="856">
      <c r="A856" s="29" t="n"/>
      <c r="B856" s="31" t="n"/>
      <c r="C856" s="31">
        <f>IF(OR($A856="",$B856=""),"",SUMIFS(QuickLog!$K$2:$K$1000,QuickLog!$B$2:$B$1000,$B856,QuickLog!$O$2:$O$1000,$A856,QuickLog!$G$2:$G$1000,"Routine"))</f>
        <v/>
      </c>
      <c r="D856" s="31">
        <f>IF(OR($A856="",$B856=""),"",SUMIFS(QuickLog!$K$2:$K$1000,QuickLog!$B$2:$B$1000,$B856,QuickLog!$O$2:$O$1000,$A856,QuickLog!$G$2:$G$1000,"&lt;&gt;Routine"))</f>
        <v/>
      </c>
      <c r="E856" s="31">
        <f>IF($C856="","",MIN($C856,Settings!$B$2))</f>
        <v/>
      </c>
      <c r="F856" s="31">
        <f>IF($C856="","",MAX(0,$C856-$E856))</f>
        <v/>
      </c>
      <c r="G856" s="31">
        <f>IF(OR($E856="",$D856=""),"", $E856+$D856)</f>
        <v/>
      </c>
      <c r="H856" s="31">
        <f>IF(OR($A856="",$B856=""),"",SUMIFS(QuickLog!$L$2:$L$1000,QuickLog!$B$2:$B$1000,$B856,QuickLog!$O$2:$O$1000,$A856))</f>
        <v/>
      </c>
      <c r="I856" s="32">
        <f>IF($H856="","",$H856)</f>
        <v/>
      </c>
    </row>
    <row r="857">
      <c r="A857" s="29" t="n"/>
      <c r="B857" s="31" t="n"/>
      <c r="C857" s="31">
        <f>IF(OR($A857="",$B857=""),"",SUMIFS(QuickLog!$K$2:$K$1000,QuickLog!$B$2:$B$1000,$B857,QuickLog!$O$2:$O$1000,$A857,QuickLog!$G$2:$G$1000,"Routine"))</f>
        <v/>
      </c>
      <c r="D857" s="31">
        <f>IF(OR($A857="",$B857=""),"",SUMIFS(QuickLog!$K$2:$K$1000,QuickLog!$B$2:$B$1000,$B857,QuickLog!$O$2:$O$1000,$A857,QuickLog!$G$2:$G$1000,"&lt;&gt;Routine"))</f>
        <v/>
      </c>
      <c r="E857" s="31">
        <f>IF($C857="","",MIN($C857,Settings!$B$2))</f>
        <v/>
      </c>
      <c r="F857" s="31">
        <f>IF($C857="","",MAX(0,$C857-$E857))</f>
        <v/>
      </c>
      <c r="G857" s="31">
        <f>IF(OR($E857="",$D857=""),"", $E857+$D857)</f>
        <v/>
      </c>
      <c r="H857" s="31">
        <f>IF(OR($A857="",$B857=""),"",SUMIFS(QuickLog!$L$2:$L$1000,QuickLog!$B$2:$B$1000,$B857,QuickLog!$O$2:$O$1000,$A857))</f>
        <v/>
      </c>
      <c r="I857" s="32">
        <f>IF($H857="","",$H857)</f>
        <v/>
      </c>
    </row>
    <row r="858">
      <c r="A858" s="29" t="n"/>
      <c r="B858" s="31" t="n"/>
      <c r="C858" s="31">
        <f>IF(OR($A858="",$B858=""),"",SUMIFS(QuickLog!$K$2:$K$1000,QuickLog!$B$2:$B$1000,$B858,QuickLog!$O$2:$O$1000,$A858,QuickLog!$G$2:$G$1000,"Routine"))</f>
        <v/>
      </c>
      <c r="D858" s="31">
        <f>IF(OR($A858="",$B858=""),"",SUMIFS(QuickLog!$K$2:$K$1000,QuickLog!$B$2:$B$1000,$B858,QuickLog!$O$2:$O$1000,$A858,QuickLog!$G$2:$G$1000,"&lt;&gt;Routine"))</f>
        <v/>
      </c>
      <c r="E858" s="31">
        <f>IF($C858="","",MIN($C858,Settings!$B$2))</f>
        <v/>
      </c>
      <c r="F858" s="31">
        <f>IF($C858="","",MAX(0,$C858-$E858))</f>
        <v/>
      </c>
      <c r="G858" s="31">
        <f>IF(OR($E858="",$D858=""),"", $E858+$D858)</f>
        <v/>
      </c>
      <c r="H858" s="31">
        <f>IF(OR($A858="",$B858=""),"",SUMIFS(QuickLog!$L$2:$L$1000,QuickLog!$B$2:$B$1000,$B858,QuickLog!$O$2:$O$1000,$A858))</f>
        <v/>
      </c>
      <c r="I858" s="32">
        <f>IF($H858="","",$H858)</f>
        <v/>
      </c>
    </row>
    <row r="859">
      <c r="A859" s="29" t="n"/>
      <c r="B859" s="31" t="n"/>
      <c r="C859" s="31">
        <f>IF(OR($A859="",$B859=""),"",SUMIFS(QuickLog!$K$2:$K$1000,QuickLog!$B$2:$B$1000,$B859,QuickLog!$O$2:$O$1000,$A859,QuickLog!$G$2:$G$1000,"Routine"))</f>
        <v/>
      </c>
      <c r="D859" s="31">
        <f>IF(OR($A859="",$B859=""),"",SUMIFS(QuickLog!$K$2:$K$1000,QuickLog!$B$2:$B$1000,$B859,QuickLog!$O$2:$O$1000,$A859,QuickLog!$G$2:$G$1000,"&lt;&gt;Routine"))</f>
        <v/>
      </c>
      <c r="E859" s="31">
        <f>IF($C859="","",MIN($C859,Settings!$B$2))</f>
        <v/>
      </c>
      <c r="F859" s="31">
        <f>IF($C859="","",MAX(0,$C859-$E859))</f>
        <v/>
      </c>
      <c r="G859" s="31">
        <f>IF(OR($E859="",$D859=""),"", $E859+$D859)</f>
        <v/>
      </c>
      <c r="H859" s="31">
        <f>IF(OR($A859="",$B859=""),"",SUMIFS(QuickLog!$L$2:$L$1000,QuickLog!$B$2:$B$1000,$B859,QuickLog!$O$2:$O$1000,$A859))</f>
        <v/>
      </c>
      <c r="I859" s="32">
        <f>IF($H859="","",$H859)</f>
        <v/>
      </c>
    </row>
    <row r="860">
      <c r="A860" s="29" t="n"/>
      <c r="B860" s="31" t="n"/>
      <c r="C860" s="31">
        <f>IF(OR($A860="",$B860=""),"",SUMIFS(QuickLog!$K$2:$K$1000,QuickLog!$B$2:$B$1000,$B860,QuickLog!$O$2:$O$1000,$A860,QuickLog!$G$2:$G$1000,"Routine"))</f>
        <v/>
      </c>
      <c r="D860" s="31">
        <f>IF(OR($A860="",$B860=""),"",SUMIFS(QuickLog!$K$2:$K$1000,QuickLog!$B$2:$B$1000,$B860,QuickLog!$O$2:$O$1000,$A860,QuickLog!$G$2:$G$1000,"&lt;&gt;Routine"))</f>
        <v/>
      </c>
      <c r="E860" s="31">
        <f>IF($C860="","",MIN($C860,Settings!$B$2))</f>
        <v/>
      </c>
      <c r="F860" s="31">
        <f>IF($C860="","",MAX(0,$C860-$E860))</f>
        <v/>
      </c>
      <c r="G860" s="31">
        <f>IF(OR($E860="",$D860=""),"", $E860+$D860)</f>
        <v/>
      </c>
      <c r="H860" s="31">
        <f>IF(OR($A860="",$B860=""),"",SUMIFS(QuickLog!$L$2:$L$1000,QuickLog!$B$2:$B$1000,$B860,QuickLog!$O$2:$O$1000,$A860))</f>
        <v/>
      </c>
      <c r="I860" s="32">
        <f>IF($H860="","",$H860)</f>
        <v/>
      </c>
    </row>
    <row r="861">
      <c r="A861" s="29" t="n"/>
      <c r="B861" s="31" t="n"/>
      <c r="C861" s="31">
        <f>IF(OR($A861="",$B861=""),"",SUMIFS(QuickLog!$K$2:$K$1000,QuickLog!$B$2:$B$1000,$B861,QuickLog!$O$2:$O$1000,$A861,QuickLog!$G$2:$G$1000,"Routine"))</f>
        <v/>
      </c>
      <c r="D861" s="31">
        <f>IF(OR($A861="",$B861=""),"",SUMIFS(QuickLog!$K$2:$K$1000,QuickLog!$B$2:$B$1000,$B861,QuickLog!$O$2:$O$1000,$A861,QuickLog!$G$2:$G$1000,"&lt;&gt;Routine"))</f>
        <v/>
      </c>
      <c r="E861" s="31">
        <f>IF($C861="","",MIN($C861,Settings!$B$2))</f>
        <v/>
      </c>
      <c r="F861" s="31">
        <f>IF($C861="","",MAX(0,$C861-$E861))</f>
        <v/>
      </c>
      <c r="G861" s="31">
        <f>IF(OR($E861="",$D861=""),"", $E861+$D861)</f>
        <v/>
      </c>
      <c r="H861" s="31">
        <f>IF(OR($A861="",$B861=""),"",SUMIFS(QuickLog!$L$2:$L$1000,QuickLog!$B$2:$B$1000,$B861,QuickLog!$O$2:$O$1000,$A861))</f>
        <v/>
      </c>
      <c r="I861" s="32">
        <f>IF($H861="","",$H861)</f>
        <v/>
      </c>
    </row>
    <row r="862">
      <c r="A862" s="29" t="n"/>
      <c r="B862" s="31" t="n"/>
      <c r="C862" s="31">
        <f>IF(OR($A862="",$B862=""),"",SUMIFS(QuickLog!$K$2:$K$1000,QuickLog!$B$2:$B$1000,$B862,QuickLog!$O$2:$O$1000,$A862,QuickLog!$G$2:$G$1000,"Routine"))</f>
        <v/>
      </c>
      <c r="D862" s="31">
        <f>IF(OR($A862="",$B862=""),"",SUMIFS(QuickLog!$K$2:$K$1000,QuickLog!$B$2:$B$1000,$B862,QuickLog!$O$2:$O$1000,$A862,QuickLog!$G$2:$G$1000,"&lt;&gt;Routine"))</f>
        <v/>
      </c>
      <c r="E862" s="31">
        <f>IF($C862="","",MIN($C862,Settings!$B$2))</f>
        <v/>
      </c>
      <c r="F862" s="31">
        <f>IF($C862="","",MAX(0,$C862-$E862))</f>
        <v/>
      </c>
      <c r="G862" s="31">
        <f>IF(OR($E862="",$D862=""),"", $E862+$D862)</f>
        <v/>
      </c>
      <c r="H862" s="31">
        <f>IF(OR($A862="",$B862=""),"",SUMIFS(QuickLog!$L$2:$L$1000,QuickLog!$B$2:$B$1000,$B862,QuickLog!$O$2:$O$1000,$A862))</f>
        <v/>
      </c>
      <c r="I862" s="32">
        <f>IF($H862="","",$H862)</f>
        <v/>
      </c>
    </row>
    <row r="863">
      <c r="A863" s="29" t="n"/>
      <c r="B863" s="31" t="n"/>
      <c r="C863" s="31">
        <f>IF(OR($A863="",$B863=""),"",SUMIFS(QuickLog!$K$2:$K$1000,QuickLog!$B$2:$B$1000,$B863,QuickLog!$O$2:$O$1000,$A863,QuickLog!$G$2:$G$1000,"Routine"))</f>
        <v/>
      </c>
      <c r="D863" s="31">
        <f>IF(OR($A863="",$B863=""),"",SUMIFS(QuickLog!$K$2:$K$1000,QuickLog!$B$2:$B$1000,$B863,QuickLog!$O$2:$O$1000,$A863,QuickLog!$G$2:$G$1000,"&lt;&gt;Routine"))</f>
        <v/>
      </c>
      <c r="E863" s="31">
        <f>IF($C863="","",MIN($C863,Settings!$B$2))</f>
        <v/>
      </c>
      <c r="F863" s="31">
        <f>IF($C863="","",MAX(0,$C863-$E863))</f>
        <v/>
      </c>
      <c r="G863" s="31">
        <f>IF(OR($E863="",$D863=""),"", $E863+$D863)</f>
        <v/>
      </c>
      <c r="H863" s="31">
        <f>IF(OR($A863="",$B863=""),"",SUMIFS(QuickLog!$L$2:$L$1000,QuickLog!$B$2:$B$1000,$B863,QuickLog!$O$2:$O$1000,$A863))</f>
        <v/>
      </c>
      <c r="I863" s="32">
        <f>IF($H863="","",$H863)</f>
        <v/>
      </c>
    </row>
    <row r="864">
      <c r="A864" s="29" t="n"/>
      <c r="B864" s="31" t="n"/>
      <c r="C864" s="31">
        <f>IF(OR($A864="",$B864=""),"",SUMIFS(QuickLog!$K$2:$K$1000,QuickLog!$B$2:$B$1000,$B864,QuickLog!$O$2:$O$1000,$A864,QuickLog!$G$2:$G$1000,"Routine"))</f>
        <v/>
      </c>
      <c r="D864" s="31">
        <f>IF(OR($A864="",$B864=""),"",SUMIFS(QuickLog!$K$2:$K$1000,QuickLog!$B$2:$B$1000,$B864,QuickLog!$O$2:$O$1000,$A864,QuickLog!$G$2:$G$1000,"&lt;&gt;Routine"))</f>
        <v/>
      </c>
      <c r="E864" s="31">
        <f>IF($C864="","",MIN($C864,Settings!$B$2))</f>
        <v/>
      </c>
      <c r="F864" s="31">
        <f>IF($C864="","",MAX(0,$C864-$E864))</f>
        <v/>
      </c>
      <c r="G864" s="31">
        <f>IF(OR($E864="",$D864=""),"", $E864+$D864)</f>
        <v/>
      </c>
      <c r="H864" s="31">
        <f>IF(OR($A864="",$B864=""),"",SUMIFS(QuickLog!$L$2:$L$1000,QuickLog!$B$2:$B$1000,$B864,QuickLog!$O$2:$O$1000,$A864))</f>
        <v/>
      </c>
      <c r="I864" s="32">
        <f>IF($H864="","",$H864)</f>
        <v/>
      </c>
    </row>
    <row r="865">
      <c r="A865" s="29" t="n"/>
      <c r="B865" s="31" t="n"/>
      <c r="C865" s="31">
        <f>IF(OR($A865="",$B865=""),"",SUMIFS(QuickLog!$K$2:$K$1000,QuickLog!$B$2:$B$1000,$B865,QuickLog!$O$2:$O$1000,$A865,QuickLog!$G$2:$G$1000,"Routine"))</f>
        <v/>
      </c>
      <c r="D865" s="31">
        <f>IF(OR($A865="",$B865=""),"",SUMIFS(QuickLog!$K$2:$K$1000,QuickLog!$B$2:$B$1000,$B865,QuickLog!$O$2:$O$1000,$A865,QuickLog!$G$2:$G$1000,"&lt;&gt;Routine"))</f>
        <v/>
      </c>
      <c r="E865" s="31">
        <f>IF($C865="","",MIN($C865,Settings!$B$2))</f>
        <v/>
      </c>
      <c r="F865" s="31">
        <f>IF($C865="","",MAX(0,$C865-$E865))</f>
        <v/>
      </c>
      <c r="G865" s="31">
        <f>IF(OR($E865="",$D865=""),"", $E865+$D865)</f>
        <v/>
      </c>
      <c r="H865" s="31">
        <f>IF(OR($A865="",$B865=""),"",SUMIFS(QuickLog!$L$2:$L$1000,QuickLog!$B$2:$B$1000,$B865,QuickLog!$O$2:$O$1000,$A865))</f>
        <v/>
      </c>
      <c r="I865" s="32">
        <f>IF($H865="","",$H865)</f>
        <v/>
      </c>
    </row>
    <row r="866">
      <c r="A866" s="29" t="n"/>
      <c r="B866" s="31" t="n"/>
      <c r="C866" s="31">
        <f>IF(OR($A866="",$B866=""),"",SUMIFS(QuickLog!$K$2:$K$1000,QuickLog!$B$2:$B$1000,$B866,QuickLog!$O$2:$O$1000,$A866,QuickLog!$G$2:$G$1000,"Routine"))</f>
        <v/>
      </c>
      <c r="D866" s="31">
        <f>IF(OR($A866="",$B866=""),"",SUMIFS(QuickLog!$K$2:$K$1000,QuickLog!$B$2:$B$1000,$B866,QuickLog!$O$2:$O$1000,$A866,QuickLog!$G$2:$G$1000,"&lt;&gt;Routine"))</f>
        <v/>
      </c>
      <c r="E866" s="31">
        <f>IF($C866="","",MIN($C866,Settings!$B$2))</f>
        <v/>
      </c>
      <c r="F866" s="31">
        <f>IF($C866="","",MAX(0,$C866-$E866))</f>
        <v/>
      </c>
      <c r="G866" s="31">
        <f>IF(OR($E866="",$D866=""),"", $E866+$D866)</f>
        <v/>
      </c>
      <c r="H866" s="31">
        <f>IF(OR($A866="",$B866=""),"",SUMIFS(QuickLog!$L$2:$L$1000,QuickLog!$B$2:$B$1000,$B866,QuickLog!$O$2:$O$1000,$A866))</f>
        <v/>
      </c>
      <c r="I866" s="32">
        <f>IF($H866="","",$H866)</f>
        <v/>
      </c>
    </row>
    <row r="867">
      <c r="A867" s="29" t="n"/>
      <c r="B867" s="31" t="n"/>
      <c r="C867" s="31">
        <f>IF(OR($A867="",$B867=""),"",SUMIFS(QuickLog!$K$2:$K$1000,QuickLog!$B$2:$B$1000,$B867,QuickLog!$O$2:$O$1000,$A867,QuickLog!$G$2:$G$1000,"Routine"))</f>
        <v/>
      </c>
      <c r="D867" s="31">
        <f>IF(OR($A867="",$B867=""),"",SUMIFS(QuickLog!$K$2:$K$1000,QuickLog!$B$2:$B$1000,$B867,QuickLog!$O$2:$O$1000,$A867,QuickLog!$G$2:$G$1000,"&lt;&gt;Routine"))</f>
        <v/>
      </c>
      <c r="E867" s="31">
        <f>IF($C867="","",MIN($C867,Settings!$B$2))</f>
        <v/>
      </c>
      <c r="F867" s="31">
        <f>IF($C867="","",MAX(0,$C867-$E867))</f>
        <v/>
      </c>
      <c r="G867" s="31">
        <f>IF(OR($E867="",$D867=""),"", $E867+$D867)</f>
        <v/>
      </c>
      <c r="H867" s="31">
        <f>IF(OR($A867="",$B867=""),"",SUMIFS(QuickLog!$L$2:$L$1000,QuickLog!$B$2:$B$1000,$B867,QuickLog!$O$2:$O$1000,$A867))</f>
        <v/>
      </c>
      <c r="I867" s="32">
        <f>IF($H867="","",$H867)</f>
        <v/>
      </c>
    </row>
    <row r="868">
      <c r="A868" s="29" t="n"/>
      <c r="B868" s="31" t="n"/>
      <c r="C868" s="31">
        <f>IF(OR($A868="",$B868=""),"",SUMIFS(QuickLog!$K$2:$K$1000,QuickLog!$B$2:$B$1000,$B868,QuickLog!$O$2:$O$1000,$A868,QuickLog!$G$2:$G$1000,"Routine"))</f>
        <v/>
      </c>
      <c r="D868" s="31">
        <f>IF(OR($A868="",$B868=""),"",SUMIFS(QuickLog!$K$2:$K$1000,QuickLog!$B$2:$B$1000,$B868,QuickLog!$O$2:$O$1000,$A868,QuickLog!$G$2:$G$1000,"&lt;&gt;Routine"))</f>
        <v/>
      </c>
      <c r="E868" s="31">
        <f>IF($C868="","",MIN($C868,Settings!$B$2))</f>
        <v/>
      </c>
      <c r="F868" s="31">
        <f>IF($C868="","",MAX(0,$C868-$E868))</f>
        <v/>
      </c>
      <c r="G868" s="31">
        <f>IF(OR($E868="",$D868=""),"", $E868+$D868)</f>
        <v/>
      </c>
      <c r="H868" s="31">
        <f>IF(OR($A868="",$B868=""),"",SUMIFS(QuickLog!$L$2:$L$1000,QuickLog!$B$2:$B$1000,$B868,QuickLog!$O$2:$O$1000,$A868))</f>
        <v/>
      </c>
      <c r="I868" s="32">
        <f>IF($H868="","",$H868)</f>
        <v/>
      </c>
    </row>
    <row r="869">
      <c r="A869" s="29" t="n"/>
      <c r="B869" s="31" t="n"/>
      <c r="C869" s="31">
        <f>IF(OR($A869="",$B869=""),"",SUMIFS(QuickLog!$K$2:$K$1000,QuickLog!$B$2:$B$1000,$B869,QuickLog!$O$2:$O$1000,$A869,QuickLog!$G$2:$G$1000,"Routine"))</f>
        <v/>
      </c>
      <c r="D869" s="31">
        <f>IF(OR($A869="",$B869=""),"",SUMIFS(QuickLog!$K$2:$K$1000,QuickLog!$B$2:$B$1000,$B869,QuickLog!$O$2:$O$1000,$A869,QuickLog!$G$2:$G$1000,"&lt;&gt;Routine"))</f>
        <v/>
      </c>
      <c r="E869" s="31">
        <f>IF($C869="","",MIN($C869,Settings!$B$2))</f>
        <v/>
      </c>
      <c r="F869" s="31">
        <f>IF($C869="","",MAX(0,$C869-$E869))</f>
        <v/>
      </c>
      <c r="G869" s="31">
        <f>IF(OR($E869="",$D869=""),"", $E869+$D869)</f>
        <v/>
      </c>
      <c r="H869" s="31">
        <f>IF(OR($A869="",$B869=""),"",SUMIFS(QuickLog!$L$2:$L$1000,QuickLog!$B$2:$B$1000,$B869,QuickLog!$O$2:$O$1000,$A869))</f>
        <v/>
      </c>
      <c r="I869" s="32">
        <f>IF($H869="","",$H869)</f>
        <v/>
      </c>
    </row>
    <row r="870">
      <c r="A870" s="29" t="n"/>
      <c r="B870" s="31" t="n"/>
      <c r="C870" s="31">
        <f>IF(OR($A870="",$B870=""),"",SUMIFS(QuickLog!$K$2:$K$1000,QuickLog!$B$2:$B$1000,$B870,QuickLog!$O$2:$O$1000,$A870,QuickLog!$G$2:$G$1000,"Routine"))</f>
        <v/>
      </c>
      <c r="D870" s="31">
        <f>IF(OR($A870="",$B870=""),"",SUMIFS(QuickLog!$K$2:$K$1000,QuickLog!$B$2:$B$1000,$B870,QuickLog!$O$2:$O$1000,$A870,QuickLog!$G$2:$G$1000,"&lt;&gt;Routine"))</f>
        <v/>
      </c>
      <c r="E870" s="31">
        <f>IF($C870="","",MIN($C870,Settings!$B$2))</f>
        <v/>
      </c>
      <c r="F870" s="31">
        <f>IF($C870="","",MAX(0,$C870-$E870))</f>
        <v/>
      </c>
      <c r="G870" s="31">
        <f>IF(OR($E870="",$D870=""),"", $E870+$D870)</f>
        <v/>
      </c>
      <c r="H870" s="31">
        <f>IF(OR($A870="",$B870=""),"",SUMIFS(QuickLog!$L$2:$L$1000,QuickLog!$B$2:$B$1000,$B870,QuickLog!$O$2:$O$1000,$A870))</f>
        <v/>
      </c>
      <c r="I870" s="32">
        <f>IF($H870="","",$H870)</f>
        <v/>
      </c>
    </row>
    <row r="871">
      <c r="A871" s="29" t="n"/>
      <c r="B871" s="31" t="n"/>
      <c r="C871" s="31">
        <f>IF(OR($A871="",$B871=""),"",SUMIFS(QuickLog!$K$2:$K$1000,QuickLog!$B$2:$B$1000,$B871,QuickLog!$O$2:$O$1000,$A871,QuickLog!$G$2:$G$1000,"Routine"))</f>
        <v/>
      </c>
      <c r="D871" s="31">
        <f>IF(OR($A871="",$B871=""),"",SUMIFS(QuickLog!$K$2:$K$1000,QuickLog!$B$2:$B$1000,$B871,QuickLog!$O$2:$O$1000,$A871,QuickLog!$G$2:$G$1000,"&lt;&gt;Routine"))</f>
        <v/>
      </c>
      <c r="E871" s="31">
        <f>IF($C871="","",MIN($C871,Settings!$B$2))</f>
        <v/>
      </c>
      <c r="F871" s="31">
        <f>IF($C871="","",MAX(0,$C871-$E871))</f>
        <v/>
      </c>
      <c r="G871" s="31">
        <f>IF(OR($E871="",$D871=""),"", $E871+$D871)</f>
        <v/>
      </c>
      <c r="H871" s="31">
        <f>IF(OR($A871="",$B871=""),"",SUMIFS(QuickLog!$L$2:$L$1000,QuickLog!$B$2:$B$1000,$B871,QuickLog!$O$2:$O$1000,$A871))</f>
        <v/>
      </c>
      <c r="I871" s="32">
        <f>IF($H871="","",$H871)</f>
        <v/>
      </c>
    </row>
    <row r="872">
      <c r="A872" s="29" t="n"/>
      <c r="B872" s="31" t="n"/>
      <c r="C872" s="31">
        <f>IF(OR($A872="",$B872=""),"",SUMIFS(QuickLog!$K$2:$K$1000,QuickLog!$B$2:$B$1000,$B872,QuickLog!$O$2:$O$1000,$A872,QuickLog!$G$2:$G$1000,"Routine"))</f>
        <v/>
      </c>
      <c r="D872" s="31">
        <f>IF(OR($A872="",$B872=""),"",SUMIFS(QuickLog!$K$2:$K$1000,QuickLog!$B$2:$B$1000,$B872,QuickLog!$O$2:$O$1000,$A872,QuickLog!$G$2:$G$1000,"&lt;&gt;Routine"))</f>
        <v/>
      </c>
      <c r="E872" s="31">
        <f>IF($C872="","",MIN($C872,Settings!$B$2))</f>
        <v/>
      </c>
      <c r="F872" s="31">
        <f>IF($C872="","",MAX(0,$C872-$E872))</f>
        <v/>
      </c>
      <c r="G872" s="31">
        <f>IF(OR($E872="",$D872=""),"", $E872+$D872)</f>
        <v/>
      </c>
      <c r="H872" s="31">
        <f>IF(OR($A872="",$B872=""),"",SUMIFS(QuickLog!$L$2:$L$1000,QuickLog!$B$2:$B$1000,$B872,QuickLog!$O$2:$O$1000,$A872))</f>
        <v/>
      </c>
      <c r="I872" s="32">
        <f>IF($H872="","",$H872)</f>
        <v/>
      </c>
    </row>
    <row r="873">
      <c r="A873" s="29" t="n"/>
      <c r="B873" s="31" t="n"/>
      <c r="C873" s="31">
        <f>IF(OR($A873="",$B873=""),"",SUMIFS(QuickLog!$K$2:$K$1000,QuickLog!$B$2:$B$1000,$B873,QuickLog!$O$2:$O$1000,$A873,QuickLog!$G$2:$G$1000,"Routine"))</f>
        <v/>
      </c>
      <c r="D873" s="31">
        <f>IF(OR($A873="",$B873=""),"",SUMIFS(QuickLog!$K$2:$K$1000,QuickLog!$B$2:$B$1000,$B873,QuickLog!$O$2:$O$1000,$A873,QuickLog!$G$2:$G$1000,"&lt;&gt;Routine"))</f>
        <v/>
      </c>
      <c r="E873" s="31">
        <f>IF($C873="","",MIN($C873,Settings!$B$2))</f>
        <v/>
      </c>
      <c r="F873" s="31">
        <f>IF($C873="","",MAX(0,$C873-$E873))</f>
        <v/>
      </c>
      <c r="G873" s="31">
        <f>IF(OR($E873="",$D873=""),"", $E873+$D873)</f>
        <v/>
      </c>
      <c r="H873" s="31">
        <f>IF(OR($A873="",$B873=""),"",SUMIFS(QuickLog!$L$2:$L$1000,QuickLog!$B$2:$B$1000,$B873,QuickLog!$O$2:$O$1000,$A873))</f>
        <v/>
      </c>
      <c r="I873" s="32">
        <f>IF($H873="","",$H873)</f>
        <v/>
      </c>
    </row>
    <row r="874">
      <c r="A874" s="29" t="n"/>
      <c r="B874" s="31" t="n"/>
      <c r="C874" s="31">
        <f>IF(OR($A874="",$B874=""),"",SUMIFS(QuickLog!$K$2:$K$1000,QuickLog!$B$2:$B$1000,$B874,QuickLog!$O$2:$O$1000,$A874,QuickLog!$G$2:$G$1000,"Routine"))</f>
        <v/>
      </c>
      <c r="D874" s="31">
        <f>IF(OR($A874="",$B874=""),"",SUMIFS(QuickLog!$K$2:$K$1000,QuickLog!$B$2:$B$1000,$B874,QuickLog!$O$2:$O$1000,$A874,QuickLog!$G$2:$G$1000,"&lt;&gt;Routine"))</f>
        <v/>
      </c>
      <c r="E874" s="31">
        <f>IF($C874="","",MIN($C874,Settings!$B$2))</f>
        <v/>
      </c>
      <c r="F874" s="31">
        <f>IF($C874="","",MAX(0,$C874-$E874))</f>
        <v/>
      </c>
      <c r="G874" s="31">
        <f>IF(OR($E874="",$D874=""),"", $E874+$D874)</f>
        <v/>
      </c>
      <c r="H874" s="31">
        <f>IF(OR($A874="",$B874=""),"",SUMIFS(QuickLog!$L$2:$L$1000,QuickLog!$B$2:$B$1000,$B874,QuickLog!$O$2:$O$1000,$A874))</f>
        <v/>
      </c>
      <c r="I874" s="32">
        <f>IF($H874="","",$H874)</f>
        <v/>
      </c>
    </row>
    <row r="875">
      <c r="A875" s="29" t="n"/>
      <c r="B875" s="31" t="n"/>
      <c r="C875" s="31">
        <f>IF(OR($A875="",$B875=""),"",SUMIFS(QuickLog!$K$2:$K$1000,QuickLog!$B$2:$B$1000,$B875,QuickLog!$O$2:$O$1000,$A875,QuickLog!$G$2:$G$1000,"Routine"))</f>
        <v/>
      </c>
      <c r="D875" s="31">
        <f>IF(OR($A875="",$B875=""),"",SUMIFS(QuickLog!$K$2:$K$1000,QuickLog!$B$2:$B$1000,$B875,QuickLog!$O$2:$O$1000,$A875,QuickLog!$G$2:$G$1000,"&lt;&gt;Routine"))</f>
        <v/>
      </c>
      <c r="E875" s="31">
        <f>IF($C875="","",MIN($C875,Settings!$B$2))</f>
        <v/>
      </c>
      <c r="F875" s="31">
        <f>IF($C875="","",MAX(0,$C875-$E875))</f>
        <v/>
      </c>
      <c r="G875" s="31">
        <f>IF(OR($E875="",$D875=""),"", $E875+$D875)</f>
        <v/>
      </c>
      <c r="H875" s="31">
        <f>IF(OR($A875="",$B875=""),"",SUMIFS(QuickLog!$L$2:$L$1000,QuickLog!$B$2:$B$1000,$B875,QuickLog!$O$2:$O$1000,$A875))</f>
        <v/>
      </c>
      <c r="I875" s="32">
        <f>IF($H875="","",$H875)</f>
        <v/>
      </c>
    </row>
    <row r="876">
      <c r="A876" s="29" t="n"/>
      <c r="B876" s="31" t="n"/>
      <c r="C876" s="31">
        <f>IF(OR($A876="",$B876=""),"",SUMIFS(QuickLog!$K$2:$K$1000,QuickLog!$B$2:$B$1000,$B876,QuickLog!$O$2:$O$1000,$A876,QuickLog!$G$2:$G$1000,"Routine"))</f>
        <v/>
      </c>
      <c r="D876" s="31">
        <f>IF(OR($A876="",$B876=""),"",SUMIFS(QuickLog!$K$2:$K$1000,QuickLog!$B$2:$B$1000,$B876,QuickLog!$O$2:$O$1000,$A876,QuickLog!$G$2:$G$1000,"&lt;&gt;Routine"))</f>
        <v/>
      </c>
      <c r="E876" s="31">
        <f>IF($C876="","",MIN($C876,Settings!$B$2))</f>
        <v/>
      </c>
      <c r="F876" s="31">
        <f>IF($C876="","",MAX(0,$C876-$E876))</f>
        <v/>
      </c>
      <c r="G876" s="31">
        <f>IF(OR($E876="",$D876=""),"", $E876+$D876)</f>
        <v/>
      </c>
      <c r="H876" s="31">
        <f>IF(OR($A876="",$B876=""),"",SUMIFS(QuickLog!$L$2:$L$1000,QuickLog!$B$2:$B$1000,$B876,QuickLog!$O$2:$O$1000,$A876))</f>
        <v/>
      </c>
      <c r="I876" s="32">
        <f>IF($H876="","",$H876)</f>
        <v/>
      </c>
    </row>
    <row r="877">
      <c r="A877" s="29" t="n"/>
      <c r="B877" s="31" t="n"/>
      <c r="C877" s="31">
        <f>IF(OR($A877="",$B877=""),"",SUMIFS(QuickLog!$K$2:$K$1000,QuickLog!$B$2:$B$1000,$B877,QuickLog!$O$2:$O$1000,$A877,QuickLog!$G$2:$G$1000,"Routine"))</f>
        <v/>
      </c>
      <c r="D877" s="31">
        <f>IF(OR($A877="",$B877=""),"",SUMIFS(QuickLog!$K$2:$K$1000,QuickLog!$B$2:$B$1000,$B877,QuickLog!$O$2:$O$1000,$A877,QuickLog!$G$2:$G$1000,"&lt;&gt;Routine"))</f>
        <v/>
      </c>
      <c r="E877" s="31">
        <f>IF($C877="","",MIN($C877,Settings!$B$2))</f>
        <v/>
      </c>
      <c r="F877" s="31">
        <f>IF($C877="","",MAX(0,$C877-$E877))</f>
        <v/>
      </c>
      <c r="G877" s="31">
        <f>IF(OR($E877="",$D877=""),"", $E877+$D877)</f>
        <v/>
      </c>
      <c r="H877" s="31">
        <f>IF(OR($A877="",$B877=""),"",SUMIFS(QuickLog!$L$2:$L$1000,QuickLog!$B$2:$B$1000,$B877,QuickLog!$O$2:$O$1000,$A877))</f>
        <v/>
      </c>
      <c r="I877" s="32">
        <f>IF($H877="","",$H877)</f>
        <v/>
      </c>
    </row>
    <row r="878">
      <c r="A878" s="29" t="n"/>
      <c r="B878" s="31" t="n"/>
      <c r="C878" s="31">
        <f>IF(OR($A878="",$B878=""),"",SUMIFS(QuickLog!$K$2:$K$1000,QuickLog!$B$2:$B$1000,$B878,QuickLog!$O$2:$O$1000,$A878,QuickLog!$G$2:$G$1000,"Routine"))</f>
        <v/>
      </c>
      <c r="D878" s="31">
        <f>IF(OR($A878="",$B878=""),"",SUMIFS(QuickLog!$K$2:$K$1000,QuickLog!$B$2:$B$1000,$B878,QuickLog!$O$2:$O$1000,$A878,QuickLog!$G$2:$G$1000,"&lt;&gt;Routine"))</f>
        <v/>
      </c>
      <c r="E878" s="31">
        <f>IF($C878="","",MIN($C878,Settings!$B$2))</f>
        <v/>
      </c>
      <c r="F878" s="31">
        <f>IF($C878="","",MAX(0,$C878-$E878))</f>
        <v/>
      </c>
      <c r="G878" s="31">
        <f>IF(OR($E878="",$D878=""),"", $E878+$D878)</f>
        <v/>
      </c>
      <c r="H878" s="31">
        <f>IF(OR($A878="",$B878=""),"",SUMIFS(QuickLog!$L$2:$L$1000,QuickLog!$B$2:$B$1000,$B878,QuickLog!$O$2:$O$1000,$A878))</f>
        <v/>
      </c>
      <c r="I878" s="32">
        <f>IF($H878="","",$H878)</f>
        <v/>
      </c>
    </row>
    <row r="879">
      <c r="A879" s="29" t="n"/>
      <c r="B879" s="31" t="n"/>
      <c r="C879" s="31">
        <f>IF(OR($A879="",$B879=""),"",SUMIFS(QuickLog!$K$2:$K$1000,QuickLog!$B$2:$B$1000,$B879,QuickLog!$O$2:$O$1000,$A879,QuickLog!$G$2:$G$1000,"Routine"))</f>
        <v/>
      </c>
      <c r="D879" s="31">
        <f>IF(OR($A879="",$B879=""),"",SUMIFS(QuickLog!$K$2:$K$1000,QuickLog!$B$2:$B$1000,$B879,QuickLog!$O$2:$O$1000,$A879,QuickLog!$G$2:$G$1000,"&lt;&gt;Routine"))</f>
        <v/>
      </c>
      <c r="E879" s="31">
        <f>IF($C879="","",MIN($C879,Settings!$B$2))</f>
        <v/>
      </c>
      <c r="F879" s="31">
        <f>IF($C879="","",MAX(0,$C879-$E879))</f>
        <v/>
      </c>
      <c r="G879" s="31">
        <f>IF(OR($E879="",$D879=""),"", $E879+$D879)</f>
        <v/>
      </c>
      <c r="H879" s="31">
        <f>IF(OR($A879="",$B879=""),"",SUMIFS(QuickLog!$L$2:$L$1000,QuickLog!$B$2:$B$1000,$B879,QuickLog!$O$2:$O$1000,$A879))</f>
        <v/>
      </c>
      <c r="I879" s="32">
        <f>IF($H879="","",$H879)</f>
        <v/>
      </c>
    </row>
    <row r="880">
      <c r="A880" s="29" t="n"/>
      <c r="B880" s="31" t="n"/>
      <c r="C880" s="31">
        <f>IF(OR($A880="",$B880=""),"",SUMIFS(QuickLog!$K$2:$K$1000,QuickLog!$B$2:$B$1000,$B880,QuickLog!$O$2:$O$1000,$A880,QuickLog!$G$2:$G$1000,"Routine"))</f>
        <v/>
      </c>
      <c r="D880" s="31">
        <f>IF(OR($A880="",$B880=""),"",SUMIFS(QuickLog!$K$2:$K$1000,QuickLog!$B$2:$B$1000,$B880,QuickLog!$O$2:$O$1000,$A880,QuickLog!$G$2:$G$1000,"&lt;&gt;Routine"))</f>
        <v/>
      </c>
      <c r="E880" s="31">
        <f>IF($C880="","",MIN($C880,Settings!$B$2))</f>
        <v/>
      </c>
      <c r="F880" s="31">
        <f>IF($C880="","",MAX(0,$C880-$E880))</f>
        <v/>
      </c>
      <c r="G880" s="31">
        <f>IF(OR($E880="",$D880=""),"", $E880+$D880)</f>
        <v/>
      </c>
      <c r="H880" s="31">
        <f>IF(OR($A880="",$B880=""),"",SUMIFS(QuickLog!$L$2:$L$1000,QuickLog!$B$2:$B$1000,$B880,QuickLog!$O$2:$O$1000,$A880))</f>
        <v/>
      </c>
      <c r="I880" s="32">
        <f>IF($H880="","",$H880)</f>
        <v/>
      </c>
    </row>
    <row r="881">
      <c r="A881" s="29" t="n"/>
      <c r="B881" s="31" t="n"/>
      <c r="C881" s="31">
        <f>IF(OR($A881="",$B881=""),"",SUMIFS(QuickLog!$K$2:$K$1000,QuickLog!$B$2:$B$1000,$B881,QuickLog!$O$2:$O$1000,$A881,QuickLog!$G$2:$G$1000,"Routine"))</f>
        <v/>
      </c>
      <c r="D881" s="31">
        <f>IF(OR($A881="",$B881=""),"",SUMIFS(QuickLog!$K$2:$K$1000,QuickLog!$B$2:$B$1000,$B881,QuickLog!$O$2:$O$1000,$A881,QuickLog!$G$2:$G$1000,"&lt;&gt;Routine"))</f>
        <v/>
      </c>
      <c r="E881" s="31">
        <f>IF($C881="","",MIN($C881,Settings!$B$2))</f>
        <v/>
      </c>
      <c r="F881" s="31">
        <f>IF($C881="","",MAX(0,$C881-$E881))</f>
        <v/>
      </c>
      <c r="G881" s="31">
        <f>IF(OR($E881="",$D881=""),"", $E881+$D881)</f>
        <v/>
      </c>
      <c r="H881" s="31">
        <f>IF(OR($A881="",$B881=""),"",SUMIFS(QuickLog!$L$2:$L$1000,QuickLog!$B$2:$B$1000,$B881,QuickLog!$O$2:$O$1000,$A881))</f>
        <v/>
      </c>
      <c r="I881" s="32">
        <f>IF($H881="","",$H881)</f>
        <v/>
      </c>
    </row>
    <row r="882">
      <c r="A882" s="29" t="n"/>
      <c r="B882" s="31" t="n"/>
      <c r="C882" s="31">
        <f>IF(OR($A882="",$B882=""),"",SUMIFS(QuickLog!$K$2:$K$1000,QuickLog!$B$2:$B$1000,$B882,QuickLog!$O$2:$O$1000,$A882,QuickLog!$G$2:$G$1000,"Routine"))</f>
        <v/>
      </c>
      <c r="D882" s="31">
        <f>IF(OR($A882="",$B882=""),"",SUMIFS(QuickLog!$K$2:$K$1000,QuickLog!$B$2:$B$1000,$B882,QuickLog!$O$2:$O$1000,$A882,QuickLog!$G$2:$G$1000,"&lt;&gt;Routine"))</f>
        <v/>
      </c>
      <c r="E882" s="31">
        <f>IF($C882="","",MIN($C882,Settings!$B$2))</f>
        <v/>
      </c>
      <c r="F882" s="31">
        <f>IF($C882="","",MAX(0,$C882-$E882))</f>
        <v/>
      </c>
      <c r="G882" s="31">
        <f>IF(OR($E882="",$D882=""),"", $E882+$D882)</f>
        <v/>
      </c>
      <c r="H882" s="31">
        <f>IF(OR($A882="",$B882=""),"",SUMIFS(QuickLog!$L$2:$L$1000,QuickLog!$B$2:$B$1000,$B882,QuickLog!$O$2:$O$1000,$A882))</f>
        <v/>
      </c>
      <c r="I882" s="32">
        <f>IF($H882="","",$H882)</f>
        <v/>
      </c>
    </row>
    <row r="883">
      <c r="A883" s="29" t="n"/>
      <c r="B883" s="31" t="n"/>
      <c r="C883" s="31">
        <f>IF(OR($A883="",$B883=""),"",SUMIFS(QuickLog!$K$2:$K$1000,QuickLog!$B$2:$B$1000,$B883,QuickLog!$O$2:$O$1000,$A883,QuickLog!$G$2:$G$1000,"Routine"))</f>
        <v/>
      </c>
      <c r="D883" s="31">
        <f>IF(OR($A883="",$B883=""),"",SUMIFS(QuickLog!$K$2:$K$1000,QuickLog!$B$2:$B$1000,$B883,QuickLog!$O$2:$O$1000,$A883,QuickLog!$G$2:$G$1000,"&lt;&gt;Routine"))</f>
        <v/>
      </c>
      <c r="E883" s="31">
        <f>IF($C883="","",MIN($C883,Settings!$B$2))</f>
        <v/>
      </c>
      <c r="F883" s="31">
        <f>IF($C883="","",MAX(0,$C883-$E883))</f>
        <v/>
      </c>
      <c r="G883" s="31">
        <f>IF(OR($E883="",$D883=""),"", $E883+$D883)</f>
        <v/>
      </c>
      <c r="H883" s="31">
        <f>IF(OR($A883="",$B883=""),"",SUMIFS(QuickLog!$L$2:$L$1000,QuickLog!$B$2:$B$1000,$B883,QuickLog!$O$2:$O$1000,$A883))</f>
        <v/>
      </c>
      <c r="I883" s="32">
        <f>IF($H883="","",$H883)</f>
        <v/>
      </c>
    </row>
    <row r="884">
      <c r="A884" s="29" t="n"/>
      <c r="B884" s="31" t="n"/>
      <c r="C884" s="31">
        <f>IF(OR($A884="",$B884=""),"",SUMIFS(QuickLog!$K$2:$K$1000,QuickLog!$B$2:$B$1000,$B884,QuickLog!$O$2:$O$1000,$A884,QuickLog!$G$2:$G$1000,"Routine"))</f>
        <v/>
      </c>
      <c r="D884" s="31">
        <f>IF(OR($A884="",$B884=""),"",SUMIFS(QuickLog!$K$2:$K$1000,QuickLog!$B$2:$B$1000,$B884,QuickLog!$O$2:$O$1000,$A884,QuickLog!$G$2:$G$1000,"&lt;&gt;Routine"))</f>
        <v/>
      </c>
      <c r="E884" s="31">
        <f>IF($C884="","",MIN($C884,Settings!$B$2))</f>
        <v/>
      </c>
      <c r="F884" s="31">
        <f>IF($C884="","",MAX(0,$C884-$E884))</f>
        <v/>
      </c>
      <c r="G884" s="31">
        <f>IF(OR($E884="",$D884=""),"", $E884+$D884)</f>
        <v/>
      </c>
      <c r="H884" s="31">
        <f>IF(OR($A884="",$B884=""),"",SUMIFS(QuickLog!$L$2:$L$1000,QuickLog!$B$2:$B$1000,$B884,QuickLog!$O$2:$O$1000,$A884))</f>
        <v/>
      </c>
      <c r="I884" s="32">
        <f>IF($H884="","",$H884)</f>
        <v/>
      </c>
    </row>
    <row r="885">
      <c r="A885" s="29" t="n"/>
      <c r="B885" s="31" t="n"/>
      <c r="C885" s="31">
        <f>IF(OR($A885="",$B885=""),"",SUMIFS(QuickLog!$K$2:$K$1000,QuickLog!$B$2:$B$1000,$B885,QuickLog!$O$2:$O$1000,$A885,QuickLog!$G$2:$G$1000,"Routine"))</f>
        <v/>
      </c>
      <c r="D885" s="31">
        <f>IF(OR($A885="",$B885=""),"",SUMIFS(QuickLog!$K$2:$K$1000,QuickLog!$B$2:$B$1000,$B885,QuickLog!$O$2:$O$1000,$A885,QuickLog!$G$2:$G$1000,"&lt;&gt;Routine"))</f>
        <v/>
      </c>
      <c r="E885" s="31">
        <f>IF($C885="","",MIN($C885,Settings!$B$2))</f>
        <v/>
      </c>
      <c r="F885" s="31">
        <f>IF($C885="","",MAX(0,$C885-$E885))</f>
        <v/>
      </c>
      <c r="G885" s="31">
        <f>IF(OR($E885="",$D885=""),"", $E885+$D885)</f>
        <v/>
      </c>
      <c r="H885" s="31">
        <f>IF(OR($A885="",$B885=""),"",SUMIFS(QuickLog!$L$2:$L$1000,QuickLog!$B$2:$B$1000,$B885,QuickLog!$O$2:$O$1000,$A885))</f>
        <v/>
      </c>
      <c r="I885" s="32">
        <f>IF($H885="","",$H885)</f>
        <v/>
      </c>
    </row>
    <row r="886">
      <c r="A886" s="29" t="n"/>
      <c r="B886" s="31" t="n"/>
      <c r="C886" s="31">
        <f>IF(OR($A886="",$B886=""),"",SUMIFS(QuickLog!$K$2:$K$1000,QuickLog!$B$2:$B$1000,$B886,QuickLog!$O$2:$O$1000,$A886,QuickLog!$G$2:$G$1000,"Routine"))</f>
        <v/>
      </c>
      <c r="D886" s="31">
        <f>IF(OR($A886="",$B886=""),"",SUMIFS(QuickLog!$K$2:$K$1000,QuickLog!$B$2:$B$1000,$B886,QuickLog!$O$2:$O$1000,$A886,QuickLog!$G$2:$G$1000,"&lt;&gt;Routine"))</f>
        <v/>
      </c>
      <c r="E886" s="31">
        <f>IF($C886="","",MIN($C886,Settings!$B$2))</f>
        <v/>
      </c>
      <c r="F886" s="31">
        <f>IF($C886="","",MAX(0,$C886-$E886))</f>
        <v/>
      </c>
      <c r="G886" s="31">
        <f>IF(OR($E886="",$D886=""),"", $E886+$D886)</f>
        <v/>
      </c>
      <c r="H886" s="31">
        <f>IF(OR($A886="",$B886=""),"",SUMIFS(QuickLog!$L$2:$L$1000,QuickLog!$B$2:$B$1000,$B886,QuickLog!$O$2:$O$1000,$A886))</f>
        <v/>
      </c>
      <c r="I886" s="32">
        <f>IF($H886="","",$H886)</f>
        <v/>
      </c>
    </row>
    <row r="887">
      <c r="A887" s="29" t="n"/>
      <c r="B887" s="31" t="n"/>
      <c r="C887" s="31">
        <f>IF(OR($A887="",$B887=""),"",SUMIFS(QuickLog!$K$2:$K$1000,QuickLog!$B$2:$B$1000,$B887,QuickLog!$O$2:$O$1000,$A887,QuickLog!$G$2:$G$1000,"Routine"))</f>
        <v/>
      </c>
      <c r="D887" s="31">
        <f>IF(OR($A887="",$B887=""),"",SUMIFS(QuickLog!$K$2:$K$1000,QuickLog!$B$2:$B$1000,$B887,QuickLog!$O$2:$O$1000,$A887,QuickLog!$G$2:$G$1000,"&lt;&gt;Routine"))</f>
        <v/>
      </c>
      <c r="E887" s="31">
        <f>IF($C887="","",MIN($C887,Settings!$B$2))</f>
        <v/>
      </c>
      <c r="F887" s="31">
        <f>IF($C887="","",MAX(0,$C887-$E887))</f>
        <v/>
      </c>
      <c r="G887" s="31">
        <f>IF(OR($E887="",$D887=""),"", $E887+$D887)</f>
        <v/>
      </c>
      <c r="H887" s="31">
        <f>IF(OR($A887="",$B887=""),"",SUMIFS(QuickLog!$L$2:$L$1000,QuickLog!$B$2:$B$1000,$B887,QuickLog!$O$2:$O$1000,$A887))</f>
        <v/>
      </c>
      <c r="I887" s="32">
        <f>IF($H887="","",$H887)</f>
        <v/>
      </c>
    </row>
    <row r="888">
      <c r="A888" s="29" t="n"/>
      <c r="B888" s="31" t="n"/>
      <c r="C888" s="31">
        <f>IF(OR($A888="",$B888=""),"",SUMIFS(QuickLog!$K$2:$K$1000,QuickLog!$B$2:$B$1000,$B888,QuickLog!$O$2:$O$1000,$A888,QuickLog!$G$2:$G$1000,"Routine"))</f>
        <v/>
      </c>
      <c r="D888" s="31">
        <f>IF(OR($A888="",$B888=""),"",SUMIFS(QuickLog!$K$2:$K$1000,QuickLog!$B$2:$B$1000,$B888,QuickLog!$O$2:$O$1000,$A888,QuickLog!$G$2:$G$1000,"&lt;&gt;Routine"))</f>
        <v/>
      </c>
      <c r="E888" s="31">
        <f>IF($C888="","",MIN($C888,Settings!$B$2))</f>
        <v/>
      </c>
      <c r="F888" s="31">
        <f>IF($C888="","",MAX(0,$C888-$E888))</f>
        <v/>
      </c>
      <c r="G888" s="31">
        <f>IF(OR($E888="",$D888=""),"", $E888+$D888)</f>
        <v/>
      </c>
      <c r="H888" s="31">
        <f>IF(OR($A888="",$B888=""),"",SUMIFS(QuickLog!$L$2:$L$1000,QuickLog!$B$2:$B$1000,$B888,QuickLog!$O$2:$O$1000,$A888))</f>
        <v/>
      </c>
      <c r="I888" s="32">
        <f>IF($H888="","",$H888)</f>
        <v/>
      </c>
    </row>
    <row r="889">
      <c r="A889" s="29" t="n"/>
      <c r="B889" s="31" t="n"/>
      <c r="C889" s="31">
        <f>IF(OR($A889="",$B889=""),"",SUMIFS(QuickLog!$K$2:$K$1000,QuickLog!$B$2:$B$1000,$B889,QuickLog!$O$2:$O$1000,$A889,QuickLog!$G$2:$G$1000,"Routine"))</f>
        <v/>
      </c>
      <c r="D889" s="31">
        <f>IF(OR($A889="",$B889=""),"",SUMIFS(QuickLog!$K$2:$K$1000,QuickLog!$B$2:$B$1000,$B889,QuickLog!$O$2:$O$1000,$A889,QuickLog!$G$2:$G$1000,"&lt;&gt;Routine"))</f>
        <v/>
      </c>
      <c r="E889" s="31">
        <f>IF($C889="","",MIN($C889,Settings!$B$2))</f>
        <v/>
      </c>
      <c r="F889" s="31">
        <f>IF($C889="","",MAX(0,$C889-$E889))</f>
        <v/>
      </c>
      <c r="G889" s="31">
        <f>IF(OR($E889="",$D889=""),"", $E889+$D889)</f>
        <v/>
      </c>
      <c r="H889" s="31">
        <f>IF(OR($A889="",$B889=""),"",SUMIFS(QuickLog!$L$2:$L$1000,QuickLog!$B$2:$B$1000,$B889,QuickLog!$O$2:$O$1000,$A889))</f>
        <v/>
      </c>
      <c r="I889" s="32">
        <f>IF($H889="","",$H889)</f>
        <v/>
      </c>
    </row>
    <row r="890">
      <c r="A890" s="29" t="n"/>
      <c r="B890" s="31" t="n"/>
      <c r="C890" s="31">
        <f>IF(OR($A890="",$B890=""),"",SUMIFS(QuickLog!$K$2:$K$1000,QuickLog!$B$2:$B$1000,$B890,QuickLog!$O$2:$O$1000,$A890,QuickLog!$G$2:$G$1000,"Routine"))</f>
        <v/>
      </c>
      <c r="D890" s="31">
        <f>IF(OR($A890="",$B890=""),"",SUMIFS(QuickLog!$K$2:$K$1000,QuickLog!$B$2:$B$1000,$B890,QuickLog!$O$2:$O$1000,$A890,QuickLog!$G$2:$G$1000,"&lt;&gt;Routine"))</f>
        <v/>
      </c>
      <c r="E890" s="31">
        <f>IF($C890="","",MIN($C890,Settings!$B$2))</f>
        <v/>
      </c>
      <c r="F890" s="31">
        <f>IF($C890="","",MAX(0,$C890-$E890))</f>
        <v/>
      </c>
      <c r="G890" s="31">
        <f>IF(OR($E890="",$D890=""),"", $E890+$D890)</f>
        <v/>
      </c>
      <c r="H890" s="31">
        <f>IF(OR($A890="",$B890=""),"",SUMIFS(QuickLog!$L$2:$L$1000,QuickLog!$B$2:$B$1000,$B890,QuickLog!$O$2:$O$1000,$A890))</f>
        <v/>
      </c>
      <c r="I890" s="32">
        <f>IF($H890="","",$H890)</f>
        <v/>
      </c>
    </row>
    <row r="891">
      <c r="A891" s="29" t="n"/>
      <c r="B891" s="31" t="n"/>
      <c r="C891" s="31">
        <f>IF(OR($A891="",$B891=""),"",SUMIFS(QuickLog!$K$2:$K$1000,QuickLog!$B$2:$B$1000,$B891,QuickLog!$O$2:$O$1000,$A891,QuickLog!$G$2:$G$1000,"Routine"))</f>
        <v/>
      </c>
      <c r="D891" s="31">
        <f>IF(OR($A891="",$B891=""),"",SUMIFS(QuickLog!$K$2:$K$1000,QuickLog!$B$2:$B$1000,$B891,QuickLog!$O$2:$O$1000,$A891,QuickLog!$G$2:$G$1000,"&lt;&gt;Routine"))</f>
        <v/>
      </c>
      <c r="E891" s="31">
        <f>IF($C891="","",MIN($C891,Settings!$B$2))</f>
        <v/>
      </c>
      <c r="F891" s="31">
        <f>IF($C891="","",MAX(0,$C891-$E891))</f>
        <v/>
      </c>
      <c r="G891" s="31">
        <f>IF(OR($E891="",$D891=""),"", $E891+$D891)</f>
        <v/>
      </c>
      <c r="H891" s="31">
        <f>IF(OR($A891="",$B891=""),"",SUMIFS(QuickLog!$L$2:$L$1000,QuickLog!$B$2:$B$1000,$B891,QuickLog!$O$2:$O$1000,$A891))</f>
        <v/>
      </c>
      <c r="I891" s="32">
        <f>IF($H891="","",$H891)</f>
        <v/>
      </c>
    </row>
    <row r="892">
      <c r="A892" s="29" t="n"/>
      <c r="B892" s="31" t="n"/>
      <c r="C892" s="31">
        <f>IF(OR($A892="",$B892=""),"",SUMIFS(QuickLog!$K$2:$K$1000,QuickLog!$B$2:$B$1000,$B892,QuickLog!$O$2:$O$1000,$A892,QuickLog!$G$2:$G$1000,"Routine"))</f>
        <v/>
      </c>
      <c r="D892" s="31">
        <f>IF(OR($A892="",$B892=""),"",SUMIFS(QuickLog!$K$2:$K$1000,QuickLog!$B$2:$B$1000,$B892,QuickLog!$O$2:$O$1000,$A892,QuickLog!$G$2:$G$1000,"&lt;&gt;Routine"))</f>
        <v/>
      </c>
      <c r="E892" s="31">
        <f>IF($C892="","",MIN($C892,Settings!$B$2))</f>
        <v/>
      </c>
      <c r="F892" s="31">
        <f>IF($C892="","",MAX(0,$C892-$E892))</f>
        <v/>
      </c>
      <c r="G892" s="31">
        <f>IF(OR($E892="",$D892=""),"", $E892+$D892)</f>
        <v/>
      </c>
      <c r="H892" s="31">
        <f>IF(OR($A892="",$B892=""),"",SUMIFS(QuickLog!$L$2:$L$1000,QuickLog!$B$2:$B$1000,$B892,QuickLog!$O$2:$O$1000,$A892))</f>
        <v/>
      </c>
      <c r="I892" s="32">
        <f>IF($H892="","",$H892)</f>
        <v/>
      </c>
    </row>
    <row r="893">
      <c r="A893" s="29" t="n"/>
      <c r="B893" s="31" t="n"/>
      <c r="C893" s="31">
        <f>IF(OR($A893="",$B893=""),"",SUMIFS(QuickLog!$K$2:$K$1000,QuickLog!$B$2:$B$1000,$B893,QuickLog!$O$2:$O$1000,$A893,QuickLog!$G$2:$G$1000,"Routine"))</f>
        <v/>
      </c>
      <c r="D893" s="31">
        <f>IF(OR($A893="",$B893=""),"",SUMIFS(QuickLog!$K$2:$K$1000,QuickLog!$B$2:$B$1000,$B893,QuickLog!$O$2:$O$1000,$A893,QuickLog!$G$2:$G$1000,"&lt;&gt;Routine"))</f>
        <v/>
      </c>
      <c r="E893" s="31">
        <f>IF($C893="","",MIN($C893,Settings!$B$2))</f>
        <v/>
      </c>
      <c r="F893" s="31">
        <f>IF($C893="","",MAX(0,$C893-$E893))</f>
        <v/>
      </c>
      <c r="G893" s="31">
        <f>IF(OR($E893="",$D893=""),"", $E893+$D893)</f>
        <v/>
      </c>
      <c r="H893" s="31">
        <f>IF(OR($A893="",$B893=""),"",SUMIFS(QuickLog!$L$2:$L$1000,QuickLog!$B$2:$B$1000,$B893,QuickLog!$O$2:$O$1000,$A893))</f>
        <v/>
      </c>
      <c r="I893" s="32">
        <f>IF($H893="","",$H893)</f>
        <v/>
      </c>
    </row>
    <row r="894">
      <c r="A894" s="29" t="n"/>
      <c r="B894" s="31" t="n"/>
      <c r="C894" s="31">
        <f>IF(OR($A894="",$B894=""),"",SUMIFS(QuickLog!$K$2:$K$1000,QuickLog!$B$2:$B$1000,$B894,QuickLog!$O$2:$O$1000,$A894,QuickLog!$G$2:$G$1000,"Routine"))</f>
        <v/>
      </c>
      <c r="D894" s="31">
        <f>IF(OR($A894="",$B894=""),"",SUMIFS(QuickLog!$K$2:$K$1000,QuickLog!$B$2:$B$1000,$B894,QuickLog!$O$2:$O$1000,$A894,QuickLog!$G$2:$G$1000,"&lt;&gt;Routine"))</f>
        <v/>
      </c>
      <c r="E894" s="31">
        <f>IF($C894="","",MIN($C894,Settings!$B$2))</f>
        <v/>
      </c>
      <c r="F894" s="31">
        <f>IF($C894="","",MAX(0,$C894-$E894))</f>
        <v/>
      </c>
      <c r="G894" s="31">
        <f>IF(OR($E894="",$D894=""),"", $E894+$D894)</f>
        <v/>
      </c>
      <c r="H894" s="31">
        <f>IF(OR($A894="",$B894=""),"",SUMIFS(QuickLog!$L$2:$L$1000,QuickLog!$B$2:$B$1000,$B894,QuickLog!$O$2:$O$1000,$A894))</f>
        <v/>
      </c>
      <c r="I894" s="32">
        <f>IF($H894="","",$H894)</f>
        <v/>
      </c>
    </row>
    <row r="895">
      <c r="A895" s="29" t="n"/>
      <c r="B895" s="31" t="n"/>
      <c r="C895" s="31">
        <f>IF(OR($A895="",$B895=""),"",SUMIFS(QuickLog!$K$2:$K$1000,QuickLog!$B$2:$B$1000,$B895,QuickLog!$O$2:$O$1000,$A895,QuickLog!$G$2:$G$1000,"Routine"))</f>
        <v/>
      </c>
      <c r="D895" s="31">
        <f>IF(OR($A895="",$B895=""),"",SUMIFS(QuickLog!$K$2:$K$1000,QuickLog!$B$2:$B$1000,$B895,QuickLog!$O$2:$O$1000,$A895,QuickLog!$G$2:$G$1000,"&lt;&gt;Routine"))</f>
        <v/>
      </c>
      <c r="E895" s="31">
        <f>IF($C895="","",MIN($C895,Settings!$B$2))</f>
        <v/>
      </c>
      <c r="F895" s="31">
        <f>IF($C895="","",MAX(0,$C895-$E895))</f>
        <v/>
      </c>
      <c r="G895" s="31">
        <f>IF(OR($E895="",$D895=""),"", $E895+$D895)</f>
        <v/>
      </c>
      <c r="H895" s="31">
        <f>IF(OR($A895="",$B895=""),"",SUMIFS(QuickLog!$L$2:$L$1000,QuickLog!$B$2:$B$1000,$B895,QuickLog!$O$2:$O$1000,$A895))</f>
        <v/>
      </c>
      <c r="I895" s="32">
        <f>IF($H895="","",$H895)</f>
        <v/>
      </c>
    </row>
    <row r="896">
      <c r="A896" s="29" t="n"/>
      <c r="B896" s="31" t="n"/>
      <c r="C896" s="31">
        <f>IF(OR($A896="",$B896=""),"",SUMIFS(QuickLog!$K$2:$K$1000,QuickLog!$B$2:$B$1000,$B896,QuickLog!$O$2:$O$1000,$A896,QuickLog!$G$2:$G$1000,"Routine"))</f>
        <v/>
      </c>
      <c r="D896" s="31">
        <f>IF(OR($A896="",$B896=""),"",SUMIFS(QuickLog!$K$2:$K$1000,QuickLog!$B$2:$B$1000,$B896,QuickLog!$O$2:$O$1000,$A896,QuickLog!$G$2:$G$1000,"&lt;&gt;Routine"))</f>
        <v/>
      </c>
      <c r="E896" s="31">
        <f>IF($C896="","",MIN($C896,Settings!$B$2))</f>
        <v/>
      </c>
      <c r="F896" s="31">
        <f>IF($C896="","",MAX(0,$C896-$E896))</f>
        <v/>
      </c>
      <c r="G896" s="31">
        <f>IF(OR($E896="",$D896=""),"", $E896+$D896)</f>
        <v/>
      </c>
      <c r="H896" s="31">
        <f>IF(OR($A896="",$B896=""),"",SUMIFS(QuickLog!$L$2:$L$1000,QuickLog!$B$2:$B$1000,$B896,QuickLog!$O$2:$O$1000,$A896))</f>
        <v/>
      </c>
      <c r="I896" s="32">
        <f>IF($H896="","",$H896)</f>
        <v/>
      </c>
    </row>
    <row r="897">
      <c r="A897" s="29" t="n"/>
      <c r="B897" s="31" t="n"/>
      <c r="C897" s="31">
        <f>IF(OR($A897="",$B897=""),"",SUMIFS(QuickLog!$K$2:$K$1000,QuickLog!$B$2:$B$1000,$B897,QuickLog!$O$2:$O$1000,$A897,QuickLog!$G$2:$G$1000,"Routine"))</f>
        <v/>
      </c>
      <c r="D897" s="31">
        <f>IF(OR($A897="",$B897=""),"",SUMIFS(QuickLog!$K$2:$K$1000,QuickLog!$B$2:$B$1000,$B897,QuickLog!$O$2:$O$1000,$A897,QuickLog!$G$2:$G$1000,"&lt;&gt;Routine"))</f>
        <v/>
      </c>
      <c r="E897" s="31">
        <f>IF($C897="","",MIN($C897,Settings!$B$2))</f>
        <v/>
      </c>
      <c r="F897" s="31">
        <f>IF($C897="","",MAX(0,$C897-$E897))</f>
        <v/>
      </c>
      <c r="G897" s="31">
        <f>IF(OR($E897="",$D897=""),"", $E897+$D897)</f>
        <v/>
      </c>
      <c r="H897" s="31">
        <f>IF(OR($A897="",$B897=""),"",SUMIFS(QuickLog!$L$2:$L$1000,QuickLog!$B$2:$B$1000,$B897,QuickLog!$O$2:$O$1000,$A897))</f>
        <v/>
      </c>
      <c r="I897" s="32">
        <f>IF($H897="","",$H897)</f>
        <v/>
      </c>
    </row>
    <row r="898">
      <c r="A898" s="29" t="n"/>
      <c r="B898" s="31" t="n"/>
      <c r="C898" s="31">
        <f>IF(OR($A898="",$B898=""),"",SUMIFS(QuickLog!$K$2:$K$1000,QuickLog!$B$2:$B$1000,$B898,QuickLog!$O$2:$O$1000,$A898,QuickLog!$G$2:$G$1000,"Routine"))</f>
        <v/>
      </c>
      <c r="D898" s="31">
        <f>IF(OR($A898="",$B898=""),"",SUMIFS(QuickLog!$K$2:$K$1000,QuickLog!$B$2:$B$1000,$B898,QuickLog!$O$2:$O$1000,$A898,QuickLog!$G$2:$G$1000,"&lt;&gt;Routine"))</f>
        <v/>
      </c>
      <c r="E898" s="31">
        <f>IF($C898="","",MIN($C898,Settings!$B$2))</f>
        <v/>
      </c>
      <c r="F898" s="31">
        <f>IF($C898="","",MAX(0,$C898-$E898))</f>
        <v/>
      </c>
      <c r="G898" s="31">
        <f>IF(OR($E898="",$D898=""),"", $E898+$D898)</f>
        <v/>
      </c>
      <c r="H898" s="31">
        <f>IF(OR($A898="",$B898=""),"",SUMIFS(QuickLog!$L$2:$L$1000,QuickLog!$B$2:$B$1000,$B898,QuickLog!$O$2:$O$1000,$A898))</f>
        <v/>
      </c>
      <c r="I898" s="32">
        <f>IF($H898="","",$H898)</f>
        <v/>
      </c>
    </row>
    <row r="899">
      <c r="A899" s="29" t="n"/>
      <c r="B899" s="31" t="n"/>
      <c r="C899" s="31">
        <f>IF(OR($A899="",$B899=""),"",SUMIFS(QuickLog!$K$2:$K$1000,QuickLog!$B$2:$B$1000,$B899,QuickLog!$O$2:$O$1000,$A899,QuickLog!$G$2:$G$1000,"Routine"))</f>
        <v/>
      </c>
      <c r="D899" s="31">
        <f>IF(OR($A899="",$B899=""),"",SUMIFS(QuickLog!$K$2:$K$1000,QuickLog!$B$2:$B$1000,$B899,QuickLog!$O$2:$O$1000,$A899,QuickLog!$G$2:$G$1000,"&lt;&gt;Routine"))</f>
        <v/>
      </c>
      <c r="E899" s="31">
        <f>IF($C899="","",MIN($C899,Settings!$B$2))</f>
        <v/>
      </c>
      <c r="F899" s="31">
        <f>IF($C899="","",MAX(0,$C899-$E899))</f>
        <v/>
      </c>
      <c r="G899" s="31">
        <f>IF(OR($E899="",$D899=""),"", $E899+$D899)</f>
        <v/>
      </c>
      <c r="H899" s="31">
        <f>IF(OR($A899="",$B899=""),"",SUMIFS(QuickLog!$L$2:$L$1000,QuickLog!$B$2:$B$1000,$B899,QuickLog!$O$2:$O$1000,$A899))</f>
        <v/>
      </c>
      <c r="I899" s="32">
        <f>IF($H899="","",$H899)</f>
        <v/>
      </c>
    </row>
    <row r="900">
      <c r="A900" s="29" t="n"/>
      <c r="B900" s="31" t="n"/>
      <c r="C900" s="31">
        <f>IF(OR($A900="",$B900=""),"",SUMIFS(QuickLog!$K$2:$K$1000,QuickLog!$B$2:$B$1000,$B900,QuickLog!$O$2:$O$1000,$A900,QuickLog!$G$2:$G$1000,"Routine"))</f>
        <v/>
      </c>
      <c r="D900" s="31">
        <f>IF(OR($A900="",$B900=""),"",SUMIFS(QuickLog!$K$2:$K$1000,QuickLog!$B$2:$B$1000,$B900,QuickLog!$O$2:$O$1000,$A900,QuickLog!$G$2:$G$1000,"&lt;&gt;Routine"))</f>
        <v/>
      </c>
      <c r="E900" s="31">
        <f>IF($C900="","",MIN($C900,Settings!$B$2))</f>
        <v/>
      </c>
      <c r="F900" s="31">
        <f>IF($C900="","",MAX(0,$C900-$E900))</f>
        <v/>
      </c>
      <c r="G900" s="31">
        <f>IF(OR($E900="",$D900=""),"", $E900+$D900)</f>
        <v/>
      </c>
      <c r="H900" s="31">
        <f>IF(OR($A900="",$B900=""),"",SUMIFS(QuickLog!$L$2:$L$1000,QuickLog!$B$2:$B$1000,$B900,QuickLog!$O$2:$O$1000,$A900))</f>
        <v/>
      </c>
      <c r="I900" s="32">
        <f>IF($H900="","",$H900)</f>
        <v/>
      </c>
    </row>
    <row r="901">
      <c r="A901" s="29" t="n"/>
      <c r="B901" s="31" t="n"/>
      <c r="C901" s="31">
        <f>IF(OR($A901="",$B901=""),"",SUMIFS(QuickLog!$K$2:$K$1000,QuickLog!$B$2:$B$1000,$B901,QuickLog!$O$2:$O$1000,$A901,QuickLog!$G$2:$G$1000,"Routine"))</f>
        <v/>
      </c>
      <c r="D901" s="31">
        <f>IF(OR($A901="",$B901=""),"",SUMIFS(QuickLog!$K$2:$K$1000,QuickLog!$B$2:$B$1000,$B901,QuickLog!$O$2:$O$1000,$A901,QuickLog!$G$2:$G$1000,"&lt;&gt;Routine"))</f>
        <v/>
      </c>
      <c r="E901" s="31">
        <f>IF($C901="","",MIN($C901,Settings!$B$2))</f>
        <v/>
      </c>
      <c r="F901" s="31">
        <f>IF($C901="","",MAX(0,$C901-$E901))</f>
        <v/>
      </c>
      <c r="G901" s="31">
        <f>IF(OR($E901="",$D901=""),"", $E901+$D901)</f>
        <v/>
      </c>
      <c r="H901" s="31">
        <f>IF(OR($A901="",$B901=""),"",SUMIFS(QuickLog!$L$2:$L$1000,QuickLog!$B$2:$B$1000,$B901,QuickLog!$O$2:$O$1000,$A901))</f>
        <v/>
      </c>
      <c r="I901" s="32">
        <f>IF($H901="","",$H901)</f>
        <v/>
      </c>
    </row>
    <row r="902">
      <c r="A902" s="29" t="n"/>
      <c r="B902" s="31" t="n"/>
      <c r="C902" s="31">
        <f>IF(OR($A902="",$B902=""),"",SUMIFS(QuickLog!$K$2:$K$1000,QuickLog!$B$2:$B$1000,$B902,QuickLog!$O$2:$O$1000,$A902,QuickLog!$G$2:$G$1000,"Routine"))</f>
        <v/>
      </c>
      <c r="D902" s="31">
        <f>IF(OR($A902="",$B902=""),"",SUMIFS(QuickLog!$K$2:$K$1000,QuickLog!$B$2:$B$1000,$B902,QuickLog!$O$2:$O$1000,$A902,QuickLog!$G$2:$G$1000,"&lt;&gt;Routine"))</f>
        <v/>
      </c>
      <c r="E902" s="31">
        <f>IF($C902="","",MIN($C902,Settings!$B$2))</f>
        <v/>
      </c>
      <c r="F902" s="31">
        <f>IF($C902="","",MAX(0,$C902-$E902))</f>
        <v/>
      </c>
      <c r="G902" s="31">
        <f>IF(OR($E902="",$D902=""),"", $E902+$D902)</f>
        <v/>
      </c>
      <c r="H902" s="31">
        <f>IF(OR($A902="",$B902=""),"",SUMIFS(QuickLog!$L$2:$L$1000,QuickLog!$B$2:$B$1000,$B902,QuickLog!$O$2:$O$1000,$A902))</f>
        <v/>
      </c>
      <c r="I902" s="32">
        <f>IF($H902="","",$H902)</f>
        <v/>
      </c>
    </row>
    <row r="903">
      <c r="A903" s="29" t="n"/>
      <c r="B903" s="31" t="n"/>
      <c r="C903" s="31">
        <f>IF(OR($A903="",$B903=""),"",SUMIFS(QuickLog!$K$2:$K$1000,QuickLog!$B$2:$B$1000,$B903,QuickLog!$O$2:$O$1000,$A903,QuickLog!$G$2:$G$1000,"Routine"))</f>
        <v/>
      </c>
      <c r="D903" s="31">
        <f>IF(OR($A903="",$B903=""),"",SUMIFS(QuickLog!$K$2:$K$1000,QuickLog!$B$2:$B$1000,$B903,QuickLog!$O$2:$O$1000,$A903,QuickLog!$G$2:$G$1000,"&lt;&gt;Routine"))</f>
        <v/>
      </c>
      <c r="E903" s="31">
        <f>IF($C903="","",MIN($C903,Settings!$B$2))</f>
        <v/>
      </c>
      <c r="F903" s="31">
        <f>IF($C903="","",MAX(0,$C903-$E903))</f>
        <v/>
      </c>
      <c r="G903" s="31">
        <f>IF(OR($E903="",$D903=""),"", $E903+$D903)</f>
        <v/>
      </c>
      <c r="H903" s="31">
        <f>IF(OR($A903="",$B903=""),"",SUMIFS(QuickLog!$L$2:$L$1000,QuickLog!$B$2:$B$1000,$B903,QuickLog!$O$2:$O$1000,$A903))</f>
        <v/>
      </c>
      <c r="I903" s="32">
        <f>IF($H903="","",$H903)</f>
        <v/>
      </c>
    </row>
    <row r="904">
      <c r="A904" s="29" t="n"/>
      <c r="B904" s="31" t="n"/>
      <c r="C904" s="31">
        <f>IF(OR($A904="",$B904=""),"",SUMIFS(QuickLog!$K$2:$K$1000,QuickLog!$B$2:$B$1000,$B904,QuickLog!$O$2:$O$1000,$A904,QuickLog!$G$2:$G$1000,"Routine"))</f>
        <v/>
      </c>
      <c r="D904" s="31">
        <f>IF(OR($A904="",$B904=""),"",SUMIFS(QuickLog!$K$2:$K$1000,QuickLog!$B$2:$B$1000,$B904,QuickLog!$O$2:$O$1000,$A904,QuickLog!$G$2:$G$1000,"&lt;&gt;Routine"))</f>
        <v/>
      </c>
      <c r="E904" s="31">
        <f>IF($C904="","",MIN($C904,Settings!$B$2))</f>
        <v/>
      </c>
      <c r="F904" s="31">
        <f>IF($C904="","",MAX(0,$C904-$E904))</f>
        <v/>
      </c>
      <c r="G904" s="31">
        <f>IF(OR($E904="",$D904=""),"", $E904+$D904)</f>
        <v/>
      </c>
      <c r="H904" s="31">
        <f>IF(OR($A904="",$B904=""),"",SUMIFS(QuickLog!$L$2:$L$1000,QuickLog!$B$2:$B$1000,$B904,QuickLog!$O$2:$O$1000,$A904))</f>
        <v/>
      </c>
      <c r="I904" s="32">
        <f>IF($H904="","",$H904)</f>
        <v/>
      </c>
    </row>
    <row r="905">
      <c r="A905" s="29" t="n"/>
      <c r="B905" s="31" t="n"/>
      <c r="C905" s="31">
        <f>IF(OR($A905="",$B905=""),"",SUMIFS(QuickLog!$K$2:$K$1000,QuickLog!$B$2:$B$1000,$B905,QuickLog!$O$2:$O$1000,$A905,QuickLog!$G$2:$G$1000,"Routine"))</f>
        <v/>
      </c>
      <c r="D905" s="31">
        <f>IF(OR($A905="",$B905=""),"",SUMIFS(QuickLog!$K$2:$K$1000,QuickLog!$B$2:$B$1000,$B905,QuickLog!$O$2:$O$1000,$A905,QuickLog!$G$2:$G$1000,"&lt;&gt;Routine"))</f>
        <v/>
      </c>
      <c r="E905" s="31">
        <f>IF($C905="","",MIN($C905,Settings!$B$2))</f>
        <v/>
      </c>
      <c r="F905" s="31">
        <f>IF($C905="","",MAX(0,$C905-$E905))</f>
        <v/>
      </c>
      <c r="G905" s="31">
        <f>IF(OR($E905="",$D905=""),"", $E905+$D905)</f>
        <v/>
      </c>
      <c r="H905" s="31">
        <f>IF(OR($A905="",$B905=""),"",SUMIFS(QuickLog!$L$2:$L$1000,QuickLog!$B$2:$B$1000,$B905,QuickLog!$O$2:$O$1000,$A905))</f>
        <v/>
      </c>
      <c r="I905" s="32">
        <f>IF($H905="","",$H905)</f>
        <v/>
      </c>
    </row>
    <row r="906">
      <c r="A906" s="29" t="n"/>
      <c r="B906" s="31" t="n"/>
      <c r="C906" s="31">
        <f>IF(OR($A906="",$B906=""),"",SUMIFS(QuickLog!$K$2:$K$1000,QuickLog!$B$2:$B$1000,$B906,QuickLog!$O$2:$O$1000,$A906,QuickLog!$G$2:$G$1000,"Routine"))</f>
        <v/>
      </c>
      <c r="D906" s="31">
        <f>IF(OR($A906="",$B906=""),"",SUMIFS(QuickLog!$K$2:$K$1000,QuickLog!$B$2:$B$1000,$B906,QuickLog!$O$2:$O$1000,$A906,QuickLog!$G$2:$G$1000,"&lt;&gt;Routine"))</f>
        <v/>
      </c>
      <c r="E906" s="31">
        <f>IF($C906="","",MIN($C906,Settings!$B$2))</f>
        <v/>
      </c>
      <c r="F906" s="31">
        <f>IF($C906="","",MAX(0,$C906-$E906))</f>
        <v/>
      </c>
      <c r="G906" s="31">
        <f>IF(OR($E906="",$D906=""),"", $E906+$D906)</f>
        <v/>
      </c>
      <c r="H906" s="31">
        <f>IF(OR($A906="",$B906=""),"",SUMIFS(QuickLog!$L$2:$L$1000,QuickLog!$B$2:$B$1000,$B906,QuickLog!$O$2:$O$1000,$A906))</f>
        <v/>
      </c>
      <c r="I906" s="32">
        <f>IF($H906="","",$H906)</f>
        <v/>
      </c>
    </row>
    <row r="907">
      <c r="A907" s="29" t="n"/>
      <c r="B907" s="31" t="n"/>
      <c r="C907" s="31">
        <f>IF(OR($A907="",$B907=""),"",SUMIFS(QuickLog!$K$2:$K$1000,QuickLog!$B$2:$B$1000,$B907,QuickLog!$O$2:$O$1000,$A907,QuickLog!$G$2:$G$1000,"Routine"))</f>
        <v/>
      </c>
      <c r="D907" s="31">
        <f>IF(OR($A907="",$B907=""),"",SUMIFS(QuickLog!$K$2:$K$1000,QuickLog!$B$2:$B$1000,$B907,QuickLog!$O$2:$O$1000,$A907,QuickLog!$G$2:$G$1000,"&lt;&gt;Routine"))</f>
        <v/>
      </c>
      <c r="E907" s="31">
        <f>IF($C907="","",MIN($C907,Settings!$B$2))</f>
        <v/>
      </c>
      <c r="F907" s="31">
        <f>IF($C907="","",MAX(0,$C907-$E907))</f>
        <v/>
      </c>
      <c r="G907" s="31">
        <f>IF(OR($E907="",$D907=""),"", $E907+$D907)</f>
        <v/>
      </c>
      <c r="H907" s="31">
        <f>IF(OR($A907="",$B907=""),"",SUMIFS(QuickLog!$L$2:$L$1000,QuickLog!$B$2:$B$1000,$B907,QuickLog!$O$2:$O$1000,$A907))</f>
        <v/>
      </c>
      <c r="I907" s="32">
        <f>IF($H907="","",$H907)</f>
        <v/>
      </c>
    </row>
    <row r="908">
      <c r="A908" s="29" t="n"/>
      <c r="B908" s="31" t="n"/>
      <c r="C908" s="31">
        <f>IF(OR($A908="",$B908=""),"",SUMIFS(QuickLog!$K$2:$K$1000,QuickLog!$B$2:$B$1000,$B908,QuickLog!$O$2:$O$1000,$A908,QuickLog!$G$2:$G$1000,"Routine"))</f>
        <v/>
      </c>
      <c r="D908" s="31">
        <f>IF(OR($A908="",$B908=""),"",SUMIFS(QuickLog!$K$2:$K$1000,QuickLog!$B$2:$B$1000,$B908,QuickLog!$O$2:$O$1000,$A908,QuickLog!$G$2:$G$1000,"&lt;&gt;Routine"))</f>
        <v/>
      </c>
      <c r="E908" s="31">
        <f>IF($C908="","",MIN($C908,Settings!$B$2))</f>
        <v/>
      </c>
      <c r="F908" s="31">
        <f>IF($C908="","",MAX(0,$C908-$E908))</f>
        <v/>
      </c>
      <c r="G908" s="31">
        <f>IF(OR($E908="",$D908=""),"", $E908+$D908)</f>
        <v/>
      </c>
      <c r="H908" s="31">
        <f>IF(OR($A908="",$B908=""),"",SUMIFS(QuickLog!$L$2:$L$1000,QuickLog!$B$2:$B$1000,$B908,QuickLog!$O$2:$O$1000,$A908))</f>
        <v/>
      </c>
      <c r="I908" s="32">
        <f>IF($H908="","",$H908)</f>
        <v/>
      </c>
    </row>
    <row r="909">
      <c r="A909" s="29" t="n"/>
      <c r="B909" s="31" t="n"/>
      <c r="C909" s="31">
        <f>IF(OR($A909="",$B909=""),"",SUMIFS(QuickLog!$K$2:$K$1000,QuickLog!$B$2:$B$1000,$B909,QuickLog!$O$2:$O$1000,$A909,QuickLog!$G$2:$G$1000,"Routine"))</f>
        <v/>
      </c>
      <c r="D909" s="31">
        <f>IF(OR($A909="",$B909=""),"",SUMIFS(QuickLog!$K$2:$K$1000,QuickLog!$B$2:$B$1000,$B909,QuickLog!$O$2:$O$1000,$A909,QuickLog!$G$2:$G$1000,"&lt;&gt;Routine"))</f>
        <v/>
      </c>
      <c r="E909" s="31">
        <f>IF($C909="","",MIN($C909,Settings!$B$2))</f>
        <v/>
      </c>
      <c r="F909" s="31">
        <f>IF($C909="","",MAX(0,$C909-$E909))</f>
        <v/>
      </c>
      <c r="G909" s="31">
        <f>IF(OR($E909="",$D909=""),"", $E909+$D909)</f>
        <v/>
      </c>
      <c r="H909" s="31">
        <f>IF(OR($A909="",$B909=""),"",SUMIFS(QuickLog!$L$2:$L$1000,QuickLog!$B$2:$B$1000,$B909,QuickLog!$O$2:$O$1000,$A909))</f>
        <v/>
      </c>
      <c r="I909" s="32">
        <f>IF($H909="","",$H909)</f>
        <v/>
      </c>
    </row>
    <row r="910">
      <c r="A910" s="29" t="n"/>
      <c r="B910" s="31" t="n"/>
      <c r="C910" s="31">
        <f>IF(OR($A910="",$B910=""),"",SUMIFS(QuickLog!$K$2:$K$1000,QuickLog!$B$2:$B$1000,$B910,QuickLog!$O$2:$O$1000,$A910,QuickLog!$G$2:$G$1000,"Routine"))</f>
        <v/>
      </c>
      <c r="D910" s="31">
        <f>IF(OR($A910="",$B910=""),"",SUMIFS(QuickLog!$K$2:$K$1000,QuickLog!$B$2:$B$1000,$B910,QuickLog!$O$2:$O$1000,$A910,QuickLog!$G$2:$G$1000,"&lt;&gt;Routine"))</f>
        <v/>
      </c>
      <c r="E910" s="31">
        <f>IF($C910="","",MIN($C910,Settings!$B$2))</f>
        <v/>
      </c>
      <c r="F910" s="31">
        <f>IF($C910="","",MAX(0,$C910-$E910))</f>
        <v/>
      </c>
      <c r="G910" s="31">
        <f>IF(OR($E910="",$D910=""),"", $E910+$D910)</f>
        <v/>
      </c>
      <c r="H910" s="31">
        <f>IF(OR($A910="",$B910=""),"",SUMIFS(QuickLog!$L$2:$L$1000,QuickLog!$B$2:$B$1000,$B910,QuickLog!$O$2:$O$1000,$A910))</f>
        <v/>
      </c>
      <c r="I910" s="32">
        <f>IF($H910="","",$H910)</f>
        <v/>
      </c>
    </row>
    <row r="911">
      <c r="A911" s="29" t="n"/>
      <c r="B911" s="31" t="n"/>
      <c r="C911" s="31">
        <f>IF(OR($A911="",$B911=""),"",SUMIFS(QuickLog!$K$2:$K$1000,QuickLog!$B$2:$B$1000,$B911,QuickLog!$O$2:$O$1000,$A911,QuickLog!$G$2:$G$1000,"Routine"))</f>
        <v/>
      </c>
      <c r="D911" s="31">
        <f>IF(OR($A911="",$B911=""),"",SUMIFS(QuickLog!$K$2:$K$1000,QuickLog!$B$2:$B$1000,$B911,QuickLog!$O$2:$O$1000,$A911,QuickLog!$G$2:$G$1000,"&lt;&gt;Routine"))</f>
        <v/>
      </c>
      <c r="E911" s="31">
        <f>IF($C911="","",MIN($C911,Settings!$B$2))</f>
        <v/>
      </c>
      <c r="F911" s="31">
        <f>IF($C911="","",MAX(0,$C911-$E911))</f>
        <v/>
      </c>
      <c r="G911" s="31">
        <f>IF(OR($E911="",$D911=""),"", $E911+$D911)</f>
        <v/>
      </c>
      <c r="H911" s="31">
        <f>IF(OR($A911="",$B911=""),"",SUMIFS(QuickLog!$L$2:$L$1000,QuickLog!$B$2:$B$1000,$B911,QuickLog!$O$2:$O$1000,$A911))</f>
        <v/>
      </c>
      <c r="I911" s="32">
        <f>IF($H911="","",$H911)</f>
        <v/>
      </c>
    </row>
    <row r="912">
      <c r="A912" s="29" t="n"/>
      <c r="B912" s="31" t="n"/>
      <c r="C912" s="31">
        <f>IF(OR($A912="",$B912=""),"",SUMIFS(QuickLog!$K$2:$K$1000,QuickLog!$B$2:$B$1000,$B912,QuickLog!$O$2:$O$1000,$A912,QuickLog!$G$2:$G$1000,"Routine"))</f>
        <v/>
      </c>
      <c r="D912" s="31">
        <f>IF(OR($A912="",$B912=""),"",SUMIFS(QuickLog!$K$2:$K$1000,QuickLog!$B$2:$B$1000,$B912,QuickLog!$O$2:$O$1000,$A912,QuickLog!$G$2:$G$1000,"&lt;&gt;Routine"))</f>
        <v/>
      </c>
      <c r="E912" s="31">
        <f>IF($C912="","",MIN($C912,Settings!$B$2))</f>
        <v/>
      </c>
      <c r="F912" s="31">
        <f>IF($C912="","",MAX(0,$C912-$E912))</f>
        <v/>
      </c>
      <c r="G912" s="31">
        <f>IF(OR($E912="",$D912=""),"", $E912+$D912)</f>
        <v/>
      </c>
      <c r="H912" s="31">
        <f>IF(OR($A912="",$B912=""),"",SUMIFS(QuickLog!$L$2:$L$1000,QuickLog!$B$2:$B$1000,$B912,QuickLog!$O$2:$O$1000,$A912))</f>
        <v/>
      </c>
      <c r="I912" s="32">
        <f>IF($H912="","",$H912)</f>
        <v/>
      </c>
    </row>
    <row r="913">
      <c r="A913" s="29" t="n"/>
      <c r="B913" s="31" t="n"/>
      <c r="C913" s="31">
        <f>IF(OR($A913="",$B913=""),"",SUMIFS(QuickLog!$K$2:$K$1000,QuickLog!$B$2:$B$1000,$B913,QuickLog!$O$2:$O$1000,$A913,QuickLog!$G$2:$G$1000,"Routine"))</f>
        <v/>
      </c>
      <c r="D913" s="31">
        <f>IF(OR($A913="",$B913=""),"",SUMIFS(QuickLog!$K$2:$K$1000,QuickLog!$B$2:$B$1000,$B913,QuickLog!$O$2:$O$1000,$A913,QuickLog!$G$2:$G$1000,"&lt;&gt;Routine"))</f>
        <v/>
      </c>
      <c r="E913" s="31">
        <f>IF($C913="","",MIN($C913,Settings!$B$2))</f>
        <v/>
      </c>
      <c r="F913" s="31">
        <f>IF($C913="","",MAX(0,$C913-$E913))</f>
        <v/>
      </c>
      <c r="G913" s="31">
        <f>IF(OR($E913="",$D913=""),"", $E913+$D913)</f>
        <v/>
      </c>
      <c r="H913" s="31">
        <f>IF(OR($A913="",$B913=""),"",SUMIFS(QuickLog!$L$2:$L$1000,QuickLog!$B$2:$B$1000,$B913,QuickLog!$O$2:$O$1000,$A913))</f>
        <v/>
      </c>
      <c r="I913" s="32">
        <f>IF($H913="","",$H913)</f>
        <v/>
      </c>
    </row>
    <row r="914">
      <c r="A914" s="29" t="n"/>
      <c r="B914" s="31" t="n"/>
      <c r="C914" s="31">
        <f>IF(OR($A914="",$B914=""),"",SUMIFS(QuickLog!$K$2:$K$1000,QuickLog!$B$2:$B$1000,$B914,QuickLog!$O$2:$O$1000,$A914,QuickLog!$G$2:$G$1000,"Routine"))</f>
        <v/>
      </c>
      <c r="D914" s="31">
        <f>IF(OR($A914="",$B914=""),"",SUMIFS(QuickLog!$K$2:$K$1000,QuickLog!$B$2:$B$1000,$B914,QuickLog!$O$2:$O$1000,$A914,QuickLog!$G$2:$G$1000,"&lt;&gt;Routine"))</f>
        <v/>
      </c>
      <c r="E914" s="31">
        <f>IF($C914="","",MIN($C914,Settings!$B$2))</f>
        <v/>
      </c>
      <c r="F914" s="31">
        <f>IF($C914="","",MAX(0,$C914-$E914))</f>
        <v/>
      </c>
      <c r="G914" s="31">
        <f>IF(OR($E914="",$D914=""),"", $E914+$D914)</f>
        <v/>
      </c>
      <c r="H914" s="31">
        <f>IF(OR($A914="",$B914=""),"",SUMIFS(QuickLog!$L$2:$L$1000,QuickLog!$B$2:$B$1000,$B914,QuickLog!$O$2:$O$1000,$A914))</f>
        <v/>
      </c>
      <c r="I914" s="32">
        <f>IF($H914="","",$H914)</f>
        <v/>
      </c>
    </row>
    <row r="915">
      <c r="A915" s="29" t="n"/>
      <c r="B915" s="31" t="n"/>
      <c r="C915" s="31">
        <f>IF(OR($A915="",$B915=""),"",SUMIFS(QuickLog!$K$2:$K$1000,QuickLog!$B$2:$B$1000,$B915,QuickLog!$O$2:$O$1000,$A915,QuickLog!$G$2:$G$1000,"Routine"))</f>
        <v/>
      </c>
      <c r="D915" s="31">
        <f>IF(OR($A915="",$B915=""),"",SUMIFS(QuickLog!$K$2:$K$1000,QuickLog!$B$2:$B$1000,$B915,QuickLog!$O$2:$O$1000,$A915,QuickLog!$G$2:$G$1000,"&lt;&gt;Routine"))</f>
        <v/>
      </c>
      <c r="E915" s="31">
        <f>IF($C915="","",MIN($C915,Settings!$B$2))</f>
        <v/>
      </c>
      <c r="F915" s="31">
        <f>IF($C915="","",MAX(0,$C915-$E915))</f>
        <v/>
      </c>
      <c r="G915" s="31">
        <f>IF(OR($E915="",$D915=""),"", $E915+$D915)</f>
        <v/>
      </c>
      <c r="H915" s="31">
        <f>IF(OR($A915="",$B915=""),"",SUMIFS(QuickLog!$L$2:$L$1000,QuickLog!$B$2:$B$1000,$B915,QuickLog!$O$2:$O$1000,$A915))</f>
        <v/>
      </c>
      <c r="I915" s="32">
        <f>IF($H915="","",$H915)</f>
        <v/>
      </c>
    </row>
    <row r="916">
      <c r="A916" s="29" t="n"/>
      <c r="B916" s="31" t="n"/>
      <c r="C916" s="31">
        <f>IF(OR($A916="",$B916=""),"",SUMIFS(QuickLog!$K$2:$K$1000,QuickLog!$B$2:$B$1000,$B916,QuickLog!$O$2:$O$1000,$A916,QuickLog!$G$2:$G$1000,"Routine"))</f>
        <v/>
      </c>
      <c r="D916" s="31">
        <f>IF(OR($A916="",$B916=""),"",SUMIFS(QuickLog!$K$2:$K$1000,QuickLog!$B$2:$B$1000,$B916,QuickLog!$O$2:$O$1000,$A916,QuickLog!$G$2:$G$1000,"&lt;&gt;Routine"))</f>
        <v/>
      </c>
      <c r="E916" s="31">
        <f>IF($C916="","",MIN($C916,Settings!$B$2))</f>
        <v/>
      </c>
      <c r="F916" s="31">
        <f>IF($C916="","",MAX(0,$C916-$E916))</f>
        <v/>
      </c>
      <c r="G916" s="31">
        <f>IF(OR($E916="",$D916=""),"", $E916+$D916)</f>
        <v/>
      </c>
      <c r="H916" s="31">
        <f>IF(OR($A916="",$B916=""),"",SUMIFS(QuickLog!$L$2:$L$1000,QuickLog!$B$2:$B$1000,$B916,QuickLog!$O$2:$O$1000,$A916))</f>
        <v/>
      </c>
      <c r="I916" s="32">
        <f>IF($H916="","",$H916)</f>
        <v/>
      </c>
    </row>
    <row r="917">
      <c r="A917" s="29" t="n"/>
      <c r="B917" s="31" t="n"/>
      <c r="C917" s="31">
        <f>IF(OR($A917="",$B917=""),"",SUMIFS(QuickLog!$K$2:$K$1000,QuickLog!$B$2:$B$1000,$B917,QuickLog!$O$2:$O$1000,$A917,QuickLog!$G$2:$G$1000,"Routine"))</f>
        <v/>
      </c>
      <c r="D917" s="31">
        <f>IF(OR($A917="",$B917=""),"",SUMIFS(QuickLog!$K$2:$K$1000,QuickLog!$B$2:$B$1000,$B917,QuickLog!$O$2:$O$1000,$A917,QuickLog!$G$2:$G$1000,"&lt;&gt;Routine"))</f>
        <v/>
      </c>
      <c r="E917" s="31">
        <f>IF($C917="","",MIN($C917,Settings!$B$2))</f>
        <v/>
      </c>
      <c r="F917" s="31">
        <f>IF($C917="","",MAX(0,$C917-$E917))</f>
        <v/>
      </c>
      <c r="G917" s="31">
        <f>IF(OR($E917="",$D917=""),"", $E917+$D917)</f>
        <v/>
      </c>
      <c r="H917" s="31">
        <f>IF(OR($A917="",$B917=""),"",SUMIFS(QuickLog!$L$2:$L$1000,QuickLog!$B$2:$B$1000,$B917,QuickLog!$O$2:$O$1000,$A917))</f>
        <v/>
      </c>
      <c r="I917" s="32">
        <f>IF($H917="","",$H917)</f>
        <v/>
      </c>
    </row>
    <row r="918">
      <c r="A918" s="29" t="n"/>
      <c r="B918" s="31" t="n"/>
      <c r="C918" s="31">
        <f>IF(OR($A918="",$B918=""),"",SUMIFS(QuickLog!$K$2:$K$1000,QuickLog!$B$2:$B$1000,$B918,QuickLog!$O$2:$O$1000,$A918,QuickLog!$G$2:$G$1000,"Routine"))</f>
        <v/>
      </c>
      <c r="D918" s="31">
        <f>IF(OR($A918="",$B918=""),"",SUMIFS(QuickLog!$K$2:$K$1000,QuickLog!$B$2:$B$1000,$B918,QuickLog!$O$2:$O$1000,$A918,QuickLog!$G$2:$G$1000,"&lt;&gt;Routine"))</f>
        <v/>
      </c>
      <c r="E918" s="31">
        <f>IF($C918="","",MIN($C918,Settings!$B$2))</f>
        <v/>
      </c>
      <c r="F918" s="31">
        <f>IF($C918="","",MAX(0,$C918-$E918))</f>
        <v/>
      </c>
      <c r="G918" s="31">
        <f>IF(OR($E918="",$D918=""),"", $E918+$D918)</f>
        <v/>
      </c>
      <c r="H918" s="31">
        <f>IF(OR($A918="",$B918=""),"",SUMIFS(QuickLog!$L$2:$L$1000,QuickLog!$B$2:$B$1000,$B918,QuickLog!$O$2:$O$1000,$A918))</f>
        <v/>
      </c>
      <c r="I918" s="32">
        <f>IF($H918="","",$H918)</f>
        <v/>
      </c>
    </row>
    <row r="919">
      <c r="A919" s="29" t="n"/>
      <c r="B919" s="31" t="n"/>
      <c r="C919" s="31">
        <f>IF(OR($A919="",$B919=""),"",SUMIFS(QuickLog!$K$2:$K$1000,QuickLog!$B$2:$B$1000,$B919,QuickLog!$O$2:$O$1000,$A919,QuickLog!$G$2:$G$1000,"Routine"))</f>
        <v/>
      </c>
      <c r="D919" s="31">
        <f>IF(OR($A919="",$B919=""),"",SUMIFS(QuickLog!$K$2:$K$1000,QuickLog!$B$2:$B$1000,$B919,QuickLog!$O$2:$O$1000,$A919,QuickLog!$G$2:$G$1000,"&lt;&gt;Routine"))</f>
        <v/>
      </c>
      <c r="E919" s="31">
        <f>IF($C919="","",MIN($C919,Settings!$B$2))</f>
        <v/>
      </c>
      <c r="F919" s="31">
        <f>IF($C919="","",MAX(0,$C919-$E919))</f>
        <v/>
      </c>
      <c r="G919" s="31">
        <f>IF(OR($E919="",$D919=""),"", $E919+$D919)</f>
        <v/>
      </c>
      <c r="H919" s="31">
        <f>IF(OR($A919="",$B919=""),"",SUMIFS(QuickLog!$L$2:$L$1000,QuickLog!$B$2:$B$1000,$B919,QuickLog!$O$2:$O$1000,$A919))</f>
        <v/>
      </c>
      <c r="I919" s="32">
        <f>IF($H919="","",$H919)</f>
        <v/>
      </c>
    </row>
    <row r="920">
      <c r="A920" s="29" t="n"/>
      <c r="B920" s="31" t="n"/>
      <c r="C920" s="31">
        <f>IF(OR($A920="",$B920=""),"",SUMIFS(QuickLog!$K$2:$K$1000,QuickLog!$B$2:$B$1000,$B920,QuickLog!$O$2:$O$1000,$A920,QuickLog!$G$2:$G$1000,"Routine"))</f>
        <v/>
      </c>
      <c r="D920" s="31">
        <f>IF(OR($A920="",$B920=""),"",SUMIFS(QuickLog!$K$2:$K$1000,QuickLog!$B$2:$B$1000,$B920,QuickLog!$O$2:$O$1000,$A920,QuickLog!$G$2:$G$1000,"&lt;&gt;Routine"))</f>
        <v/>
      </c>
      <c r="E920" s="31">
        <f>IF($C920="","",MIN($C920,Settings!$B$2))</f>
        <v/>
      </c>
      <c r="F920" s="31">
        <f>IF($C920="","",MAX(0,$C920-$E920))</f>
        <v/>
      </c>
      <c r="G920" s="31">
        <f>IF(OR($E920="",$D920=""),"", $E920+$D920)</f>
        <v/>
      </c>
      <c r="H920" s="31">
        <f>IF(OR($A920="",$B920=""),"",SUMIFS(QuickLog!$L$2:$L$1000,QuickLog!$B$2:$B$1000,$B920,QuickLog!$O$2:$O$1000,$A920))</f>
        <v/>
      </c>
      <c r="I920" s="32">
        <f>IF($H920="","",$H920)</f>
        <v/>
      </c>
    </row>
    <row r="921">
      <c r="A921" s="29" t="n"/>
      <c r="B921" s="31" t="n"/>
      <c r="C921" s="31">
        <f>IF(OR($A921="",$B921=""),"",SUMIFS(QuickLog!$K$2:$K$1000,QuickLog!$B$2:$B$1000,$B921,QuickLog!$O$2:$O$1000,$A921,QuickLog!$G$2:$G$1000,"Routine"))</f>
        <v/>
      </c>
      <c r="D921" s="31">
        <f>IF(OR($A921="",$B921=""),"",SUMIFS(QuickLog!$K$2:$K$1000,QuickLog!$B$2:$B$1000,$B921,QuickLog!$O$2:$O$1000,$A921,QuickLog!$G$2:$G$1000,"&lt;&gt;Routine"))</f>
        <v/>
      </c>
      <c r="E921" s="31">
        <f>IF($C921="","",MIN($C921,Settings!$B$2))</f>
        <v/>
      </c>
      <c r="F921" s="31">
        <f>IF($C921="","",MAX(0,$C921-$E921))</f>
        <v/>
      </c>
      <c r="G921" s="31">
        <f>IF(OR($E921="",$D921=""),"", $E921+$D921)</f>
        <v/>
      </c>
      <c r="H921" s="31">
        <f>IF(OR($A921="",$B921=""),"",SUMIFS(QuickLog!$L$2:$L$1000,QuickLog!$B$2:$B$1000,$B921,QuickLog!$O$2:$O$1000,$A921))</f>
        <v/>
      </c>
      <c r="I921" s="32">
        <f>IF($H921="","",$H921)</f>
        <v/>
      </c>
    </row>
    <row r="922">
      <c r="A922" s="29" t="n"/>
      <c r="B922" s="31" t="n"/>
      <c r="C922" s="31">
        <f>IF(OR($A922="",$B922=""),"",SUMIFS(QuickLog!$K$2:$K$1000,QuickLog!$B$2:$B$1000,$B922,QuickLog!$O$2:$O$1000,$A922,QuickLog!$G$2:$G$1000,"Routine"))</f>
        <v/>
      </c>
      <c r="D922" s="31">
        <f>IF(OR($A922="",$B922=""),"",SUMIFS(QuickLog!$K$2:$K$1000,QuickLog!$B$2:$B$1000,$B922,QuickLog!$O$2:$O$1000,$A922,QuickLog!$G$2:$G$1000,"&lt;&gt;Routine"))</f>
        <v/>
      </c>
      <c r="E922" s="31">
        <f>IF($C922="","",MIN($C922,Settings!$B$2))</f>
        <v/>
      </c>
      <c r="F922" s="31">
        <f>IF($C922="","",MAX(0,$C922-$E922))</f>
        <v/>
      </c>
      <c r="G922" s="31">
        <f>IF(OR($E922="",$D922=""),"", $E922+$D922)</f>
        <v/>
      </c>
      <c r="H922" s="31">
        <f>IF(OR($A922="",$B922=""),"",SUMIFS(QuickLog!$L$2:$L$1000,QuickLog!$B$2:$B$1000,$B922,QuickLog!$O$2:$O$1000,$A922))</f>
        <v/>
      </c>
      <c r="I922" s="32">
        <f>IF($H922="","",$H922)</f>
        <v/>
      </c>
    </row>
    <row r="923">
      <c r="A923" s="29" t="n"/>
      <c r="B923" s="31" t="n"/>
      <c r="C923" s="31">
        <f>IF(OR($A923="",$B923=""),"",SUMIFS(QuickLog!$K$2:$K$1000,QuickLog!$B$2:$B$1000,$B923,QuickLog!$O$2:$O$1000,$A923,QuickLog!$G$2:$G$1000,"Routine"))</f>
        <v/>
      </c>
      <c r="D923" s="31">
        <f>IF(OR($A923="",$B923=""),"",SUMIFS(QuickLog!$K$2:$K$1000,QuickLog!$B$2:$B$1000,$B923,QuickLog!$O$2:$O$1000,$A923,QuickLog!$G$2:$G$1000,"&lt;&gt;Routine"))</f>
        <v/>
      </c>
      <c r="E923" s="31">
        <f>IF($C923="","",MIN($C923,Settings!$B$2))</f>
        <v/>
      </c>
      <c r="F923" s="31">
        <f>IF($C923="","",MAX(0,$C923-$E923))</f>
        <v/>
      </c>
      <c r="G923" s="31">
        <f>IF(OR($E923="",$D923=""),"", $E923+$D923)</f>
        <v/>
      </c>
      <c r="H923" s="31">
        <f>IF(OR($A923="",$B923=""),"",SUMIFS(QuickLog!$L$2:$L$1000,QuickLog!$B$2:$B$1000,$B923,QuickLog!$O$2:$O$1000,$A923))</f>
        <v/>
      </c>
      <c r="I923" s="32">
        <f>IF($H923="","",$H923)</f>
        <v/>
      </c>
    </row>
    <row r="924">
      <c r="A924" s="29" t="n"/>
      <c r="B924" s="31" t="n"/>
      <c r="C924" s="31">
        <f>IF(OR($A924="",$B924=""),"",SUMIFS(QuickLog!$K$2:$K$1000,QuickLog!$B$2:$B$1000,$B924,QuickLog!$O$2:$O$1000,$A924,QuickLog!$G$2:$G$1000,"Routine"))</f>
        <v/>
      </c>
      <c r="D924" s="31">
        <f>IF(OR($A924="",$B924=""),"",SUMIFS(QuickLog!$K$2:$K$1000,QuickLog!$B$2:$B$1000,$B924,QuickLog!$O$2:$O$1000,$A924,QuickLog!$G$2:$G$1000,"&lt;&gt;Routine"))</f>
        <v/>
      </c>
      <c r="E924" s="31">
        <f>IF($C924="","",MIN($C924,Settings!$B$2))</f>
        <v/>
      </c>
      <c r="F924" s="31">
        <f>IF($C924="","",MAX(0,$C924-$E924))</f>
        <v/>
      </c>
      <c r="G924" s="31">
        <f>IF(OR($E924="",$D924=""),"", $E924+$D924)</f>
        <v/>
      </c>
      <c r="H924" s="31">
        <f>IF(OR($A924="",$B924=""),"",SUMIFS(QuickLog!$L$2:$L$1000,QuickLog!$B$2:$B$1000,$B924,QuickLog!$O$2:$O$1000,$A924))</f>
        <v/>
      </c>
      <c r="I924" s="32">
        <f>IF($H924="","",$H924)</f>
        <v/>
      </c>
    </row>
    <row r="925">
      <c r="A925" s="29" t="n"/>
      <c r="B925" s="31" t="n"/>
      <c r="C925" s="31">
        <f>IF(OR($A925="",$B925=""),"",SUMIFS(QuickLog!$K$2:$K$1000,QuickLog!$B$2:$B$1000,$B925,QuickLog!$O$2:$O$1000,$A925,QuickLog!$G$2:$G$1000,"Routine"))</f>
        <v/>
      </c>
      <c r="D925" s="31">
        <f>IF(OR($A925="",$B925=""),"",SUMIFS(QuickLog!$K$2:$K$1000,QuickLog!$B$2:$B$1000,$B925,QuickLog!$O$2:$O$1000,$A925,QuickLog!$G$2:$G$1000,"&lt;&gt;Routine"))</f>
        <v/>
      </c>
      <c r="E925" s="31">
        <f>IF($C925="","",MIN($C925,Settings!$B$2))</f>
        <v/>
      </c>
      <c r="F925" s="31">
        <f>IF($C925="","",MAX(0,$C925-$E925))</f>
        <v/>
      </c>
      <c r="G925" s="31">
        <f>IF(OR($E925="",$D925=""),"", $E925+$D925)</f>
        <v/>
      </c>
      <c r="H925" s="31">
        <f>IF(OR($A925="",$B925=""),"",SUMIFS(QuickLog!$L$2:$L$1000,QuickLog!$B$2:$B$1000,$B925,QuickLog!$O$2:$O$1000,$A925))</f>
        <v/>
      </c>
      <c r="I925" s="32">
        <f>IF($H925="","",$H925)</f>
        <v/>
      </c>
    </row>
    <row r="926">
      <c r="A926" s="29" t="n"/>
      <c r="B926" s="31" t="n"/>
      <c r="C926" s="31">
        <f>IF(OR($A926="",$B926=""),"",SUMIFS(QuickLog!$K$2:$K$1000,QuickLog!$B$2:$B$1000,$B926,QuickLog!$O$2:$O$1000,$A926,QuickLog!$G$2:$G$1000,"Routine"))</f>
        <v/>
      </c>
      <c r="D926" s="31">
        <f>IF(OR($A926="",$B926=""),"",SUMIFS(QuickLog!$K$2:$K$1000,QuickLog!$B$2:$B$1000,$B926,QuickLog!$O$2:$O$1000,$A926,QuickLog!$G$2:$G$1000,"&lt;&gt;Routine"))</f>
        <v/>
      </c>
      <c r="E926" s="31">
        <f>IF($C926="","",MIN($C926,Settings!$B$2))</f>
        <v/>
      </c>
      <c r="F926" s="31">
        <f>IF($C926="","",MAX(0,$C926-$E926))</f>
        <v/>
      </c>
      <c r="G926" s="31">
        <f>IF(OR($E926="",$D926=""),"", $E926+$D926)</f>
        <v/>
      </c>
      <c r="H926" s="31">
        <f>IF(OR($A926="",$B926=""),"",SUMIFS(QuickLog!$L$2:$L$1000,QuickLog!$B$2:$B$1000,$B926,QuickLog!$O$2:$O$1000,$A926))</f>
        <v/>
      </c>
      <c r="I926" s="32">
        <f>IF($H926="","",$H926)</f>
        <v/>
      </c>
    </row>
    <row r="927">
      <c r="A927" s="29" t="n"/>
      <c r="B927" s="31" t="n"/>
      <c r="C927" s="31">
        <f>IF(OR($A927="",$B927=""),"",SUMIFS(QuickLog!$K$2:$K$1000,QuickLog!$B$2:$B$1000,$B927,QuickLog!$O$2:$O$1000,$A927,QuickLog!$G$2:$G$1000,"Routine"))</f>
        <v/>
      </c>
      <c r="D927" s="31">
        <f>IF(OR($A927="",$B927=""),"",SUMIFS(QuickLog!$K$2:$K$1000,QuickLog!$B$2:$B$1000,$B927,QuickLog!$O$2:$O$1000,$A927,QuickLog!$G$2:$G$1000,"&lt;&gt;Routine"))</f>
        <v/>
      </c>
      <c r="E927" s="31">
        <f>IF($C927="","",MIN($C927,Settings!$B$2))</f>
        <v/>
      </c>
      <c r="F927" s="31">
        <f>IF($C927="","",MAX(0,$C927-$E927))</f>
        <v/>
      </c>
      <c r="G927" s="31">
        <f>IF(OR($E927="",$D927=""),"", $E927+$D927)</f>
        <v/>
      </c>
      <c r="H927" s="31">
        <f>IF(OR($A927="",$B927=""),"",SUMIFS(QuickLog!$L$2:$L$1000,QuickLog!$B$2:$B$1000,$B927,QuickLog!$O$2:$O$1000,$A927))</f>
        <v/>
      </c>
      <c r="I927" s="32">
        <f>IF($H927="","",$H927)</f>
        <v/>
      </c>
    </row>
    <row r="928">
      <c r="A928" s="29" t="n"/>
      <c r="B928" s="31" t="n"/>
      <c r="C928" s="31">
        <f>IF(OR($A928="",$B928=""),"",SUMIFS(QuickLog!$K$2:$K$1000,QuickLog!$B$2:$B$1000,$B928,QuickLog!$O$2:$O$1000,$A928,QuickLog!$G$2:$G$1000,"Routine"))</f>
        <v/>
      </c>
      <c r="D928" s="31">
        <f>IF(OR($A928="",$B928=""),"",SUMIFS(QuickLog!$K$2:$K$1000,QuickLog!$B$2:$B$1000,$B928,QuickLog!$O$2:$O$1000,$A928,QuickLog!$G$2:$G$1000,"&lt;&gt;Routine"))</f>
        <v/>
      </c>
      <c r="E928" s="31">
        <f>IF($C928="","",MIN($C928,Settings!$B$2))</f>
        <v/>
      </c>
      <c r="F928" s="31">
        <f>IF($C928="","",MAX(0,$C928-$E928))</f>
        <v/>
      </c>
      <c r="G928" s="31">
        <f>IF(OR($E928="",$D928=""),"", $E928+$D928)</f>
        <v/>
      </c>
      <c r="H928" s="31">
        <f>IF(OR($A928="",$B928=""),"",SUMIFS(QuickLog!$L$2:$L$1000,QuickLog!$B$2:$B$1000,$B928,QuickLog!$O$2:$O$1000,$A928))</f>
        <v/>
      </c>
      <c r="I928" s="32">
        <f>IF($H928="","",$H928)</f>
        <v/>
      </c>
    </row>
    <row r="929">
      <c r="A929" s="29" t="n"/>
      <c r="B929" s="31" t="n"/>
      <c r="C929" s="31">
        <f>IF(OR($A929="",$B929=""),"",SUMIFS(QuickLog!$K$2:$K$1000,QuickLog!$B$2:$B$1000,$B929,QuickLog!$O$2:$O$1000,$A929,QuickLog!$G$2:$G$1000,"Routine"))</f>
        <v/>
      </c>
      <c r="D929" s="31">
        <f>IF(OR($A929="",$B929=""),"",SUMIFS(QuickLog!$K$2:$K$1000,QuickLog!$B$2:$B$1000,$B929,QuickLog!$O$2:$O$1000,$A929,QuickLog!$G$2:$G$1000,"&lt;&gt;Routine"))</f>
        <v/>
      </c>
      <c r="E929" s="31">
        <f>IF($C929="","",MIN($C929,Settings!$B$2))</f>
        <v/>
      </c>
      <c r="F929" s="31">
        <f>IF($C929="","",MAX(0,$C929-$E929))</f>
        <v/>
      </c>
      <c r="G929" s="31">
        <f>IF(OR($E929="",$D929=""),"", $E929+$D929)</f>
        <v/>
      </c>
      <c r="H929" s="31">
        <f>IF(OR($A929="",$B929=""),"",SUMIFS(QuickLog!$L$2:$L$1000,QuickLog!$B$2:$B$1000,$B929,QuickLog!$O$2:$O$1000,$A929))</f>
        <v/>
      </c>
      <c r="I929" s="32">
        <f>IF($H929="","",$H929)</f>
        <v/>
      </c>
    </row>
    <row r="930">
      <c r="A930" s="29" t="n"/>
      <c r="B930" s="31" t="n"/>
      <c r="C930" s="31">
        <f>IF(OR($A930="",$B930=""),"",SUMIFS(QuickLog!$K$2:$K$1000,QuickLog!$B$2:$B$1000,$B930,QuickLog!$O$2:$O$1000,$A930,QuickLog!$G$2:$G$1000,"Routine"))</f>
        <v/>
      </c>
      <c r="D930" s="31">
        <f>IF(OR($A930="",$B930=""),"",SUMIFS(QuickLog!$K$2:$K$1000,QuickLog!$B$2:$B$1000,$B930,QuickLog!$O$2:$O$1000,$A930,QuickLog!$G$2:$G$1000,"&lt;&gt;Routine"))</f>
        <v/>
      </c>
      <c r="E930" s="31">
        <f>IF($C930="","",MIN($C930,Settings!$B$2))</f>
        <v/>
      </c>
      <c r="F930" s="31">
        <f>IF($C930="","",MAX(0,$C930-$E930))</f>
        <v/>
      </c>
      <c r="G930" s="31">
        <f>IF(OR($E930="",$D930=""),"", $E930+$D930)</f>
        <v/>
      </c>
      <c r="H930" s="31">
        <f>IF(OR($A930="",$B930=""),"",SUMIFS(QuickLog!$L$2:$L$1000,QuickLog!$B$2:$B$1000,$B930,QuickLog!$O$2:$O$1000,$A930))</f>
        <v/>
      </c>
      <c r="I930" s="32">
        <f>IF($H930="","",$H930)</f>
        <v/>
      </c>
    </row>
    <row r="931">
      <c r="A931" s="29" t="n"/>
      <c r="B931" s="31" t="n"/>
      <c r="C931" s="31">
        <f>IF(OR($A931="",$B931=""),"",SUMIFS(QuickLog!$K$2:$K$1000,QuickLog!$B$2:$B$1000,$B931,QuickLog!$O$2:$O$1000,$A931,QuickLog!$G$2:$G$1000,"Routine"))</f>
        <v/>
      </c>
      <c r="D931" s="31">
        <f>IF(OR($A931="",$B931=""),"",SUMIFS(QuickLog!$K$2:$K$1000,QuickLog!$B$2:$B$1000,$B931,QuickLog!$O$2:$O$1000,$A931,QuickLog!$G$2:$G$1000,"&lt;&gt;Routine"))</f>
        <v/>
      </c>
      <c r="E931" s="31">
        <f>IF($C931="","",MIN($C931,Settings!$B$2))</f>
        <v/>
      </c>
      <c r="F931" s="31">
        <f>IF($C931="","",MAX(0,$C931-$E931))</f>
        <v/>
      </c>
      <c r="G931" s="31">
        <f>IF(OR($E931="",$D931=""),"", $E931+$D931)</f>
        <v/>
      </c>
      <c r="H931" s="31">
        <f>IF(OR($A931="",$B931=""),"",SUMIFS(QuickLog!$L$2:$L$1000,QuickLog!$B$2:$B$1000,$B931,QuickLog!$O$2:$O$1000,$A931))</f>
        <v/>
      </c>
      <c r="I931" s="32">
        <f>IF($H931="","",$H931)</f>
        <v/>
      </c>
    </row>
    <row r="932">
      <c r="A932" s="29" t="n"/>
      <c r="B932" s="31" t="n"/>
      <c r="C932" s="31">
        <f>IF(OR($A932="",$B932=""),"",SUMIFS(QuickLog!$K$2:$K$1000,QuickLog!$B$2:$B$1000,$B932,QuickLog!$O$2:$O$1000,$A932,QuickLog!$G$2:$G$1000,"Routine"))</f>
        <v/>
      </c>
      <c r="D932" s="31">
        <f>IF(OR($A932="",$B932=""),"",SUMIFS(QuickLog!$K$2:$K$1000,QuickLog!$B$2:$B$1000,$B932,QuickLog!$O$2:$O$1000,$A932,QuickLog!$G$2:$G$1000,"&lt;&gt;Routine"))</f>
        <v/>
      </c>
      <c r="E932" s="31">
        <f>IF($C932="","",MIN($C932,Settings!$B$2))</f>
        <v/>
      </c>
      <c r="F932" s="31">
        <f>IF($C932="","",MAX(0,$C932-$E932))</f>
        <v/>
      </c>
      <c r="G932" s="31">
        <f>IF(OR($E932="",$D932=""),"", $E932+$D932)</f>
        <v/>
      </c>
      <c r="H932" s="31">
        <f>IF(OR($A932="",$B932=""),"",SUMIFS(QuickLog!$L$2:$L$1000,QuickLog!$B$2:$B$1000,$B932,QuickLog!$O$2:$O$1000,$A932))</f>
        <v/>
      </c>
      <c r="I932" s="32">
        <f>IF($H932="","",$H932)</f>
        <v/>
      </c>
    </row>
    <row r="933">
      <c r="A933" s="29" t="n"/>
      <c r="B933" s="31" t="n"/>
      <c r="C933" s="31">
        <f>IF(OR($A933="",$B933=""),"",SUMIFS(QuickLog!$K$2:$K$1000,QuickLog!$B$2:$B$1000,$B933,QuickLog!$O$2:$O$1000,$A933,QuickLog!$G$2:$G$1000,"Routine"))</f>
        <v/>
      </c>
      <c r="D933" s="31">
        <f>IF(OR($A933="",$B933=""),"",SUMIFS(QuickLog!$K$2:$K$1000,QuickLog!$B$2:$B$1000,$B933,QuickLog!$O$2:$O$1000,$A933,QuickLog!$G$2:$G$1000,"&lt;&gt;Routine"))</f>
        <v/>
      </c>
      <c r="E933" s="31">
        <f>IF($C933="","",MIN($C933,Settings!$B$2))</f>
        <v/>
      </c>
      <c r="F933" s="31">
        <f>IF($C933="","",MAX(0,$C933-$E933))</f>
        <v/>
      </c>
      <c r="G933" s="31">
        <f>IF(OR($E933="",$D933=""),"", $E933+$D933)</f>
        <v/>
      </c>
      <c r="H933" s="31">
        <f>IF(OR($A933="",$B933=""),"",SUMIFS(QuickLog!$L$2:$L$1000,QuickLog!$B$2:$B$1000,$B933,QuickLog!$O$2:$O$1000,$A933))</f>
        <v/>
      </c>
      <c r="I933" s="32">
        <f>IF($H933="","",$H933)</f>
        <v/>
      </c>
    </row>
    <row r="934">
      <c r="A934" s="29" t="n"/>
      <c r="B934" s="31" t="n"/>
      <c r="C934" s="31">
        <f>IF(OR($A934="",$B934=""),"",SUMIFS(QuickLog!$K$2:$K$1000,QuickLog!$B$2:$B$1000,$B934,QuickLog!$O$2:$O$1000,$A934,QuickLog!$G$2:$G$1000,"Routine"))</f>
        <v/>
      </c>
      <c r="D934" s="31">
        <f>IF(OR($A934="",$B934=""),"",SUMIFS(QuickLog!$K$2:$K$1000,QuickLog!$B$2:$B$1000,$B934,QuickLog!$O$2:$O$1000,$A934,QuickLog!$G$2:$G$1000,"&lt;&gt;Routine"))</f>
        <v/>
      </c>
      <c r="E934" s="31">
        <f>IF($C934="","",MIN($C934,Settings!$B$2))</f>
        <v/>
      </c>
      <c r="F934" s="31">
        <f>IF($C934="","",MAX(0,$C934-$E934))</f>
        <v/>
      </c>
      <c r="G934" s="31">
        <f>IF(OR($E934="",$D934=""),"", $E934+$D934)</f>
        <v/>
      </c>
      <c r="H934" s="31">
        <f>IF(OR($A934="",$B934=""),"",SUMIFS(QuickLog!$L$2:$L$1000,QuickLog!$B$2:$B$1000,$B934,QuickLog!$O$2:$O$1000,$A934))</f>
        <v/>
      </c>
      <c r="I934" s="32">
        <f>IF($H934="","",$H934)</f>
        <v/>
      </c>
    </row>
    <row r="935">
      <c r="A935" s="29" t="n"/>
      <c r="B935" s="31" t="n"/>
      <c r="C935" s="31">
        <f>IF(OR($A935="",$B935=""),"",SUMIFS(QuickLog!$K$2:$K$1000,QuickLog!$B$2:$B$1000,$B935,QuickLog!$O$2:$O$1000,$A935,QuickLog!$G$2:$G$1000,"Routine"))</f>
        <v/>
      </c>
      <c r="D935" s="31">
        <f>IF(OR($A935="",$B935=""),"",SUMIFS(QuickLog!$K$2:$K$1000,QuickLog!$B$2:$B$1000,$B935,QuickLog!$O$2:$O$1000,$A935,QuickLog!$G$2:$G$1000,"&lt;&gt;Routine"))</f>
        <v/>
      </c>
      <c r="E935" s="31">
        <f>IF($C935="","",MIN($C935,Settings!$B$2))</f>
        <v/>
      </c>
      <c r="F935" s="31">
        <f>IF($C935="","",MAX(0,$C935-$E935))</f>
        <v/>
      </c>
      <c r="G935" s="31">
        <f>IF(OR($E935="",$D935=""),"", $E935+$D935)</f>
        <v/>
      </c>
      <c r="H935" s="31">
        <f>IF(OR($A935="",$B935=""),"",SUMIFS(QuickLog!$L$2:$L$1000,QuickLog!$B$2:$B$1000,$B935,QuickLog!$O$2:$O$1000,$A935))</f>
        <v/>
      </c>
      <c r="I935" s="32">
        <f>IF($H935="","",$H935)</f>
        <v/>
      </c>
    </row>
    <row r="936">
      <c r="A936" s="29" t="n"/>
      <c r="B936" s="31" t="n"/>
      <c r="C936" s="31">
        <f>IF(OR($A936="",$B936=""),"",SUMIFS(QuickLog!$K$2:$K$1000,QuickLog!$B$2:$B$1000,$B936,QuickLog!$O$2:$O$1000,$A936,QuickLog!$G$2:$G$1000,"Routine"))</f>
        <v/>
      </c>
      <c r="D936" s="31">
        <f>IF(OR($A936="",$B936=""),"",SUMIFS(QuickLog!$K$2:$K$1000,QuickLog!$B$2:$B$1000,$B936,QuickLog!$O$2:$O$1000,$A936,QuickLog!$G$2:$G$1000,"&lt;&gt;Routine"))</f>
        <v/>
      </c>
      <c r="E936" s="31">
        <f>IF($C936="","",MIN($C936,Settings!$B$2))</f>
        <v/>
      </c>
      <c r="F936" s="31">
        <f>IF($C936="","",MAX(0,$C936-$E936))</f>
        <v/>
      </c>
      <c r="G936" s="31">
        <f>IF(OR($E936="",$D936=""),"", $E936+$D936)</f>
        <v/>
      </c>
      <c r="H936" s="31">
        <f>IF(OR($A936="",$B936=""),"",SUMIFS(QuickLog!$L$2:$L$1000,QuickLog!$B$2:$B$1000,$B936,QuickLog!$O$2:$O$1000,$A936))</f>
        <v/>
      </c>
      <c r="I936" s="32">
        <f>IF($H936="","",$H936)</f>
        <v/>
      </c>
    </row>
    <row r="937">
      <c r="A937" s="29" t="n"/>
      <c r="B937" s="31" t="n"/>
      <c r="C937" s="31">
        <f>IF(OR($A937="",$B937=""),"",SUMIFS(QuickLog!$K$2:$K$1000,QuickLog!$B$2:$B$1000,$B937,QuickLog!$O$2:$O$1000,$A937,QuickLog!$G$2:$G$1000,"Routine"))</f>
        <v/>
      </c>
      <c r="D937" s="31">
        <f>IF(OR($A937="",$B937=""),"",SUMIFS(QuickLog!$K$2:$K$1000,QuickLog!$B$2:$B$1000,$B937,QuickLog!$O$2:$O$1000,$A937,QuickLog!$G$2:$G$1000,"&lt;&gt;Routine"))</f>
        <v/>
      </c>
      <c r="E937" s="31">
        <f>IF($C937="","",MIN($C937,Settings!$B$2))</f>
        <v/>
      </c>
      <c r="F937" s="31">
        <f>IF($C937="","",MAX(0,$C937-$E937))</f>
        <v/>
      </c>
      <c r="G937" s="31">
        <f>IF(OR($E937="",$D937=""),"", $E937+$D937)</f>
        <v/>
      </c>
      <c r="H937" s="31">
        <f>IF(OR($A937="",$B937=""),"",SUMIFS(QuickLog!$L$2:$L$1000,QuickLog!$B$2:$B$1000,$B937,QuickLog!$O$2:$O$1000,$A937))</f>
        <v/>
      </c>
      <c r="I937" s="32">
        <f>IF($H937="","",$H937)</f>
        <v/>
      </c>
    </row>
    <row r="938">
      <c r="A938" s="29" t="n"/>
      <c r="B938" s="31" t="n"/>
      <c r="C938" s="31">
        <f>IF(OR($A938="",$B938=""),"",SUMIFS(QuickLog!$K$2:$K$1000,QuickLog!$B$2:$B$1000,$B938,QuickLog!$O$2:$O$1000,$A938,QuickLog!$G$2:$G$1000,"Routine"))</f>
        <v/>
      </c>
      <c r="D938" s="31">
        <f>IF(OR($A938="",$B938=""),"",SUMIFS(QuickLog!$K$2:$K$1000,QuickLog!$B$2:$B$1000,$B938,QuickLog!$O$2:$O$1000,$A938,QuickLog!$G$2:$G$1000,"&lt;&gt;Routine"))</f>
        <v/>
      </c>
      <c r="E938" s="31">
        <f>IF($C938="","",MIN($C938,Settings!$B$2))</f>
        <v/>
      </c>
      <c r="F938" s="31">
        <f>IF($C938="","",MAX(0,$C938-$E938))</f>
        <v/>
      </c>
      <c r="G938" s="31">
        <f>IF(OR($E938="",$D938=""),"", $E938+$D938)</f>
        <v/>
      </c>
      <c r="H938" s="31">
        <f>IF(OR($A938="",$B938=""),"",SUMIFS(QuickLog!$L$2:$L$1000,QuickLog!$B$2:$B$1000,$B938,QuickLog!$O$2:$O$1000,$A938))</f>
        <v/>
      </c>
      <c r="I938" s="32">
        <f>IF($H938="","",$H938)</f>
        <v/>
      </c>
    </row>
    <row r="939">
      <c r="A939" s="29" t="n"/>
      <c r="B939" s="31" t="n"/>
      <c r="C939" s="31">
        <f>IF(OR($A939="",$B939=""),"",SUMIFS(QuickLog!$K$2:$K$1000,QuickLog!$B$2:$B$1000,$B939,QuickLog!$O$2:$O$1000,$A939,QuickLog!$G$2:$G$1000,"Routine"))</f>
        <v/>
      </c>
      <c r="D939" s="31">
        <f>IF(OR($A939="",$B939=""),"",SUMIFS(QuickLog!$K$2:$K$1000,QuickLog!$B$2:$B$1000,$B939,QuickLog!$O$2:$O$1000,$A939,QuickLog!$G$2:$G$1000,"&lt;&gt;Routine"))</f>
        <v/>
      </c>
      <c r="E939" s="31">
        <f>IF($C939="","",MIN($C939,Settings!$B$2))</f>
        <v/>
      </c>
      <c r="F939" s="31">
        <f>IF($C939="","",MAX(0,$C939-$E939))</f>
        <v/>
      </c>
      <c r="G939" s="31">
        <f>IF(OR($E939="",$D939=""),"", $E939+$D939)</f>
        <v/>
      </c>
      <c r="H939" s="31">
        <f>IF(OR($A939="",$B939=""),"",SUMIFS(QuickLog!$L$2:$L$1000,QuickLog!$B$2:$B$1000,$B939,QuickLog!$O$2:$O$1000,$A939))</f>
        <v/>
      </c>
      <c r="I939" s="32">
        <f>IF($H939="","",$H939)</f>
        <v/>
      </c>
    </row>
    <row r="940">
      <c r="A940" s="29" t="n"/>
      <c r="B940" s="31" t="n"/>
      <c r="C940" s="31">
        <f>IF(OR($A940="",$B940=""),"",SUMIFS(QuickLog!$K$2:$K$1000,QuickLog!$B$2:$B$1000,$B940,QuickLog!$O$2:$O$1000,$A940,QuickLog!$G$2:$G$1000,"Routine"))</f>
        <v/>
      </c>
      <c r="D940" s="31">
        <f>IF(OR($A940="",$B940=""),"",SUMIFS(QuickLog!$K$2:$K$1000,QuickLog!$B$2:$B$1000,$B940,QuickLog!$O$2:$O$1000,$A940,QuickLog!$G$2:$G$1000,"&lt;&gt;Routine"))</f>
        <v/>
      </c>
      <c r="E940" s="31">
        <f>IF($C940="","",MIN($C940,Settings!$B$2))</f>
        <v/>
      </c>
      <c r="F940" s="31">
        <f>IF($C940="","",MAX(0,$C940-$E940))</f>
        <v/>
      </c>
      <c r="G940" s="31">
        <f>IF(OR($E940="",$D940=""),"", $E940+$D940)</f>
        <v/>
      </c>
      <c r="H940" s="31">
        <f>IF(OR($A940="",$B940=""),"",SUMIFS(QuickLog!$L$2:$L$1000,QuickLog!$B$2:$B$1000,$B940,QuickLog!$O$2:$O$1000,$A940))</f>
        <v/>
      </c>
      <c r="I940" s="32">
        <f>IF($H940="","",$H940)</f>
        <v/>
      </c>
    </row>
    <row r="941">
      <c r="A941" s="29" t="n"/>
      <c r="B941" s="31" t="n"/>
      <c r="C941" s="31">
        <f>IF(OR($A941="",$B941=""),"",SUMIFS(QuickLog!$K$2:$K$1000,QuickLog!$B$2:$B$1000,$B941,QuickLog!$O$2:$O$1000,$A941,QuickLog!$G$2:$G$1000,"Routine"))</f>
        <v/>
      </c>
      <c r="D941" s="31">
        <f>IF(OR($A941="",$B941=""),"",SUMIFS(QuickLog!$K$2:$K$1000,QuickLog!$B$2:$B$1000,$B941,QuickLog!$O$2:$O$1000,$A941,QuickLog!$G$2:$G$1000,"&lt;&gt;Routine"))</f>
        <v/>
      </c>
      <c r="E941" s="31">
        <f>IF($C941="","",MIN($C941,Settings!$B$2))</f>
        <v/>
      </c>
      <c r="F941" s="31">
        <f>IF($C941="","",MAX(0,$C941-$E941))</f>
        <v/>
      </c>
      <c r="G941" s="31">
        <f>IF(OR($E941="",$D941=""),"", $E941+$D941)</f>
        <v/>
      </c>
      <c r="H941" s="31">
        <f>IF(OR($A941="",$B941=""),"",SUMIFS(QuickLog!$L$2:$L$1000,QuickLog!$B$2:$B$1000,$B941,QuickLog!$O$2:$O$1000,$A941))</f>
        <v/>
      </c>
      <c r="I941" s="32">
        <f>IF($H941="","",$H941)</f>
        <v/>
      </c>
    </row>
    <row r="942">
      <c r="A942" s="29" t="n"/>
      <c r="B942" s="31" t="n"/>
      <c r="C942" s="31">
        <f>IF(OR($A942="",$B942=""),"",SUMIFS(QuickLog!$K$2:$K$1000,QuickLog!$B$2:$B$1000,$B942,QuickLog!$O$2:$O$1000,$A942,QuickLog!$G$2:$G$1000,"Routine"))</f>
        <v/>
      </c>
      <c r="D942" s="31">
        <f>IF(OR($A942="",$B942=""),"",SUMIFS(QuickLog!$K$2:$K$1000,QuickLog!$B$2:$B$1000,$B942,QuickLog!$O$2:$O$1000,$A942,QuickLog!$G$2:$G$1000,"&lt;&gt;Routine"))</f>
        <v/>
      </c>
      <c r="E942" s="31">
        <f>IF($C942="","",MIN($C942,Settings!$B$2))</f>
        <v/>
      </c>
      <c r="F942" s="31">
        <f>IF($C942="","",MAX(0,$C942-$E942))</f>
        <v/>
      </c>
      <c r="G942" s="31">
        <f>IF(OR($E942="",$D942=""),"", $E942+$D942)</f>
        <v/>
      </c>
      <c r="H942" s="31">
        <f>IF(OR($A942="",$B942=""),"",SUMIFS(QuickLog!$L$2:$L$1000,QuickLog!$B$2:$B$1000,$B942,QuickLog!$O$2:$O$1000,$A942))</f>
        <v/>
      </c>
      <c r="I942" s="32">
        <f>IF($H942="","",$H942)</f>
        <v/>
      </c>
    </row>
    <row r="943">
      <c r="A943" s="29" t="n"/>
      <c r="B943" s="31" t="n"/>
      <c r="C943" s="31">
        <f>IF(OR($A943="",$B943=""),"",SUMIFS(QuickLog!$K$2:$K$1000,QuickLog!$B$2:$B$1000,$B943,QuickLog!$O$2:$O$1000,$A943,QuickLog!$G$2:$G$1000,"Routine"))</f>
        <v/>
      </c>
      <c r="D943" s="31">
        <f>IF(OR($A943="",$B943=""),"",SUMIFS(QuickLog!$K$2:$K$1000,QuickLog!$B$2:$B$1000,$B943,QuickLog!$O$2:$O$1000,$A943,QuickLog!$G$2:$G$1000,"&lt;&gt;Routine"))</f>
        <v/>
      </c>
      <c r="E943" s="31">
        <f>IF($C943="","",MIN($C943,Settings!$B$2))</f>
        <v/>
      </c>
      <c r="F943" s="31">
        <f>IF($C943="","",MAX(0,$C943-$E943))</f>
        <v/>
      </c>
      <c r="G943" s="31">
        <f>IF(OR($E943="",$D943=""),"", $E943+$D943)</f>
        <v/>
      </c>
      <c r="H943" s="31">
        <f>IF(OR($A943="",$B943=""),"",SUMIFS(QuickLog!$L$2:$L$1000,QuickLog!$B$2:$B$1000,$B943,QuickLog!$O$2:$O$1000,$A943))</f>
        <v/>
      </c>
      <c r="I943" s="32">
        <f>IF($H943="","",$H943)</f>
        <v/>
      </c>
    </row>
    <row r="944">
      <c r="A944" s="29" t="n"/>
      <c r="B944" s="31" t="n"/>
      <c r="C944" s="31">
        <f>IF(OR($A944="",$B944=""),"",SUMIFS(QuickLog!$K$2:$K$1000,QuickLog!$B$2:$B$1000,$B944,QuickLog!$O$2:$O$1000,$A944,QuickLog!$G$2:$G$1000,"Routine"))</f>
        <v/>
      </c>
      <c r="D944" s="31">
        <f>IF(OR($A944="",$B944=""),"",SUMIFS(QuickLog!$K$2:$K$1000,QuickLog!$B$2:$B$1000,$B944,QuickLog!$O$2:$O$1000,$A944,QuickLog!$G$2:$G$1000,"&lt;&gt;Routine"))</f>
        <v/>
      </c>
      <c r="E944" s="31">
        <f>IF($C944="","",MIN($C944,Settings!$B$2))</f>
        <v/>
      </c>
      <c r="F944" s="31">
        <f>IF($C944="","",MAX(0,$C944-$E944))</f>
        <v/>
      </c>
      <c r="G944" s="31">
        <f>IF(OR($E944="",$D944=""),"", $E944+$D944)</f>
        <v/>
      </c>
      <c r="H944" s="31">
        <f>IF(OR($A944="",$B944=""),"",SUMIFS(QuickLog!$L$2:$L$1000,QuickLog!$B$2:$B$1000,$B944,QuickLog!$O$2:$O$1000,$A944))</f>
        <v/>
      </c>
      <c r="I944" s="32">
        <f>IF($H944="","",$H944)</f>
        <v/>
      </c>
    </row>
    <row r="945">
      <c r="A945" s="29" t="n"/>
      <c r="B945" s="31" t="n"/>
      <c r="C945" s="31">
        <f>IF(OR($A945="",$B945=""),"",SUMIFS(QuickLog!$K$2:$K$1000,QuickLog!$B$2:$B$1000,$B945,QuickLog!$O$2:$O$1000,$A945,QuickLog!$G$2:$G$1000,"Routine"))</f>
        <v/>
      </c>
      <c r="D945" s="31">
        <f>IF(OR($A945="",$B945=""),"",SUMIFS(QuickLog!$K$2:$K$1000,QuickLog!$B$2:$B$1000,$B945,QuickLog!$O$2:$O$1000,$A945,QuickLog!$G$2:$G$1000,"&lt;&gt;Routine"))</f>
        <v/>
      </c>
      <c r="E945" s="31">
        <f>IF($C945="","",MIN($C945,Settings!$B$2))</f>
        <v/>
      </c>
      <c r="F945" s="31">
        <f>IF($C945="","",MAX(0,$C945-$E945))</f>
        <v/>
      </c>
      <c r="G945" s="31">
        <f>IF(OR($E945="",$D945=""),"", $E945+$D945)</f>
        <v/>
      </c>
      <c r="H945" s="31">
        <f>IF(OR($A945="",$B945=""),"",SUMIFS(QuickLog!$L$2:$L$1000,QuickLog!$B$2:$B$1000,$B945,QuickLog!$O$2:$O$1000,$A945))</f>
        <v/>
      </c>
      <c r="I945" s="32">
        <f>IF($H945="","",$H945)</f>
        <v/>
      </c>
    </row>
    <row r="946">
      <c r="A946" s="29" t="n"/>
      <c r="B946" s="31" t="n"/>
      <c r="C946" s="31">
        <f>IF(OR($A946="",$B946=""),"",SUMIFS(QuickLog!$K$2:$K$1000,QuickLog!$B$2:$B$1000,$B946,QuickLog!$O$2:$O$1000,$A946,QuickLog!$G$2:$G$1000,"Routine"))</f>
        <v/>
      </c>
      <c r="D946" s="31">
        <f>IF(OR($A946="",$B946=""),"",SUMIFS(QuickLog!$K$2:$K$1000,QuickLog!$B$2:$B$1000,$B946,QuickLog!$O$2:$O$1000,$A946,QuickLog!$G$2:$G$1000,"&lt;&gt;Routine"))</f>
        <v/>
      </c>
      <c r="E946" s="31">
        <f>IF($C946="","",MIN($C946,Settings!$B$2))</f>
        <v/>
      </c>
      <c r="F946" s="31">
        <f>IF($C946="","",MAX(0,$C946-$E946))</f>
        <v/>
      </c>
      <c r="G946" s="31">
        <f>IF(OR($E946="",$D946=""),"", $E946+$D946)</f>
        <v/>
      </c>
      <c r="H946" s="31">
        <f>IF(OR($A946="",$B946=""),"",SUMIFS(QuickLog!$L$2:$L$1000,QuickLog!$B$2:$B$1000,$B946,QuickLog!$O$2:$O$1000,$A946))</f>
        <v/>
      </c>
      <c r="I946" s="32">
        <f>IF($H946="","",$H946)</f>
        <v/>
      </c>
    </row>
    <row r="947">
      <c r="A947" s="29" t="n"/>
      <c r="B947" s="31" t="n"/>
      <c r="C947" s="31">
        <f>IF(OR($A947="",$B947=""),"",SUMIFS(QuickLog!$K$2:$K$1000,QuickLog!$B$2:$B$1000,$B947,QuickLog!$O$2:$O$1000,$A947,QuickLog!$G$2:$G$1000,"Routine"))</f>
        <v/>
      </c>
      <c r="D947" s="31">
        <f>IF(OR($A947="",$B947=""),"",SUMIFS(QuickLog!$K$2:$K$1000,QuickLog!$B$2:$B$1000,$B947,QuickLog!$O$2:$O$1000,$A947,QuickLog!$G$2:$G$1000,"&lt;&gt;Routine"))</f>
        <v/>
      </c>
      <c r="E947" s="31">
        <f>IF($C947="","",MIN($C947,Settings!$B$2))</f>
        <v/>
      </c>
      <c r="F947" s="31">
        <f>IF($C947="","",MAX(0,$C947-$E947))</f>
        <v/>
      </c>
      <c r="G947" s="31">
        <f>IF(OR($E947="",$D947=""),"", $E947+$D947)</f>
        <v/>
      </c>
      <c r="H947" s="31">
        <f>IF(OR($A947="",$B947=""),"",SUMIFS(QuickLog!$L$2:$L$1000,QuickLog!$B$2:$B$1000,$B947,QuickLog!$O$2:$O$1000,$A947))</f>
        <v/>
      </c>
      <c r="I947" s="32">
        <f>IF($H947="","",$H947)</f>
        <v/>
      </c>
    </row>
    <row r="948">
      <c r="A948" s="29" t="n"/>
      <c r="B948" s="31" t="n"/>
      <c r="C948" s="31">
        <f>IF(OR($A948="",$B948=""),"",SUMIFS(QuickLog!$K$2:$K$1000,QuickLog!$B$2:$B$1000,$B948,QuickLog!$O$2:$O$1000,$A948,QuickLog!$G$2:$G$1000,"Routine"))</f>
        <v/>
      </c>
      <c r="D948" s="31">
        <f>IF(OR($A948="",$B948=""),"",SUMIFS(QuickLog!$K$2:$K$1000,QuickLog!$B$2:$B$1000,$B948,QuickLog!$O$2:$O$1000,$A948,QuickLog!$G$2:$G$1000,"&lt;&gt;Routine"))</f>
        <v/>
      </c>
      <c r="E948" s="31">
        <f>IF($C948="","",MIN($C948,Settings!$B$2))</f>
        <v/>
      </c>
      <c r="F948" s="31">
        <f>IF($C948="","",MAX(0,$C948-$E948))</f>
        <v/>
      </c>
      <c r="G948" s="31">
        <f>IF(OR($E948="",$D948=""),"", $E948+$D948)</f>
        <v/>
      </c>
      <c r="H948" s="31">
        <f>IF(OR($A948="",$B948=""),"",SUMIFS(QuickLog!$L$2:$L$1000,QuickLog!$B$2:$B$1000,$B948,QuickLog!$O$2:$O$1000,$A948))</f>
        <v/>
      </c>
      <c r="I948" s="32">
        <f>IF($H948="","",$H948)</f>
        <v/>
      </c>
    </row>
    <row r="949">
      <c r="A949" s="29" t="n"/>
      <c r="B949" s="31" t="n"/>
      <c r="C949" s="31">
        <f>IF(OR($A949="",$B949=""),"",SUMIFS(QuickLog!$K$2:$K$1000,QuickLog!$B$2:$B$1000,$B949,QuickLog!$O$2:$O$1000,$A949,QuickLog!$G$2:$G$1000,"Routine"))</f>
        <v/>
      </c>
      <c r="D949" s="31">
        <f>IF(OR($A949="",$B949=""),"",SUMIFS(QuickLog!$K$2:$K$1000,QuickLog!$B$2:$B$1000,$B949,QuickLog!$O$2:$O$1000,$A949,QuickLog!$G$2:$G$1000,"&lt;&gt;Routine"))</f>
        <v/>
      </c>
      <c r="E949" s="31">
        <f>IF($C949="","",MIN($C949,Settings!$B$2))</f>
        <v/>
      </c>
      <c r="F949" s="31">
        <f>IF($C949="","",MAX(0,$C949-$E949))</f>
        <v/>
      </c>
      <c r="G949" s="31">
        <f>IF(OR($E949="",$D949=""),"", $E949+$D949)</f>
        <v/>
      </c>
      <c r="H949" s="31">
        <f>IF(OR($A949="",$B949=""),"",SUMIFS(QuickLog!$L$2:$L$1000,QuickLog!$B$2:$B$1000,$B949,QuickLog!$O$2:$O$1000,$A949))</f>
        <v/>
      </c>
      <c r="I949" s="32">
        <f>IF($H949="","",$H949)</f>
        <v/>
      </c>
    </row>
    <row r="950">
      <c r="A950" s="29" t="n"/>
      <c r="B950" s="31" t="n"/>
      <c r="C950" s="31">
        <f>IF(OR($A950="",$B950=""),"",SUMIFS(QuickLog!$K$2:$K$1000,QuickLog!$B$2:$B$1000,$B950,QuickLog!$O$2:$O$1000,$A950,QuickLog!$G$2:$G$1000,"Routine"))</f>
        <v/>
      </c>
      <c r="D950" s="31">
        <f>IF(OR($A950="",$B950=""),"",SUMIFS(QuickLog!$K$2:$K$1000,QuickLog!$B$2:$B$1000,$B950,QuickLog!$O$2:$O$1000,$A950,QuickLog!$G$2:$G$1000,"&lt;&gt;Routine"))</f>
        <v/>
      </c>
      <c r="E950" s="31">
        <f>IF($C950="","",MIN($C950,Settings!$B$2))</f>
        <v/>
      </c>
      <c r="F950" s="31">
        <f>IF($C950="","",MAX(0,$C950-$E950))</f>
        <v/>
      </c>
      <c r="G950" s="31">
        <f>IF(OR($E950="",$D950=""),"", $E950+$D950)</f>
        <v/>
      </c>
      <c r="H950" s="31">
        <f>IF(OR($A950="",$B950=""),"",SUMIFS(QuickLog!$L$2:$L$1000,QuickLog!$B$2:$B$1000,$B950,QuickLog!$O$2:$O$1000,$A950))</f>
        <v/>
      </c>
      <c r="I950" s="32">
        <f>IF($H950="","",$H950)</f>
        <v/>
      </c>
    </row>
    <row r="951">
      <c r="A951" s="29" t="n"/>
      <c r="B951" s="31" t="n"/>
      <c r="C951" s="31">
        <f>IF(OR($A951="",$B951=""),"",SUMIFS(QuickLog!$K$2:$K$1000,QuickLog!$B$2:$B$1000,$B951,QuickLog!$O$2:$O$1000,$A951,QuickLog!$G$2:$G$1000,"Routine"))</f>
        <v/>
      </c>
      <c r="D951" s="31">
        <f>IF(OR($A951="",$B951=""),"",SUMIFS(QuickLog!$K$2:$K$1000,QuickLog!$B$2:$B$1000,$B951,QuickLog!$O$2:$O$1000,$A951,QuickLog!$G$2:$G$1000,"&lt;&gt;Routine"))</f>
        <v/>
      </c>
      <c r="E951" s="31">
        <f>IF($C951="","",MIN($C951,Settings!$B$2))</f>
        <v/>
      </c>
      <c r="F951" s="31">
        <f>IF($C951="","",MAX(0,$C951-$E951))</f>
        <v/>
      </c>
      <c r="G951" s="31">
        <f>IF(OR($E951="",$D951=""),"", $E951+$D951)</f>
        <v/>
      </c>
      <c r="H951" s="31">
        <f>IF(OR($A951="",$B951=""),"",SUMIFS(QuickLog!$L$2:$L$1000,QuickLog!$B$2:$B$1000,$B951,QuickLog!$O$2:$O$1000,$A951))</f>
        <v/>
      </c>
      <c r="I951" s="32">
        <f>IF($H951="","",$H951)</f>
        <v/>
      </c>
    </row>
    <row r="952">
      <c r="A952" s="29" t="n"/>
      <c r="B952" s="31" t="n"/>
      <c r="C952" s="31">
        <f>IF(OR($A952="",$B952=""),"",SUMIFS(QuickLog!$K$2:$K$1000,QuickLog!$B$2:$B$1000,$B952,QuickLog!$O$2:$O$1000,$A952,QuickLog!$G$2:$G$1000,"Routine"))</f>
        <v/>
      </c>
      <c r="D952" s="31">
        <f>IF(OR($A952="",$B952=""),"",SUMIFS(QuickLog!$K$2:$K$1000,QuickLog!$B$2:$B$1000,$B952,QuickLog!$O$2:$O$1000,$A952,QuickLog!$G$2:$G$1000,"&lt;&gt;Routine"))</f>
        <v/>
      </c>
      <c r="E952" s="31">
        <f>IF($C952="","",MIN($C952,Settings!$B$2))</f>
        <v/>
      </c>
      <c r="F952" s="31">
        <f>IF($C952="","",MAX(0,$C952-$E952))</f>
        <v/>
      </c>
      <c r="G952" s="31">
        <f>IF(OR($E952="",$D952=""),"", $E952+$D952)</f>
        <v/>
      </c>
      <c r="H952" s="31">
        <f>IF(OR($A952="",$B952=""),"",SUMIFS(QuickLog!$L$2:$L$1000,QuickLog!$B$2:$B$1000,$B952,QuickLog!$O$2:$O$1000,$A952))</f>
        <v/>
      </c>
      <c r="I952" s="32">
        <f>IF($H952="","",$H952)</f>
        <v/>
      </c>
    </row>
    <row r="953">
      <c r="A953" s="29" t="n"/>
      <c r="B953" s="31" t="n"/>
      <c r="C953" s="31">
        <f>IF(OR($A953="",$B953=""),"",SUMIFS(QuickLog!$K$2:$K$1000,QuickLog!$B$2:$B$1000,$B953,QuickLog!$O$2:$O$1000,$A953,QuickLog!$G$2:$G$1000,"Routine"))</f>
        <v/>
      </c>
      <c r="D953" s="31">
        <f>IF(OR($A953="",$B953=""),"",SUMIFS(QuickLog!$K$2:$K$1000,QuickLog!$B$2:$B$1000,$B953,QuickLog!$O$2:$O$1000,$A953,QuickLog!$G$2:$G$1000,"&lt;&gt;Routine"))</f>
        <v/>
      </c>
      <c r="E953" s="31">
        <f>IF($C953="","",MIN($C953,Settings!$B$2))</f>
        <v/>
      </c>
      <c r="F953" s="31">
        <f>IF($C953="","",MAX(0,$C953-$E953))</f>
        <v/>
      </c>
      <c r="G953" s="31">
        <f>IF(OR($E953="",$D953=""),"", $E953+$D953)</f>
        <v/>
      </c>
      <c r="H953" s="31">
        <f>IF(OR($A953="",$B953=""),"",SUMIFS(QuickLog!$L$2:$L$1000,QuickLog!$B$2:$B$1000,$B953,QuickLog!$O$2:$O$1000,$A953))</f>
        <v/>
      </c>
      <c r="I953" s="32">
        <f>IF($H953="","",$H953)</f>
        <v/>
      </c>
    </row>
    <row r="954">
      <c r="A954" s="29" t="n"/>
      <c r="B954" s="31" t="n"/>
      <c r="C954" s="31">
        <f>IF(OR($A954="",$B954=""),"",SUMIFS(QuickLog!$K$2:$K$1000,QuickLog!$B$2:$B$1000,$B954,QuickLog!$O$2:$O$1000,$A954,QuickLog!$G$2:$G$1000,"Routine"))</f>
        <v/>
      </c>
      <c r="D954" s="31">
        <f>IF(OR($A954="",$B954=""),"",SUMIFS(QuickLog!$K$2:$K$1000,QuickLog!$B$2:$B$1000,$B954,QuickLog!$O$2:$O$1000,$A954,QuickLog!$G$2:$G$1000,"&lt;&gt;Routine"))</f>
        <v/>
      </c>
      <c r="E954" s="31">
        <f>IF($C954="","",MIN($C954,Settings!$B$2))</f>
        <v/>
      </c>
      <c r="F954" s="31">
        <f>IF($C954="","",MAX(0,$C954-$E954))</f>
        <v/>
      </c>
      <c r="G954" s="31">
        <f>IF(OR($E954="",$D954=""),"", $E954+$D954)</f>
        <v/>
      </c>
      <c r="H954" s="31">
        <f>IF(OR($A954="",$B954=""),"",SUMIFS(QuickLog!$L$2:$L$1000,QuickLog!$B$2:$B$1000,$B954,QuickLog!$O$2:$O$1000,$A954))</f>
        <v/>
      </c>
      <c r="I954" s="32">
        <f>IF($H954="","",$H954)</f>
        <v/>
      </c>
    </row>
    <row r="955">
      <c r="A955" s="29" t="n"/>
      <c r="B955" s="31" t="n"/>
      <c r="C955" s="31">
        <f>IF(OR($A955="",$B955=""),"",SUMIFS(QuickLog!$K$2:$K$1000,QuickLog!$B$2:$B$1000,$B955,QuickLog!$O$2:$O$1000,$A955,QuickLog!$G$2:$G$1000,"Routine"))</f>
        <v/>
      </c>
      <c r="D955" s="31">
        <f>IF(OR($A955="",$B955=""),"",SUMIFS(QuickLog!$K$2:$K$1000,QuickLog!$B$2:$B$1000,$B955,QuickLog!$O$2:$O$1000,$A955,QuickLog!$G$2:$G$1000,"&lt;&gt;Routine"))</f>
        <v/>
      </c>
      <c r="E955" s="31">
        <f>IF($C955="","",MIN($C955,Settings!$B$2))</f>
        <v/>
      </c>
      <c r="F955" s="31">
        <f>IF($C955="","",MAX(0,$C955-$E955))</f>
        <v/>
      </c>
      <c r="G955" s="31">
        <f>IF(OR($E955="",$D955=""),"", $E955+$D955)</f>
        <v/>
      </c>
      <c r="H955" s="31">
        <f>IF(OR($A955="",$B955=""),"",SUMIFS(QuickLog!$L$2:$L$1000,QuickLog!$B$2:$B$1000,$B955,QuickLog!$O$2:$O$1000,$A955))</f>
        <v/>
      </c>
      <c r="I955" s="32">
        <f>IF($H955="","",$H955)</f>
        <v/>
      </c>
    </row>
    <row r="956">
      <c r="A956" s="29" t="n"/>
      <c r="B956" s="31" t="n"/>
      <c r="C956" s="31">
        <f>IF(OR($A956="",$B956=""),"",SUMIFS(QuickLog!$K$2:$K$1000,QuickLog!$B$2:$B$1000,$B956,QuickLog!$O$2:$O$1000,$A956,QuickLog!$G$2:$G$1000,"Routine"))</f>
        <v/>
      </c>
      <c r="D956" s="31">
        <f>IF(OR($A956="",$B956=""),"",SUMIFS(QuickLog!$K$2:$K$1000,QuickLog!$B$2:$B$1000,$B956,QuickLog!$O$2:$O$1000,$A956,QuickLog!$G$2:$G$1000,"&lt;&gt;Routine"))</f>
        <v/>
      </c>
      <c r="E956" s="31">
        <f>IF($C956="","",MIN($C956,Settings!$B$2))</f>
        <v/>
      </c>
      <c r="F956" s="31">
        <f>IF($C956="","",MAX(0,$C956-$E956))</f>
        <v/>
      </c>
      <c r="G956" s="31">
        <f>IF(OR($E956="",$D956=""),"", $E956+$D956)</f>
        <v/>
      </c>
      <c r="H956" s="31">
        <f>IF(OR($A956="",$B956=""),"",SUMIFS(QuickLog!$L$2:$L$1000,QuickLog!$B$2:$B$1000,$B956,QuickLog!$O$2:$O$1000,$A956))</f>
        <v/>
      </c>
      <c r="I956" s="32">
        <f>IF($H956="","",$H956)</f>
        <v/>
      </c>
    </row>
    <row r="957">
      <c r="A957" s="29" t="n"/>
      <c r="B957" s="31" t="n"/>
      <c r="C957" s="31">
        <f>IF(OR($A957="",$B957=""),"",SUMIFS(QuickLog!$K$2:$K$1000,QuickLog!$B$2:$B$1000,$B957,QuickLog!$O$2:$O$1000,$A957,QuickLog!$G$2:$G$1000,"Routine"))</f>
        <v/>
      </c>
      <c r="D957" s="31">
        <f>IF(OR($A957="",$B957=""),"",SUMIFS(QuickLog!$K$2:$K$1000,QuickLog!$B$2:$B$1000,$B957,QuickLog!$O$2:$O$1000,$A957,QuickLog!$G$2:$G$1000,"&lt;&gt;Routine"))</f>
        <v/>
      </c>
      <c r="E957" s="31">
        <f>IF($C957="","",MIN($C957,Settings!$B$2))</f>
        <v/>
      </c>
      <c r="F957" s="31">
        <f>IF($C957="","",MAX(0,$C957-$E957))</f>
        <v/>
      </c>
      <c r="G957" s="31">
        <f>IF(OR($E957="",$D957=""),"", $E957+$D957)</f>
        <v/>
      </c>
      <c r="H957" s="31">
        <f>IF(OR($A957="",$B957=""),"",SUMIFS(QuickLog!$L$2:$L$1000,QuickLog!$B$2:$B$1000,$B957,QuickLog!$O$2:$O$1000,$A957))</f>
        <v/>
      </c>
      <c r="I957" s="32">
        <f>IF($H957="","",$H957)</f>
        <v/>
      </c>
    </row>
    <row r="958">
      <c r="A958" s="29" t="n"/>
      <c r="B958" s="31" t="n"/>
      <c r="C958" s="31">
        <f>IF(OR($A958="",$B958=""),"",SUMIFS(QuickLog!$K$2:$K$1000,QuickLog!$B$2:$B$1000,$B958,QuickLog!$O$2:$O$1000,$A958,QuickLog!$G$2:$G$1000,"Routine"))</f>
        <v/>
      </c>
      <c r="D958" s="31">
        <f>IF(OR($A958="",$B958=""),"",SUMIFS(QuickLog!$K$2:$K$1000,QuickLog!$B$2:$B$1000,$B958,QuickLog!$O$2:$O$1000,$A958,QuickLog!$G$2:$G$1000,"&lt;&gt;Routine"))</f>
        <v/>
      </c>
      <c r="E958" s="31">
        <f>IF($C958="","",MIN($C958,Settings!$B$2))</f>
        <v/>
      </c>
      <c r="F958" s="31">
        <f>IF($C958="","",MAX(0,$C958-$E958))</f>
        <v/>
      </c>
      <c r="G958" s="31">
        <f>IF(OR($E958="",$D958=""),"", $E958+$D958)</f>
        <v/>
      </c>
      <c r="H958" s="31">
        <f>IF(OR($A958="",$B958=""),"",SUMIFS(QuickLog!$L$2:$L$1000,QuickLog!$B$2:$B$1000,$B958,QuickLog!$O$2:$O$1000,$A958))</f>
        <v/>
      </c>
      <c r="I958" s="32">
        <f>IF($H958="","",$H958)</f>
        <v/>
      </c>
    </row>
    <row r="959">
      <c r="A959" s="29" t="n"/>
      <c r="B959" s="31" t="n"/>
      <c r="C959" s="31">
        <f>IF(OR($A959="",$B959=""),"",SUMIFS(QuickLog!$K$2:$K$1000,QuickLog!$B$2:$B$1000,$B959,QuickLog!$O$2:$O$1000,$A959,QuickLog!$G$2:$G$1000,"Routine"))</f>
        <v/>
      </c>
      <c r="D959" s="31">
        <f>IF(OR($A959="",$B959=""),"",SUMIFS(QuickLog!$K$2:$K$1000,QuickLog!$B$2:$B$1000,$B959,QuickLog!$O$2:$O$1000,$A959,QuickLog!$G$2:$G$1000,"&lt;&gt;Routine"))</f>
        <v/>
      </c>
      <c r="E959" s="31">
        <f>IF($C959="","",MIN($C959,Settings!$B$2))</f>
        <v/>
      </c>
      <c r="F959" s="31">
        <f>IF($C959="","",MAX(0,$C959-$E959))</f>
        <v/>
      </c>
      <c r="G959" s="31">
        <f>IF(OR($E959="",$D959=""),"", $E959+$D959)</f>
        <v/>
      </c>
      <c r="H959" s="31">
        <f>IF(OR($A959="",$B959=""),"",SUMIFS(QuickLog!$L$2:$L$1000,QuickLog!$B$2:$B$1000,$B959,QuickLog!$O$2:$O$1000,$A959))</f>
        <v/>
      </c>
      <c r="I959" s="32">
        <f>IF($H959="","",$H959)</f>
        <v/>
      </c>
    </row>
    <row r="960">
      <c r="A960" s="29" t="n"/>
      <c r="B960" s="31" t="n"/>
      <c r="C960" s="31">
        <f>IF(OR($A960="",$B960=""),"",SUMIFS(QuickLog!$K$2:$K$1000,QuickLog!$B$2:$B$1000,$B960,QuickLog!$O$2:$O$1000,$A960,QuickLog!$G$2:$G$1000,"Routine"))</f>
        <v/>
      </c>
      <c r="D960" s="31">
        <f>IF(OR($A960="",$B960=""),"",SUMIFS(QuickLog!$K$2:$K$1000,QuickLog!$B$2:$B$1000,$B960,QuickLog!$O$2:$O$1000,$A960,QuickLog!$G$2:$G$1000,"&lt;&gt;Routine"))</f>
        <v/>
      </c>
      <c r="E960" s="31">
        <f>IF($C960="","",MIN($C960,Settings!$B$2))</f>
        <v/>
      </c>
      <c r="F960" s="31">
        <f>IF($C960="","",MAX(0,$C960-$E960))</f>
        <v/>
      </c>
      <c r="G960" s="31">
        <f>IF(OR($E960="",$D960=""),"", $E960+$D960)</f>
        <v/>
      </c>
      <c r="H960" s="31">
        <f>IF(OR($A960="",$B960=""),"",SUMIFS(QuickLog!$L$2:$L$1000,QuickLog!$B$2:$B$1000,$B960,QuickLog!$O$2:$O$1000,$A960))</f>
        <v/>
      </c>
      <c r="I960" s="32">
        <f>IF($H960="","",$H960)</f>
        <v/>
      </c>
    </row>
    <row r="961">
      <c r="A961" s="29" t="n"/>
      <c r="B961" s="31" t="n"/>
      <c r="C961" s="31">
        <f>IF(OR($A961="",$B961=""),"",SUMIFS(QuickLog!$K$2:$K$1000,QuickLog!$B$2:$B$1000,$B961,QuickLog!$O$2:$O$1000,$A961,QuickLog!$G$2:$G$1000,"Routine"))</f>
        <v/>
      </c>
      <c r="D961" s="31">
        <f>IF(OR($A961="",$B961=""),"",SUMIFS(QuickLog!$K$2:$K$1000,QuickLog!$B$2:$B$1000,$B961,QuickLog!$O$2:$O$1000,$A961,QuickLog!$G$2:$G$1000,"&lt;&gt;Routine"))</f>
        <v/>
      </c>
      <c r="E961" s="31">
        <f>IF($C961="","",MIN($C961,Settings!$B$2))</f>
        <v/>
      </c>
      <c r="F961" s="31">
        <f>IF($C961="","",MAX(0,$C961-$E961))</f>
        <v/>
      </c>
      <c r="G961" s="31">
        <f>IF(OR($E961="",$D961=""),"", $E961+$D961)</f>
        <v/>
      </c>
      <c r="H961" s="31">
        <f>IF(OR($A961="",$B961=""),"",SUMIFS(QuickLog!$L$2:$L$1000,QuickLog!$B$2:$B$1000,$B961,QuickLog!$O$2:$O$1000,$A961))</f>
        <v/>
      </c>
      <c r="I961" s="32">
        <f>IF($H961="","",$H961)</f>
        <v/>
      </c>
    </row>
    <row r="962">
      <c r="A962" s="29" t="n"/>
      <c r="B962" s="31" t="n"/>
      <c r="C962" s="31">
        <f>IF(OR($A962="",$B962=""),"",SUMIFS(QuickLog!$K$2:$K$1000,QuickLog!$B$2:$B$1000,$B962,QuickLog!$O$2:$O$1000,$A962,QuickLog!$G$2:$G$1000,"Routine"))</f>
        <v/>
      </c>
      <c r="D962" s="31">
        <f>IF(OR($A962="",$B962=""),"",SUMIFS(QuickLog!$K$2:$K$1000,QuickLog!$B$2:$B$1000,$B962,QuickLog!$O$2:$O$1000,$A962,QuickLog!$G$2:$G$1000,"&lt;&gt;Routine"))</f>
        <v/>
      </c>
      <c r="E962" s="31">
        <f>IF($C962="","",MIN($C962,Settings!$B$2))</f>
        <v/>
      </c>
      <c r="F962" s="31">
        <f>IF($C962="","",MAX(0,$C962-$E962))</f>
        <v/>
      </c>
      <c r="G962" s="31">
        <f>IF(OR($E962="",$D962=""),"", $E962+$D962)</f>
        <v/>
      </c>
      <c r="H962" s="31">
        <f>IF(OR($A962="",$B962=""),"",SUMIFS(QuickLog!$L$2:$L$1000,QuickLog!$B$2:$B$1000,$B962,QuickLog!$O$2:$O$1000,$A962))</f>
        <v/>
      </c>
      <c r="I962" s="32">
        <f>IF($H962="","",$H962)</f>
        <v/>
      </c>
    </row>
    <row r="963">
      <c r="A963" s="29" t="n"/>
      <c r="B963" s="31" t="n"/>
      <c r="C963" s="31">
        <f>IF(OR($A963="",$B963=""),"",SUMIFS(QuickLog!$K$2:$K$1000,QuickLog!$B$2:$B$1000,$B963,QuickLog!$O$2:$O$1000,$A963,QuickLog!$G$2:$G$1000,"Routine"))</f>
        <v/>
      </c>
      <c r="D963" s="31">
        <f>IF(OR($A963="",$B963=""),"",SUMIFS(QuickLog!$K$2:$K$1000,QuickLog!$B$2:$B$1000,$B963,QuickLog!$O$2:$O$1000,$A963,QuickLog!$G$2:$G$1000,"&lt;&gt;Routine"))</f>
        <v/>
      </c>
      <c r="E963" s="31">
        <f>IF($C963="","",MIN($C963,Settings!$B$2))</f>
        <v/>
      </c>
      <c r="F963" s="31">
        <f>IF($C963="","",MAX(0,$C963-$E963))</f>
        <v/>
      </c>
      <c r="G963" s="31">
        <f>IF(OR($E963="",$D963=""),"", $E963+$D963)</f>
        <v/>
      </c>
      <c r="H963" s="31">
        <f>IF(OR($A963="",$B963=""),"",SUMIFS(QuickLog!$L$2:$L$1000,QuickLog!$B$2:$B$1000,$B963,QuickLog!$O$2:$O$1000,$A963))</f>
        <v/>
      </c>
      <c r="I963" s="32">
        <f>IF($H963="","",$H963)</f>
        <v/>
      </c>
    </row>
    <row r="964">
      <c r="A964" s="29" t="n"/>
      <c r="B964" s="31" t="n"/>
      <c r="C964" s="31">
        <f>IF(OR($A964="",$B964=""),"",SUMIFS(QuickLog!$K$2:$K$1000,QuickLog!$B$2:$B$1000,$B964,QuickLog!$O$2:$O$1000,$A964,QuickLog!$G$2:$G$1000,"Routine"))</f>
        <v/>
      </c>
      <c r="D964" s="31">
        <f>IF(OR($A964="",$B964=""),"",SUMIFS(QuickLog!$K$2:$K$1000,QuickLog!$B$2:$B$1000,$B964,QuickLog!$O$2:$O$1000,$A964,QuickLog!$G$2:$G$1000,"&lt;&gt;Routine"))</f>
        <v/>
      </c>
      <c r="E964" s="31">
        <f>IF($C964="","",MIN($C964,Settings!$B$2))</f>
        <v/>
      </c>
      <c r="F964" s="31">
        <f>IF($C964="","",MAX(0,$C964-$E964))</f>
        <v/>
      </c>
      <c r="G964" s="31">
        <f>IF(OR($E964="",$D964=""),"", $E964+$D964)</f>
        <v/>
      </c>
      <c r="H964" s="31">
        <f>IF(OR($A964="",$B964=""),"",SUMIFS(QuickLog!$L$2:$L$1000,QuickLog!$B$2:$B$1000,$B964,QuickLog!$O$2:$O$1000,$A964))</f>
        <v/>
      </c>
      <c r="I964" s="32">
        <f>IF($H964="","",$H964)</f>
        <v/>
      </c>
    </row>
    <row r="965">
      <c r="A965" s="29" t="n"/>
      <c r="B965" s="31" t="n"/>
      <c r="C965" s="31">
        <f>IF(OR($A965="",$B965=""),"",SUMIFS(QuickLog!$K$2:$K$1000,QuickLog!$B$2:$B$1000,$B965,QuickLog!$O$2:$O$1000,$A965,QuickLog!$G$2:$G$1000,"Routine"))</f>
        <v/>
      </c>
      <c r="D965" s="31">
        <f>IF(OR($A965="",$B965=""),"",SUMIFS(QuickLog!$K$2:$K$1000,QuickLog!$B$2:$B$1000,$B965,QuickLog!$O$2:$O$1000,$A965,QuickLog!$G$2:$G$1000,"&lt;&gt;Routine"))</f>
        <v/>
      </c>
      <c r="E965" s="31">
        <f>IF($C965="","",MIN($C965,Settings!$B$2))</f>
        <v/>
      </c>
      <c r="F965" s="31">
        <f>IF($C965="","",MAX(0,$C965-$E965))</f>
        <v/>
      </c>
      <c r="G965" s="31">
        <f>IF(OR($E965="",$D965=""),"", $E965+$D965)</f>
        <v/>
      </c>
      <c r="H965" s="31">
        <f>IF(OR($A965="",$B965=""),"",SUMIFS(QuickLog!$L$2:$L$1000,QuickLog!$B$2:$B$1000,$B965,QuickLog!$O$2:$O$1000,$A965))</f>
        <v/>
      </c>
      <c r="I965" s="32">
        <f>IF($H965="","",$H965)</f>
        <v/>
      </c>
    </row>
    <row r="966">
      <c r="A966" s="29" t="n"/>
      <c r="B966" s="31" t="n"/>
      <c r="C966" s="31">
        <f>IF(OR($A966="",$B966=""),"",SUMIFS(QuickLog!$K$2:$K$1000,QuickLog!$B$2:$B$1000,$B966,QuickLog!$O$2:$O$1000,$A966,QuickLog!$G$2:$G$1000,"Routine"))</f>
        <v/>
      </c>
      <c r="D966" s="31">
        <f>IF(OR($A966="",$B966=""),"",SUMIFS(QuickLog!$K$2:$K$1000,QuickLog!$B$2:$B$1000,$B966,QuickLog!$O$2:$O$1000,$A966,QuickLog!$G$2:$G$1000,"&lt;&gt;Routine"))</f>
        <v/>
      </c>
      <c r="E966" s="31">
        <f>IF($C966="","",MIN($C966,Settings!$B$2))</f>
        <v/>
      </c>
      <c r="F966" s="31">
        <f>IF($C966="","",MAX(0,$C966-$E966))</f>
        <v/>
      </c>
      <c r="G966" s="31">
        <f>IF(OR($E966="",$D966=""),"", $E966+$D966)</f>
        <v/>
      </c>
      <c r="H966" s="31">
        <f>IF(OR($A966="",$B966=""),"",SUMIFS(QuickLog!$L$2:$L$1000,QuickLog!$B$2:$B$1000,$B966,QuickLog!$O$2:$O$1000,$A966))</f>
        <v/>
      </c>
      <c r="I966" s="32">
        <f>IF($H966="","",$H966)</f>
        <v/>
      </c>
    </row>
    <row r="967">
      <c r="A967" s="29" t="n"/>
      <c r="B967" s="31" t="n"/>
      <c r="C967" s="31">
        <f>IF(OR($A967="",$B967=""),"",SUMIFS(QuickLog!$K$2:$K$1000,QuickLog!$B$2:$B$1000,$B967,QuickLog!$O$2:$O$1000,$A967,QuickLog!$G$2:$G$1000,"Routine"))</f>
        <v/>
      </c>
      <c r="D967" s="31">
        <f>IF(OR($A967="",$B967=""),"",SUMIFS(QuickLog!$K$2:$K$1000,QuickLog!$B$2:$B$1000,$B967,QuickLog!$O$2:$O$1000,$A967,QuickLog!$G$2:$G$1000,"&lt;&gt;Routine"))</f>
        <v/>
      </c>
      <c r="E967" s="31">
        <f>IF($C967="","",MIN($C967,Settings!$B$2))</f>
        <v/>
      </c>
      <c r="F967" s="31">
        <f>IF($C967="","",MAX(0,$C967-$E967))</f>
        <v/>
      </c>
      <c r="G967" s="31">
        <f>IF(OR($E967="",$D967=""),"", $E967+$D967)</f>
        <v/>
      </c>
      <c r="H967" s="31">
        <f>IF(OR($A967="",$B967=""),"",SUMIFS(QuickLog!$L$2:$L$1000,QuickLog!$B$2:$B$1000,$B967,QuickLog!$O$2:$O$1000,$A967))</f>
        <v/>
      </c>
      <c r="I967" s="32">
        <f>IF($H967="","",$H967)</f>
        <v/>
      </c>
    </row>
    <row r="968">
      <c r="A968" s="29" t="n"/>
      <c r="B968" s="31" t="n"/>
      <c r="C968" s="31">
        <f>IF(OR($A968="",$B968=""),"",SUMIFS(QuickLog!$K$2:$K$1000,QuickLog!$B$2:$B$1000,$B968,QuickLog!$O$2:$O$1000,$A968,QuickLog!$G$2:$G$1000,"Routine"))</f>
        <v/>
      </c>
      <c r="D968" s="31">
        <f>IF(OR($A968="",$B968=""),"",SUMIFS(QuickLog!$K$2:$K$1000,QuickLog!$B$2:$B$1000,$B968,QuickLog!$O$2:$O$1000,$A968,QuickLog!$G$2:$G$1000,"&lt;&gt;Routine"))</f>
        <v/>
      </c>
      <c r="E968" s="31">
        <f>IF($C968="","",MIN($C968,Settings!$B$2))</f>
        <v/>
      </c>
      <c r="F968" s="31">
        <f>IF($C968="","",MAX(0,$C968-$E968))</f>
        <v/>
      </c>
      <c r="G968" s="31">
        <f>IF(OR($E968="",$D968=""),"", $E968+$D968)</f>
        <v/>
      </c>
      <c r="H968" s="31">
        <f>IF(OR($A968="",$B968=""),"",SUMIFS(QuickLog!$L$2:$L$1000,QuickLog!$B$2:$B$1000,$B968,QuickLog!$O$2:$O$1000,$A968))</f>
        <v/>
      </c>
      <c r="I968" s="32">
        <f>IF($H968="","",$H968)</f>
        <v/>
      </c>
    </row>
    <row r="969">
      <c r="A969" s="29" t="n"/>
      <c r="B969" s="31" t="n"/>
      <c r="C969" s="31">
        <f>IF(OR($A969="",$B969=""),"",SUMIFS(QuickLog!$K$2:$K$1000,QuickLog!$B$2:$B$1000,$B969,QuickLog!$O$2:$O$1000,$A969,QuickLog!$G$2:$G$1000,"Routine"))</f>
        <v/>
      </c>
      <c r="D969" s="31">
        <f>IF(OR($A969="",$B969=""),"",SUMIFS(QuickLog!$K$2:$K$1000,QuickLog!$B$2:$B$1000,$B969,QuickLog!$O$2:$O$1000,$A969,QuickLog!$G$2:$G$1000,"&lt;&gt;Routine"))</f>
        <v/>
      </c>
      <c r="E969" s="31">
        <f>IF($C969="","",MIN($C969,Settings!$B$2))</f>
        <v/>
      </c>
      <c r="F969" s="31">
        <f>IF($C969="","",MAX(0,$C969-$E969))</f>
        <v/>
      </c>
      <c r="G969" s="31">
        <f>IF(OR($E969="",$D969=""),"", $E969+$D969)</f>
        <v/>
      </c>
      <c r="H969" s="31">
        <f>IF(OR($A969="",$B969=""),"",SUMIFS(QuickLog!$L$2:$L$1000,QuickLog!$B$2:$B$1000,$B969,QuickLog!$O$2:$O$1000,$A969))</f>
        <v/>
      </c>
      <c r="I969" s="32">
        <f>IF($H969="","",$H969)</f>
        <v/>
      </c>
    </row>
    <row r="970">
      <c r="A970" s="29" t="n"/>
      <c r="B970" s="31" t="n"/>
      <c r="C970" s="31">
        <f>IF(OR($A970="",$B970=""),"",SUMIFS(QuickLog!$K$2:$K$1000,QuickLog!$B$2:$B$1000,$B970,QuickLog!$O$2:$O$1000,$A970,QuickLog!$G$2:$G$1000,"Routine"))</f>
        <v/>
      </c>
      <c r="D970" s="31">
        <f>IF(OR($A970="",$B970=""),"",SUMIFS(QuickLog!$K$2:$K$1000,QuickLog!$B$2:$B$1000,$B970,QuickLog!$O$2:$O$1000,$A970,QuickLog!$G$2:$G$1000,"&lt;&gt;Routine"))</f>
        <v/>
      </c>
      <c r="E970" s="31">
        <f>IF($C970="","",MIN($C970,Settings!$B$2))</f>
        <v/>
      </c>
      <c r="F970" s="31">
        <f>IF($C970="","",MAX(0,$C970-$E970))</f>
        <v/>
      </c>
      <c r="G970" s="31">
        <f>IF(OR($E970="",$D970=""),"", $E970+$D970)</f>
        <v/>
      </c>
      <c r="H970" s="31">
        <f>IF(OR($A970="",$B970=""),"",SUMIFS(QuickLog!$L$2:$L$1000,QuickLog!$B$2:$B$1000,$B970,QuickLog!$O$2:$O$1000,$A970))</f>
        <v/>
      </c>
      <c r="I970" s="32">
        <f>IF($H970="","",$H970)</f>
        <v/>
      </c>
    </row>
    <row r="971">
      <c r="A971" s="29" t="n"/>
      <c r="B971" s="31" t="n"/>
      <c r="C971" s="31">
        <f>IF(OR($A971="",$B971=""),"",SUMIFS(QuickLog!$K$2:$K$1000,QuickLog!$B$2:$B$1000,$B971,QuickLog!$O$2:$O$1000,$A971,QuickLog!$G$2:$G$1000,"Routine"))</f>
        <v/>
      </c>
      <c r="D971" s="31">
        <f>IF(OR($A971="",$B971=""),"",SUMIFS(QuickLog!$K$2:$K$1000,QuickLog!$B$2:$B$1000,$B971,QuickLog!$O$2:$O$1000,$A971,QuickLog!$G$2:$G$1000,"&lt;&gt;Routine"))</f>
        <v/>
      </c>
      <c r="E971" s="31">
        <f>IF($C971="","",MIN($C971,Settings!$B$2))</f>
        <v/>
      </c>
      <c r="F971" s="31">
        <f>IF($C971="","",MAX(0,$C971-$E971))</f>
        <v/>
      </c>
      <c r="G971" s="31">
        <f>IF(OR($E971="",$D971=""),"", $E971+$D971)</f>
        <v/>
      </c>
      <c r="H971" s="31">
        <f>IF(OR($A971="",$B971=""),"",SUMIFS(QuickLog!$L$2:$L$1000,QuickLog!$B$2:$B$1000,$B971,QuickLog!$O$2:$O$1000,$A971))</f>
        <v/>
      </c>
      <c r="I971" s="32">
        <f>IF($H971="","",$H971)</f>
        <v/>
      </c>
    </row>
    <row r="972">
      <c r="A972" s="29" t="n"/>
      <c r="B972" s="31" t="n"/>
      <c r="C972" s="31">
        <f>IF(OR($A972="",$B972=""),"",SUMIFS(QuickLog!$K$2:$K$1000,QuickLog!$B$2:$B$1000,$B972,QuickLog!$O$2:$O$1000,$A972,QuickLog!$G$2:$G$1000,"Routine"))</f>
        <v/>
      </c>
      <c r="D972" s="31">
        <f>IF(OR($A972="",$B972=""),"",SUMIFS(QuickLog!$K$2:$K$1000,QuickLog!$B$2:$B$1000,$B972,QuickLog!$O$2:$O$1000,$A972,QuickLog!$G$2:$G$1000,"&lt;&gt;Routine"))</f>
        <v/>
      </c>
      <c r="E972" s="31">
        <f>IF($C972="","",MIN($C972,Settings!$B$2))</f>
        <v/>
      </c>
      <c r="F972" s="31">
        <f>IF($C972="","",MAX(0,$C972-$E972))</f>
        <v/>
      </c>
      <c r="G972" s="31">
        <f>IF(OR($E972="",$D972=""),"", $E972+$D972)</f>
        <v/>
      </c>
      <c r="H972" s="31">
        <f>IF(OR($A972="",$B972=""),"",SUMIFS(QuickLog!$L$2:$L$1000,QuickLog!$B$2:$B$1000,$B972,QuickLog!$O$2:$O$1000,$A972))</f>
        <v/>
      </c>
      <c r="I972" s="32">
        <f>IF($H972="","",$H972)</f>
        <v/>
      </c>
    </row>
    <row r="973">
      <c r="A973" s="29" t="n"/>
      <c r="B973" s="31" t="n"/>
      <c r="C973" s="31">
        <f>IF(OR($A973="",$B973=""),"",SUMIFS(QuickLog!$K$2:$K$1000,QuickLog!$B$2:$B$1000,$B973,QuickLog!$O$2:$O$1000,$A973,QuickLog!$G$2:$G$1000,"Routine"))</f>
        <v/>
      </c>
      <c r="D973" s="31">
        <f>IF(OR($A973="",$B973=""),"",SUMIFS(QuickLog!$K$2:$K$1000,QuickLog!$B$2:$B$1000,$B973,QuickLog!$O$2:$O$1000,$A973,QuickLog!$G$2:$G$1000,"&lt;&gt;Routine"))</f>
        <v/>
      </c>
      <c r="E973" s="31">
        <f>IF($C973="","",MIN($C973,Settings!$B$2))</f>
        <v/>
      </c>
      <c r="F973" s="31">
        <f>IF($C973="","",MAX(0,$C973-$E973))</f>
        <v/>
      </c>
      <c r="G973" s="31">
        <f>IF(OR($E973="",$D973=""),"", $E973+$D973)</f>
        <v/>
      </c>
      <c r="H973" s="31">
        <f>IF(OR($A973="",$B973=""),"",SUMIFS(QuickLog!$L$2:$L$1000,QuickLog!$B$2:$B$1000,$B973,QuickLog!$O$2:$O$1000,$A973))</f>
        <v/>
      </c>
      <c r="I973" s="32">
        <f>IF($H973="","",$H973)</f>
        <v/>
      </c>
    </row>
    <row r="974">
      <c r="A974" s="29" t="n"/>
      <c r="B974" s="31" t="n"/>
      <c r="C974" s="31">
        <f>IF(OR($A974="",$B974=""),"",SUMIFS(QuickLog!$K$2:$K$1000,QuickLog!$B$2:$B$1000,$B974,QuickLog!$O$2:$O$1000,$A974,QuickLog!$G$2:$G$1000,"Routine"))</f>
        <v/>
      </c>
      <c r="D974" s="31">
        <f>IF(OR($A974="",$B974=""),"",SUMIFS(QuickLog!$K$2:$K$1000,QuickLog!$B$2:$B$1000,$B974,QuickLog!$O$2:$O$1000,$A974,QuickLog!$G$2:$G$1000,"&lt;&gt;Routine"))</f>
        <v/>
      </c>
      <c r="E974" s="31">
        <f>IF($C974="","",MIN($C974,Settings!$B$2))</f>
        <v/>
      </c>
      <c r="F974" s="31">
        <f>IF($C974="","",MAX(0,$C974-$E974))</f>
        <v/>
      </c>
      <c r="G974" s="31">
        <f>IF(OR($E974="",$D974=""),"", $E974+$D974)</f>
        <v/>
      </c>
      <c r="H974" s="31">
        <f>IF(OR($A974="",$B974=""),"",SUMIFS(QuickLog!$L$2:$L$1000,QuickLog!$B$2:$B$1000,$B974,QuickLog!$O$2:$O$1000,$A974))</f>
        <v/>
      </c>
      <c r="I974" s="32">
        <f>IF($H974="","",$H974)</f>
        <v/>
      </c>
    </row>
    <row r="975">
      <c r="A975" s="29" t="n"/>
      <c r="B975" s="31" t="n"/>
      <c r="C975" s="31">
        <f>IF(OR($A975="",$B975=""),"",SUMIFS(QuickLog!$K$2:$K$1000,QuickLog!$B$2:$B$1000,$B975,QuickLog!$O$2:$O$1000,$A975,QuickLog!$G$2:$G$1000,"Routine"))</f>
        <v/>
      </c>
      <c r="D975" s="31">
        <f>IF(OR($A975="",$B975=""),"",SUMIFS(QuickLog!$K$2:$K$1000,QuickLog!$B$2:$B$1000,$B975,QuickLog!$O$2:$O$1000,$A975,QuickLog!$G$2:$G$1000,"&lt;&gt;Routine"))</f>
        <v/>
      </c>
      <c r="E975" s="31">
        <f>IF($C975="","",MIN($C975,Settings!$B$2))</f>
        <v/>
      </c>
      <c r="F975" s="31">
        <f>IF($C975="","",MAX(0,$C975-$E975))</f>
        <v/>
      </c>
      <c r="G975" s="31">
        <f>IF(OR($E975="",$D975=""),"", $E975+$D975)</f>
        <v/>
      </c>
      <c r="H975" s="31">
        <f>IF(OR($A975="",$B975=""),"",SUMIFS(QuickLog!$L$2:$L$1000,QuickLog!$B$2:$B$1000,$B975,QuickLog!$O$2:$O$1000,$A975))</f>
        <v/>
      </c>
      <c r="I975" s="32">
        <f>IF($H975="","",$H975)</f>
        <v/>
      </c>
    </row>
    <row r="976">
      <c r="A976" s="29" t="n"/>
      <c r="B976" s="31" t="n"/>
      <c r="C976" s="31">
        <f>IF(OR($A976="",$B976=""),"",SUMIFS(QuickLog!$K$2:$K$1000,QuickLog!$B$2:$B$1000,$B976,QuickLog!$O$2:$O$1000,$A976,QuickLog!$G$2:$G$1000,"Routine"))</f>
        <v/>
      </c>
      <c r="D976" s="31">
        <f>IF(OR($A976="",$B976=""),"",SUMIFS(QuickLog!$K$2:$K$1000,QuickLog!$B$2:$B$1000,$B976,QuickLog!$O$2:$O$1000,$A976,QuickLog!$G$2:$G$1000,"&lt;&gt;Routine"))</f>
        <v/>
      </c>
      <c r="E976" s="31">
        <f>IF($C976="","",MIN($C976,Settings!$B$2))</f>
        <v/>
      </c>
      <c r="F976" s="31">
        <f>IF($C976="","",MAX(0,$C976-$E976))</f>
        <v/>
      </c>
      <c r="G976" s="31">
        <f>IF(OR($E976="",$D976=""),"", $E976+$D976)</f>
        <v/>
      </c>
      <c r="H976" s="31">
        <f>IF(OR($A976="",$B976=""),"",SUMIFS(QuickLog!$L$2:$L$1000,QuickLog!$B$2:$B$1000,$B976,QuickLog!$O$2:$O$1000,$A976))</f>
        <v/>
      </c>
      <c r="I976" s="32">
        <f>IF($H976="","",$H976)</f>
        <v/>
      </c>
    </row>
    <row r="977">
      <c r="A977" s="29" t="n"/>
      <c r="B977" s="31" t="n"/>
      <c r="C977" s="31">
        <f>IF(OR($A977="",$B977=""),"",SUMIFS(QuickLog!$K$2:$K$1000,QuickLog!$B$2:$B$1000,$B977,QuickLog!$O$2:$O$1000,$A977,QuickLog!$G$2:$G$1000,"Routine"))</f>
        <v/>
      </c>
      <c r="D977" s="31">
        <f>IF(OR($A977="",$B977=""),"",SUMIFS(QuickLog!$K$2:$K$1000,QuickLog!$B$2:$B$1000,$B977,QuickLog!$O$2:$O$1000,$A977,QuickLog!$G$2:$G$1000,"&lt;&gt;Routine"))</f>
        <v/>
      </c>
      <c r="E977" s="31">
        <f>IF($C977="","",MIN($C977,Settings!$B$2))</f>
        <v/>
      </c>
      <c r="F977" s="31">
        <f>IF($C977="","",MAX(0,$C977-$E977))</f>
        <v/>
      </c>
      <c r="G977" s="31">
        <f>IF(OR($E977="",$D977=""),"", $E977+$D977)</f>
        <v/>
      </c>
      <c r="H977" s="31">
        <f>IF(OR($A977="",$B977=""),"",SUMIFS(QuickLog!$L$2:$L$1000,QuickLog!$B$2:$B$1000,$B977,QuickLog!$O$2:$O$1000,$A977))</f>
        <v/>
      </c>
      <c r="I977" s="32">
        <f>IF($H977="","",$H977)</f>
        <v/>
      </c>
    </row>
    <row r="978">
      <c r="A978" s="29" t="n"/>
      <c r="B978" s="31" t="n"/>
      <c r="C978" s="31">
        <f>IF(OR($A978="",$B978=""),"",SUMIFS(QuickLog!$K$2:$K$1000,QuickLog!$B$2:$B$1000,$B978,QuickLog!$O$2:$O$1000,$A978,QuickLog!$G$2:$G$1000,"Routine"))</f>
        <v/>
      </c>
      <c r="D978" s="31">
        <f>IF(OR($A978="",$B978=""),"",SUMIFS(QuickLog!$K$2:$K$1000,QuickLog!$B$2:$B$1000,$B978,QuickLog!$O$2:$O$1000,$A978,QuickLog!$G$2:$G$1000,"&lt;&gt;Routine"))</f>
        <v/>
      </c>
      <c r="E978" s="31">
        <f>IF($C978="","",MIN($C978,Settings!$B$2))</f>
        <v/>
      </c>
      <c r="F978" s="31">
        <f>IF($C978="","",MAX(0,$C978-$E978))</f>
        <v/>
      </c>
      <c r="G978" s="31">
        <f>IF(OR($E978="",$D978=""),"", $E978+$D978)</f>
        <v/>
      </c>
      <c r="H978" s="31">
        <f>IF(OR($A978="",$B978=""),"",SUMIFS(QuickLog!$L$2:$L$1000,QuickLog!$B$2:$B$1000,$B978,QuickLog!$O$2:$O$1000,$A978))</f>
        <v/>
      </c>
      <c r="I978" s="32">
        <f>IF($H978="","",$H978)</f>
        <v/>
      </c>
    </row>
    <row r="979">
      <c r="A979" s="29" t="n"/>
      <c r="B979" s="31" t="n"/>
      <c r="C979" s="31">
        <f>IF(OR($A979="",$B979=""),"",SUMIFS(QuickLog!$K$2:$K$1000,QuickLog!$B$2:$B$1000,$B979,QuickLog!$O$2:$O$1000,$A979,QuickLog!$G$2:$G$1000,"Routine"))</f>
        <v/>
      </c>
      <c r="D979" s="31">
        <f>IF(OR($A979="",$B979=""),"",SUMIFS(QuickLog!$K$2:$K$1000,QuickLog!$B$2:$B$1000,$B979,QuickLog!$O$2:$O$1000,$A979,QuickLog!$G$2:$G$1000,"&lt;&gt;Routine"))</f>
        <v/>
      </c>
      <c r="E979" s="31">
        <f>IF($C979="","",MIN($C979,Settings!$B$2))</f>
        <v/>
      </c>
      <c r="F979" s="31">
        <f>IF($C979="","",MAX(0,$C979-$E979))</f>
        <v/>
      </c>
      <c r="G979" s="31">
        <f>IF(OR($E979="",$D979=""),"", $E979+$D979)</f>
        <v/>
      </c>
      <c r="H979" s="31">
        <f>IF(OR($A979="",$B979=""),"",SUMIFS(QuickLog!$L$2:$L$1000,QuickLog!$B$2:$B$1000,$B979,QuickLog!$O$2:$O$1000,$A979))</f>
        <v/>
      </c>
      <c r="I979" s="32">
        <f>IF($H979="","",$H979)</f>
        <v/>
      </c>
    </row>
    <row r="980">
      <c r="A980" s="29" t="n"/>
      <c r="B980" s="31" t="n"/>
      <c r="C980" s="31">
        <f>IF(OR($A980="",$B980=""),"",SUMIFS(QuickLog!$K$2:$K$1000,QuickLog!$B$2:$B$1000,$B980,QuickLog!$O$2:$O$1000,$A980,QuickLog!$G$2:$G$1000,"Routine"))</f>
        <v/>
      </c>
      <c r="D980" s="31">
        <f>IF(OR($A980="",$B980=""),"",SUMIFS(QuickLog!$K$2:$K$1000,QuickLog!$B$2:$B$1000,$B980,QuickLog!$O$2:$O$1000,$A980,QuickLog!$G$2:$G$1000,"&lt;&gt;Routine"))</f>
        <v/>
      </c>
      <c r="E980" s="31">
        <f>IF($C980="","",MIN($C980,Settings!$B$2))</f>
        <v/>
      </c>
      <c r="F980" s="31">
        <f>IF($C980="","",MAX(0,$C980-$E980))</f>
        <v/>
      </c>
      <c r="G980" s="31">
        <f>IF(OR($E980="",$D980=""),"", $E980+$D980)</f>
        <v/>
      </c>
      <c r="H980" s="31">
        <f>IF(OR($A980="",$B980=""),"",SUMIFS(QuickLog!$L$2:$L$1000,QuickLog!$B$2:$B$1000,$B980,QuickLog!$O$2:$O$1000,$A980))</f>
        <v/>
      </c>
      <c r="I980" s="32">
        <f>IF($H980="","",$H980)</f>
        <v/>
      </c>
    </row>
    <row r="981">
      <c r="A981" s="29" t="n"/>
      <c r="B981" s="31" t="n"/>
      <c r="C981" s="31">
        <f>IF(OR($A981="",$B981=""),"",SUMIFS(QuickLog!$K$2:$K$1000,QuickLog!$B$2:$B$1000,$B981,QuickLog!$O$2:$O$1000,$A981,QuickLog!$G$2:$G$1000,"Routine"))</f>
        <v/>
      </c>
      <c r="D981" s="31">
        <f>IF(OR($A981="",$B981=""),"",SUMIFS(QuickLog!$K$2:$K$1000,QuickLog!$B$2:$B$1000,$B981,QuickLog!$O$2:$O$1000,$A981,QuickLog!$G$2:$G$1000,"&lt;&gt;Routine"))</f>
        <v/>
      </c>
      <c r="E981" s="31">
        <f>IF($C981="","",MIN($C981,Settings!$B$2))</f>
        <v/>
      </c>
      <c r="F981" s="31">
        <f>IF($C981="","",MAX(0,$C981-$E981))</f>
        <v/>
      </c>
      <c r="G981" s="31">
        <f>IF(OR($E981="",$D981=""),"", $E981+$D981)</f>
        <v/>
      </c>
      <c r="H981" s="31">
        <f>IF(OR($A981="",$B981=""),"",SUMIFS(QuickLog!$L$2:$L$1000,QuickLog!$B$2:$B$1000,$B981,QuickLog!$O$2:$O$1000,$A981))</f>
        <v/>
      </c>
      <c r="I981" s="32">
        <f>IF($H981="","",$H981)</f>
        <v/>
      </c>
    </row>
    <row r="982">
      <c r="A982" s="29" t="n"/>
      <c r="B982" s="31" t="n"/>
      <c r="C982" s="31">
        <f>IF(OR($A982="",$B982=""),"",SUMIFS(QuickLog!$K$2:$K$1000,QuickLog!$B$2:$B$1000,$B982,QuickLog!$O$2:$O$1000,$A982,QuickLog!$G$2:$G$1000,"Routine"))</f>
        <v/>
      </c>
      <c r="D982" s="31">
        <f>IF(OR($A982="",$B982=""),"",SUMIFS(QuickLog!$K$2:$K$1000,QuickLog!$B$2:$B$1000,$B982,QuickLog!$O$2:$O$1000,$A982,QuickLog!$G$2:$G$1000,"&lt;&gt;Routine"))</f>
        <v/>
      </c>
      <c r="E982" s="31">
        <f>IF($C982="","",MIN($C982,Settings!$B$2))</f>
        <v/>
      </c>
      <c r="F982" s="31">
        <f>IF($C982="","",MAX(0,$C982-$E982))</f>
        <v/>
      </c>
      <c r="G982" s="31">
        <f>IF(OR($E982="",$D982=""),"", $E982+$D982)</f>
        <v/>
      </c>
      <c r="H982" s="31">
        <f>IF(OR($A982="",$B982=""),"",SUMIFS(QuickLog!$L$2:$L$1000,QuickLog!$B$2:$B$1000,$B982,QuickLog!$O$2:$O$1000,$A982))</f>
        <v/>
      </c>
      <c r="I982" s="32">
        <f>IF($H982="","",$H982)</f>
        <v/>
      </c>
    </row>
    <row r="983">
      <c r="A983" s="29" t="n"/>
      <c r="B983" s="31" t="n"/>
      <c r="C983" s="31">
        <f>IF(OR($A983="",$B983=""),"",SUMIFS(QuickLog!$K$2:$K$1000,QuickLog!$B$2:$B$1000,$B983,QuickLog!$O$2:$O$1000,$A983,QuickLog!$G$2:$G$1000,"Routine"))</f>
        <v/>
      </c>
      <c r="D983" s="31">
        <f>IF(OR($A983="",$B983=""),"",SUMIFS(QuickLog!$K$2:$K$1000,QuickLog!$B$2:$B$1000,$B983,QuickLog!$O$2:$O$1000,$A983,QuickLog!$G$2:$G$1000,"&lt;&gt;Routine"))</f>
        <v/>
      </c>
      <c r="E983" s="31">
        <f>IF($C983="","",MIN($C983,Settings!$B$2))</f>
        <v/>
      </c>
      <c r="F983" s="31">
        <f>IF($C983="","",MAX(0,$C983-$E983))</f>
        <v/>
      </c>
      <c r="G983" s="31">
        <f>IF(OR($E983="",$D983=""),"", $E983+$D983)</f>
        <v/>
      </c>
      <c r="H983" s="31">
        <f>IF(OR($A983="",$B983=""),"",SUMIFS(QuickLog!$L$2:$L$1000,QuickLog!$B$2:$B$1000,$B983,QuickLog!$O$2:$O$1000,$A983))</f>
        <v/>
      </c>
      <c r="I983" s="32">
        <f>IF($H983="","",$H983)</f>
        <v/>
      </c>
    </row>
    <row r="984">
      <c r="A984" s="29" t="n"/>
      <c r="B984" s="31" t="n"/>
      <c r="C984" s="31">
        <f>IF(OR($A984="",$B984=""),"",SUMIFS(QuickLog!$K$2:$K$1000,QuickLog!$B$2:$B$1000,$B984,QuickLog!$O$2:$O$1000,$A984,QuickLog!$G$2:$G$1000,"Routine"))</f>
        <v/>
      </c>
      <c r="D984" s="31">
        <f>IF(OR($A984="",$B984=""),"",SUMIFS(QuickLog!$K$2:$K$1000,QuickLog!$B$2:$B$1000,$B984,QuickLog!$O$2:$O$1000,$A984,QuickLog!$G$2:$G$1000,"&lt;&gt;Routine"))</f>
        <v/>
      </c>
      <c r="E984" s="31">
        <f>IF($C984="","",MIN($C984,Settings!$B$2))</f>
        <v/>
      </c>
      <c r="F984" s="31">
        <f>IF($C984="","",MAX(0,$C984-$E984))</f>
        <v/>
      </c>
      <c r="G984" s="31">
        <f>IF(OR($E984="",$D984=""),"", $E984+$D984)</f>
        <v/>
      </c>
      <c r="H984" s="31">
        <f>IF(OR($A984="",$B984=""),"",SUMIFS(QuickLog!$L$2:$L$1000,QuickLog!$B$2:$B$1000,$B984,QuickLog!$O$2:$O$1000,$A984))</f>
        <v/>
      </c>
      <c r="I984" s="32">
        <f>IF($H984="","",$H984)</f>
        <v/>
      </c>
    </row>
    <row r="985">
      <c r="A985" s="29" t="n"/>
      <c r="B985" s="31" t="n"/>
      <c r="C985" s="31">
        <f>IF(OR($A985="",$B985=""),"",SUMIFS(QuickLog!$K$2:$K$1000,QuickLog!$B$2:$B$1000,$B985,QuickLog!$O$2:$O$1000,$A985,QuickLog!$G$2:$G$1000,"Routine"))</f>
        <v/>
      </c>
      <c r="D985" s="31">
        <f>IF(OR($A985="",$B985=""),"",SUMIFS(QuickLog!$K$2:$K$1000,QuickLog!$B$2:$B$1000,$B985,QuickLog!$O$2:$O$1000,$A985,QuickLog!$G$2:$G$1000,"&lt;&gt;Routine"))</f>
        <v/>
      </c>
      <c r="E985" s="31">
        <f>IF($C985="","",MIN($C985,Settings!$B$2))</f>
        <v/>
      </c>
      <c r="F985" s="31">
        <f>IF($C985="","",MAX(0,$C985-$E985))</f>
        <v/>
      </c>
      <c r="G985" s="31">
        <f>IF(OR($E985="",$D985=""),"", $E985+$D985)</f>
        <v/>
      </c>
      <c r="H985" s="31">
        <f>IF(OR($A985="",$B985=""),"",SUMIFS(QuickLog!$L$2:$L$1000,QuickLog!$B$2:$B$1000,$B985,QuickLog!$O$2:$O$1000,$A985))</f>
        <v/>
      </c>
      <c r="I985" s="32">
        <f>IF($H985="","",$H985)</f>
        <v/>
      </c>
    </row>
    <row r="986">
      <c r="A986" s="29" t="n"/>
      <c r="B986" s="31" t="n"/>
      <c r="C986" s="31">
        <f>IF(OR($A986="",$B986=""),"",SUMIFS(QuickLog!$K$2:$K$1000,QuickLog!$B$2:$B$1000,$B986,QuickLog!$O$2:$O$1000,$A986,QuickLog!$G$2:$G$1000,"Routine"))</f>
        <v/>
      </c>
      <c r="D986" s="31">
        <f>IF(OR($A986="",$B986=""),"",SUMIFS(QuickLog!$K$2:$K$1000,QuickLog!$B$2:$B$1000,$B986,QuickLog!$O$2:$O$1000,$A986,QuickLog!$G$2:$G$1000,"&lt;&gt;Routine"))</f>
        <v/>
      </c>
      <c r="E986" s="31">
        <f>IF($C986="","",MIN($C986,Settings!$B$2))</f>
        <v/>
      </c>
      <c r="F986" s="31">
        <f>IF($C986="","",MAX(0,$C986-$E986))</f>
        <v/>
      </c>
      <c r="G986" s="31">
        <f>IF(OR($E986="",$D986=""),"", $E986+$D986)</f>
        <v/>
      </c>
      <c r="H986" s="31">
        <f>IF(OR($A986="",$B986=""),"",SUMIFS(QuickLog!$L$2:$L$1000,QuickLog!$B$2:$B$1000,$B986,QuickLog!$O$2:$O$1000,$A986))</f>
        <v/>
      </c>
      <c r="I986" s="32">
        <f>IF($H986="","",$H986)</f>
        <v/>
      </c>
    </row>
    <row r="987">
      <c r="A987" s="29" t="n"/>
      <c r="B987" s="31" t="n"/>
      <c r="C987" s="31">
        <f>IF(OR($A987="",$B987=""),"",SUMIFS(QuickLog!$K$2:$K$1000,QuickLog!$B$2:$B$1000,$B987,QuickLog!$O$2:$O$1000,$A987,QuickLog!$G$2:$G$1000,"Routine"))</f>
        <v/>
      </c>
      <c r="D987" s="31">
        <f>IF(OR($A987="",$B987=""),"",SUMIFS(QuickLog!$K$2:$K$1000,QuickLog!$B$2:$B$1000,$B987,QuickLog!$O$2:$O$1000,$A987,QuickLog!$G$2:$G$1000,"&lt;&gt;Routine"))</f>
        <v/>
      </c>
      <c r="E987" s="31">
        <f>IF($C987="","",MIN($C987,Settings!$B$2))</f>
        <v/>
      </c>
      <c r="F987" s="31">
        <f>IF($C987="","",MAX(0,$C987-$E987))</f>
        <v/>
      </c>
      <c r="G987" s="31">
        <f>IF(OR($E987="",$D987=""),"", $E987+$D987)</f>
        <v/>
      </c>
      <c r="H987" s="31">
        <f>IF(OR($A987="",$B987=""),"",SUMIFS(QuickLog!$L$2:$L$1000,QuickLog!$B$2:$B$1000,$B987,QuickLog!$O$2:$O$1000,$A987))</f>
        <v/>
      </c>
      <c r="I987" s="32">
        <f>IF($H987="","",$H987)</f>
        <v/>
      </c>
    </row>
    <row r="988">
      <c r="A988" s="29" t="n"/>
      <c r="B988" s="31" t="n"/>
      <c r="C988" s="31">
        <f>IF(OR($A988="",$B988=""),"",SUMIFS(QuickLog!$K$2:$K$1000,QuickLog!$B$2:$B$1000,$B988,QuickLog!$O$2:$O$1000,$A988,QuickLog!$G$2:$G$1000,"Routine"))</f>
        <v/>
      </c>
      <c r="D988" s="31">
        <f>IF(OR($A988="",$B988=""),"",SUMIFS(QuickLog!$K$2:$K$1000,QuickLog!$B$2:$B$1000,$B988,QuickLog!$O$2:$O$1000,$A988,QuickLog!$G$2:$G$1000,"&lt;&gt;Routine"))</f>
        <v/>
      </c>
      <c r="E988" s="31">
        <f>IF($C988="","",MIN($C988,Settings!$B$2))</f>
        <v/>
      </c>
      <c r="F988" s="31">
        <f>IF($C988="","",MAX(0,$C988-$E988))</f>
        <v/>
      </c>
      <c r="G988" s="31">
        <f>IF(OR($E988="",$D988=""),"", $E988+$D988)</f>
        <v/>
      </c>
      <c r="H988" s="31">
        <f>IF(OR($A988="",$B988=""),"",SUMIFS(QuickLog!$L$2:$L$1000,QuickLog!$B$2:$B$1000,$B988,QuickLog!$O$2:$O$1000,$A988))</f>
        <v/>
      </c>
      <c r="I988" s="32">
        <f>IF($H988="","",$H988)</f>
        <v/>
      </c>
    </row>
    <row r="989">
      <c r="A989" s="29" t="n"/>
      <c r="B989" s="31" t="n"/>
      <c r="C989" s="31">
        <f>IF(OR($A989="",$B989=""),"",SUMIFS(QuickLog!$K$2:$K$1000,QuickLog!$B$2:$B$1000,$B989,QuickLog!$O$2:$O$1000,$A989,QuickLog!$G$2:$G$1000,"Routine"))</f>
        <v/>
      </c>
      <c r="D989" s="31">
        <f>IF(OR($A989="",$B989=""),"",SUMIFS(QuickLog!$K$2:$K$1000,QuickLog!$B$2:$B$1000,$B989,QuickLog!$O$2:$O$1000,$A989,QuickLog!$G$2:$G$1000,"&lt;&gt;Routine"))</f>
        <v/>
      </c>
      <c r="E989" s="31">
        <f>IF($C989="","",MIN($C989,Settings!$B$2))</f>
        <v/>
      </c>
      <c r="F989" s="31">
        <f>IF($C989="","",MAX(0,$C989-$E989))</f>
        <v/>
      </c>
      <c r="G989" s="31">
        <f>IF(OR($E989="",$D989=""),"", $E989+$D989)</f>
        <v/>
      </c>
      <c r="H989" s="31">
        <f>IF(OR($A989="",$B989=""),"",SUMIFS(QuickLog!$L$2:$L$1000,QuickLog!$B$2:$B$1000,$B989,QuickLog!$O$2:$O$1000,$A989))</f>
        <v/>
      </c>
      <c r="I989" s="32">
        <f>IF($H989="","",$H989)</f>
        <v/>
      </c>
    </row>
    <row r="990">
      <c r="A990" s="29" t="n"/>
      <c r="B990" s="31" t="n"/>
      <c r="C990" s="31">
        <f>IF(OR($A990="",$B990=""),"",SUMIFS(QuickLog!$K$2:$K$1000,QuickLog!$B$2:$B$1000,$B990,QuickLog!$O$2:$O$1000,$A990,QuickLog!$G$2:$G$1000,"Routine"))</f>
        <v/>
      </c>
      <c r="D990" s="31">
        <f>IF(OR($A990="",$B990=""),"",SUMIFS(QuickLog!$K$2:$K$1000,QuickLog!$B$2:$B$1000,$B990,QuickLog!$O$2:$O$1000,$A990,QuickLog!$G$2:$G$1000,"&lt;&gt;Routine"))</f>
        <v/>
      </c>
      <c r="E990" s="31">
        <f>IF($C990="","",MIN($C990,Settings!$B$2))</f>
        <v/>
      </c>
      <c r="F990" s="31">
        <f>IF($C990="","",MAX(0,$C990-$E990))</f>
        <v/>
      </c>
      <c r="G990" s="31">
        <f>IF(OR($E990="",$D990=""),"", $E990+$D990)</f>
        <v/>
      </c>
      <c r="H990" s="31">
        <f>IF(OR($A990="",$B990=""),"",SUMIFS(QuickLog!$L$2:$L$1000,QuickLog!$B$2:$B$1000,$B990,QuickLog!$O$2:$O$1000,$A990))</f>
        <v/>
      </c>
      <c r="I990" s="32">
        <f>IF($H990="","",$H990)</f>
        <v/>
      </c>
    </row>
    <row r="991">
      <c r="A991" s="29" t="n"/>
      <c r="B991" s="31" t="n"/>
      <c r="C991" s="31">
        <f>IF(OR($A991="",$B991=""),"",SUMIFS(QuickLog!$K$2:$K$1000,QuickLog!$B$2:$B$1000,$B991,QuickLog!$O$2:$O$1000,$A991,QuickLog!$G$2:$G$1000,"Routine"))</f>
        <v/>
      </c>
      <c r="D991" s="31">
        <f>IF(OR($A991="",$B991=""),"",SUMIFS(QuickLog!$K$2:$K$1000,QuickLog!$B$2:$B$1000,$B991,QuickLog!$O$2:$O$1000,$A991,QuickLog!$G$2:$G$1000,"&lt;&gt;Routine"))</f>
        <v/>
      </c>
      <c r="E991" s="31">
        <f>IF($C991="","",MIN($C991,Settings!$B$2))</f>
        <v/>
      </c>
      <c r="F991" s="31">
        <f>IF($C991="","",MAX(0,$C991-$E991))</f>
        <v/>
      </c>
      <c r="G991" s="31">
        <f>IF(OR($E991="",$D991=""),"", $E991+$D991)</f>
        <v/>
      </c>
      <c r="H991" s="31">
        <f>IF(OR($A991="",$B991=""),"",SUMIFS(QuickLog!$L$2:$L$1000,QuickLog!$B$2:$B$1000,$B991,QuickLog!$O$2:$O$1000,$A991))</f>
        <v/>
      </c>
      <c r="I991" s="32">
        <f>IF($H991="","",$H991)</f>
        <v/>
      </c>
    </row>
    <row r="992">
      <c r="A992" s="29" t="n"/>
      <c r="B992" s="31" t="n"/>
      <c r="C992" s="31">
        <f>IF(OR($A992="",$B992=""),"",SUMIFS(QuickLog!$K$2:$K$1000,QuickLog!$B$2:$B$1000,$B992,QuickLog!$O$2:$O$1000,$A992,QuickLog!$G$2:$G$1000,"Routine"))</f>
        <v/>
      </c>
      <c r="D992" s="31">
        <f>IF(OR($A992="",$B992=""),"",SUMIFS(QuickLog!$K$2:$K$1000,QuickLog!$B$2:$B$1000,$B992,QuickLog!$O$2:$O$1000,$A992,QuickLog!$G$2:$G$1000,"&lt;&gt;Routine"))</f>
        <v/>
      </c>
      <c r="E992" s="31">
        <f>IF($C992="","",MIN($C992,Settings!$B$2))</f>
        <v/>
      </c>
      <c r="F992" s="31">
        <f>IF($C992="","",MAX(0,$C992-$E992))</f>
        <v/>
      </c>
      <c r="G992" s="31">
        <f>IF(OR($E992="",$D992=""),"", $E992+$D992)</f>
        <v/>
      </c>
      <c r="H992" s="31">
        <f>IF(OR($A992="",$B992=""),"",SUMIFS(QuickLog!$L$2:$L$1000,QuickLog!$B$2:$B$1000,$B992,QuickLog!$O$2:$O$1000,$A992))</f>
        <v/>
      </c>
      <c r="I992" s="32">
        <f>IF($H992="","",$H992)</f>
        <v/>
      </c>
    </row>
    <row r="993">
      <c r="A993" s="29" t="n"/>
      <c r="B993" s="31" t="n"/>
      <c r="C993" s="31">
        <f>IF(OR($A993="",$B993=""),"",SUMIFS(QuickLog!$K$2:$K$1000,QuickLog!$B$2:$B$1000,$B993,QuickLog!$O$2:$O$1000,$A993,QuickLog!$G$2:$G$1000,"Routine"))</f>
        <v/>
      </c>
      <c r="D993" s="31">
        <f>IF(OR($A993="",$B993=""),"",SUMIFS(QuickLog!$K$2:$K$1000,QuickLog!$B$2:$B$1000,$B993,QuickLog!$O$2:$O$1000,$A993,QuickLog!$G$2:$G$1000,"&lt;&gt;Routine"))</f>
        <v/>
      </c>
      <c r="E993" s="31">
        <f>IF($C993="","",MIN($C993,Settings!$B$2))</f>
        <v/>
      </c>
      <c r="F993" s="31">
        <f>IF($C993="","",MAX(0,$C993-$E993))</f>
        <v/>
      </c>
      <c r="G993" s="31">
        <f>IF(OR($E993="",$D993=""),"", $E993+$D993)</f>
        <v/>
      </c>
      <c r="H993" s="31">
        <f>IF(OR($A993="",$B993=""),"",SUMIFS(QuickLog!$L$2:$L$1000,QuickLog!$B$2:$B$1000,$B993,QuickLog!$O$2:$O$1000,$A993))</f>
        <v/>
      </c>
      <c r="I993" s="32">
        <f>IF($H993="","",$H993)</f>
        <v/>
      </c>
    </row>
    <row r="994">
      <c r="A994" s="29" t="n"/>
      <c r="B994" s="31" t="n"/>
      <c r="C994" s="31">
        <f>IF(OR($A994="",$B994=""),"",SUMIFS(QuickLog!$K$2:$K$1000,QuickLog!$B$2:$B$1000,$B994,QuickLog!$O$2:$O$1000,$A994,QuickLog!$G$2:$G$1000,"Routine"))</f>
        <v/>
      </c>
      <c r="D994" s="31">
        <f>IF(OR($A994="",$B994=""),"",SUMIFS(QuickLog!$K$2:$K$1000,QuickLog!$B$2:$B$1000,$B994,QuickLog!$O$2:$O$1000,$A994,QuickLog!$G$2:$G$1000,"&lt;&gt;Routine"))</f>
        <v/>
      </c>
      <c r="E994" s="31">
        <f>IF($C994="","",MIN($C994,Settings!$B$2))</f>
        <v/>
      </c>
      <c r="F994" s="31">
        <f>IF($C994="","",MAX(0,$C994-$E994))</f>
        <v/>
      </c>
      <c r="G994" s="31">
        <f>IF(OR($E994="",$D994=""),"", $E994+$D994)</f>
        <v/>
      </c>
      <c r="H994" s="31">
        <f>IF(OR($A994="",$B994=""),"",SUMIFS(QuickLog!$L$2:$L$1000,QuickLog!$B$2:$B$1000,$B994,QuickLog!$O$2:$O$1000,$A994))</f>
        <v/>
      </c>
      <c r="I994" s="32">
        <f>IF($H994="","",$H994)</f>
        <v/>
      </c>
    </row>
    <row r="995">
      <c r="A995" s="29" t="n"/>
      <c r="B995" s="31" t="n"/>
      <c r="C995" s="31">
        <f>IF(OR($A995="",$B995=""),"",SUMIFS(QuickLog!$K$2:$K$1000,QuickLog!$B$2:$B$1000,$B995,QuickLog!$O$2:$O$1000,$A995,QuickLog!$G$2:$G$1000,"Routine"))</f>
        <v/>
      </c>
      <c r="D995" s="31">
        <f>IF(OR($A995="",$B995=""),"",SUMIFS(QuickLog!$K$2:$K$1000,QuickLog!$B$2:$B$1000,$B995,QuickLog!$O$2:$O$1000,$A995,QuickLog!$G$2:$G$1000,"&lt;&gt;Routine"))</f>
        <v/>
      </c>
      <c r="E995" s="31">
        <f>IF($C995="","",MIN($C995,Settings!$B$2))</f>
        <v/>
      </c>
      <c r="F995" s="31">
        <f>IF($C995="","",MAX(0,$C995-$E995))</f>
        <v/>
      </c>
      <c r="G995" s="31">
        <f>IF(OR($E995="",$D995=""),"", $E995+$D995)</f>
        <v/>
      </c>
      <c r="H995" s="31">
        <f>IF(OR($A995="",$B995=""),"",SUMIFS(QuickLog!$L$2:$L$1000,QuickLog!$B$2:$B$1000,$B995,QuickLog!$O$2:$O$1000,$A995))</f>
        <v/>
      </c>
      <c r="I995" s="32">
        <f>IF($H995="","",$H995)</f>
        <v/>
      </c>
    </row>
    <row r="996">
      <c r="A996" s="29" t="n"/>
      <c r="B996" s="31" t="n"/>
      <c r="C996" s="31">
        <f>IF(OR($A996="",$B996=""),"",SUMIFS(QuickLog!$K$2:$K$1000,QuickLog!$B$2:$B$1000,$B996,QuickLog!$O$2:$O$1000,$A996,QuickLog!$G$2:$G$1000,"Routine"))</f>
        <v/>
      </c>
      <c r="D996" s="31">
        <f>IF(OR($A996="",$B996=""),"",SUMIFS(QuickLog!$K$2:$K$1000,QuickLog!$B$2:$B$1000,$B996,QuickLog!$O$2:$O$1000,$A996,QuickLog!$G$2:$G$1000,"&lt;&gt;Routine"))</f>
        <v/>
      </c>
      <c r="E996" s="31">
        <f>IF($C996="","",MIN($C996,Settings!$B$2))</f>
        <v/>
      </c>
      <c r="F996" s="31">
        <f>IF($C996="","",MAX(0,$C996-$E996))</f>
        <v/>
      </c>
      <c r="G996" s="31">
        <f>IF(OR($E996="",$D996=""),"", $E996+$D996)</f>
        <v/>
      </c>
      <c r="H996" s="31">
        <f>IF(OR($A996="",$B996=""),"",SUMIFS(QuickLog!$L$2:$L$1000,QuickLog!$B$2:$B$1000,$B996,QuickLog!$O$2:$O$1000,$A996))</f>
        <v/>
      </c>
      <c r="I996" s="32">
        <f>IF($H996="","",$H996)</f>
        <v/>
      </c>
    </row>
    <row r="997">
      <c r="A997" s="29" t="n"/>
      <c r="B997" s="31" t="n"/>
      <c r="C997" s="31">
        <f>IF(OR($A997="",$B997=""),"",SUMIFS(QuickLog!$K$2:$K$1000,QuickLog!$B$2:$B$1000,$B997,QuickLog!$O$2:$O$1000,$A997,QuickLog!$G$2:$G$1000,"Routine"))</f>
        <v/>
      </c>
      <c r="D997" s="31">
        <f>IF(OR($A997="",$B997=""),"",SUMIFS(QuickLog!$K$2:$K$1000,QuickLog!$B$2:$B$1000,$B997,QuickLog!$O$2:$O$1000,$A997,QuickLog!$G$2:$G$1000,"&lt;&gt;Routine"))</f>
        <v/>
      </c>
      <c r="E997" s="31">
        <f>IF($C997="","",MIN($C997,Settings!$B$2))</f>
        <v/>
      </c>
      <c r="F997" s="31">
        <f>IF($C997="","",MAX(0,$C997-$E997))</f>
        <v/>
      </c>
      <c r="G997" s="31">
        <f>IF(OR($E997="",$D997=""),"", $E997+$D997)</f>
        <v/>
      </c>
      <c r="H997" s="31">
        <f>IF(OR($A997="",$B997=""),"",SUMIFS(QuickLog!$L$2:$L$1000,QuickLog!$B$2:$B$1000,$B997,QuickLog!$O$2:$O$1000,$A997))</f>
        <v/>
      </c>
      <c r="I997" s="32">
        <f>IF($H997="","",$H997)</f>
        <v/>
      </c>
    </row>
    <row r="998">
      <c r="A998" s="29" t="n"/>
      <c r="B998" s="31" t="n"/>
      <c r="C998" s="31">
        <f>IF(OR($A998="",$B998=""),"",SUMIFS(QuickLog!$K$2:$K$1000,QuickLog!$B$2:$B$1000,$B998,QuickLog!$O$2:$O$1000,$A998,QuickLog!$G$2:$G$1000,"Routine"))</f>
        <v/>
      </c>
      <c r="D998" s="31">
        <f>IF(OR($A998="",$B998=""),"",SUMIFS(QuickLog!$K$2:$K$1000,QuickLog!$B$2:$B$1000,$B998,QuickLog!$O$2:$O$1000,$A998,QuickLog!$G$2:$G$1000,"&lt;&gt;Routine"))</f>
        <v/>
      </c>
      <c r="E998" s="31">
        <f>IF($C998="","",MIN($C998,Settings!$B$2))</f>
        <v/>
      </c>
      <c r="F998" s="31">
        <f>IF($C998="","",MAX(0,$C998-$E998))</f>
        <v/>
      </c>
      <c r="G998" s="31">
        <f>IF(OR($E998="",$D998=""),"", $E998+$D998)</f>
        <v/>
      </c>
      <c r="H998" s="31">
        <f>IF(OR($A998="",$B998=""),"",SUMIFS(QuickLog!$L$2:$L$1000,QuickLog!$B$2:$B$1000,$B998,QuickLog!$O$2:$O$1000,$A998))</f>
        <v/>
      </c>
      <c r="I998" s="32">
        <f>IF($H998="","",$H998)</f>
        <v/>
      </c>
    </row>
    <row r="999">
      <c r="A999" s="29" t="n"/>
      <c r="B999" s="31" t="n"/>
      <c r="C999" s="31">
        <f>IF(OR($A999="",$B999=""),"",SUMIFS(QuickLog!$K$2:$K$1000,QuickLog!$B$2:$B$1000,$B999,QuickLog!$O$2:$O$1000,$A999,QuickLog!$G$2:$G$1000,"Routine"))</f>
        <v/>
      </c>
      <c r="D999" s="31">
        <f>IF(OR($A999="",$B999=""),"",SUMIFS(QuickLog!$K$2:$K$1000,QuickLog!$B$2:$B$1000,$B999,QuickLog!$O$2:$O$1000,$A999,QuickLog!$G$2:$G$1000,"&lt;&gt;Routine"))</f>
        <v/>
      </c>
      <c r="E999" s="31">
        <f>IF($C999="","",MIN($C999,Settings!$B$2))</f>
        <v/>
      </c>
      <c r="F999" s="31">
        <f>IF($C999="","",MAX(0,$C999-$E999))</f>
        <v/>
      </c>
      <c r="G999" s="31">
        <f>IF(OR($E999="",$D999=""),"", $E999+$D999)</f>
        <v/>
      </c>
      <c r="H999" s="31">
        <f>IF(OR($A999="",$B999=""),"",SUMIFS(QuickLog!$L$2:$L$1000,QuickLog!$B$2:$B$1000,$B999,QuickLog!$O$2:$O$1000,$A999))</f>
        <v/>
      </c>
      <c r="I999" s="32">
        <f>IF($H999="","",$H999)</f>
        <v/>
      </c>
    </row>
    <row r="1000">
      <c r="A1000" s="33" t="n"/>
      <c r="B1000" s="34" t="n"/>
      <c r="C1000" s="34">
        <f>IF(OR($A1000="",$B1000=""),"",SUMIFS(QuickLog!$K$2:$K$1000,QuickLog!$B$2:$B$1000,$B1000,QuickLog!$O$2:$O$1000,$A1000,QuickLog!$G$2:$G$1000,"Routine"))</f>
        <v/>
      </c>
      <c r="D1000" s="34">
        <f>IF(OR($A1000="",$B1000=""),"",SUMIFS(QuickLog!$K$2:$K$1000,QuickLog!$B$2:$B$1000,$B1000,QuickLog!$O$2:$O$1000,$A1000,QuickLog!$G$2:$G$1000,"&lt;&gt;Routine"))</f>
        <v/>
      </c>
      <c r="E1000" s="34">
        <f>IF($C1000="","",MIN($C1000,Settings!$B$2))</f>
        <v/>
      </c>
      <c r="F1000" s="34">
        <f>IF($C1000="","",MAX(0,$C1000-$E1000))</f>
        <v/>
      </c>
      <c r="G1000" s="34">
        <f>IF(OR($E1000="",$D1000=""),"", $E1000+$D1000)</f>
        <v/>
      </c>
      <c r="H1000" s="34">
        <f>IF(OR($A1000="",$B1000=""),"",SUMIFS(QuickLog!$L$2:$L$1000,QuickLog!$B$2:$B$1000,$B1000,QuickLog!$O$2:$O$1000,$A1000))</f>
        <v/>
      </c>
      <c r="I1000" s="35">
        <f>IF($H1000="","",$H1000)</f>
        <v/>
      </c>
    </row>
  </sheetData>
  <pageMargins left="0.75" right="0.75" top="1" bottom="1" header="0.5" footer="0.5"/>
</worksheet>
</file>

<file path=xl/worksheets/sheet4.xml><?xml version="1.0" encoding="utf-8"?>
<worksheet xmlns="http://schemas.openxmlformats.org/spreadsheetml/2006/main">
  <sheetPr>
    <tabColor rgb="FFFF9900"/>
    <outlinePr summaryBelow="0" summaryRight="0"/>
    <pageSetUpPr/>
  </sheetPr>
  <dimension ref="A1:F1000"/>
  <sheetViews>
    <sheetView workbookViewId="0">
      <pane ySplit="1" topLeftCell="A2" activePane="bottomLeft" state="frozen"/>
      <selection pane="bottomLeft" activeCell="B3" sqref="B3"/>
    </sheetView>
  </sheetViews>
  <sheetFormatPr baseColWidth="8" defaultColWidth="12.63" defaultRowHeight="15.75" customHeight="1"/>
  <cols>
    <col width="14" customWidth="1" style="64" min="1" max="1"/>
    <col width="14" customWidth="1" style="64" min="2" max="2"/>
    <col width="17.63" customWidth="1" style="64" min="3" max="3"/>
    <col width="14" customWidth="1" style="64" min="4" max="4"/>
    <col width="22" customWidth="1" style="64" min="5" max="5"/>
    <col width="14" customWidth="1" style="64" min="6" max="6"/>
  </cols>
  <sheetData>
    <row r="1">
      <c r="A1" s="36" t="inlineStr">
        <is>
          <t>MonthKey</t>
        </is>
      </c>
      <c r="B1" s="37" t="inlineStr">
        <is>
          <t>MemberID</t>
        </is>
      </c>
      <c r="C1" s="37" t="inlineStr">
        <is>
          <t>CoinsRawMonth</t>
        </is>
      </c>
      <c r="D1" s="37" t="inlineStr">
        <is>
          <t>CoinCap</t>
        </is>
      </c>
      <c r="E1" s="37" t="inlineStr">
        <is>
          <t>CoinsCountedMonth</t>
        </is>
      </c>
      <c r="F1" s="38" t="inlineStr">
        <is>
          <t>Worth(RM)</t>
        </is>
      </c>
    </row>
    <row r="2">
      <c r="A2" s="25">
        <f>IFERROR(SORT(UNIQUE(FILTER({QuickLog!Q2:Q1000,QuickLog!B2:B1000},QuickLog!Q2:Q1000&lt;&gt;"",QuickLog!B2:B1000&lt;&gt;""))),"")</f>
        <v/>
      </c>
      <c r="B2" s="27" t="n"/>
      <c r="C2" s="27">
        <f>IF(OR($A2="",$B2=""),"",SUMIFS(QuickLog!$L$2:$L$1000,QuickLog!$B$2:$B$1000,$B2,QuickLog!$Q$2:$Q$1000,$A2))</f>
        <v/>
      </c>
      <c r="D2" s="27">
        <f>Settings!$B$3</f>
        <v/>
      </c>
      <c r="E2" s="27">
        <f>IF($C2="","",MIN($C2,$D2))</f>
        <v/>
      </c>
      <c r="F2" s="39">
        <f>IF($E2="","",$E2*Settings!$B$4)</f>
        <v/>
      </c>
    </row>
    <row r="3">
      <c r="A3" s="29" t="n"/>
      <c r="B3" s="31" t="n"/>
      <c r="C3" s="31">
        <f>IF(OR($A3="",$B3=""),"",SUMIFS(QuickLog!$L$2:$L$1000,QuickLog!$B$2:$B$1000,$B3,QuickLog!$Q$2:$Q$1000,$A3))</f>
        <v/>
      </c>
      <c r="D3" s="31">
        <f>Settings!$B$3</f>
        <v/>
      </c>
      <c r="E3" s="31">
        <f>IF($C3="","",MIN($C3,$D3))</f>
        <v/>
      </c>
      <c r="F3" s="40">
        <f>IF($E3="","",$E3*Settings!$B$4)</f>
        <v/>
      </c>
    </row>
    <row r="4">
      <c r="A4" s="29" t="n"/>
      <c r="B4" s="31" t="n"/>
      <c r="C4" s="31">
        <f>IF(OR($A4="",$B4=""),"",SUMIFS(QuickLog!$L$2:$L$1000,QuickLog!$B$2:$B$1000,$B4,QuickLog!$Q$2:$Q$1000,$A4))</f>
        <v/>
      </c>
      <c r="D4" s="31">
        <f>Settings!$B$3</f>
        <v/>
      </c>
      <c r="E4" s="31">
        <f>IF($C4="","",MIN($C4,$D4))</f>
        <v/>
      </c>
      <c r="F4" s="40">
        <f>IF($E4="","",$E4*Settings!$B$4)</f>
        <v/>
      </c>
    </row>
    <row r="5">
      <c r="A5" s="29" t="n"/>
      <c r="B5" s="31" t="n"/>
      <c r="C5" s="31">
        <f>IF(OR($A5="",$B5=""),"",SUMIFS(QuickLog!$L$2:$L$1000,QuickLog!$B$2:$B$1000,$B5,QuickLog!$Q$2:$Q$1000,$A5))</f>
        <v/>
      </c>
      <c r="D5" s="31">
        <f>Settings!$B$3</f>
        <v/>
      </c>
      <c r="E5" s="31">
        <f>IF($C5="","",MIN($C5,$D5))</f>
        <v/>
      </c>
      <c r="F5" s="40">
        <f>IF($E5="","",$E5*Settings!$B$4)</f>
        <v/>
      </c>
    </row>
    <row r="6">
      <c r="A6" s="29" t="n"/>
      <c r="B6" s="31" t="n"/>
      <c r="C6" s="31">
        <f>IF(OR($A6="",$B6=""),"",SUMIFS(QuickLog!$L$2:$L$1000,QuickLog!$B$2:$B$1000,$B6,QuickLog!$Q$2:$Q$1000,$A6))</f>
        <v/>
      </c>
      <c r="D6" s="31">
        <f>Settings!$B$3</f>
        <v/>
      </c>
      <c r="E6" s="31">
        <f>IF($C6="","",MIN($C6,$D6))</f>
        <v/>
      </c>
      <c r="F6" s="40">
        <f>IF($E6="","",$E6*Settings!$B$4)</f>
        <v/>
      </c>
    </row>
    <row r="7">
      <c r="A7" s="29" t="n"/>
      <c r="B7" s="31" t="n"/>
      <c r="C7" s="31">
        <f>IF(OR($A7="",$B7=""),"",SUMIFS(QuickLog!$L$2:$L$1000,QuickLog!$B$2:$B$1000,$B7,QuickLog!$Q$2:$Q$1000,$A7))</f>
        <v/>
      </c>
      <c r="D7" s="31">
        <f>Settings!$B$3</f>
        <v/>
      </c>
      <c r="E7" s="31">
        <f>IF($C7="","",MIN($C7,$D7))</f>
        <v/>
      </c>
      <c r="F7" s="40">
        <f>IF($E7="","",$E7*Settings!$B$4)</f>
        <v/>
      </c>
    </row>
    <row r="8">
      <c r="A8" s="29" t="n"/>
      <c r="B8" s="31" t="n"/>
      <c r="C8" s="31">
        <f>IF(OR($A8="",$B8=""),"",SUMIFS(QuickLog!$L$2:$L$1000,QuickLog!$B$2:$B$1000,$B8,QuickLog!$Q$2:$Q$1000,$A8))</f>
        <v/>
      </c>
      <c r="D8" s="31">
        <f>Settings!$B$3</f>
        <v/>
      </c>
      <c r="E8" s="31">
        <f>IF($C8="","",MIN($C8,$D8))</f>
        <v/>
      </c>
      <c r="F8" s="40">
        <f>IF($E8="","",$E8*Settings!$B$4)</f>
        <v/>
      </c>
    </row>
    <row r="9">
      <c r="A9" s="29" t="n"/>
      <c r="B9" s="31" t="n"/>
      <c r="C9" s="31">
        <f>IF(OR($A9="",$B9=""),"",SUMIFS(QuickLog!$L$2:$L$1000,QuickLog!$B$2:$B$1000,$B9,QuickLog!$Q$2:$Q$1000,$A9))</f>
        <v/>
      </c>
      <c r="D9" s="31">
        <f>Settings!$B$3</f>
        <v/>
      </c>
      <c r="E9" s="31">
        <f>IF($C9="","",MIN($C9,$D9))</f>
        <v/>
      </c>
      <c r="F9" s="40">
        <f>IF($E9="","",$E9*Settings!$B$4)</f>
        <v/>
      </c>
    </row>
    <row r="10">
      <c r="A10" s="29" t="n"/>
      <c r="B10" s="31" t="n"/>
      <c r="C10" s="31">
        <f>IF(OR($A10="",$B10=""),"",SUMIFS(QuickLog!$L$2:$L$1000,QuickLog!$B$2:$B$1000,$B10,QuickLog!$Q$2:$Q$1000,$A10))</f>
        <v/>
      </c>
      <c r="D10" s="31">
        <f>Settings!$B$3</f>
        <v/>
      </c>
      <c r="E10" s="31">
        <f>IF($C10="","",MIN($C10,$D10))</f>
        <v/>
      </c>
      <c r="F10" s="40">
        <f>IF($E10="","",$E10*Settings!$B$4)</f>
        <v/>
      </c>
    </row>
    <row r="11">
      <c r="A11" s="29" t="n"/>
      <c r="B11" s="31" t="n"/>
      <c r="C11" s="31">
        <f>IF(OR($A11="",$B11=""),"",SUMIFS(QuickLog!$L$2:$L$1000,QuickLog!$B$2:$B$1000,$B11,QuickLog!$Q$2:$Q$1000,$A11))</f>
        <v/>
      </c>
      <c r="D11" s="31">
        <f>Settings!$B$3</f>
        <v/>
      </c>
      <c r="E11" s="31">
        <f>IF($C11="","",MIN($C11,$D11))</f>
        <v/>
      </c>
      <c r="F11" s="40">
        <f>IF($E11="","",$E11*Settings!$B$4)</f>
        <v/>
      </c>
    </row>
    <row r="12">
      <c r="A12" s="29" t="n"/>
      <c r="B12" s="31" t="n"/>
      <c r="C12" s="31">
        <f>IF(OR($A12="",$B12=""),"",SUMIFS(QuickLog!$L$2:$L$1000,QuickLog!$B$2:$B$1000,$B12,QuickLog!$Q$2:$Q$1000,$A12))</f>
        <v/>
      </c>
      <c r="D12" s="31">
        <f>Settings!$B$3</f>
        <v/>
      </c>
      <c r="E12" s="31">
        <f>IF($C12="","",MIN($C12,$D12))</f>
        <v/>
      </c>
      <c r="F12" s="40">
        <f>IF($E12="","",$E12*Settings!$B$4)</f>
        <v/>
      </c>
    </row>
    <row r="13">
      <c r="A13" s="29" t="n"/>
      <c r="B13" s="31" t="n"/>
      <c r="C13" s="31">
        <f>IF(OR($A13="",$B13=""),"",SUMIFS(QuickLog!$L$2:$L$1000,QuickLog!$B$2:$B$1000,$B13,QuickLog!$Q$2:$Q$1000,$A13))</f>
        <v/>
      </c>
      <c r="D13" s="31">
        <f>Settings!$B$3</f>
        <v/>
      </c>
      <c r="E13" s="31">
        <f>IF($C13="","",MIN($C13,$D13))</f>
        <v/>
      </c>
      <c r="F13" s="40">
        <f>IF($E13="","",$E13*Settings!$B$4)</f>
        <v/>
      </c>
    </row>
    <row r="14">
      <c r="A14" s="29" t="n"/>
      <c r="B14" s="31" t="n"/>
      <c r="C14" s="31">
        <f>IF(OR($A14="",$B14=""),"",SUMIFS(QuickLog!$L$2:$L$1000,QuickLog!$B$2:$B$1000,$B14,QuickLog!$Q$2:$Q$1000,$A14))</f>
        <v/>
      </c>
      <c r="D14" s="31">
        <f>Settings!$B$3</f>
        <v/>
      </c>
      <c r="E14" s="31">
        <f>IF($C14="","",MIN($C14,$D14))</f>
        <v/>
      </c>
      <c r="F14" s="40">
        <f>IF($E14="","",$E14*Settings!$B$4)</f>
        <v/>
      </c>
    </row>
    <row r="15">
      <c r="A15" s="29" t="n"/>
      <c r="B15" s="31" t="n"/>
      <c r="C15" s="31">
        <f>IF(OR($A15="",$B15=""),"",SUMIFS(QuickLog!$L$2:$L$1000,QuickLog!$B$2:$B$1000,$B15,QuickLog!$Q$2:$Q$1000,$A15))</f>
        <v/>
      </c>
      <c r="D15" s="31">
        <f>Settings!$B$3</f>
        <v/>
      </c>
      <c r="E15" s="31">
        <f>IF($C15="","",MIN($C15,$D15))</f>
        <v/>
      </c>
      <c r="F15" s="40">
        <f>IF($E15="","",$E15*Settings!$B$4)</f>
        <v/>
      </c>
    </row>
    <row r="16">
      <c r="A16" s="29" t="n"/>
      <c r="B16" s="31" t="n"/>
      <c r="C16" s="31">
        <f>IF(OR($A16="",$B16=""),"",SUMIFS(QuickLog!$L$2:$L$1000,QuickLog!$B$2:$B$1000,$B16,QuickLog!$Q$2:$Q$1000,$A16))</f>
        <v/>
      </c>
      <c r="D16" s="31">
        <f>Settings!$B$3</f>
        <v/>
      </c>
      <c r="E16" s="31">
        <f>IF($C16="","",MIN($C16,$D16))</f>
        <v/>
      </c>
      <c r="F16" s="40">
        <f>IF($E16="","",$E16*Settings!$B$4)</f>
        <v/>
      </c>
    </row>
    <row r="17">
      <c r="A17" s="29" t="n"/>
      <c r="B17" s="31" t="n"/>
      <c r="C17" s="31">
        <f>IF(OR($A17="",$B17=""),"",SUMIFS(QuickLog!$L$2:$L$1000,QuickLog!$B$2:$B$1000,$B17,QuickLog!$Q$2:$Q$1000,$A17))</f>
        <v/>
      </c>
      <c r="D17" s="31">
        <f>Settings!$B$3</f>
        <v/>
      </c>
      <c r="E17" s="31">
        <f>IF($C17="","",MIN($C17,$D17))</f>
        <v/>
      </c>
      <c r="F17" s="40">
        <f>IF($E17="","",$E17*Settings!$B$4)</f>
        <v/>
      </c>
    </row>
    <row r="18">
      <c r="A18" s="29" t="n"/>
      <c r="B18" s="31" t="n"/>
      <c r="C18" s="31">
        <f>IF(OR($A18="",$B18=""),"",SUMIFS(QuickLog!$L$2:$L$1000,QuickLog!$B$2:$B$1000,$B18,QuickLog!$Q$2:$Q$1000,$A18))</f>
        <v/>
      </c>
      <c r="D18" s="31">
        <f>Settings!$B$3</f>
        <v/>
      </c>
      <c r="E18" s="31">
        <f>IF($C18="","",MIN($C18,$D18))</f>
        <v/>
      </c>
      <c r="F18" s="40">
        <f>IF($E18="","",$E18*Settings!$B$4)</f>
        <v/>
      </c>
    </row>
    <row r="19">
      <c r="A19" s="29" t="n"/>
      <c r="B19" s="31" t="n"/>
      <c r="C19" s="31">
        <f>IF(OR($A19="",$B19=""),"",SUMIFS(QuickLog!$L$2:$L$1000,QuickLog!$B$2:$B$1000,$B19,QuickLog!$Q$2:$Q$1000,$A19))</f>
        <v/>
      </c>
      <c r="D19" s="31">
        <f>Settings!$B$3</f>
        <v/>
      </c>
      <c r="E19" s="31">
        <f>IF($C19="","",MIN($C19,$D19))</f>
        <v/>
      </c>
      <c r="F19" s="40">
        <f>IF($E19="","",$E19*Settings!$B$4)</f>
        <v/>
      </c>
    </row>
    <row r="20">
      <c r="A20" s="29" t="n"/>
      <c r="B20" s="31" t="n"/>
      <c r="C20" s="31">
        <f>IF(OR($A20="",$B20=""),"",SUMIFS(QuickLog!$L$2:$L$1000,QuickLog!$B$2:$B$1000,$B20,QuickLog!$Q$2:$Q$1000,$A20))</f>
        <v/>
      </c>
      <c r="D20" s="31">
        <f>Settings!$B$3</f>
        <v/>
      </c>
      <c r="E20" s="31">
        <f>IF($C20="","",MIN($C20,$D20))</f>
        <v/>
      </c>
      <c r="F20" s="40">
        <f>IF($E20="","",$E20*Settings!$B$4)</f>
        <v/>
      </c>
    </row>
    <row r="21">
      <c r="A21" s="29" t="n"/>
      <c r="B21" s="31" t="n"/>
      <c r="C21" s="31">
        <f>IF(OR($A21="",$B21=""),"",SUMIFS(QuickLog!$L$2:$L$1000,QuickLog!$B$2:$B$1000,$B21,QuickLog!$Q$2:$Q$1000,$A21))</f>
        <v/>
      </c>
      <c r="D21" s="31">
        <f>Settings!$B$3</f>
        <v/>
      </c>
      <c r="E21" s="31">
        <f>IF($C21="","",MIN($C21,$D21))</f>
        <v/>
      </c>
      <c r="F21" s="40">
        <f>IF($E21="","",$E21*Settings!$B$4)</f>
        <v/>
      </c>
    </row>
    <row r="22">
      <c r="A22" s="29" t="n"/>
      <c r="B22" s="31" t="n"/>
      <c r="C22" s="31">
        <f>IF(OR($A22="",$B22=""),"",SUMIFS(QuickLog!$L$2:$L$1000,QuickLog!$B$2:$B$1000,$B22,QuickLog!$Q$2:$Q$1000,$A22))</f>
        <v/>
      </c>
      <c r="D22" s="31">
        <f>Settings!$B$3</f>
        <v/>
      </c>
      <c r="E22" s="31">
        <f>IF($C22="","",MIN($C22,$D22))</f>
        <v/>
      </c>
      <c r="F22" s="40">
        <f>IF($E22="","",$E22*Settings!$B$4)</f>
        <v/>
      </c>
    </row>
    <row r="23">
      <c r="A23" s="29" t="n"/>
      <c r="B23" s="31" t="n"/>
      <c r="C23" s="31">
        <f>IF(OR($A23="",$B23=""),"",SUMIFS(QuickLog!$L$2:$L$1000,QuickLog!$B$2:$B$1000,$B23,QuickLog!$Q$2:$Q$1000,$A23))</f>
        <v/>
      </c>
      <c r="D23" s="31">
        <f>Settings!$B$3</f>
        <v/>
      </c>
      <c r="E23" s="31">
        <f>IF($C23="","",MIN($C23,$D23))</f>
        <v/>
      </c>
      <c r="F23" s="40">
        <f>IF($E23="","",$E23*Settings!$B$4)</f>
        <v/>
      </c>
    </row>
    <row r="24">
      <c r="A24" s="29" t="n"/>
      <c r="B24" s="31" t="n"/>
      <c r="C24" s="31">
        <f>IF(OR($A24="",$B24=""),"",SUMIFS(QuickLog!$L$2:$L$1000,QuickLog!$B$2:$B$1000,$B24,QuickLog!$Q$2:$Q$1000,$A24))</f>
        <v/>
      </c>
      <c r="D24" s="31">
        <f>Settings!$B$3</f>
        <v/>
      </c>
      <c r="E24" s="31">
        <f>IF($C24="","",MIN($C24,$D24))</f>
        <v/>
      </c>
      <c r="F24" s="40">
        <f>IF($E24="","",$E24*Settings!$B$4)</f>
        <v/>
      </c>
    </row>
    <row r="25">
      <c r="A25" s="29" t="n"/>
      <c r="B25" s="31" t="n"/>
      <c r="C25" s="31">
        <f>IF(OR($A25="",$B25=""),"",SUMIFS(QuickLog!$L$2:$L$1000,QuickLog!$B$2:$B$1000,$B25,QuickLog!$Q$2:$Q$1000,$A25))</f>
        <v/>
      </c>
      <c r="D25" s="31">
        <f>Settings!$B$3</f>
        <v/>
      </c>
      <c r="E25" s="31">
        <f>IF($C25="","",MIN($C25,$D25))</f>
        <v/>
      </c>
      <c r="F25" s="40">
        <f>IF($E25="","",$E25*Settings!$B$4)</f>
        <v/>
      </c>
    </row>
    <row r="26">
      <c r="A26" s="29" t="n"/>
      <c r="B26" s="31" t="n"/>
      <c r="C26" s="31">
        <f>IF(OR($A26="",$B26=""),"",SUMIFS(QuickLog!$L$2:$L$1000,QuickLog!$B$2:$B$1000,$B26,QuickLog!$Q$2:$Q$1000,$A26))</f>
        <v/>
      </c>
      <c r="D26" s="31">
        <f>Settings!$B$3</f>
        <v/>
      </c>
      <c r="E26" s="31">
        <f>IF($C26="","",MIN($C26,$D26))</f>
        <v/>
      </c>
      <c r="F26" s="40">
        <f>IF($E26="","",$E26*Settings!$B$4)</f>
        <v/>
      </c>
    </row>
    <row r="27">
      <c r="A27" s="29" t="n"/>
      <c r="B27" s="31" t="n"/>
      <c r="C27" s="31">
        <f>IF(OR($A27="",$B27=""),"",SUMIFS(QuickLog!$L$2:$L$1000,QuickLog!$B$2:$B$1000,$B27,QuickLog!$Q$2:$Q$1000,$A27))</f>
        <v/>
      </c>
      <c r="D27" s="31">
        <f>Settings!$B$3</f>
        <v/>
      </c>
      <c r="E27" s="31">
        <f>IF($C27="","",MIN($C27,$D27))</f>
        <v/>
      </c>
      <c r="F27" s="40">
        <f>IF($E27="","",$E27*Settings!$B$4)</f>
        <v/>
      </c>
    </row>
    <row r="28">
      <c r="A28" s="29" t="n"/>
      <c r="B28" s="31" t="n"/>
      <c r="C28" s="31">
        <f>IF(OR($A28="",$B28=""),"",SUMIFS(QuickLog!$L$2:$L$1000,QuickLog!$B$2:$B$1000,$B28,QuickLog!$Q$2:$Q$1000,$A28))</f>
        <v/>
      </c>
      <c r="D28" s="31">
        <f>Settings!$B$3</f>
        <v/>
      </c>
      <c r="E28" s="31">
        <f>IF($C28="","",MIN($C28,$D28))</f>
        <v/>
      </c>
      <c r="F28" s="40">
        <f>IF($E28="","",$E28*Settings!$B$4)</f>
        <v/>
      </c>
    </row>
    <row r="29">
      <c r="A29" s="29" t="n"/>
      <c r="B29" s="31" t="n"/>
      <c r="C29" s="31">
        <f>IF(OR($A29="",$B29=""),"",SUMIFS(QuickLog!$L$2:$L$1000,QuickLog!$B$2:$B$1000,$B29,QuickLog!$Q$2:$Q$1000,$A29))</f>
        <v/>
      </c>
      <c r="D29" s="31">
        <f>Settings!$B$3</f>
        <v/>
      </c>
      <c r="E29" s="31">
        <f>IF($C29="","",MIN($C29,$D29))</f>
        <v/>
      </c>
      <c r="F29" s="40">
        <f>IF($E29="","",$E29*Settings!$B$4)</f>
        <v/>
      </c>
    </row>
    <row r="30">
      <c r="A30" s="29" t="n"/>
      <c r="B30" s="31" t="n"/>
      <c r="C30" s="31">
        <f>IF(OR($A30="",$B30=""),"",SUMIFS(QuickLog!$L$2:$L$1000,QuickLog!$B$2:$B$1000,$B30,QuickLog!$Q$2:$Q$1000,$A30))</f>
        <v/>
      </c>
      <c r="D30" s="31">
        <f>Settings!$B$3</f>
        <v/>
      </c>
      <c r="E30" s="31">
        <f>IF($C30="","",MIN($C30,$D30))</f>
        <v/>
      </c>
      <c r="F30" s="40">
        <f>IF($E30="","",$E30*Settings!$B$4)</f>
        <v/>
      </c>
    </row>
    <row r="31">
      <c r="A31" s="29" t="n"/>
      <c r="B31" s="31" t="n"/>
      <c r="C31" s="31">
        <f>IF(OR($A31="",$B31=""),"",SUMIFS(QuickLog!$L$2:$L$1000,QuickLog!$B$2:$B$1000,$B31,QuickLog!$Q$2:$Q$1000,$A31))</f>
        <v/>
      </c>
      <c r="D31" s="31">
        <f>Settings!$B$3</f>
        <v/>
      </c>
      <c r="E31" s="31">
        <f>IF($C31="","",MIN($C31,$D31))</f>
        <v/>
      </c>
      <c r="F31" s="40">
        <f>IF($E31="","",$E31*Settings!$B$4)</f>
        <v/>
      </c>
    </row>
    <row r="32">
      <c r="A32" s="29" t="n"/>
      <c r="B32" s="31" t="n"/>
      <c r="C32" s="31">
        <f>IF(OR($A32="",$B32=""),"",SUMIFS(QuickLog!$L$2:$L$1000,QuickLog!$B$2:$B$1000,$B32,QuickLog!$Q$2:$Q$1000,$A32))</f>
        <v/>
      </c>
      <c r="D32" s="31">
        <f>Settings!$B$3</f>
        <v/>
      </c>
      <c r="E32" s="31">
        <f>IF($C32="","",MIN($C32,$D32))</f>
        <v/>
      </c>
      <c r="F32" s="40">
        <f>IF($E32="","",$E32*Settings!$B$4)</f>
        <v/>
      </c>
    </row>
    <row r="33">
      <c r="A33" s="29" t="n"/>
      <c r="B33" s="31" t="n"/>
      <c r="C33" s="31">
        <f>IF(OR($A33="",$B33=""),"",SUMIFS(QuickLog!$L$2:$L$1000,QuickLog!$B$2:$B$1000,$B33,QuickLog!$Q$2:$Q$1000,$A33))</f>
        <v/>
      </c>
      <c r="D33" s="31">
        <f>Settings!$B$3</f>
        <v/>
      </c>
      <c r="E33" s="31">
        <f>IF($C33="","",MIN($C33,$D33))</f>
        <v/>
      </c>
      <c r="F33" s="40">
        <f>IF($E33="","",$E33*Settings!$B$4)</f>
        <v/>
      </c>
    </row>
    <row r="34">
      <c r="A34" s="29" t="n"/>
      <c r="B34" s="31" t="n"/>
      <c r="C34" s="31">
        <f>IF(OR($A34="",$B34=""),"",SUMIFS(QuickLog!$L$2:$L$1000,QuickLog!$B$2:$B$1000,$B34,QuickLog!$Q$2:$Q$1000,$A34))</f>
        <v/>
      </c>
      <c r="D34" s="31">
        <f>Settings!$B$3</f>
        <v/>
      </c>
      <c r="E34" s="31">
        <f>IF($C34="","",MIN($C34,$D34))</f>
        <v/>
      </c>
      <c r="F34" s="40">
        <f>IF($E34="","",$E34*Settings!$B$4)</f>
        <v/>
      </c>
    </row>
    <row r="35">
      <c r="A35" s="29" t="n"/>
      <c r="B35" s="31" t="n"/>
      <c r="C35" s="31">
        <f>IF(OR($A35="",$B35=""),"",SUMIFS(QuickLog!$L$2:$L$1000,QuickLog!$B$2:$B$1000,$B35,QuickLog!$Q$2:$Q$1000,$A35))</f>
        <v/>
      </c>
      <c r="D35" s="31">
        <f>Settings!$B$3</f>
        <v/>
      </c>
      <c r="E35" s="31">
        <f>IF($C35="","",MIN($C35,$D35))</f>
        <v/>
      </c>
      <c r="F35" s="40">
        <f>IF($E35="","",$E35*Settings!$B$4)</f>
        <v/>
      </c>
    </row>
    <row r="36">
      <c r="A36" s="29" t="n"/>
      <c r="B36" s="31" t="n"/>
      <c r="C36" s="31">
        <f>IF(OR($A36="",$B36=""),"",SUMIFS(QuickLog!$L$2:$L$1000,QuickLog!$B$2:$B$1000,$B36,QuickLog!$Q$2:$Q$1000,$A36))</f>
        <v/>
      </c>
      <c r="D36" s="31">
        <f>Settings!$B$3</f>
        <v/>
      </c>
      <c r="E36" s="31">
        <f>IF($C36="","",MIN($C36,$D36))</f>
        <v/>
      </c>
      <c r="F36" s="40">
        <f>IF($E36="","",$E36*Settings!$B$4)</f>
        <v/>
      </c>
    </row>
    <row r="37">
      <c r="A37" s="29" t="n"/>
      <c r="B37" s="31" t="n"/>
      <c r="C37" s="31">
        <f>IF(OR($A37="",$B37=""),"",SUMIFS(QuickLog!$L$2:$L$1000,QuickLog!$B$2:$B$1000,$B37,QuickLog!$Q$2:$Q$1000,$A37))</f>
        <v/>
      </c>
      <c r="D37" s="31">
        <f>Settings!$B$3</f>
        <v/>
      </c>
      <c r="E37" s="31">
        <f>IF($C37="","",MIN($C37,$D37))</f>
        <v/>
      </c>
      <c r="F37" s="40">
        <f>IF($E37="","",$E37*Settings!$B$4)</f>
        <v/>
      </c>
    </row>
    <row r="38">
      <c r="A38" s="29" t="n"/>
      <c r="B38" s="31" t="n"/>
      <c r="C38" s="31">
        <f>IF(OR($A38="",$B38=""),"",SUMIFS(QuickLog!$L$2:$L$1000,QuickLog!$B$2:$B$1000,$B38,QuickLog!$Q$2:$Q$1000,$A38))</f>
        <v/>
      </c>
      <c r="D38" s="31">
        <f>Settings!$B$3</f>
        <v/>
      </c>
      <c r="E38" s="31">
        <f>IF($C38="","",MIN($C38,$D38))</f>
        <v/>
      </c>
      <c r="F38" s="40">
        <f>IF($E38="","",$E38*Settings!$B$4)</f>
        <v/>
      </c>
    </row>
    <row r="39">
      <c r="A39" s="29" t="n"/>
      <c r="B39" s="31" t="n"/>
      <c r="C39" s="31">
        <f>IF(OR($A39="",$B39=""),"",SUMIFS(QuickLog!$L$2:$L$1000,QuickLog!$B$2:$B$1000,$B39,QuickLog!$Q$2:$Q$1000,$A39))</f>
        <v/>
      </c>
      <c r="D39" s="31">
        <f>Settings!$B$3</f>
        <v/>
      </c>
      <c r="E39" s="31">
        <f>IF($C39="","",MIN($C39,$D39))</f>
        <v/>
      </c>
      <c r="F39" s="40">
        <f>IF($E39="","",$E39*Settings!$B$4)</f>
        <v/>
      </c>
    </row>
    <row r="40">
      <c r="A40" s="29" t="n"/>
      <c r="B40" s="31" t="n"/>
      <c r="C40" s="31">
        <f>IF(OR($A40="",$B40=""),"",SUMIFS(QuickLog!$L$2:$L$1000,QuickLog!$B$2:$B$1000,$B40,QuickLog!$Q$2:$Q$1000,$A40))</f>
        <v/>
      </c>
      <c r="D40" s="31">
        <f>Settings!$B$3</f>
        <v/>
      </c>
      <c r="E40" s="31">
        <f>IF($C40="","",MIN($C40,$D40))</f>
        <v/>
      </c>
      <c r="F40" s="40">
        <f>IF($E40="","",$E40*Settings!$B$4)</f>
        <v/>
      </c>
    </row>
    <row r="41">
      <c r="A41" s="29" t="n"/>
      <c r="B41" s="31" t="n"/>
      <c r="C41" s="31">
        <f>IF(OR($A41="",$B41=""),"",SUMIFS(QuickLog!$L$2:$L$1000,QuickLog!$B$2:$B$1000,$B41,QuickLog!$Q$2:$Q$1000,$A41))</f>
        <v/>
      </c>
      <c r="D41" s="31">
        <f>Settings!$B$3</f>
        <v/>
      </c>
      <c r="E41" s="31">
        <f>IF($C41="","",MIN($C41,$D41))</f>
        <v/>
      </c>
      <c r="F41" s="40">
        <f>IF($E41="","",$E41*Settings!$B$4)</f>
        <v/>
      </c>
    </row>
    <row r="42">
      <c r="A42" s="29" t="n"/>
      <c r="B42" s="31" t="n"/>
      <c r="C42" s="31">
        <f>IF(OR($A42="",$B42=""),"",SUMIFS(QuickLog!$L$2:$L$1000,QuickLog!$B$2:$B$1000,$B42,QuickLog!$Q$2:$Q$1000,$A42))</f>
        <v/>
      </c>
      <c r="D42" s="31">
        <f>Settings!$B$3</f>
        <v/>
      </c>
      <c r="E42" s="31">
        <f>IF($C42="","",MIN($C42,$D42))</f>
        <v/>
      </c>
      <c r="F42" s="40">
        <f>IF($E42="","",$E42*Settings!$B$4)</f>
        <v/>
      </c>
    </row>
    <row r="43">
      <c r="A43" s="29" t="n"/>
      <c r="B43" s="31" t="n"/>
      <c r="C43" s="31">
        <f>IF(OR($A43="",$B43=""),"",SUMIFS(QuickLog!$L$2:$L$1000,QuickLog!$B$2:$B$1000,$B43,QuickLog!$Q$2:$Q$1000,$A43))</f>
        <v/>
      </c>
      <c r="D43" s="31">
        <f>Settings!$B$3</f>
        <v/>
      </c>
      <c r="E43" s="31">
        <f>IF($C43="","",MIN($C43,$D43))</f>
        <v/>
      </c>
      <c r="F43" s="40">
        <f>IF($E43="","",$E43*Settings!$B$4)</f>
        <v/>
      </c>
    </row>
    <row r="44">
      <c r="A44" s="29" t="n"/>
      <c r="B44" s="31" t="n"/>
      <c r="C44" s="31">
        <f>IF(OR($A44="",$B44=""),"",SUMIFS(QuickLog!$L$2:$L$1000,QuickLog!$B$2:$B$1000,$B44,QuickLog!$Q$2:$Q$1000,$A44))</f>
        <v/>
      </c>
      <c r="D44" s="31">
        <f>Settings!$B$3</f>
        <v/>
      </c>
      <c r="E44" s="31">
        <f>IF($C44="","",MIN($C44,$D44))</f>
        <v/>
      </c>
      <c r="F44" s="40">
        <f>IF($E44="","",$E44*Settings!$B$4)</f>
        <v/>
      </c>
    </row>
    <row r="45">
      <c r="A45" s="29" t="n"/>
      <c r="B45" s="31" t="n"/>
      <c r="C45" s="31">
        <f>IF(OR($A45="",$B45=""),"",SUMIFS(QuickLog!$L$2:$L$1000,QuickLog!$B$2:$B$1000,$B45,QuickLog!$Q$2:$Q$1000,$A45))</f>
        <v/>
      </c>
      <c r="D45" s="31">
        <f>Settings!$B$3</f>
        <v/>
      </c>
      <c r="E45" s="31">
        <f>IF($C45="","",MIN($C45,$D45))</f>
        <v/>
      </c>
      <c r="F45" s="40">
        <f>IF($E45="","",$E45*Settings!$B$4)</f>
        <v/>
      </c>
    </row>
    <row r="46">
      <c r="A46" s="29" t="n"/>
      <c r="B46" s="31" t="n"/>
      <c r="C46" s="31">
        <f>IF(OR($A46="",$B46=""),"",SUMIFS(QuickLog!$L$2:$L$1000,QuickLog!$B$2:$B$1000,$B46,QuickLog!$Q$2:$Q$1000,$A46))</f>
        <v/>
      </c>
      <c r="D46" s="31">
        <f>Settings!$B$3</f>
        <v/>
      </c>
      <c r="E46" s="31">
        <f>IF($C46="","",MIN($C46,$D46))</f>
        <v/>
      </c>
      <c r="F46" s="40">
        <f>IF($E46="","",$E46*Settings!$B$4)</f>
        <v/>
      </c>
    </row>
    <row r="47">
      <c r="A47" s="29" t="n"/>
      <c r="B47" s="31" t="n"/>
      <c r="C47" s="31">
        <f>IF(OR($A47="",$B47=""),"",SUMIFS(QuickLog!$L$2:$L$1000,QuickLog!$B$2:$B$1000,$B47,QuickLog!$Q$2:$Q$1000,$A47))</f>
        <v/>
      </c>
      <c r="D47" s="31">
        <f>Settings!$B$3</f>
        <v/>
      </c>
      <c r="E47" s="31">
        <f>IF($C47="","",MIN($C47,$D47))</f>
        <v/>
      </c>
      <c r="F47" s="40">
        <f>IF($E47="","",$E47*Settings!$B$4)</f>
        <v/>
      </c>
    </row>
    <row r="48">
      <c r="A48" s="29" t="n"/>
      <c r="B48" s="31" t="n"/>
      <c r="C48" s="31">
        <f>IF(OR($A48="",$B48=""),"",SUMIFS(QuickLog!$L$2:$L$1000,QuickLog!$B$2:$B$1000,$B48,QuickLog!$Q$2:$Q$1000,$A48))</f>
        <v/>
      </c>
      <c r="D48" s="31">
        <f>Settings!$B$3</f>
        <v/>
      </c>
      <c r="E48" s="31">
        <f>IF($C48="","",MIN($C48,$D48))</f>
        <v/>
      </c>
      <c r="F48" s="40">
        <f>IF($E48="","",$E48*Settings!$B$4)</f>
        <v/>
      </c>
    </row>
    <row r="49">
      <c r="A49" s="29" t="n"/>
      <c r="B49" s="31" t="n"/>
      <c r="C49" s="31">
        <f>IF(OR($A49="",$B49=""),"",SUMIFS(QuickLog!$L$2:$L$1000,QuickLog!$B$2:$B$1000,$B49,QuickLog!$Q$2:$Q$1000,$A49))</f>
        <v/>
      </c>
      <c r="D49" s="31">
        <f>Settings!$B$3</f>
        <v/>
      </c>
      <c r="E49" s="31">
        <f>IF($C49="","",MIN($C49,$D49))</f>
        <v/>
      </c>
      <c r="F49" s="40">
        <f>IF($E49="","",$E49*Settings!$B$4)</f>
        <v/>
      </c>
    </row>
    <row r="50">
      <c r="A50" s="29" t="n"/>
      <c r="B50" s="31" t="n"/>
      <c r="C50" s="31">
        <f>IF(OR($A50="",$B50=""),"",SUMIFS(QuickLog!$L$2:$L$1000,QuickLog!$B$2:$B$1000,$B50,QuickLog!$Q$2:$Q$1000,$A50))</f>
        <v/>
      </c>
      <c r="D50" s="31">
        <f>Settings!$B$3</f>
        <v/>
      </c>
      <c r="E50" s="31">
        <f>IF($C50="","",MIN($C50,$D50))</f>
        <v/>
      </c>
      <c r="F50" s="40">
        <f>IF($E50="","",$E50*Settings!$B$4)</f>
        <v/>
      </c>
    </row>
    <row r="51">
      <c r="A51" s="29" t="n"/>
      <c r="B51" s="31" t="n"/>
      <c r="C51" s="31">
        <f>IF(OR($A51="",$B51=""),"",SUMIFS(QuickLog!$L$2:$L$1000,QuickLog!$B$2:$B$1000,$B51,QuickLog!$Q$2:$Q$1000,$A51))</f>
        <v/>
      </c>
      <c r="D51" s="31">
        <f>Settings!$B$3</f>
        <v/>
      </c>
      <c r="E51" s="31">
        <f>IF($C51="","",MIN($C51,$D51))</f>
        <v/>
      </c>
      <c r="F51" s="40">
        <f>IF($E51="","",$E51*Settings!$B$4)</f>
        <v/>
      </c>
    </row>
    <row r="52">
      <c r="A52" s="29" t="n"/>
      <c r="B52" s="31" t="n"/>
      <c r="C52" s="31">
        <f>IF(OR($A52="",$B52=""),"",SUMIFS(QuickLog!$L$2:$L$1000,QuickLog!$B$2:$B$1000,$B52,QuickLog!$Q$2:$Q$1000,$A52))</f>
        <v/>
      </c>
      <c r="D52" s="31">
        <f>Settings!$B$3</f>
        <v/>
      </c>
      <c r="E52" s="31">
        <f>IF($C52="","",MIN($C52,$D52))</f>
        <v/>
      </c>
      <c r="F52" s="40">
        <f>IF($E52="","",$E52*Settings!$B$4)</f>
        <v/>
      </c>
    </row>
    <row r="53">
      <c r="A53" s="29" t="n"/>
      <c r="B53" s="31" t="n"/>
      <c r="C53" s="31">
        <f>IF(OR($A53="",$B53=""),"",SUMIFS(QuickLog!$L$2:$L$1000,QuickLog!$B$2:$B$1000,$B53,QuickLog!$Q$2:$Q$1000,$A53))</f>
        <v/>
      </c>
      <c r="D53" s="31">
        <f>Settings!$B$3</f>
        <v/>
      </c>
      <c r="E53" s="31">
        <f>IF($C53="","",MIN($C53,$D53))</f>
        <v/>
      </c>
      <c r="F53" s="40">
        <f>IF($E53="","",$E53*Settings!$B$4)</f>
        <v/>
      </c>
    </row>
    <row r="54">
      <c r="A54" s="29" t="n"/>
      <c r="B54" s="31" t="n"/>
      <c r="C54" s="31">
        <f>IF(OR($A54="",$B54=""),"",SUMIFS(QuickLog!$L$2:$L$1000,QuickLog!$B$2:$B$1000,$B54,QuickLog!$Q$2:$Q$1000,$A54))</f>
        <v/>
      </c>
      <c r="D54" s="31">
        <f>Settings!$B$3</f>
        <v/>
      </c>
      <c r="E54" s="31">
        <f>IF($C54="","",MIN($C54,$D54))</f>
        <v/>
      </c>
      <c r="F54" s="40">
        <f>IF($E54="","",$E54*Settings!$B$4)</f>
        <v/>
      </c>
    </row>
    <row r="55">
      <c r="A55" s="29" t="n"/>
      <c r="B55" s="31" t="n"/>
      <c r="C55" s="31">
        <f>IF(OR($A55="",$B55=""),"",SUMIFS(QuickLog!$L$2:$L$1000,QuickLog!$B$2:$B$1000,$B55,QuickLog!$Q$2:$Q$1000,$A55))</f>
        <v/>
      </c>
      <c r="D55" s="31">
        <f>Settings!$B$3</f>
        <v/>
      </c>
      <c r="E55" s="31">
        <f>IF($C55="","",MIN($C55,$D55))</f>
        <v/>
      </c>
      <c r="F55" s="40">
        <f>IF($E55="","",$E55*Settings!$B$4)</f>
        <v/>
      </c>
    </row>
    <row r="56">
      <c r="A56" s="29" t="n"/>
      <c r="B56" s="31" t="n"/>
      <c r="C56" s="31">
        <f>IF(OR($A56="",$B56=""),"",SUMIFS(QuickLog!$L$2:$L$1000,QuickLog!$B$2:$B$1000,$B56,QuickLog!$Q$2:$Q$1000,$A56))</f>
        <v/>
      </c>
      <c r="D56" s="31">
        <f>Settings!$B$3</f>
        <v/>
      </c>
      <c r="E56" s="31">
        <f>IF($C56="","",MIN($C56,$D56))</f>
        <v/>
      </c>
      <c r="F56" s="40">
        <f>IF($E56="","",$E56*Settings!$B$4)</f>
        <v/>
      </c>
    </row>
    <row r="57">
      <c r="A57" s="29" t="n"/>
      <c r="B57" s="31" t="n"/>
      <c r="C57" s="31">
        <f>IF(OR($A57="",$B57=""),"",SUMIFS(QuickLog!$L$2:$L$1000,QuickLog!$B$2:$B$1000,$B57,QuickLog!$Q$2:$Q$1000,$A57))</f>
        <v/>
      </c>
      <c r="D57" s="31">
        <f>Settings!$B$3</f>
        <v/>
      </c>
      <c r="E57" s="31">
        <f>IF($C57="","",MIN($C57,$D57))</f>
        <v/>
      </c>
      <c r="F57" s="40">
        <f>IF($E57="","",$E57*Settings!$B$4)</f>
        <v/>
      </c>
    </row>
    <row r="58">
      <c r="A58" s="29" t="n"/>
      <c r="B58" s="31" t="n"/>
      <c r="C58" s="31">
        <f>IF(OR($A58="",$B58=""),"",SUMIFS(QuickLog!$L$2:$L$1000,QuickLog!$B$2:$B$1000,$B58,QuickLog!$Q$2:$Q$1000,$A58))</f>
        <v/>
      </c>
      <c r="D58" s="31">
        <f>Settings!$B$3</f>
        <v/>
      </c>
      <c r="E58" s="31">
        <f>IF($C58="","",MIN($C58,$D58))</f>
        <v/>
      </c>
      <c r="F58" s="40">
        <f>IF($E58="","",$E58*Settings!$B$4)</f>
        <v/>
      </c>
    </row>
    <row r="59">
      <c r="A59" s="29" t="n"/>
      <c r="B59" s="31" t="n"/>
      <c r="C59" s="31">
        <f>IF(OR($A59="",$B59=""),"",SUMIFS(QuickLog!$L$2:$L$1000,QuickLog!$B$2:$B$1000,$B59,QuickLog!$Q$2:$Q$1000,$A59))</f>
        <v/>
      </c>
      <c r="D59" s="31">
        <f>Settings!$B$3</f>
        <v/>
      </c>
      <c r="E59" s="31">
        <f>IF($C59="","",MIN($C59,$D59))</f>
        <v/>
      </c>
      <c r="F59" s="40">
        <f>IF($E59="","",$E59*Settings!$B$4)</f>
        <v/>
      </c>
    </row>
    <row r="60">
      <c r="A60" s="29" t="n"/>
      <c r="B60" s="31" t="n"/>
      <c r="C60" s="31">
        <f>IF(OR($A60="",$B60=""),"",SUMIFS(QuickLog!$L$2:$L$1000,QuickLog!$B$2:$B$1000,$B60,QuickLog!$Q$2:$Q$1000,$A60))</f>
        <v/>
      </c>
      <c r="D60" s="31">
        <f>Settings!$B$3</f>
        <v/>
      </c>
      <c r="E60" s="31">
        <f>IF($C60="","",MIN($C60,$D60))</f>
        <v/>
      </c>
      <c r="F60" s="40">
        <f>IF($E60="","",$E60*Settings!$B$4)</f>
        <v/>
      </c>
    </row>
    <row r="61">
      <c r="A61" s="29" t="n"/>
      <c r="B61" s="31" t="n"/>
      <c r="C61" s="31">
        <f>IF(OR($A61="",$B61=""),"",SUMIFS(QuickLog!$L$2:$L$1000,QuickLog!$B$2:$B$1000,$B61,QuickLog!$Q$2:$Q$1000,$A61))</f>
        <v/>
      </c>
      <c r="D61" s="31">
        <f>Settings!$B$3</f>
        <v/>
      </c>
      <c r="E61" s="31">
        <f>IF($C61="","",MIN($C61,$D61))</f>
        <v/>
      </c>
      <c r="F61" s="40">
        <f>IF($E61="","",$E61*Settings!$B$4)</f>
        <v/>
      </c>
    </row>
    <row r="62">
      <c r="A62" s="29" t="n"/>
      <c r="B62" s="31" t="n"/>
      <c r="C62" s="31">
        <f>IF(OR($A62="",$B62=""),"",SUMIFS(QuickLog!$L$2:$L$1000,QuickLog!$B$2:$B$1000,$B62,QuickLog!$Q$2:$Q$1000,$A62))</f>
        <v/>
      </c>
      <c r="D62" s="31">
        <f>Settings!$B$3</f>
        <v/>
      </c>
      <c r="E62" s="31">
        <f>IF($C62="","",MIN($C62,$D62))</f>
        <v/>
      </c>
      <c r="F62" s="40">
        <f>IF($E62="","",$E62*Settings!$B$4)</f>
        <v/>
      </c>
    </row>
    <row r="63">
      <c r="A63" s="29" t="n"/>
      <c r="B63" s="31" t="n"/>
      <c r="C63" s="31">
        <f>IF(OR($A63="",$B63=""),"",SUMIFS(QuickLog!$L$2:$L$1000,QuickLog!$B$2:$B$1000,$B63,QuickLog!$Q$2:$Q$1000,$A63))</f>
        <v/>
      </c>
      <c r="D63" s="31">
        <f>Settings!$B$3</f>
        <v/>
      </c>
      <c r="E63" s="31">
        <f>IF($C63="","",MIN($C63,$D63))</f>
        <v/>
      </c>
      <c r="F63" s="40">
        <f>IF($E63="","",$E63*Settings!$B$4)</f>
        <v/>
      </c>
    </row>
    <row r="64">
      <c r="A64" s="29" t="n"/>
      <c r="B64" s="31" t="n"/>
      <c r="C64" s="31">
        <f>IF(OR($A64="",$B64=""),"",SUMIFS(QuickLog!$L$2:$L$1000,QuickLog!$B$2:$B$1000,$B64,QuickLog!$Q$2:$Q$1000,$A64))</f>
        <v/>
      </c>
      <c r="D64" s="31">
        <f>Settings!$B$3</f>
        <v/>
      </c>
      <c r="E64" s="31">
        <f>IF($C64="","",MIN($C64,$D64))</f>
        <v/>
      </c>
      <c r="F64" s="40">
        <f>IF($E64="","",$E64*Settings!$B$4)</f>
        <v/>
      </c>
    </row>
    <row r="65">
      <c r="A65" s="29" t="n"/>
      <c r="B65" s="31" t="n"/>
      <c r="C65" s="31">
        <f>IF(OR($A65="",$B65=""),"",SUMIFS(QuickLog!$L$2:$L$1000,QuickLog!$B$2:$B$1000,$B65,QuickLog!$Q$2:$Q$1000,$A65))</f>
        <v/>
      </c>
      <c r="D65" s="31">
        <f>Settings!$B$3</f>
        <v/>
      </c>
      <c r="E65" s="31">
        <f>IF($C65="","",MIN($C65,$D65))</f>
        <v/>
      </c>
      <c r="F65" s="40">
        <f>IF($E65="","",$E65*Settings!$B$4)</f>
        <v/>
      </c>
    </row>
    <row r="66">
      <c r="A66" s="29" t="n"/>
      <c r="B66" s="31" t="n"/>
      <c r="C66" s="31">
        <f>IF(OR($A66="",$B66=""),"",SUMIFS(QuickLog!$L$2:$L$1000,QuickLog!$B$2:$B$1000,$B66,QuickLog!$Q$2:$Q$1000,$A66))</f>
        <v/>
      </c>
      <c r="D66" s="31">
        <f>Settings!$B$3</f>
        <v/>
      </c>
      <c r="E66" s="31">
        <f>IF($C66="","",MIN($C66,$D66))</f>
        <v/>
      </c>
      <c r="F66" s="40">
        <f>IF($E66="","",$E66*Settings!$B$4)</f>
        <v/>
      </c>
    </row>
    <row r="67">
      <c r="A67" s="29" t="n"/>
      <c r="B67" s="31" t="n"/>
      <c r="C67" s="31">
        <f>IF(OR($A67="",$B67=""),"",SUMIFS(QuickLog!$L$2:$L$1000,QuickLog!$B$2:$B$1000,$B67,QuickLog!$Q$2:$Q$1000,$A67))</f>
        <v/>
      </c>
      <c r="D67" s="31">
        <f>Settings!$B$3</f>
        <v/>
      </c>
      <c r="E67" s="31">
        <f>IF($C67="","",MIN($C67,$D67))</f>
        <v/>
      </c>
      <c r="F67" s="40">
        <f>IF($E67="","",$E67*Settings!$B$4)</f>
        <v/>
      </c>
    </row>
    <row r="68">
      <c r="A68" s="29" t="n"/>
      <c r="B68" s="31" t="n"/>
      <c r="C68" s="31">
        <f>IF(OR($A68="",$B68=""),"",SUMIFS(QuickLog!$L$2:$L$1000,QuickLog!$B$2:$B$1000,$B68,QuickLog!$Q$2:$Q$1000,$A68))</f>
        <v/>
      </c>
      <c r="D68" s="31">
        <f>Settings!$B$3</f>
        <v/>
      </c>
      <c r="E68" s="31">
        <f>IF($C68="","",MIN($C68,$D68))</f>
        <v/>
      </c>
      <c r="F68" s="40">
        <f>IF($E68="","",$E68*Settings!$B$4)</f>
        <v/>
      </c>
    </row>
    <row r="69">
      <c r="A69" s="29" t="n"/>
      <c r="B69" s="31" t="n"/>
      <c r="C69" s="31">
        <f>IF(OR($A69="",$B69=""),"",SUMIFS(QuickLog!$L$2:$L$1000,QuickLog!$B$2:$B$1000,$B69,QuickLog!$Q$2:$Q$1000,$A69))</f>
        <v/>
      </c>
      <c r="D69" s="31">
        <f>Settings!$B$3</f>
        <v/>
      </c>
      <c r="E69" s="31">
        <f>IF($C69="","",MIN($C69,$D69))</f>
        <v/>
      </c>
      <c r="F69" s="40">
        <f>IF($E69="","",$E69*Settings!$B$4)</f>
        <v/>
      </c>
    </row>
    <row r="70">
      <c r="A70" s="29" t="n"/>
      <c r="B70" s="31" t="n"/>
      <c r="C70" s="31">
        <f>IF(OR($A70="",$B70=""),"",SUMIFS(QuickLog!$L$2:$L$1000,QuickLog!$B$2:$B$1000,$B70,QuickLog!$Q$2:$Q$1000,$A70))</f>
        <v/>
      </c>
      <c r="D70" s="31">
        <f>Settings!$B$3</f>
        <v/>
      </c>
      <c r="E70" s="31">
        <f>IF($C70="","",MIN($C70,$D70))</f>
        <v/>
      </c>
      <c r="F70" s="40">
        <f>IF($E70="","",$E70*Settings!$B$4)</f>
        <v/>
      </c>
    </row>
    <row r="71">
      <c r="A71" s="29" t="n"/>
      <c r="B71" s="31" t="n"/>
      <c r="C71" s="31">
        <f>IF(OR($A71="",$B71=""),"",SUMIFS(QuickLog!$L$2:$L$1000,QuickLog!$B$2:$B$1000,$B71,QuickLog!$Q$2:$Q$1000,$A71))</f>
        <v/>
      </c>
      <c r="D71" s="31">
        <f>Settings!$B$3</f>
        <v/>
      </c>
      <c r="E71" s="31">
        <f>IF($C71="","",MIN($C71,$D71))</f>
        <v/>
      </c>
      <c r="F71" s="40">
        <f>IF($E71="","",$E71*Settings!$B$4)</f>
        <v/>
      </c>
    </row>
    <row r="72">
      <c r="A72" s="29" t="n"/>
      <c r="B72" s="31" t="n"/>
      <c r="C72" s="31">
        <f>IF(OR($A72="",$B72=""),"",SUMIFS(QuickLog!$L$2:$L$1000,QuickLog!$B$2:$B$1000,$B72,QuickLog!$Q$2:$Q$1000,$A72))</f>
        <v/>
      </c>
      <c r="D72" s="31">
        <f>Settings!$B$3</f>
        <v/>
      </c>
      <c r="E72" s="31">
        <f>IF($C72="","",MIN($C72,$D72))</f>
        <v/>
      </c>
      <c r="F72" s="40">
        <f>IF($E72="","",$E72*Settings!$B$4)</f>
        <v/>
      </c>
    </row>
    <row r="73">
      <c r="A73" s="29" t="n"/>
      <c r="B73" s="31" t="n"/>
      <c r="C73" s="31">
        <f>IF(OR($A73="",$B73=""),"",SUMIFS(QuickLog!$L$2:$L$1000,QuickLog!$B$2:$B$1000,$B73,QuickLog!$Q$2:$Q$1000,$A73))</f>
        <v/>
      </c>
      <c r="D73" s="31">
        <f>Settings!$B$3</f>
        <v/>
      </c>
      <c r="E73" s="31">
        <f>IF($C73="","",MIN($C73,$D73))</f>
        <v/>
      </c>
      <c r="F73" s="40">
        <f>IF($E73="","",$E73*Settings!$B$4)</f>
        <v/>
      </c>
    </row>
    <row r="74">
      <c r="A74" s="29" t="n"/>
      <c r="B74" s="31" t="n"/>
      <c r="C74" s="31">
        <f>IF(OR($A74="",$B74=""),"",SUMIFS(QuickLog!$L$2:$L$1000,QuickLog!$B$2:$B$1000,$B74,QuickLog!$Q$2:$Q$1000,$A74))</f>
        <v/>
      </c>
      <c r="D74" s="31">
        <f>Settings!$B$3</f>
        <v/>
      </c>
      <c r="E74" s="31">
        <f>IF($C74="","",MIN($C74,$D74))</f>
        <v/>
      </c>
      <c r="F74" s="40">
        <f>IF($E74="","",$E74*Settings!$B$4)</f>
        <v/>
      </c>
    </row>
    <row r="75">
      <c r="A75" s="29" t="n"/>
      <c r="B75" s="31" t="n"/>
      <c r="C75" s="31">
        <f>IF(OR($A75="",$B75=""),"",SUMIFS(QuickLog!$L$2:$L$1000,QuickLog!$B$2:$B$1000,$B75,QuickLog!$Q$2:$Q$1000,$A75))</f>
        <v/>
      </c>
      <c r="D75" s="31">
        <f>Settings!$B$3</f>
        <v/>
      </c>
      <c r="E75" s="31">
        <f>IF($C75="","",MIN($C75,$D75))</f>
        <v/>
      </c>
      <c r="F75" s="40">
        <f>IF($E75="","",$E75*Settings!$B$4)</f>
        <v/>
      </c>
    </row>
    <row r="76">
      <c r="A76" s="29" t="n"/>
      <c r="B76" s="31" t="n"/>
      <c r="C76" s="31">
        <f>IF(OR($A76="",$B76=""),"",SUMIFS(QuickLog!$L$2:$L$1000,QuickLog!$B$2:$B$1000,$B76,QuickLog!$Q$2:$Q$1000,$A76))</f>
        <v/>
      </c>
      <c r="D76" s="31">
        <f>Settings!$B$3</f>
        <v/>
      </c>
      <c r="E76" s="31">
        <f>IF($C76="","",MIN($C76,$D76))</f>
        <v/>
      </c>
      <c r="F76" s="40">
        <f>IF($E76="","",$E76*Settings!$B$4)</f>
        <v/>
      </c>
    </row>
    <row r="77">
      <c r="A77" s="29" t="n"/>
      <c r="B77" s="31" t="n"/>
      <c r="C77" s="31">
        <f>IF(OR($A77="",$B77=""),"",SUMIFS(QuickLog!$L$2:$L$1000,QuickLog!$B$2:$B$1000,$B77,QuickLog!$Q$2:$Q$1000,$A77))</f>
        <v/>
      </c>
      <c r="D77" s="31">
        <f>Settings!$B$3</f>
        <v/>
      </c>
      <c r="E77" s="31">
        <f>IF($C77="","",MIN($C77,$D77))</f>
        <v/>
      </c>
      <c r="F77" s="40">
        <f>IF($E77="","",$E77*Settings!$B$4)</f>
        <v/>
      </c>
    </row>
    <row r="78">
      <c r="A78" s="29" t="n"/>
      <c r="B78" s="31" t="n"/>
      <c r="C78" s="31">
        <f>IF(OR($A78="",$B78=""),"",SUMIFS(QuickLog!$L$2:$L$1000,QuickLog!$B$2:$B$1000,$B78,QuickLog!$Q$2:$Q$1000,$A78))</f>
        <v/>
      </c>
      <c r="D78" s="31">
        <f>Settings!$B$3</f>
        <v/>
      </c>
      <c r="E78" s="31">
        <f>IF($C78="","",MIN($C78,$D78))</f>
        <v/>
      </c>
      <c r="F78" s="40">
        <f>IF($E78="","",$E78*Settings!$B$4)</f>
        <v/>
      </c>
    </row>
    <row r="79">
      <c r="A79" s="29" t="n"/>
      <c r="B79" s="31" t="n"/>
      <c r="C79" s="31">
        <f>IF(OR($A79="",$B79=""),"",SUMIFS(QuickLog!$L$2:$L$1000,QuickLog!$B$2:$B$1000,$B79,QuickLog!$Q$2:$Q$1000,$A79))</f>
        <v/>
      </c>
      <c r="D79" s="31">
        <f>Settings!$B$3</f>
        <v/>
      </c>
      <c r="E79" s="31">
        <f>IF($C79="","",MIN($C79,$D79))</f>
        <v/>
      </c>
      <c r="F79" s="40">
        <f>IF($E79="","",$E79*Settings!$B$4)</f>
        <v/>
      </c>
    </row>
    <row r="80">
      <c r="A80" s="29" t="n"/>
      <c r="B80" s="31" t="n"/>
      <c r="C80" s="31">
        <f>IF(OR($A80="",$B80=""),"",SUMIFS(QuickLog!$L$2:$L$1000,QuickLog!$B$2:$B$1000,$B80,QuickLog!$Q$2:$Q$1000,$A80))</f>
        <v/>
      </c>
      <c r="D80" s="31">
        <f>Settings!$B$3</f>
        <v/>
      </c>
      <c r="E80" s="31">
        <f>IF($C80="","",MIN($C80,$D80))</f>
        <v/>
      </c>
      <c r="F80" s="40">
        <f>IF($E80="","",$E80*Settings!$B$4)</f>
        <v/>
      </c>
    </row>
    <row r="81">
      <c r="A81" s="29" t="n"/>
      <c r="B81" s="31" t="n"/>
      <c r="C81" s="31">
        <f>IF(OR($A81="",$B81=""),"",SUMIFS(QuickLog!$L$2:$L$1000,QuickLog!$B$2:$B$1000,$B81,QuickLog!$Q$2:$Q$1000,$A81))</f>
        <v/>
      </c>
      <c r="D81" s="31">
        <f>Settings!$B$3</f>
        <v/>
      </c>
      <c r="E81" s="31">
        <f>IF($C81="","",MIN($C81,$D81))</f>
        <v/>
      </c>
      <c r="F81" s="40">
        <f>IF($E81="","",$E81*Settings!$B$4)</f>
        <v/>
      </c>
    </row>
    <row r="82">
      <c r="A82" s="29" t="n"/>
      <c r="B82" s="31" t="n"/>
      <c r="C82" s="31">
        <f>IF(OR($A82="",$B82=""),"",SUMIFS(QuickLog!$L$2:$L$1000,QuickLog!$B$2:$B$1000,$B82,QuickLog!$Q$2:$Q$1000,$A82))</f>
        <v/>
      </c>
      <c r="D82" s="31">
        <f>Settings!$B$3</f>
        <v/>
      </c>
      <c r="E82" s="31">
        <f>IF($C82="","",MIN($C82,$D82))</f>
        <v/>
      </c>
      <c r="F82" s="40">
        <f>IF($E82="","",$E82*Settings!$B$4)</f>
        <v/>
      </c>
    </row>
    <row r="83">
      <c r="A83" s="29" t="n"/>
      <c r="B83" s="31" t="n"/>
      <c r="C83" s="31">
        <f>IF(OR($A83="",$B83=""),"",SUMIFS(QuickLog!$L$2:$L$1000,QuickLog!$B$2:$B$1000,$B83,QuickLog!$Q$2:$Q$1000,$A83))</f>
        <v/>
      </c>
      <c r="D83" s="31">
        <f>Settings!$B$3</f>
        <v/>
      </c>
      <c r="E83" s="31">
        <f>IF($C83="","",MIN($C83,$D83))</f>
        <v/>
      </c>
      <c r="F83" s="40">
        <f>IF($E83="","",$E83*Settings!$B$4)</f>
        <v/>
      </c>
    </row>
    <row r="84">
      <c r="A84" s="29" t="n"/>
      <c r="B84" s="31" t="n"/>
      <c r="C84" s="31">
        <f>IF(OR($A84="",$B84=""),"",SUMIFS(QuickLog!$L$2:$L$1000,QuickLog!$B$2:$B$1000,$B84,QuickLog!$Q$2:$Q$1000,$A84))</f>
        <v/>
      </c>
      <c r="D84" s="31">
        <f>Settings!$B$3</f>
        <v/>
      </c>
      <c r="E84" s="31">
        <f>IF($C84="","",MIN($C84,$D84))</f>
        <v/>
      </c>
      <c r="F84" s="40">
        <f>IF($E84="","",$E84*Settings!$B$4)</f>
        <v/>
      </c>
    </row>
    <row r="85">
      <c r="A85" s="29" t="n"/>
      <c r="B85" s="31" t="n"/>
      <c r="C85" s="31">
        <f>IF(OR($A85="",$B85=""),"",SUMIFS(QuickLog!$L$2:$L$1000,QuickLog!$B$2:$B$1000,$B85,QuickLog!$Q$2:$Q$1000,$A85))</f>
        <v/>
      </c>
      <c r="D85" s="31">
        <f>Settings!$B$3</f>
        <v/>
      </c>
      <c r="E85" s="31">
        <f>IF($C85="","",MIN($C85,$D85))</f>
        <v/>
      </c>
      <c r="F85" s="40">
        <f>IF($E85="","",$E85*Settings!$B$4)</f>
        <v/>
      </c>
    </row>
    <row r="86">
      <c r="A86" s="29" t="n"/>
      <c r="B86" s="31" t="n"/>
      <c r="C86" s="31">
        <f>IF(OR($A86="",$B86=""),"",SUMIFS(QuickLog!$L$2:$L$1000,QuickLog!$B$2:$B$1000,$B86,QuickLog!$Q$2:$Q$1000,$A86))</f>
        <v/>
      </c>
      <c r="D86" s="31">
        <f>Settings!$B$3</f>
        <v/>
      </c>
      <c r="E86" s="31">
        <f>IF($C86="","",MIN($C86,$D86))</f>
        <v/>
      </c>
      <c r="F86" s="40">
        <f>IF($E86="","",$E86*Settings!$B$4)</f>
        <v/>
      </c>
    </row>
    <row r="87">
      <c r="A87" s="29" t="n"/>
      <c r="B87" s="31" t="n"/>
      <c r="C87" s="31">
        <f>IF(OR($A87="",$B87=""),"",SUMIFS(QuickLog!$L$2:$L$1000,QuickLog!$B$2:$B$1000,$B87,QuickLog!$Q$2:$Q$1000,$A87))</f>
        <v/>
      </c>
      <c r="D87" s="31">
        <f>Settings!$B$3</f>
        <v/>
      </c>
      <c r="E87" s="31">
        <f>IF($C87="","",MIN($C87,$D87))</f>
        <v/>
      </c>
      <c r="F87" s="40">
        <f>IF($E87="","",$E87*Settings!$B$4)</f>
        <v/>
      </c>
    </row>
    <row r="88">
      <c r="A88" s="29" t="n"/>
      <c r="B88" s="31" t="n"/>
      <c r="C88" s="31">
        <f>IF(OR($A88="",$B88=""),"",SUMIFS(QuickLog!$L$2:$L$1000,QuickLog!$B$2:$B$1000,$B88,QuickLog!$Q$2:$Q$1000,$A88))</f>
        <v/>
      </c>
      <c r="D88" s="31">
        <f>Settings!$B$3</f>
        <v/>
      </c>
      <c r="E88" s="31">
        <f>IF($C88="","",MIN($C88,$D88))</f>
        <v/>
      </c>
      <c r="F88" s="40">
        <f>IF($E88="","",$E88*Settings!$B$4)</f>
        <v/>
      </c>
    </row>
    <row r="89">
      <c r="A89" s="29" t="n"/>
      <c r="B89" s="31" t="n"/>
      <c r="C89" s="31">
        <f>IF(OR($A89="",$B89=""),"",SUMIFS(QuickLog!$L$2:$L$1000,QuickLog!$B$2:$B$1000,$B89,QuickLog!$Q$2:$Q$1000,$A89))</f>
        <v/>
      </c>
      <c r="D89" s="31">
        <f>Settings!$B$3</f>
        <v/>
      </c>
      <c r="E89" s="31">
        <f>IF($C89="","",MIN($C89,$D89))</f>
        <v/>
      </c>
      <c r="F89" s="40">
        <f>IF($E89="","",$E89*Settings!$B$4)</f>
        <v/>
      </c>
    </row>
    <row r="90">
      <c r="A90" s="29" t="n"/>
      <c r="B90" s="31" t="n"/>
      <c r="C90" s="31">
        <f>IF(OR($A90="",$B90=""),"",SUMIFS(QuickLog!$L$2:$L$1000,QuickLog!$B$2:$B$1000,$B90,QuickLog!$Q$2:$Q$1000,$A90))</f>
        <v/>
      </c>
      <c r="D90" s="31">
        <f>Settings!$B$3</f>
        <v/>
      </c>
      <c r="E90" s="31">
        <f>IF($C90="","",MIN($C90,$D90))</f>
        <v/>
      </c>
      <c r="F90" s="40">
        <f>IF($E90="","",$E90*Settings!$B$4)</f>
        <v/>
      </c>
    </row>
    <row r="91">
      <c r="A91" s="29" t="n"/>
      <c r="B91" s="31" t="n"/>
      <c r="C91" s="31">
        <f>IF(OR($A91="",$B91=""),"",SUMIFS(QuickLog!$L$2:$L$1000,QuickLog!$B$2:$B$1000,$B91,QuickLog!$Q$2:$Q$1000,$A91))</f>
        <v/>
      </c>
      <c r="D91" s="31">
        <f>Settings!$B$3</f>
        <v/>
      </c>
      <c r="E91" s="31">
        <f>IF($C91="","",MIN($C91,$D91))</f>
        <v/>
      </c>
      <c r="F91" s="40">
        <f>IF($E91="","",$E91*Settings!$B$4)</f>
        <v/>
      </c>
    </row>
    <row r="92">
      <c r="A92" s="29" t="n"/>
      <c r="B92" s="31" t="n"/>
      <c r="C92" s="31">
        <f>IF(OR($A92="",$B92=""),"",SUMIFS(QuickLog!$L$2:$L$1000,QuickLog!$B$2:$B$1000,$B92,QuickLog!$Q$2:$Q$1000,$A92))</f>
        <v/>
      </c>
      <c r="D92" s="31">
        <f>Settings!$B$3</f>
        <v/>
      </c>
      <c r="E92" s="31">
        <f>IF($C92="","",MIN($C92,$D92))</f>
        <v/>
      </c>
      <c r="F92" s="40">
        <f>IF($E92="","",$E92*Settings!$B$4)</f>
        <v/>
      </c>
    </row>
    <row r="93">
      <c r="A93" s="29" t="n"/>
      <c r="B93" s="31" t="n"/>
      <c r="C93" s="31">
        <f>IF(OR($A93="",$B93=""),"",SUMIFS(QuickLog!$L$2:$L$1000,QuickLog!$B$2:$B$1000,$B93,QuickLog!$Q$2:$Q$1000,$A93))</f>
        <v/>
      </c>
      <c r="D93" s="31">
        <f>Settings!$B$3</f>
        <v/>
      </c>
      <c r="E93" s="31">
        <f>IF($C93="","",MIN($C93,$D93))</f>
        <v/>
      </c>
      <c r="F93" s="40">
        <f>IF($E93="","",$E93*Settings!$B$4)</f>
        <v/>
      </c>
    </row>
    <row r="94">
      <c r="A94" s="29" t="n"/>
      <c r="B94" s="31" t="n"/>
      <c r="C94" s="31">
        <f>IF(OR($A94="",$B94=""),"",SUMIFS(QuickLog!$L$2:$L$1000,QuickLog!$B$2:$B$1000,$B94,QuickLog!$Q$2:$Q$1000,$A94))</f>
        <v/>
      </c>
      <c r="D94" s="31">
        <f>Settings!$B$3</f>
        <v/>
      </c>
      <c r="E94" s="31">
        <f>IF($C94="","",MIN($C94,$D94))</f>
        <v/>
      </c>
      <c r="F94" s="40">
        <f>IF($E94="","",$E94*Settings!$B$4)</f>
        <v/>
      </c>
    </row>
    <row r="95">
      <c r="A95" s="29" t="n"/>
      <c r="B95" s="31" t="n"/>
      <c r="C95" s="31">
        <f>IF(OR($A95="",$B95=""),"",SUMIFS(QuickLog!$L$2:$L$1000,QuickLog!$B$2:$B$1000,$B95,QuickLog!$Q$2:$Q$1000,$A95))</f>
        <v/>
      </c>
      <c r="D95" s="31">
        <f>Settings!$B$3</f>
        <v/>
      </c>
      <c r="E95" s="31">
        <f>IF($C95="","",MIN($C95,$D95))</f>
        <v/>
      </c>
      <c r="F95" s="40">
        <f>IF($E95="","",$E95*Settings!$B$4)</f>
        <v/>
      </c>
    </row>
    <row r="96">
      <c r="A96" s="29" t="n"/>
      <c r="B96" s="31" t="n"/>
      <c r="C96" s="31">
        <f>IF(OR($A96="",$B96=""),"",SUMIFS(QuickLog!$L$2:$L$1000,QuickLog!$B$2:$B$1000,$B96,QuickLog!$Q$2:$Q$1000,$A96))</f>
        <v/>
      </c>
      <c r="D96" s="31">
        <f>Settings!$B$3</f>
        <v/>
      </c>
      <c r="E96" s="31">
        <f>IF($C96="","",MIN($C96,$D96))</f>
        <v/>
      </c>
      <c r="F96" s="40">
        <f>IF($E96="","",$E96*Settings!$B$4)</f>
        <v/>
      </c>
    </row>
    <row r="97">
      <c r="A97" s="29" t="n"/>
      <c r="B97" s="31" t="n"/>
      <c r="C97" s="31">
        <f>IF(OR($A97="",$B97=""),"",SUMIFS(QuickLog!$L$2:$L$1000,QuickLog!$B$2:$B$1000,$B97,QuickLog!$Q$2:$Q$1000,$A97))</f>
        <v/>
      </c>
      <c r="D97" s="31">
        <f>Settings!$B$3</f>
        <v/>
      </c>
      <c r="E97" s="31">
        <f>IF($C97="","",MIN($C97,$D97))</f>
        <v/>
      </c>
      <c r="F97" s="40">
        <f>IF($E97="","",$E97*Settings!$B$4)</f>
        <v/>
      </c>
    </row>
    <row r="98">
      <c r="A98" s="29" t="n"/>
      <c r="B98" s="31" t="n"/>
      <c r="C98" s="31">
        <f>IF(OR($A98="",$B98=""),"",SUMIFS(QuickLog!$L$2:$L$1000,QuickLog!$B$2:$B$1000,$B98,QuickLog!$Q$2:$Q$1000,$A98))</f>
        <v/>
      </c>
      <c r="D98" s="31">
        <f>Settings!$B$3</f>
        <v/>
      </c>
      <c r="E98" s="31">
        <f>IF($C98="","",MIN($C98,$D98))</f>
        <v/>
      </c>
      <c r="F98" s="40">
        <f>IF($E98="","",$E98*Settings!$B$4)</f>
        <v/>
      </c>
    </row>
    <row r="99">
      <c r="A99" s="29" t="n"/>
      <c r="B99" s="31" t="n"/>
      <c r="C99" s="31">
        <f>IF(OR($A99="",$B99=""),"",SUMIFS(QuickLog!$L$2:$L$1000,QuickLog!$B$2:$B$1000,$B99,QuickLog!$Q$2:$Q$1000,$A99))</f>
        <v/>
      </c>
      <c r="D99" s="31">
        <f>Settings!$B$3</f>
        <v/>
      </c>
      <c r="E99" s="31">
        <f>IF($C99="","",MIN($C99,$D99))</f>
        <v/>
      </c>
      <c r="F99" s="40">
        <f>IF($E99="","",$E99*Settings!$B$4)</f>
        <v/>
      </c>
    </row>
    <row r="100">
      <c r="A100" s="29" t="n"/>
      <c r="B100" s="31" t="n"/>
      <c r="C100" s="31">
        <f>IF(OR($A100="",$B100=""),"",SUMIFS(QuickLog!$L$2:$L$1000,QuickLog!$B$2:$B$1000,$B100,QuickLog!$Q$2:$Q$1000,$A100))</f>
        <v/>
      </c>
      <c r="D100" s="31">
        <f>Settings!$B$3</f>
        <v/>
      </c>
      <c r="E100" s="31">
        <f>IF($C100="","",MIN($C100,$D100))</f>
        <v/>
      </c>
      <c r="F100" s="40">
        <f>IF($E100="","",$E100*Settings!$B$4)</f>
        <v/>
      </c>
    </row>
    <row r="101">
      <c r="A101" s="29" t="n"/>
      <c r="B101" s="31" t="n"/>
      <c r="C101" s="31">
        <f>IF(OR($A101="",$B101=""),"",SUMIFS(QuickLog!$L$2:$L$1000,QuickLog!$B$2:$B$1000,$B101,QuickLog!$Q$2:$Q$1000,$A101))</f>
        <v/>
      </c>
      <c r="D101" s="31">
        <f>Settings!$B$3</f>
        <v/>
      </c>
      <c r="E101" s="31">
        <f>IF($C101="","",MIN($C101,$D101))</f>
        <v/>
      </c>
      <c r="F101" s="40">
        <f>IF($E101="","",$E101*Settings!$B$4)</f>
        <v/>
      </c>
    </row>
    <row r="102">
      <c r="A102" s="29" t="n"/>
      <c r="B102" s="31" t="n"/>
      <c r="C102" s="31">
        <f>IF(OR($A102="",$B102=""),"",SUMIFS(QuickLog!$L$2:$L$1000,QuickLog!$B$2:$B$1000,$B102,QuickLog!$Q$2:$Q$1000,$A102))</f>
        <v/>
      </c>
      <c r="D102" s="31">
        <f>Settings!$B$3</f>
        <v/>
      </c>
      <c r="E102" s="31">
        <f>IF($C102="","",MIN($C102,$D102))</f>
        <v/>
      </c>
      <c r="F102" s="40">
        <f>IF($E102="","",$E102*Settings!$B$4)</f>
        <v/>
      </c>
    </row>
    <row r="103">
      <c r="A103" s="29" t="n"/>
      <c r="B103" s="31" t="n"/>
      <c r="C103" s="31">
        <f>IF(OR($A103="",$B103=""),"",SUMIFS(QuickLog!$L$2:$L$1000,QuickLog!$B$2:$B$1000,$B103,QuickLog!$Q$2:$Q$1000,$A103))</f>
        <v/>
      </c>
      <c r="D103" s="31">
        <f>Settings!$B$3</f>
        <v/>
      </c>
      <c r="E103" s="31">
        <f>IF($C103="","",MIN($C103,$D103))</f>
        <v/>
      </c>
      <c r="F103" s="40">
        <f>IF($E103="","",$E103*Settings!$B$4)</f>
        <v/>
      </c>
    </row>
    <row r="104">
      <c r="A104" s="29" t="n"/>
      <c r="B104" s="31" t="n"/>
      <c r="C104" s="31">
        <f>IF(OR($A104="",$B104=""),"",SUMIFS(QuickLog!$L$2:$L$1000,QuickLog!$B$2:$B$1000,$B104,QuickLog!$Q$2:$Q$1000,$A104))</f>
        <v/>
      </c>
      <c r="D104" s="31">
        <f>Settings!$B$3</f>
        <v/>
      </c>
      <c r="E104" s="31">
        <f>IF($C104="","",MIN($C104,$D104))</f>
        <v/>
      </c>
      <c r="F104" s="40">
        <f>IF($E104="","",$E104*Settings!$B$4)</f>
        <v/>
      </c>
    </row>
    <row r="105">
      <c r="A105" s="29" t="n"/>
      <c r="B105" s="31" t="n"/>
      <c r="C105" s="31">
        <f>IF(OR($A105="",$B105=""),"",SUMIFS(QuickLog!$L$2:$L$1000,QuickLog!$B$2:$B$1000,$B105,QuickLog!$Q$2:$Q$1000,$A105))</f>
        <v/>
      </c>
      <c r="D105" s="31">
        <f>Settings!$B$3</f>
        <v/>
      </c>
      <c r="E105" s="31">
        <f>IF($C105="","",MIN($C105,$D105))</f>
        <v/>
      </c>
      <c r="F105" s="40">
        <f>IF($E105="","",$E105*Settings!$B$4)</f>
        <v/>
      </c>
    </row>
    <row r="106">
      <c r="A106" s="29" t="n"/>
      <c r="B106" s="31" t="n"/>
      <c r="C106" s="31">
        <f>IF(OR($A106="",$B106=""),"",SUMIFS(QuickLog!$L$2:$L$1000,QuickLog!$B$2:$B$1000,$B106,QuickLog!$Q$2:$Q$1000,$A106))</f>
        <v/>
      </c>
      <c r="D106" s="31">
        <f>Settings!$B$3</f>
        <v/>
      </c>
      <c r="E106" s="31">
        <f>IF($C106="","",MIN($C106,$D106))</f>
        <v/>
      </c>
      <c r="F106" s="40">
        <f>IF($E106="","",$E106*Settings!$B$4)</f>
        <v/>
      </c>
    </row>
    <row r="107">
      <c r="A107" s="29" t="n"/>
      <c r="B107" s="31" t="n"/>
      <c r="C107" s="31">
        <f>IF(OR($A107="",$B107=""),"",SUMIFS(QuickLog!$L$2:$L$1000,QuickLog!$B$2:$B$1000,$B107,QuickLog!$Q$2:$Q$1000,$A107))</f>
        <v/>
      </c>
      <c r="D107" s="31">
        <f>Settings!$B$3</f>
        <v/>
      </c>
      <c r="E107" s="31">
        <f>IF($C107="","",MIN($C107,$D107))</f>
        <v/>
      </c>
      <c r="F107" s="40">
        <f>IF($E107="","",$E107*Settings!$B$4)</f>
        <v/>
      </c>
    </row>
    <row r="108">
      <c r="A108" s="29" t="n"/>
      <c r="B108" s="31" t="n"/>
      <c r="C108" s="31">
        <f>IF(OR($A108="",$B108=""),"",SUMIFS(QuickLog!$L$2:$L$1000,QuickLog!$B$2:$B$1000,$B108,QuickLog!$Q$2:$Q$1000,$A108))</f>
        <v/>
      </c>
      <c r="D108" s="31">
        <f>Settings!$B$3</f>
        <v/>
      </c>
      <c r="E108" s="31">
        <f>IF($C108="","",MIN($C108,$D108))</f>
        <v/>
      </c>
      <c r="F108" s="40">
        <f>IF($E108="","",$E108*Settings!$B$4)</f>
        <v/>
      </c>
    </row>
    <row r="109">
      <c r="A109" s="29" t="n"/>
      <c r="B109" s="31" t="n"/>
      <c r="C109" s="31">
        <f>IF(OR($A109="",$B109=""),"",SUMIFS(QuickLog!$L$2:$L$1000,QuickLog!$B$2:$B$1000,$B109,QuickLog!$Q$2:$Q$1000,$A109))</f>
        <v/>
      </c>
      <c r="D109" s="31">
        <f>Settings!$B$3</f>
        <v/>
      </c>
      <c r="E109" s="31">
        <f>IF($C109="","",MIN($C109,$D109))</f>
        <v/>
      </c>
      <c r="F109" s="40">
        <f>IF($E109="","",$E109*Settings!$B$4)</f>
        <v/>
      </c>
    </row>
    <row r="110">
      <c r="A110" s="29" t="n"/>
      <c r="B110" s="31" t="n"/>
      <c r="C110" s="31">
        <f>IF(OR($A110="",$B110=""),"",SUMIFS(QuickLog!$L$2:$L$1000,QuickLog!$B$2:$B$1000,$B110,QuickLog!$Q$2:$Q$1000,$A110))</f>
        <v/>
      </c>
      <c r="D110" s="31">
        <f>Settings!$B$3</f>
        <v/>
      </c>
      <c r="E110" s="31">
        <f>IF($C110="","",MIN($C110,$D110))</f>
        <v/>
      </c>
      <c r="F110" s="40">
        <f>IF($E110="","",$E110*Settings!$B$4)</f>
        <v/>
      </c>
    </row>
    <row r="111">
      <c r="A111" s="29" t="n"/>
      <c r="B111" s="31" t="n"/>
      <c r="C111" s="31">
        <f>IF(OR($A111="",$B111=""),"",SUMIFS(QuickLog!$L$2:$L$1000,QuickLog!$B$2:$B$1000,$B111,QuickLog!$Q$2:$Q$1000,$A111))</f>
        <v/>
      </c>
      <c r="D111" s="31">
        <f>Settings!$B$3</f>
        <v/>
      </c>
      <c r="E111" s="31">
        <f>IF($C111="","",MIN($C111,$D111))</f>
        <v/>
      </c>
      <c r="F111" s="40">
        <f>IF($E111="","",$E111*Settings!$B$4)</f>
        <v/>
      </c>
    </row>
    <row r="112">
      <c r="A112" s="29" t="n"/>
      <c r="B112" s="31" t="n"/>
      <c r="C112" s="31">
        <f>IF(OR($A112="",$B112=""),"",SUMIFS(QuickLog!$L$2:$L$1000,QuickLog!$B$2:$B$1000,$B112,QuickLog!$Q$2:$Q$1000,$A112))</f>
        <v/>
      </c>
      <c r="D112" s="31">
        <f>Settings!$B$3</f>
        <v/>
      </c>
      <c r="E112" s="31">
        <f>IF($C112="","",MIN($C112,$D112))</f>
        <v/>
      </c>
      <c r="F112" s="40">
        <f>IF($E112="","",$E112*Settings!$B$4)</f>
        <v/>
      </c>
    </row>
    <row r="113">
      <c r="A113" s="29" t="n"/>
      <c r="B113" s="31" t="n"/>
      <c r="C113" s="31">
        <f>IF(OR($A113="",$B113=""),"",SUMIFS(QuickLog!$L$2:$L$1000,QuickLog!$B$2:$B$1000,$B113,QuickLog!$Q$2:$Q$1000,$A113))</f>
        <v/>
      </c>
      <c r="D113" s="31">
        <f>Settings!$B$3</f>
        <v/>
      </c>
      <c r="E113" s="31">
        <f>IF($C113="","",MIN($C113,$D113))</f>
        <v/>
      </c>
      <c r="F113" s="40">
        <f>IF($E113="","",$E113*Settings!$B$4)</f>
        <v/>
      </c>
    </row>
    <row r="114">
      <c r="A114" s="29" t="n"/>
      <c r="B114" s="31" t="n"/>
      <c r="C114" s="31">
        <f>IF(OR($A114="",$B114=""),"",SUMIFS(QuickLog!$L$2:$L$1000,QuickLog!$B$2:$B$1000,$B114,QuickLog!$Q$2:$Q$1000,$A114))</f>
        <v/>
      </c>
      <c r="D114" s="31">
        <f>Settings!$B$3</f>
        <v/>
      </c>
      <c r="E114" s="31">
        <f>IF($C114="","",MIN($C114,$D114))</f>
        <v/>
      </c>
      <c r="F114" s="40">
        <f>IF($E114="","",$E114*Settings!$B$4)</f>
        <v/>
      </c>
    </row>
    <row r="115">
      <c r="A115" s="29" t="n"/>
      <c r="B115" s="31" t="n"/>
      <c r="C115" s="31">
        <f>IF(OR($A115="",$B115=""),"",SUMIFS(QuickLog!$L$2:$L$1000,QuickLog!$B$2:$B$1000,$B115,QuickLog!$Q$2:$Q$1000,$A115))</f>
        <v/>
      </c>
      <c r="D115" s="31">
        <f>Settings!$B$3</f>
        <v/>
      </c>
      <c r="E115" s="31">
        <f>IF($C115="","",MIN($C115,$D115))</f>
        <v/>
      </c>
      <c r="F115" s="40">
        <f>IF($E115="","",$E115*Settings!$B$4)</f>
        <v/>
      </c>
    </row>
    <row r="116">
      <c r="A116" s="29" t="n"/>
      <c r="B116" s="31" t="n"/>
      <c r="C116" s="31">
        <f>IF(OR($A116="",$B116=""),"",SUMIFS(QuickLog!$L$2:$L$1000,QuickLog!$B$2:$B$1000,$B116,QuickLog!$Q$2:$Q$1000,$A116))</f>
        <v/>
      </c>
      <c r="D116" s="31">
        <f>Settings!$B$3</f>
        <v/>
      </c>
      <c r="E116" s="31">
        <f>IF($C116="","",MIN($C116,$D116))</f>
        <v/>
      </c>
      <c r="F116" s="40">
        <f>IF($E116="","",$E116*Settings!$B$4)</f>
        <v/>
      </c>
    </row>
    <row r="117">
      <c r="A117" s="29" t="n"/>
      <c r="B117" s="31" t="n"/>
      <c r="C117" s="31">
        <f>IF(OR($A117="",$B117=""),"",SUMIFS(QuickLog!$L$2:$L$1000,QuickLog!$B$2:$B$1000,$B117,QuickLog!$Q$2:$Q$1000,$A117))</f>
        <v/>
      </c>
      <c r="D117" s="31">
        <f>Settings!$B$3</f>
        <v/>
      </c>
      <c r="E117" s="31">
        <f>IF($C117="","",MIN($C117,$D117))</f>
        <v/>
      </c>
      <c r="F117" s="40">
        <f>IF($E117="","",$E117*Settings!$B$4)</f>
        <v/>
      </c>
    </row>
    <row r="118">
      <c r="A118" s="29" t="n"/>
      <c r="B118" s="31" t="n"/>
      <c r="C118" s="31">
        <f>IF(OR($A118="",$B118=""),"",SUMIFS(QuickLog!$L$2:$L$1000,QuickLog!$B$2:$B$1000,$B118,QuickLog!$Q$2:$Q$1000,$A118))</f>
        <v/>
      </c>
      <c r="D118" s="31">
        <f>Settings!$B$3</f>
        <v/>
      </c>
      <c r="E118" s="31">
        <f>IF($C118="","",MIN($C118,$D118))</f>
        <v/>
      </c>
      <c r="F118" s="40">
        <f>IF($E118="","",$E118*Settings!$B$4)</f>
        <v/>
      </c>
    </row>
    <row r="119">
      <c r="A119" s="29" t="n"/>
      <c r="B119" s="31" t="n"/>
      <c r="C119" s="31">
        <f>IF(OR($A119="",$B119=""),"",SUMIFS(QuickLog!$L$2:$L$1000,QuickLog!$B$2:$B$1000,$B119,QuickLog!$Q$2:$Q$1000,$A119))</f>
        <v/>
      </c>
      <c r="D119" s="31">
        <f>Settings!$B$3</f>
        <v/>
      </c>
      <c r="E119" s="31">
        <f>IF($C119="","",MIN($C119,$D119))</f>
        <v/>
      </c>
      <c r="F119" s="40">
        <f>IF($E119="","",$E119*Settings!$B$4)</f>
        <v/>
      </c>
    </row>
    <row r="120">
      <c r="A120" s="29" t="n"/>
      <c r="B120" s="31" t="n"/>
      <c r="C120" s="31">
        <f>IF(OR($A120="",$B120=""),"",SUMIFS(QuickLog!$L$2:$L$1000,QuickLog!$B$2:$B$1000,$B120,QuickLog!$Q$2:$Q$1000,$A120))</f>
        <v/>
      </c>
      <c r="D120" s="31">
        <f>Settings!$B$3</f>
        <v/>
      </c>
      <c r="E120" s="31">
        <f>IF($C120="","",MIN($C120,$D120))</f>
        <v/>
      </c>
      <c r="F120" s="40">
        <f>IF($E120="","",$E120*Settings!$B$4)</f>
        <v/>
      </c>
    </row>
    <row r="121">
      <c r="A121" s="29" t="n"/>
      <c r="B121" s="31" t="n"/>
      <c r="C121" s="31">
        <f>IF(OR($A121="",$B121=""),"",SUMIFS(QuickLog!$L$2:$L$1000,QuickLog!$B$2:$B$1000,$B121,QuickLog!$Q$2:$Q$1000,$A121))</f>
        <v/>
      </c>
      <c r="D121" s="31">
        <f>Settings!$B$3</f>
        <v/>
      </c>
      <c r="E121" s="31">
        <f>IF($C121="","",MIN($C121,$D121))</f>
        <v/>
      </c>
      <c r="F121" s="40">
        <f>IF($E121="","",$E121*Settings!$B$4)</f>
        <v/>
      </c>
    </row>
    <row r="122">
      <c r="A122" s="29" t="n"/>
      <c r="B122" s="31" t="n"/>
      <c r="C122" s="31">
        <f>IF(OR($A122="",$B122=""),"",SUMIFS(QuickLog!$L$2:$L$1000,QuickLog!$B$2:$B$1000,$B122,QuickLog!$Q$2:$Q$1000,$A122))</f>
        <v/>
      </c>
      <c r="D122" s="31">
        <f>Settings!$B$3</f>
        <v/>
      </c>
      <c r="E122" s="31">
        <f>IF($C122="","",MIN($C122,$D122))</f>
        <v/>
      </c>
      <c r="F122" s="40">
        <f>IF($E122="","",$E122*Settings!$B$4)</f>
        <v/>
      </c>
    </row>
    <row r="123">
      <c r="A123" s="29" t="n"/>
      <c r="B123" s="31" t="n"/>
      <c r="C123" s="31">
        <f>IF(OR($A123="",$B123=""),"",SUMIFS(QuickLog!$L$2:$L$1000,QuickLog!$B$2:$B$1000,$B123,QuickLog!$Q$2:$Q$1000,$A123))</f>
        <v/>
      </c>
      <c r="D123" s="31">
        <f>Settings!$B$3</f>
        <v/>
      </c>
      <c r="E123" s="31">
        <f>IF($C123="","",MIN($C123,$D123))</f>
        <v/>
      </c>
      <c r="F123" s="40">
        <f>IF($E123="","",$E123*Settings!$B$4)</f>
        <v/>
      </c>
    </row>
    <row r="124">
      <c r="A124" s="29" t="n"/>
      <c r="B124" s="31" t="n"/>
      <c r="C124" s="31">
        <f>IF(OR($A124="",$B124=""),"",SUMIFS(QuickLog!$L$2:$L$1000,QuickLog!$B$2:$B$1000,$B124,QuickLog!$Q$2:$Q$1000,$A124))</f>
        <v/>
      </c>
      <c r="D124" s="31">
        <f>Settings!$B$3</f>
        <v/>
      </c>
      <c r="E124" s="31">
        <f>IF($C124="","",MIN($C124,$D124))</f>
        <v/>
      </c>
      <c r="F124" s="40">
        <f>IF($E124="","",$E124*Settings!$B$4)</f>
        <v/>
      </c>
    </row>
    <row r="125">
      <c r="A125" s="29" t="n"/>
      <c r="B125" s="31" t="n"/>
      <c r="C125" s="31">
        <f>IF(OR($A125="",$B125=""),"",SUMIFS(QuickLog!$L$2:$L$1000,QuickLog!$B$2:$B$1000,$B125,QuickLog!$Q$2:$Q$1000,$A125))</f>
        <v/>
      </c>
      <c r="D125" s="31">
        <f>Settings!$B$3</f>
        <v/>
      </c>
      <c r="E125" s="31">
        <f>IF($C125="","",MIN($C125,$D125))</f>
        <v/>
      </c>
      <c r="F125" s="40">
        <f>IF($E125="","",$E125*Settings!$B$4)</f>
        <v/>
      </c>
    </row>
    <row r="126">
      <c r="A126" s="29" t="n"/>
      <c r="B126" s="31" t="n"/>
      <c r="C126" s="31">
        <f>IF(OR($A126="",$B126=""),"",SUMIFS(QuickLog!$L$2:$L$1000,QuickLog!$B$2:$B$1000,$B126,QuickLog!$Q$2:$Q$1000,$A126))</f>
        <v/>
      </c>
      <c r="D126" s="31">
        <f>Settings!$B$3</f>
        <v/>
      </c>
      <c r="E126" s="31">
        <f>IF($C126="","",MIN($C126,$D126))</f>
        <v/>
      </c>
      <c r="F126" s="40">
        <f>IF($E126="","",$E126*Settings!$B$4)</f>
        <v/>
      </c>
    </row>
    <row r="127">
      <c r="A127" s="29" t="n"/>
      <c r="B127" s="31" t="n"/>
      <c r="C127" s="31">
        <f>IF(OR($A127="",$B127=""),"",SUMIFS(QuickLog!$L$2:$L$1000,QuickLog!$B$2:$B$1000,$B127,QuickLog!$Q$2:$Q$1000,$A127))</f>
        <v/>
      </c>
      <c r="D127" s="31">
        <f>Settings!$B$3</f>
        <v/>
      </c>
      <c r="E127" s="31">
        <f>IF($C127="","",MIN($C127,$D127))</f>
        <v/>
      </c>
      <c r="F127" s="40">
        <f>IF($E127="","",$E127*Settings!$B$4)</f>
        <v/>
      </c>
    </row>
    <row r="128">
      <c r="A128" s="29" t="n"/>
      <c r="B128" s="31" t="n"/>
      <c r="C128" s="31">
        <f>IF(OR($A128="",$B128=""),"",SUMIFS(QuickLog!$L$2:$L$1000,QuickLog!$B$2:$B$1000,$B128,QuickLog!$Q$2:$Q$1000,$A128))</f>
        <v/>
      </c>
      <c r="D128" s="31">
        <f>Settings!$B$3</f>
        <v/>
      </c>
      <c r="E128" s="31">
        <f>IF($C128="","",MIN($C128,$D128))</f>
        <v/>
      </c>
      <c r="F128" s="40">
        <f>IF($E128="","",$E128*Settings!$B$4)</f>
        <v/>
      </c>
    </row>
    <row r="129">
      <c r="A129" s="29" t="n"/>
      <c r="B129" s="31" t="n"/>
      <c r="C129" s="31">
        <f>IF(OR($A129="",$B129=""),"",SUMIFS(QuickLog!$L$2:$L$1000,QuickLog!$B$2:$B$1000,$B129,QuickLog!$Q$2:$Q$1000,$A129))</f>
        <v/>
      </c>
      <c r="D129" s="31">
        <f>Settings!$B$3</f>
        <v/>
      </c>
      <c r="E129" s="31">
        <f>IF($C129="","",MIN($C129,$D129))</f>
        <v/>
      </c>
      <c r="F129" s="40">
        <f>IF($E129="","",$E129*Settings!$B$4)</f>
        <v/>
      </c>
    </row>
    <row r="130">
      <c r="A130" s="29" t="n"/>
      <c r="B130" s="31" t="n"/>
      <c r="C130" s="31">
        <f>IF(OR($A130="",$B130=""),"",SUMIFS(QuickLog!$L$2:$L$1000,QuickLog!$B$2:$B$1000,$B130,QuickLog!$Q$2:$Q$1000,$A130))</f>
        <v/>
      </c>
      <c r="D130" s="31">
        <f>Settings!$B$3</f>
        <v/>
      </c>
      <c r="E130" s="31">
        <f>IF($C130="","",MIN($C130,$D130))</f>
        <v/>
      </c>
      <c r="F130" s="40">
        <f>IF($E130="","",$E130*Settings!$B$4)</f>
        <v/>
      </c>
    </row>
    <row r="131">
      <c r="A131" s="29" t="n"/>
      <c r="B131" s="31" t="n"/>
      <c r="C131" s="31">
        <f>IF(OR($A131="",$B131=""),"",SUMIFS(QuickLog!$L$2:$L$1000,QuickLog!$B$2:$B$1000,$B131,QuickLog!$Q$2:$Q$1000,$A131))</f>
        <v/>
      </c>
      <c r="D131" s="31">
        <f>Settings!$B$3</f>
        <v/>
      </c>
      <c r="E131" s="31">
        <f>IF($C131="","",MIN($C131,$D131))</f>
        <v/>
      </c>
      <c r="F131" s="40">
        <f>IF($E131="","",$E131*Settings!$B$4)</f>
        <v/>
      </c>
    </row>
    <row r="132">
      <c r="A132" s="29" t="n"/>
      <c r="B132" s="31" t="n"/>
      <c r="C132" s="31">
        <f>IF(OR($A132="",$B132=""),"",SUMIFS(QuickLog!$L$2:$L$1000,QuickLog!$B$2:$B$1000,$B132,QuickLog!$Q$2:$Q$1000,$A132))</f>
        <v/>
      </c>
      <c r="D132" s="31">
        <f>Settings!$B$3</f>
        <v/>
      </c>
      <c r="E132" s="31">
        <f>IF($C132="","",MIN($C132,$D132))</f>
        <v/>
      </c>
      <c r="F132" s="40">
        <f>IF($E132="","",$E132*Settings!$B$4)</f>
        <v/>
      </c>
    </row>
    <row r="133">
      <c r="A133" s="29" t="n"/>
      <c r="B133" s="31" t="n"/>
      <c r="C133" s="31">
        <f>IF(OR($A133="",$B133=""),"",SUMIFS(QuickLog!$L$2:$L$1000,QuickLog!$B$2:$B$1000,$B133,QuickLog!$Q$2:$Q$1000,$A133))</f>
        <v/>
      </c>
      <c r="D133" s="31">
        <f>Settings!$B$3</f>
        <v/>
      </c>
      <c r="E133" s="31">
        <f>IF($C133="","",MIN($C133,$D133))</f>
        <v/>
      </c>
      <c r="F133" s="40">
        <f>IF($E133="","",$E133*Settings!$B$4)</f>
        <v/>
      </c>
    </row>
    <row r="134">
      <c r="A134" s="29" t="n"/>
      <c r="B134" s="31" t="n"/>
      <c r="C134" s="31">
        <f>IF(OR($A134="",$B134=""),"",SUMIFS(QuickLog!$L$2:$L$1000,QuickLog!$B$2:$B$1000,$B134,QuickLog!$Q$2:$Q$1000,$A134))</f>
        <v/>
      </c>
      <c r="D134" s="31">
        <f>Settings!$B$3</f>
        <v/>
      </c>
      <c r="E134" s="31">
        <f>IF($C134="","",MIN($C134,$D134))</f>
        <v/>
      </c>
      <c r="F134" s="40">
        <f>IF($E134="","",$E134*Settings!$B$4)</f>
        <v/>
      </c>
    </row>
    <row r="135">
      <c r="A135" s="29" t="n"/>
      <c r="B135" s="31" t="n"/>
      <c r="C135" s="31">
        <f>IF(OR($A135="",$B135=""),"",SUMIFS(QuickLog!$L$2:$L$1000,QuickLog!$B$2:$B$1000,$B135,QuickLog!$Q$2:$Q$1000,$A135))</f>
        <v/>
      </c>
      <c r="D135" s="31">
        <f>Settings!$B$3</f>
        <v/>
      </c>
      <c r="E135" s="31">
        <f>IF($C135="","",MIN($C135,$D135))</f>
        <v/>
      </c>
      <c r="F135" s="40">
        <f>IF($E135="","",$E135*Settings!$B$4)</f>
        <v/>
      </c>
    </row>
    <row r="136">
      <c r="A136" s="29" t="n"/>
      <c r="B136" s="31" t="n"/>
      <c r="C136" s="31">
        <f>IF(OR($A136="",$B136=""),"",SUMIFS(QuickLog!$L$2:$L$1000,QuickLog!$B$2:$B$1000,$B136,QuickLog!$Q$2:$Q$1000,$A136))</f>
        <v/>
      </c>
      <c r="D136" s="31">
        <f>Settings!$B$3</f>
        <v/>
      </c>
      <c r="E136" s="31">
        <f>IF($C136="","",MIN($C136,$D136))</f>
        <v/>
      </c>
      <c r="F136" s="40">
        <f>IF($E136="","",$E136*Settings!$B$4)</f>
        <v/>
      </c>
    </row>
    <row r="137">
      <c r="A137" s="29" t="n"/>
      <c r="B137" s="31" t="n"/>
      <c r="C137" s="31">
        <f>IF(OR($A137="",$B137=""),"",SUMIFS(QuickLog!$L$2:$L$1000,QuickLog!$B$2:$B$1000,$B137,QuickLog!$Q$2:$Q$1000,$A137))</f>
        <v/>
      </c>
      <c r="D137" s="31">
        <f>Settings!$B$3</f>
        <v/>
      </c>
      <c r="E137" s="31">
        <f>IF($C137="","",MIN($C137,$D137))</f>
        <v/>
      </c>
      <c r="F137" s="40">
        <f>IF($E137="","",$E137*Settings!$B$4)</f>
        <v/>
      </c>
    </row>
    <row r="138">
      <c r="A138" s="29" t="n"/>
      <c r="B138" s="31" t="n"/>
      <c r="C138" s="31">
        <f>IF(OR($A138="",$B138=""),"",SUMIFS(QuickLog!$L$2:$L$1000,QuickLog!$B$2:$B$1000,$B138,QuickLog!$Q$2:$Q$1000,$A138))</f>
        <v/>
      </c>
      <c r="D138" s="31">
        <f>Settings!$B$3</f>
        <v/>
      </c>
      <c r="E138" s="31">
        <f>IF($C138="","",MIN($C138,$D138))</f>
        <v/>
      </c>
      <c r="F138" s="40">
        <f>IF($E138="","",$E138*Settings!$B$4)</f>
        <v/>
      </c>
    </row>
    <row r="139">
      <c r="A139" s="29" t="n"/>
      <c r="B139" s="31" t="n"/>
      <c r="C139" s="31">
        <f>IF(OR($A139="",$B139=""),"",SUMIFS(QuickLog!$L$2:$L$1000,QuickLog!$B$2:$B$1000,$B139,QuickLog!$Q$2:$Q$1000,$A139))</f>
        <v/>
      </c>
      <c r="D139" s="31">
        <f>Settings!$B$3</f>
        <v/>
      </c>
      <c r="E139" s="31">
        <f>IF($C139="","",MIN($C139,$D139))</f>
        <v/>
      </c>
      <c r="F139" s="40">
        <f>IF($E139="","",$E139*Settings!$B$4)</f>
        <v/>
      </c>
    </row>
    <row r="140">
      <c r="A140" s="29" t="n"/>
      <c r="B140" s="31" t="n"/>
      <c r="C140" s="31">
        <f>IF(OR($A140="",$B140=""),"",SUMIFS(QuickLog!$L$2:$L$1000,QuickLog!$B$2:$B$1000,$B140,QuickLog!$Q$2:$Q$1000,$A140))</f>
        <v/>
      </c>
      <c r="D140" s="31">
        <f>Settings!$B$3</f>
        <v/>
      </c>
      <c r="E140" s="31">
        <f>IF($C140="","",MIN($C140,$D140))</f>
        <v/>
      </c>
      <c r="F140" s="40">
        <f>IF($E140="","",$E140*Settings!$B$4)</f>
        <v/>
      </c>
    </row>
    <row r="141">
      <c r="A141" s="29" t="n"/>
      <c r="B141" s="31" t="n"/>
      <c r="C141" s="31">
        <f>IF(OR($A141="",$B141=""),"",SUMIFS(QuickLog!$L$2:$L$1000,QuickLog!$B$2:$B$1000,$B141,QuickLog!$Q$2:$Q$1000,$A141))</f>
        <v/>
      </c>
      <c r="D141" s="31">
        <f>Settings!$B$3</f>
        <v/>
      </c>
      <c r="E141" s="31">
        <f>IF($C141="","",MIN($C141,$D141))</f>
        <v/>
      </c>
      <c r="F141" s="40">
        <f>IF($E141="","",$E141*Settings!$B$4)</f>
        <v/>
      </c>
    </row>
    <row r="142">
      <c r="A142" s="29" t="n"/>
      <c r="B142" s="31" t="n"/>
      <c r="C142" s="31">
        <f>IF(OR($A142="",$B142=""),"",SUMIFS(QuickLog!$L$2:$L$1000,QuickLog!$B$2:$B$1000,$B142,QuickLog!$Q$2:$Q$1000,$A142))</f>
        <v/>
      </c>
      <c r="D142" s="31">
        <f>Settings!$B$3</f>
        <v/>
      </c>
      <c r="E142" s="31">
        <f>IF($C142="","",MIN($C142,$D142))</f>
        <v/>
      </c>
      <c r="F142" s="40">
        <f>IF($E142="","",$E142*Settings!$B$4)</f>
        <v/>
      </c>
    </row>
    <row r="143">
      <c r="A143" s="29" t="n"/>
      <c r="B143" s="31" t="n"/>
      <c r="C143" s="31">
        <f>IF(OR($A143="",$B143=""),"",SUMIFS(QuickLog!$L$2:$L$1000,QuickLog!$B$2:$B$1000,$B143,QuickLog!$Q$2:$Q$1000,$A143))</f>
        <v/>
      </c>
      <c r="D143" s="31">
        <f>Settings!$B$3</f>
        <v/>
      </c>
      <c r="E143" s="31">
        <f>IF($C143="","",MIN($C143,$D143))</f>
        <v/>
      </c>
      <c r="F143" s="40">
        <f>IF($E143="","",$E143*Settings!$B$4)</f>
        <v/>
      </c>
    </row>
    <row r="144">
      <c r="A144" s="29" t="n"/>
      <c r="B144" s="31" t="n"/>
      <c r="C144" s="31">
        <f>IF(OR($A144="",$B144=""),"",SUMIFS(QuickLog!$L$2:$L$1000,QuickLog!$B$2:$B$1000,$B144,QuickLog!$Q$2:$Q$1000,$A144))</f>
        <v/>
      </c>
      <c r="D144" s="31">
        <f>Settings!$B$3</f>
        <v/>
      </c>
      <c r="E144" s="31">
        <f>IF($C144="","",MIN($C144,$D144))</f>
        <v/>
      </c>
      <c r="F144" s="40">
        <f>IF($E144="","",$E144*Settings!$B$4)</f>
        <v/>
      </c>
    </row>
    <row r="145">
      <c r="A145" s="29" t="n"/>
      <c r="B145" s="31" t="n"/>
      <c r="C145" s="31">
        <f>IF(OR($A145="",$B145=""),"",SUMIFS(QuickLog!$L$2:$L$1000,QuickLog!$B$2:$B$1000,$B145,QuickLog!$Q$2:$Q$1000,$A145))</f>
        <v/>
      </c>
      <c r="D145" s="31">
        <f>Settings!$B$3</f>
        <v/>
      </c>
      <c r="E145" s="31">
        <f>IF($C145="","",MIN($C145,$D145))</f>
        <v/>
      </c>
      <c r="F145" s="40">
        <f>IF($E145="","",$E145*Settings!$B$4)</f>
        <v/>
      </c>
    </row>
    <row r="146">
      <c r="A146" s="29" t="n"/>
      <c r="B146" s="31" t="n"/>
      <c r="C146" s="31">
        <f>IF(OR($A146="",$B146=""),"",SUMIFS(QuickLog!$L$2:$L$1000,QuickLog!$B$2:$B$1000,$B146,QuickLog!$Q$2:$Q$1000,$A146))</f>
        <v/>
      </c>
      <c r="D146" s="31">
        <f>Settings!$B$3</f>
        <v/>
      </c>
      <c r="E146" s="31">
        <f>IF($C146="","",MIN($C146,$D146))</f>
        <v/>
      </c>
      <c r="F146" s="40">
        <f>IF($E146="","",$E146*Settings!$B$4)</f>
        <v/>
      </c>
    </row>
    <row r="147">
      <c r="A147" s="29" t="n"/>
      <c r="B147" s="31" t="n"/>
      <c r="C147" s="31">
        <f>IF(OR($A147="",$B147=""),"",SUMIFS(QuickLog!$L$2:$L$1000,QuickLog!$B$2:$B$1000,$B147,QuickLog!$Q$2:$Q$1000,$A147))</f>
        <v/>
      </c>
      <c r="D147" s="31">
        <f>Settings!$B$3</f>
        <v/>
      </c>
      <c r="E147" s="31">
        <f>IF($C147="","",MIN($C147,$D147))</f>
        <v/>
      </c>
      <c r="F147" s="40">
        <f>IF($E147="","",$E147*Settings!$B$4)</f>
        <v/>
      </c>
    </row>
    <row r="148">
      <c r="A148" s="29" t="n"/>
      <c r="B148" s="31" t="n"/>
      <c r="C148" s="31">
        <f>IF(OR($A148="",$B148=""),"",SUMIFS(QuickLog!$L$2:$L$1000,QuickLog!$B$2:$B$1000,$B148,QuickLog!$Q$2:$Q$1000,$A148))</f>
        <v/>
      </c>
      <c r="D148" s="31">
        <f>Settings!$B$3</f>
        <v/>
      </c>
      <c r="E148" s="31">
        <f>IF($C148="","",MIN($C148,$D148))</f>
        <v/>
      </c>
      <c r="F148" s="40">
        <f>IF($E148="","",$E148*Settings!$B$4)</f>
        <v/>
      </c>
    </row>
    <row r="149">
      <c r="A149" s="29" t="n"/>
      <c r="B149" s="31" t="n"/>
      <c r="C149" s="31">
        <f>IF(OR($A149="",$B149=""),"",SUMIFS(QuickLog!$L$2:$L$1000,QuickLog!$B$2:$B$1000,$B149,QuickLog!$Q$2:$Q$1000,$A149))</f>
        <v/>
      </c>
      <c r="D149" s="31">
        <f>Settings!$B$3</f>
        <v/>
      </c>
      <c r="E149" s="31">
        <f>IF($C149="","",MIN($C149,$D149))</f>
        <v/>
      </c>
      <c r="F149" s="40">
        <f>IF($E149="","",$E149*Settings!$B$4)</f>
        <v/>
      </c>
    </row>
    <row r="150">
      <c r="A150" s="29" t="n"/>
      <c r="B150" s="31" t="n"/>
      <c r="C150" s="31">
        <f>IF(OR($A150="",$B150=""),"",SUMIFS(QuickLog!$L$2:$L$1000,QuickLog!$B$2:$B$1000,$B150,QuickLog!$Q$2:$Q$1000,$A150))</f>
        <v/>
      </c>
      <c r="D150" s="31">
        <f>Settings!$B$3</f>
        <v/>
      </c>
      <c r="E150" s="31">
        <f>IF($C150="","",MIN($C150,$D150))</f>
        <v/>
      </c>
      <c r="F150" s="40">
        <f>IF($E150="","",$E150*Settings!$B$4)</f>
        <v/>
      </c>
    </row>
    <row r="151">
      <c r="A151" s="29" t="n"/>
      <c r="B151" s="31" t="n"/>
      <c r="C151" s="31">
        <f>IF(OR($A151="",$B151=""),"",SUMIFS(QuickLog!$L$2:$L$1000,QuickLog!$B$2:$B$1000,$B151,QuickLog!$Q$2:$Q$1000,$A151))</f>
        <v/>
      </c>
      <c r="D151" s="31">
        <f>Settings!$B$3</f>
        <v/>
      </c>
      <c r="E151" s="31">
        <f>IF($C151="","",MIN($C151,$D151))</f>
        <v/>
      </c>
      <c r="F151" s="40">
        <f>IF($E151="","",$E151*Settings!$B$4)</f>
        <v/>
      </c>
    </row>
    <row r="152">
      <c r="A152" s="29" t="n"/>
      <c r="B152" s="31" t="n"/>
      <c r="C152" s="31">
        <f>IF(OR($A152="",$B152=""),"",SUMIFS(QuickLog!$L$2:$L$1000,QuickLog!$B$2:$B$1000,$B152,QuickLog!$Q$2:$Q$1000,$A152))</f>
        <v/>
      </c>
      <c r="D152" s="31">
        <f>Settings!$B$3</f>
        <v/>
      </c>
      <c r="E152" s="31">
        <f>IF($C152="","",MIN($C152,$D152))</f>
        <v/>
      </c>
      <c r="F152" s="40">
        <f>IF($E152="","",$E152*Settings!$B$4)</f>
        <v/>
      </c>
    </row>
    <row r="153">
      <c r="A153" s="29" t="n"/>
      <c r="B153" s="31" t="n"/>
      <c r="C153" s="31">
        <f>IF(OR($A153="",$B153=""),"",SUMIFS(QuickLog!$L$2:$L$1000,QuickLog!$B$2:$B$1000,$B153,QuickLog!$Q$2:$Q$1000,$A153))</f>
        <v/>
      </c>
      <c r="D153" s="31">
        <f>Settings!$B$3</f>
        <v/>
      </c>
      <c r="E153" s="31">
        <f>IF($C153="","",MIN($C153,$D153))</f>
        <v/>
      </c>
      <c r="F153" s="40">
        <f>IF($E153="","",$E153*Settings!$B$4)</f>
        <v/>
      </c>
    </row>
    <row r="154">
      <c r="A154" s="29" t="n"/>
      <c r="B154" s="31" t="n"/>
      <c r="C154" s="31">
        <f>IF(OR($A154="",$B154=""),"",SUMIFS(QuickLog!$L$2:$L$1000,QuickLog!$B$2:$B$1000,$B154,QuickLog!$Q$2:$Q$1000,$A154))</f>
        <v/>
      </c>
      <c r="D154" s="31">
        <f>Settings!$B$3</f>
        <v/>
      </c>
      <c r="E154" s="31">
        <f>IF($C154="","",MIN($C154,$D154))</f>
        <v/>
      </c>
      <c r="F154" s="40">
        <f>IF($E154="","",$E154*Settings!$B$4)</f>
        <v/>
      </c>
    </row>
    <row r="155">
      <c r="A155" s="29" t="n"/>
      <c r="B155" s="31" t="n"/>
      <c r="C155" s="31">
        <f>IF(OR($A155="",$B155=""),"",SUMIFS(QuickLog!$L$2:$L$1000,QuickLog!$B$2:$B$1000,$B155,QuickLog!$Q$2:$Q$1000,$A155))</f>
        <v/>
      </c>
      <c r="D155" s="31">
        <f>Settings!$B$3</f>
        <v/>
      </c>
      <c r="E155" s="31">
        <f>IF($C155="","",MIN($C155,$D155))</f>
        <v/>
      </c>
      <c r="F155" s="40">
        <f>IF($E155="","",$E155*Settings!$B$4)</f>
        <v/>
      </c>
    </row>
    <row r="156">
      <c r="A156" s="29" t="n"/>
      <c r="B156" s="31" t="n"/>
      <c r="C156" s="31">
        <f>IF(OR($A156="",$B156=""),"",SUMIFS(QuickLog!$L$2:$L$1000,QuickLog!$B$2:$B$1000,$B156,QuickLog!$Q$2:$Q$1000,$A156))</f>
        <v/>
      </c>
      <c r="D156" s="31">
        <f>Settings!$B$3</f>
        <v/>
      </c>
      <c r="E156" s="31">
        <f>IF($C156="","",MIN($C156,$D156))</f>
        <v/>
      </c>
      <c r="F156" s="40">
        <f>IF($E156="","",$E156*Settings!$B$4)</f>
        <v/>
      </c>
    </row>
    <row r="157">
      <c r="A157" s="29" t="n"/>
      <c r="B157" s="31" t="n"/>
      <c r="C157" s="31">
        <f>IF(OR($A157="",$B157=""),"",SUMIFS(QuickLog!$L$2:$L$1000,QuickLog!$B$2:$B$1000,$B157,QuickLog!$Q$2:$Q$1000,$A157))</f>
        <v/>
      </c>
      <c r="D157" s="31">
        <f>Settings!$B$3</f>
        <v/>
      </c>
      <c r="E157" s="31">
        <f>IF($C157="","",MIN($C157,$D157))</f>
        <v/>
      </c>
      <c r="F157" s="40">
        <f>IF($E157="","",$E157*Settings!$B$4)</f>
        <v/>
      </c>
    </row>
    <row r="158">
      <c r="A158" s="29" t="n"/>
      <c r="B158" s="31" t="n"/>
      <c r="C158" s="31">
        <f>IF(OR($A158="",$B158=""),"",SUMIFS(QuickLog!$L$2:$L$1000,QuickLog!$B$2:$B$1000,$B158,QuickLog!$Q$2:$Q$1000,$A158))</f>
        <v/>
      </c>
      <c r="D158" s="31">
        <f>Settings!$B$3</f>
        <v/>
      </c>
      <c r="E158" s="31">
        <f>IF($C158="","",MIN($C158,$D158))</f>
        <v/>
      </c>
      <c r="F158" s="40">
        <f>IF($E158="","",$E158*Settings!$B$4)</f>
        <v/>
      </c>
    </row>
    <row r="159">
      <c r="A159" s="29" t="n"/>
      <c r="B159" s="31" t="n"/>
      <c r="C159" s="31">
        <f>IF(OR($A159="",$B159=""),"",SUMIFS(QuickLog!$L$2:$L$1000,QuickLog!$B$2:$B$1000,$B159,QuickLog!$Q$2:$Q$1000,$A159))</f>
        <v/>
      </c>
      <c r="D159" s="31">
        <f>Settings!$B$3</f>
        <v/>
      </c>
      <c r="E159" s="31">
        <f>IF($C159="","",MIN($C159,$D159))</f>
        <v/>
      </c>
      <c r="F159" s="40">
        <f>IF($E159="","",$E159*Settings!$B$4)</f>
        <v/>
      </c>
    </row>
    <row r="160">
      <c r="A160" s="29" t="n"/>
      <c r="B160" s="31" t="n"/>
      <c r="C160" s="31">
        <f>IF(OR($A160="",$B160=""),"",SUMIFS(QuickLog!$L$2:$L$1000,QuickLog!$B$2:$B$1000,$B160,QuickLog!$Q$2:$Q$1000,$A160))</f>
        <v/>
      </c>
      <c r="D160" s="31">
        <f>Settings!$B$3</f>
        <v/>
      </c>
      <c r="E160" s="31">
        <f>IF($C160="","",MIN($C160,$D160))</f>
        <v/>
      </c>
      <c r="F160" s="40">
        <f>IF($E160="","",$E160*Settings!$B$4)</f>
        <v/>
      </c>
    </row>
    <row r="161">
      <c r="A161" s="29" t="n"/>
      <c r="B161" s="31" t="n"/>
      <c r="C161" s="31">
        <f>IF(OR($A161="",$B161=""),"",SUMIFS(QuickLog!$L$2:$L$1000,QuickLog!$B$2:$B$1000,$B161,QuickLog!$Q$2:$Q$1000,$A161))</f>
        <v/>
      </c>
      <c r="D161" s="31">
        <f>Settings!$B$3</f>
        <v/>
      </c>
      <c r="E161" s="31">
        <f>IF($C161="","",MIN($C161,$D161))</f>
        <v/>
      </c>
      <c r="F161" s="40">
        <f>IF($E161="","",$E161*Settings!$B$4)</f>
        <v/>
      </c>
    </row>
    <row r="162">
      <c r="A162" s="29" t="n"/>
      <c r="B162" s="31" t="n"/>
      <c r="C162" s="31">
        <f>IF(OR($A162="",$B162=""),"",SUMIFS(QuickLog!$L$2:$L$1000,QuickLog!$B$2:$B$1000,$B162,QuickLog!$Q$2:$Q$1000,$A162))</f>
        <v/>
      </c>
      <c r="D162" s="31">
        <f>Settings!$B$3</f>
        <v/>
      </c>
      <c r="E162" s="31">
        <f>IF($C162="","",MIN($C162,$D162))</f>
        <v/>
      </c>
      <c r="F162" s="40">
        <f>IF($E162="","",$E162*Settings!$B$4)</f>
        <v/>
      </c>
    </row>
    <row r="163">
      <c r="A163" s="29" t="n"/>
      <c r="B163" s="31" t="n"/>
      <c r="C163" s="31">
        <f>IF(OR($A163="",$B163=""),"",SUMIFS(QuickLog!$L$2:$L$1000,QuickLog!$B$2:$B$1000,$B163,QuickLog!$Q$2:$Q$1000,$A163))</f>
        <v/>
      </c>
      <c r="D163" s="31">
        <f>Settings!$B$3</f>
        <v/>
      </c>
      <c r="E163" s="31">
        <f>IF($C163="","",MIN($C163,$D163))</f>
        <v/>
      </c>
      <c r="F163" s="40">
        <f>IF($E163="","",$E163*Settings!$B$4)</f>
        <v/>
      </c>
    </row>
    <row r="164">
      <c r="A164" s="29" t="n"/>
      <c r="B164" s="31" t="n"/>
      <c r="C164" s="31">
        <f>IF(OR($A164="",$B164=""),"",SUMIFS(QuickLog!$L$2:$L$1000,QuickLog!$B$2:$B$1000,$B164,QuickLog!$Q$2:$Q$1000,$A164))</f>
        <v/>
      </c>
      <c r="D164" s="31">
        <f>Settings!$B$3</f>
        <v/>
      </c>
      <c r="E164" s="31">
        <f>IF($C164="","",MIN($C164,$D164))</f>
        <v/>
      </c>
      <c r="F164" s="40">
        <f>IF($E164="","",$E164*Settings!$B$4)</f>
        <v/>
      </c>
    </row>
    <row r="165">
      <c r="A165" s="29" t="n"/>
      <c r="B165" s="31" t="n"/>
      <c r="C165" s="31">
        <f>IF(OR($A165="",$B165=""),"",SUMIFS(QuickLog!$L$2:$L$1000,QuickLog!$B$2:$B$1000,$B165,QuickLog!$Q$2:$Q$1000,$A165))</f>
        <v/>
      </c>
      <c r="D165" s="31">
        <f>Settings!$B$3</f>
        <v/>
      </c>
      <c r="E165" s="31">
        <f>IF($C165="","",MIN($C165,$D165))</f>
        <v/>
      </c>
      <c r="F165" s="40">
        <f>IF($E165="","",$E165*Settings!$B$4)</f>
        <v/>
      </c>
    </row>
    <row r="166">
      <c r="A166" s="29" t="n"/>
      <c r="B166" s="31" t="n"/>
      <c r="C166" s="31">
        <f>IF(OR($A166="",$B166=""),"",SUMIFS(QuickLog!$L$2:$L$1000,QuickLog!$B$2:$B$1000,$B166,QuickLog!$Q$2:$Q$1000,$A166))</f>
        <v/>
      </c>
      <c r="D166" s="31">
        <f>Settings!$B$3</f>
        <v/>
      </c>
      <c r="E166" s="31">
        <f>IF($C166="","",MIN($C166,$D166))</f>
        <v/>
      </c>
      <c r="F166" s="40">
        <f>IF($E166="","",$E166*Settings!$B$4)</f>
        <v/>
      </c>
    </row>
    <row r="167">
      <c r="A167" s="29" t="n"/>
      <c r="B167" s="31" t="n"/>
      <c r="C167" s="31">
        <f>IF(OR($A167="",$B167=""),"",SUMIFS(QuickLog!$L$2:$L$1000,QuickLog!$B$2:$B$1000,$B167,QuickLog!$Q$2:$Q$1000,$A167))</f>
        <v/>
      </c>
      <c r="D167" s="31">
        <f>Settings!$B$3</f>
        <v/>
      </c>
      <c r="E167" s="31">
        <f>IF($C167="","",MIN($C167,$D167))</f>
        <v/>
      </c>
      <c r="F167" s="40">
        <f>IF($E167="","",$E167*Settings!$B$4)</f>
        <v/>
      </c>
    </row>
    <row r="168">
      <c r="A168" s="29" t="n"/>
      <c r="B168" s="31" t="n"/>
      <c r="C168" s="31">
        <f>IF(OR($A168="",$B168=""),"",SUMIFS(QuickLog!$L$2:$L$1000,QuickLog!$B$2:$B$1000,$B168,QuickLog!$Q$2:$Q$1000,$A168))</f>
        <v/>
      </c>
      <c r="D168" s="31">
        <f>Settings!$B$3</f>
        <v/>
      </c>
      <c r="E168" s="31">
        <f>IF($C168="","",MIN($C168,$D168))</f>
        <v/>
      </c>
      <c r="F168" s="40">
        <f>IF($E168="","",$E168*Settings!$B$4)</f>
        <v/>
      </c>
    </row>
    <row r="169">
      <c r="A169" s="29" t="n"/>
      <c r="B169" s="31" t="n"/>
      <c r="C169" s="31">
        <f>IF(OR($A169="",$B169=""),"",SUMIFS(QuickLog!$L$2:$L$1000,QuickLog!$B$2:$B$1000,$B169,QuickLog!$Q$2:$Q$1000,$A169))</f>
        <v/>
      </c>
      <c r="D169" s="31">
        <f>Settings!$B$3</f>
        <v/>
      </c>
      <c r="E169" s="31">
        <f>IF($C169="","",MIN($C169,$D169))</f>
        <v/>
      </c>
      <c r="F169" s="40">
        <f>IF($E169="","",$E169*Settings!$B$4)</f>
        <v/>
      </c>
    </row>
    <row r="170">
      <c r="A170" s="29" t="n"/>
      <c r="B170" s="31" t="n"/>
      <c r="C170" s="31">
        <f>IF(OR($A170="",$B170=""),"",SUMIFS(QuickLog!$L$2:$L$1000,QuickLog!$B$2:$B$1000,$B170,QuickLog!$Q$2:$Q$1000,$A170))</f>
        <v/>
      </c>
      <c r="D170" s="31">
        <f>Settings!$B$3</f>
        <v/>
      </c>
      <c r="E170" s="31">
        <f>IF($C170="","",MIN($C170,$D170))</f>
        <v/>
      </c>
      <c r="F170" s="40">
        <f>IF($E170="","",$E170*Settings!$B$4)</f>
        <v/>
      </c>
    </row>
    <row r="171">
      <c r="A171" s="29" t="n"/>
      <c r="B171" s="31" t="n"/>
      <c r="C171" s="31">
        <f>IF(OR($A171="",$B171=""),"",SUMIFS(QuickLog!$L$2:$L$1000,QuickLog!$B$2:$B$1000,$B171,QuickLog!$Q$2:$Q$1000,$A171))</f>
        <v/>
      </c>
      <c r="D171" s="31">
        <f>Settings!$B$3</f>
        <v/>
      </c>
      <c r="E171" s="31">
        <f>IF($C171="","",MIN($C171,$D171))</f>
        <v/>
      </c>
      <c r="F171" s="40">
        <f>IF($E171="","",$E171*Settings!$B$4)</f>
        <v/>
      </c>
    </row>
    <row r="172">
      <c r="A172" s="29" t="n"/>
      <c r="B172" s="31" t="n"/>
      <c r="C172" s="31">
        <f>IF(OR($A172="",$B172=""),"",SUMIFS(QuickLog!$L$2:$L$1000,QuickLog!$B$2:$B$1000,$B172,QuickLog!$Q$2:$Q$1000,$A172))</f>
        <v/>
      </c>
      <c r="D172" s="31">
        <f>Settings!$B$3</f>
        <v/>
      </c>
      <c r="E172" s="31">
        <f>IF($C172="","",MIN($C172,$D172))</f>
        <v/>
      </c>
      <c r="F172" s="40">
        <f>IF($E172="","",$E172*Settings!$B$4)</f>
        <v/>
      </c>
    </row>
    <row r="173">
      <c r="A173" s="29" t="n"/>
      <c r="B173" s="31" t="n"/>
      <c r="C173" s="31">
        <f>IF(OR($A173="",$B173=""),"",SUMIFS(QuickLog!$L$2:$L$1000,QuickLog!$B$2:$B$1000,$B173,QuickLog!$Q$2:$Q$1000,$A173))</f>
        <v/>
      </c>
      <c r="D173" s="31">
        <f>Settings!$B$3</f>
        <v/>
      </c>
      <c r="E173" s="31">
        <f>IF($C173="","",MIN($C173,$D173))</f>
        <v/>
      </c>
      <c r="F173" s="40">
        <f>IF($E173="","",$E173*Settings!$B$4)</f>
        <v/>
      </c>
    </row>
    <row r="174">
      <c r="A174" s="29" t="n"/>
      <c r="B174" s="31" t="n"/>
      <c r="C174" s="31">
        <f>IF(OR($A174="",$B174=""),"",SUMIFS(QuickLog!$L$2:$L$1000,QuickLog!$B$2:$B$1000,$B174,QuickLog!$Q$2:$Q$1000,$A174))</f>
        <v/>
      </c>
      <c r="D174" s="31">
        <f>Settings!$B$3</f>
        <v/>
      </c>
      <c r="E174" s="31">
        <f>IF($C174="","",MIN($C174,$D174))</f>
        <v/>
      </c>
      <c r="F174" s="40">
        <f>IF($E174="","",$E174*Settings!$B$4)</f>
        <v/>
      </c>
    </row>
    <row r="175">
      <c r="A175" s="29" t="n"/>
      <c r="B175" s="31" t="n"/>
      <c r="C175" s="31">
        <f>IF(OR($A175="",$B175=""),"",SUMIFS(QuickLog!$L$2:$L$1000,QuickLog!$B$2:$B$1000,$B175,QuickLog!$Q$2:$Q$1000,$A175))</f>
        <v/>
      </c>
      <c r="D175" s="31">
        <f>Settings!$B$3</f>
        <v/>
      </c>
      <c r="E175" s="31">
        <f>IF($C175="","",MIN($C175,$D175))</f>
        <v/>
      </c>
      <c r="F175" s="40">
        <f>IF($E175="","",$E175*Settings!$B$4)</f>
        <v/>
      </c>
    </row>
    <row r="176">
      <c r="A176" s="29" t="n"/>
      <c r="B176" s="31" t="n"/>
      <c r="C176" s="31">
        <f>IF(OR($A176="",$B176=""),"",SUMIFS(QuickLog!$L$2:$L$1000,QuickLog!$B$2:$B$1000,$B176,QuickLog!$Q$2:$Q$1000,$A176))</f>
        <v/>
      </c>
      <c r="D176" s="31">
        <f>Settings!$B$3</f>
        <v/>
      </c>
      <c r="E176" s="31">
        <f>IF($C176="","",MIN($C176,$D176))</f>
        <v/>
      </c>
      <c r="F176" s="40">
        <f>IF($E176="","",$E176*Settings!$B$4)</f>
        <v/>
      </c>
    </row>
    <row r="177">
      <c r="A177" s="29" t="n"/>
      <c r="B177" s="31" t="n"/>
      <c r="C177" s="31">
        <f>IF(OR($A177="",$B177=""),"",SUMIFS(QuickLog!$L$2:$L$1000,QuickLog!$B$2:$B$1000,$B177,QuickLog!$Q$2:$Q$1000,$A177))</f>
        <v/>
      </c>
      <c r="D177" s="31">
        <f>Settings!$B$3</f>
        <v/>
      </c>
      <c r="E177" s="31">
        <f>IF($C177="","",MIN($C177,$D177))</f>
        <v/>
      </c>
      <c r="F177" s="40">
        <f>IF($E177="","",$E177*Settings!$B$4)</f>
        <v/>
      </c>
    </row>
    <row r="178">
      <c r="A178" s="29" t="n"/>
      <c r="B178" s="31" t="n"/>
      <c r="C178" s="31">
        <f>IF(OR($A178="",$B178=""),"",SUMIFS(QuickLog!$L$2:$L$1000,QuickLog!$B$2:$B$1000,$B178,QuickLog!$Q$2:$Q$1000,$A178))</f>
        <v/>
      </c>
      <c r="D178" s="31">
        <f>Settings!$B$3</f>
        <v/>
      </c>
      <c r="E178" s="31">
        <f>IF($C178="","",MIN($C178,$D178))</f>
        <v/>
      </c>
      <c r="F178" s="40">
        <f>IF($E178="","",$E178*Settings!$B$4)</f>
        <v/>
      </c>
    </row>
    <row r="179">
      <c r="A179" s="29" t="n"/>
      <c r="B179" s="31" t="n"/>
      <c r="C179" s="31">
        <f>IF(OR($A179="",$B179=""),"",SUMIFS(QuickLog!$L$2:$L$1000,QuickLog!$B$2:$B$1000,$B179,QuickLog!$Q$2:$Q$1000,$A179))</f>
        <v/>
      </c>
      <c r="D179" s="31">
        <f>Settings!$B$3</f>
        <v/>
      </c>
      <c r="E179" s="31">
        <f>IF($C179="","",MIN($C179,$D179))</f>
        <v/>
      </c>
      <c r="F179" s="40">
        <f>IF($E179="","",$E179*Settings!$B$4)</f>
        <v/>
      </c>
    </row>
    <row r="180">
      <c r="A180" s="29" t="n"/>
      <c r="B180" s="31" t="n"/>
      <c r="C180" s="31">
        <f>IF(OR($A180="",$B180=""),"",SUMIFS(QuickLog!$L$2:$L$1000,QuickLog!$B$2:$B$1000,$B180,QuickLog!$Q$2:$Q$1000,$A180))</f>
        <v/>
      </c>
      <c r="D180" s="31">
        <f>Settings!$B$3</f>
        <v/>
      </c>
      <c r="E180" s="31">
        <f>IF($C180="","",MIN($C180,$D180))</f>
        <v/>
      </c>
      <c r="F180" s="40">
        <f>IF($E180="","",$E180*Settings!$B$4)</f>
        <v/>
      </c>
    </row>
    <row r="181">
      <c r="A181" s="29" t="n"/>
      <c r="B181" s="31" t="n"/>
      <c r="C181" s="31">
        <f>IF(OR($A181="",$B181=""),"",SUMIFS(QuickLog!$L$2:$L$1000,QuickLog!$B$2:$B$1000,$B181,QuickLog!$Q$2:$Q$1000,$A181))</f>
        <v/>
      </c>
      <c r="D181" s="31">
        <f>Settings!$B$3</f>
        <v/>
      </c>
      <c r="E181" s="31">
        <f>IF($C181="","",MIN($C181,$D181))</f>
        <v/>
      </c>
      <c r="F181" s="40">
        <f>IF($E181="","",$E181*Settings!$B$4)</f>
        <v/>
      </c>
    </row>
    <row r="182">
      <c r="A182" s="29" t="n"/>
      <c r="B182" s="31" t="n"/>
      <c r="C182" s="31">
        <f>IF(OR($A182="",$B182=""),"",SUMIFS(QuickLog!$L$2:$L$1000,QuickLog!$B$2:$B$1000,$B182,QuickLog!$Q$2:$Q$1000,$A182))</f>
        <v/>
      </c>
      <c r="D182" s="31">
        <f>Settings!$B$3</f>
        <v/>
      </c>
      <c r="E182" s="31">
        <f>IF($C182="","",MIN($C182,$D182))</f>
        <v/>
      </c>
      <c r="F182" s="40">
        <f>IF($E182="","",$E182*Settings!$B$4)</f>
        <v/>
      </c>
    </row>
    <row r="183">
      <c r="A183" s="29" t="n"/>
      <c r="B183" s="31" t="n"/>
      <c r="C183" s="31">
        <f>IF(OR($A183="",$B183=""),"",SUMIFS(QuickLog!$L$2:$L$1000,QuickLog!$B$2:$B$1000,$B183,QuickLog!$Q$2:$Q$1000,$A183))</f>
        <v/>
      </c>
      <c r="D183" s="31">
        <f>Settings!$B$3</f>
        <v/>
      </c>
      <c r="E183" s="31">
        <f>IF($C183="","",MIN($C183,$D183))</f>
        <v/>
      </c>
      <c r="F183" s="40">
        <f>IF($E183="","",$E183*Settings!$B$4)</f>
        <v/>
      </c>
    </row>
    <row r="184">
      <c r="A184" s="29" t="n"/>
      <c r="B184" s="31" t="n"/>
      <c r="C184" s="31">
        <f>IF(OR($A184="",$B184=""),"",SUMIFS(QuickLog!$L$2:$L$1000,QuickLog!$B$2:$B$1000,$B184,QuickLog!$Q$2:$Q$1000,$A184))</f>
        <v/>
      </c>
      <c r="D184" s="31">
        <f>Settings!$B$3</f>
        <v/>
      </c>
      <c r="E184" s="31">
        <f>IF($C184="","",MIN($C184,$D184))</f>
        <v/>
      </c>
      <c r="F184" s="40">
        <f>IF($E184="","",$E184*Settings!$B$4)</f>
        <v/>
      </c>
    </row>
    <row r="185">
      <c r="A185" s="29" t="n"/>
      <c r="B185" s="31" t="n"/>
      <c r="C185" s="31">
        <f>IF(OR($A185="",$B185=""),"",SUMIFS(QuickLog!$L$2:$L$1000,QuickLog!$B$2:$B$1000,$B185,QuickLog!$Q$2:$Q$1000,$A185))</f>
        <v/>
      </c>
      <c r="D185" s="31">
        <f>Settings!$B$3</f>
        <v/>
      </c>
      <c r="E185" s="31">
        <f>IF($C185="","",MIN($C185,$D185))</f>
        <v/>
      </c>
      <c r="F185" s="40">
        <f>IF($E185="","",$E185*Settings!$B$4)</f>
        <v/>
      </c>
    </row>
    <row r="186">
      <c r="A186" s="29" t="n"/>
      <c r="B186" s="31" t="n"/>
      <c r="C186" s="31">
        <f>IF(OR($A186="",$B186=""),"",SUMIFS(QuickLog!$L$2:$L$1000,QuickLog!$B$2:$B$1000,$B186,QuickLog!$Q$2:$Q$1000,$A186))</f>
        <v/>
      </c>
      <c r="D186" s="31">
        <f>Settings!$B$3</f>
        <v/>
      </c>
      <c r="E186" s="31">
        <f>IF($C186="","",MIN($C186,$D186))</f>
        <v/>
      </c>
      <c r="F186" s="40">
        <f>IF($E186="","",$E186*Settings!$B$4)</f>
        <v/>
      </c>
    </row>
    <row r="187">
      <c r="A187" s="29" t="n"/>
      <c r="B187" s="31" t="n"/>
      <c r="C187" s="31">
        <f>IF(OR($A187="",$B187=""),"",SUMIFS(QuickLog!$L$2:$L$1000,QuickLog!$B$2:$B$1000,$B187,QuickLog!$Q$2:$Q$1000,$A187))</f>
        <v/>
      </c>
      <c r="D187" s="31">
        <f>Settings!$B$3</f>
        <v/>
      </c>
      <c r="E187" s="31">
        <f>IF($C187="","",MIN($C187,$D187))</f>
        <v/>
      </c>
      <c r="F187" s="40">
        <f>IF($E187="","",$E187*Settings!$B$4)</f>
        <v/>
      </c>
    </row>
    <row r="188">
      <c r="A188" s="29" t="n"/>
      <c r="B188" s="31" t="n"/>
      <c r="C188" s="31">
        <f>IF(OR($A188="",$B188=""),"",SUMIFS(QuickLog!$L$2:$L$1000,QuickLog!$B$2:$B$1000,$B188,QuickLog!$Q$2:$Q$1000,$A188))</f>
        <v/>
      </c>
      <c r="D188" s="31">
        <f>Settings!$B$3</f>
        <v/>
      </c>
      <c r="E188" s="31">
        <f>IF($C188="","",MIN($C188,$D188))</f>
        <v/>
      </c>
      <c r="F188" s="40">
        <f>IF($E188="","",$E188*Settings!$B$4)</f>
        <v/>
      </c>
    </row>
    <row r="189">
      <c r="A189" s="29" t="n"/>
      <c r="B189" s="31" t="n"/>
      <c r="C189" s="31">
        <f>IF(OR($A189="",$B189=""),"",SUMIFS(QuickLog!$L$2:$L$1000,QuickLog!$B$2:$B$1000,$B189,QuickLog!$Q$2:$Q$1000,$A189))</f>
        <v/>
      </c>
      <c r="D189" s="31">
        <f>Settings!$B$3</f>
        <v/>
      </c>
      <c r="E189" s="31">
        <f>IF($C189="","",MIN($C189,$D189))</f>
        <v/>
      </c>
      <c r="F189" s="40">
        <f>IF($E189="","",$E189*Settings!$B$4)</f>
        <v/>
      </c>
    </row>
    <row r="190">
      <c r="A190" s="29" t="n"/>
      <c r="B190" s="31" t="n"/>
      <c r="C190" s="31">
        <f>IF(OR($A190="",$B190=""),"",SUMIFS(QuickLog!$L$2:$L$1000,QuickLog!$B$2:$B$1000,$B190,QuickLog!$Q$2:$Q$1000,$A190))</f>
        <v/>
      </c>
      <c r="D190" s="31">
        <f>Settings!$B$3</f>
        <v/>
      </c>
      <c r="E190" s="31">
        <f>IF($C190="","",MIN($C190,$D190))</f>
        <v/>
      </c>
      <c r="F190" s="40">
        <f>IF($E190="","",$E190*Settings!$B$4)</f>
        <v/>
      </c>
    </row>
    <row r="191">
      <c r="A191" s="29" t="n"/>
      <c r="B191" s="31" t="n"/>
      <c r="C191" s="31">
        <f>IF(OR($A191="",$B191=""),"",SUMIFS(QuickLog!$L$2:$L$1000,QuickLog!$B$2:$B$1000,$B191,QuickLog!$Q$2:$Q$1000,$A191))</f>
        <v/>
      </c>
      <c r="D191" s="31">
        <f>Settings!$B$3</f>
        <v/>
      </c>
      <c r="E191" s="31">
        <f>IF($C191="","",MIN($C191,$D191))</f>
        <v/>
      </c>
      <c r="F191" s="40">
        <f>IF($E191="","",$E191*Settings!$B$4)</f>
        <v/>
      </c>
    </row>
    <row r="192">
      <c r="A192" s="29" t="n"/>
      <c r="B192" s="31" t="n"/>
      <c r="C192" s="31">
        <f>IF(OR($A192="",$B192=""),"",SUMIFS(QuickLog!$L$2:$L$1000,QuickLog!$B$2:$B$1000,$B192,QuickLog!$Q$2:$Q$1000,$A192))</f>
        <v/>
      </c>
      <c r="D192" s="31">
        <f>Settings!$B$3</f>
        <v/>
      </c>
      <c r="E192" s="31">
        <f>IF($C192="","",MIN($C192,$D192))</f>
        <v/>
      </c>
      <c r="F192" s="40">
        <f>IF($E192="","",$E192*Settings!$B$4)</f>
        <v/>
      </c>
    </row>
    <row r="193">
      <c r="A193" s="29" t="n"/>
      <c r="B193" s="31" t="n"/>
      <c r="C193" s="31">
        <f>IF(OR($A193="",$B193=""),"",SUMIFS(QuickLog!$L$2:$L$1000,QuickLog!$B$2:$B$1000,$B193,QuickLog!$Q$2:$Q$1000,$A193))</f>
        <v/>
      </c>
      <c r="D193" s="31">
        <f>Settings!$B$3</f>
        <v/>
      </c>
      <c r="E193" s="31">
        <f>IF($C193="","",MIN($C193,$D193))</f>
        <v/>
      </c>
      <c r="F193" s="40">
        <f>IF($E193="","",$E193*Settings!$B$4)</f>
        <v/>
      </c>
    </row>
    <row r="194">
      <c r="A194" s="29" t="n"/>
      <c r="B194" s="31" t="n"/>
      <c r="C194" s="31">
        <f>IF(OR($A194="",$B194=""),"",SUMIFS(QuickLog!$L$2:$L$1000,QuickLog!$B$2:$B$1000,$B194,QuickLog!$Q$2:$Q$1000,$A194))</f>
        <v/>
      </c>
      <c r="D194" s="31">
        <f>Settings!$B$3</f>
        <v/>
      </c>
      <c r="E194" s="31">
        <f>IF($C194="","",MIN($C194,$D194))</f>
        <v/>
      </c>
      <c r="F194" s="40">
        <f>IF($E194="","",$E194*Settings!$B$4)</f>
        <v/>
      </c>
    </row>
    <row r="195">
      <c r="A195" s="29" t="n"/>
      <c r="B195" s="31" t="n"/>
      <c r="C195" s="31">
        <f>IF(OR($A195="",$B195=""),"",SUMIFS(QuickLog!$L$2:$L$1000,QuickLog!$B$2:$B$1000,$B195,QuickLog!$Q$2:$Q$1000,$A195))</f>
        <v/>
      </c>
      <c r="D195" s="31">
        <f>Settings!$B$3</f>
        <v/>
      </c>
      <c r="E195" s="31">
        <f>IF($C195="","",MIN($C195,$D195))</f>
        <v/>
      </c>
      <c r="F195" s="40">
        <f>IF($E195="","",$E195*Settings!$B$4)</f>
        <v/>
      </c>
    </row>
    <row r="196">
      <c r="A196" s="29" t="n"/>
      <c r="B196" s="31" t="n"/>
      <c r="C196" s="31">
        <f>IF(OR($A196="",$B196=""),"",SUMIFS(QuickLog!$L$2:$L$1000,QuickLog!$B$2:$B$1000,$B196,QuickLog!$Q$2:$Q$1000,$A196))</f>
        <v/>
      </c>
      <c r="D196" s="31">
        <f>Settings!$B$3</f>
        <v/>
      </c>
      <c r="E196" s="31">
        <f>IF($C196="","",MIN($C196,$D196))</f>
        <v/>
      </c>
      <c r="F196" s="40">
        <f>IF($E196="","",$E196*Settings!$B$4)</f>
        <v/>
      </c>
    </row>
    <row r="197">
      <c r="A197" s="29" t="n"/>
      <c r="B197" s="31" t="n"/>
      <c r="C197" s="31">
        <f>IF(OR($A197="",$B197=""),"",SUMIFS(QuickLog!$L$2:$L$1000,QuickLog!$B$2:$B$1000,$B197,QuickLog!$Q$2:$Q$1000,$A197))</f>
        <v/>
      </c>
      <c r="D197" s="31">
        <f>Settings!$B$3</f>
        <v/>
      </c>
      <c r="E197" s="31">
        <f>IF($C197="","",MIN($C197,$D197))</f>
        <v/>
      </c>
      <c r="F197" s="40">
        <f>IF($E197="","",$E197*Settings!$B$4)</f>
        <v/>
      </c>
    </row>
    <row r="198">
      <c r="A198" s="29" t="n"/>
      <c r="B198" s="31" t="n"/>
      <c r="C198" s="31">
        <f>IF(OR($A198="",$B198=""),"",SUMIFS(QuickLog!$L$2:$L$1000,QuickLog!$B$2:$B$1000,$B198,QuickLog!$Q$2:$Q$1000,$A198))</f>
        <v/>
      </c>
      <c r="D198" s="31">
        <f>Settings!$B$3</f>
        <v/>
      </c>
      <c r="E198" s="31">
        <f>IF($C198="","",MIN($C198,$D198))</f>
        <v/>
      </c>
      <c r="F198" s="40">
        <f>IF($E198="","",$E198*Settings!$B$4)</f>
        <v/>
      </c>
    </row>
    <row r="199">
      <c r="A199" s="29" t="n"/>
      <c r="B199" s="31" t="n"/>
      <c r="C199" s="31">
        <f>IF(OR($A199="",$B199=""),"",SUMIFS(QuickLog!$L$2:$L$1000,QuickLog!$B$2:$B$1000,$B199,QuickLog!$Q$2:$Q$1000,$A199))</f>
        <v/>
      </c>
      <c r="D199" s="31">
        <f>Settings!$B$3</f>
        <v/>
      </c>
      <c r="E199" s="31">
        <f>IF($C199="","",MIN($C199,$D199))</f>
        <v/>
      </c>
      <c r="F199" s="40">
        <f>IF($E199="","",$E199*Settings!$B$4)</f>
        <v/>
      </c>
    </row>
    <row r="200">
      <c r="A200" s="29" t="n"/>
      <c r="B200" s="31" t="n"/>
      <c r="C200" s="31">
        <f>IF(OR($A200="",$B200=""),"",SUMIFS(QuickLog!$L$2:$L$1000,QuickLog!$B$2:$B$1000,$B200,QuickLog!$Q$2:$Q$1000,$A200))</f>
        <v/>
      </c>
      <c r="D200" s="31">
        <f>Settings!$B$3</f>
        <v/>
      </c>
      <c r="E200" s="31">
        <f>IF($C200="","",MIN($C200,$D200))</f>
        <v/>
      </c>
      <c r="F200" s="40">
        <f>IF($E200="","",$E200*Settings!$B$4)</f>
        <v/>
      </c>
    </row>
    <row r="201">
      <c r="A201" s="29" t="n"/>
      <c r="B201" s="31" t="n"/>
      <c r="C201" s="31">
        <f>IF(OR($A201="",$B201=""),"",SUMIFS(QuickLog!$L$2:$L$1000,QuickLog!$B$2:$B$1000,$B201,QuickLog!$Q$2:$Q$1000,$A201))</f>
        <v/>
      </c>
      <c r="D201" s="31">
        <f>Settings!$B$3</f>
        <v/>
      </c>
      <c r="E201" s="31">
        <f>IF($C201="","",MIN($C201,$D201))</f>
        <v/>
      </c>
      <c r="F201" s="40">
        <f>IF($E201="","",$E201*Settings!$B$4)</f>
        <v/>
      </c>
    </row>
    <row r="202">
      <c r="A202" s="29" t="n"/>
      <c r="B202" s="31" t="n"/>
      <c r="C202" s="31">
        <f>IF(OR($A202="",$B202=""),"",SUMIFS(QuickLog!$L$2:$L$1000,QuickLog!$B$2:$B$1000,$B202,QuickLog!$Q$2:$Q$1000,$A202))</f>
        <v/>
      </c>
      <c r="D202" s="31">
        <f>Settings!$B$3</f>
        <v/>
      </c>
      <c r="E202" s="31">
        <f>IF($C202="","",MIN($C202,$D202))</f>
        <v/>
      </c>
      <c r="F202" s="40">
        <f>IF($E202="","",$E202*Settings!$B$4)</f>
        <v/>
      </c>
    </row>
    <row r="203">
      <c r="A203" s="29" t="n"/>
      <c r="B203" s="31" t="n"/>
      <c r="C203" s="31">
        <f>IF(OR($A203="",$B203=""),"",SUMIFS(QuickLog!$L$2:$L$1000,QuickLog!$B$2:$B$1000,$B203,QuickLog!$Q$2:$Q$1000,$A203))</f>
        <v/>
      </c>
      <c r="D203" s="31">
        <f>Settings!$B$3</f>
        <v/>
      </c>
      <c r="E203" s="31">
        <f>IF($C203="","",MIN($C203,$D203))</f>
        <v/>
      </c>
      <c r="F203" s="40">
        <f>IF($E203="","",$E203*Settings!$B$4)</f>
        <v/>
      </c>
    </row>
    <row r="204">
      <c r="A204" s="29" t="n"/>
      <c r="B204" s="31" t="n"/>
      <c r="C204" s="31">
        <f>IF(OR($A204="",$B204=""),"",SUMIFS(QuickLog!$L$2:$L$1000,QuickLog!$B$2:$B$1000,$B204,QuickLog!$Q$2:$Q$1000,$A204))</f>
        <v/>
      </c>
      <c r="D204" s="31">
        <f>Settings!$B$3</f>
        <v/>
      </c>
      <c r="E204" s="31">
        <f>IF($C204="","",MIN($C204,$D204))</f>
        <v/>
      </c>
      <c r="F204" s="40">
        <f>IF($E204="","",$E204*Settings!$B$4)</f>
        <v/>
      </c>
    </row>
    <row r="205">
      <c r="A205" s="29" t="n"/>
      <c r="B205" s="31" t="n"/>
      <c r="C205" s="31">
        <f>IF(OR($A205="",$B205=""),"",SUMIFS(QuickLog!$L$2:$L$1000,QuickLog!$B$2:$B$1000,$B205,QuickLog!$Q$2:$Q$1000,$A205))</f>
        <v/>
      </c>
      <c r="D205" s="31">
        <f>Settings!$B$3</f>
        <v/>
      </c>
      <c r="E205" s="31">
        <f>IF($C205="","",MIN($C205,$D205))</f>
        <v/>
      </c>
      <c r="F205" s="40">
        <f>IF($E205="","",$E205*Settings!$B$4)</f>
        <v/>
      </c>
    </row>
    <row r="206">
      <c r="A206" s="29" t="n"/>
      <c r="B206" s="31" t="n"/>
      <c r="C206" s="31">
        <f>IF(OR($A206="",$B206=""),"",SUMIFS(QuickLog!$L$2:$L$1000,QuickLog!$B$2:$B$1000,$B206,QuickLog!$Q$2:$Q$1000,$A206))</f>
        <v/>
      </c>
      <c r="D206" s="31">
        <f>Settings!$B$3</f>
        <v/>
      </c>
      <c r="E206" s="31">
        <f>IF($C206="","",MIN($C206,$D206))</f>
        <v/>
      </c>
      <c r="F206" s="40">
        <f>IF($E206="","",$E206*Settings!$B$4)</f>
        <v/>
      </c>
    </row>
    <row r="207">
      <c r="A207" s="29" t="n"/>
      <c r="B207" s="31" t="n"/>
      <c r="C207" s="31">
        <f>IF(OR($A207="",$B207=""),"",SUMIFS(QuickLog!$L$2:$L$1000,QuickLog!$B$2:$B$1000,$B207,QuickLog!$Q$2:$Q$1000,$A207))</f>
        <v/>
      </c>
      <c r="D207" s="31">
        <f>Settings!$B$3</f>
        <v/>
      </c>
      <c r="E207" s="31">
        <f>IF($C207="","",MIN($C207,$D207))</f>
        <v/>
      </c>
      <c r="F207" s="40">
        <f>IF($E207="","",$E207*Settings!$B$4)</f>
        <v/>
      </c>
    </row>
    <row r="208">
      <c r="A208" s="29" t="n"/>
      <c r="B208" s="31" t="n"/>
      <c r="C208" s="31">
        <f>IF(OR($A208="",$B208=""),"",SUMIFS(QuickLog!$L$2:$L$1000,QuickLog!$B$2:$B$1000,$B208,QuickLog!$Q$2:$Q$1000,$A208))</f>
        <v/>
      </c>
      <c r="D208" s="31">
        <f>Settings!$B$3</f>
        <v/>
      </c>
      <c r="E208" s="31">
        <f>IF($C208="","",MIN($C208,$D208))</f>
        <v/>
      </c>
      <c r="F208" s="40">
        <f>IF($E208="","",$E208*Settings!$B$4)</f>
        <v/>
      </c>
    </row>
    <row r="209">
      <c r="A209" s="29" t="n"/>
      <c r="B209" s="31" t="n"/>
      <c r="C209" s="31">
        <f>IF(OR($A209="",$B209=""),"",SUMIFS(QuickLog!$L$2:$L$1000,QuickLog!$B$2:$B$1000,$B209,QuickLog!$Q$2:$Q$1000,$A209))</f>
        <v/>
      </c>
      <c r="D209" s="31">
        <f>Settings!$B$3</f>
        <v/>
      </c>
      <c r="E209" s="31">
        <f>IF($C209="","",MIN($C209,$D209))</f>
        <v/>
      </c>
      <c r="F209" s="40">
        <f>IF($E209="","",$E209*Settings!$B$4)</f>
        <v/>
      </c>
    </row>
    <row r="210">
      <c r="A210" s="29" t="n"/>
      <c r="B210" s="31" t="n"/>
      <c r="C210" s="31">
        <f>IF(OR($A210="",$B210=""),"",SUMIFS(QuickLog!$L$2:$L$1000,QuickLog!$B$2:$B$1000,$B210,QuickLog!$Q$2:$Q$1000,$A210))</f>
        <v/>
      </c>
      <c r="D210" s="31">
        <f>Settings!$B$3</f>
        <v/>
      </c>
      <c r="E210" s="31">
        <f>IF($C210="","",MIN($C210,$D210))</f>
        <v/>
      </c>
      <c r="F210" s="40">
        <f>IF($E210="","",$E210*Settings!$B$4)</f>
        <v/>
      </c>
    </row>
    <row r="211">
      <c r="A211" s="29" t="n"/>
      <c r="B211" s="31" t="n"/>
      <c r="C211" s="31">
        <f>IF(OR($A211="",$B211=""),"",SUMIFS(QuickLog!$L$2:$L$1000,QuickLog!$B$2:$B$1000,$B211,QuickLog!$Q$2:$Q$1000,$A211))</f>
        <v/>
      </c>
      <c r="D211" s="31">
        <f>Settings!$B$3</f>
        <v/>
      </c>
      <c r="E211" s="31">
        <f>IF($C211="","",MIN($C211,$D211))</f>
        <v/>
      </c>
      <c r="F211" s="40">
        <f>IF($E211="","",$E211*Settings!$B$4)</f>
        <v/>
      </c>
    </row>
    <row r="212">
      <c r="A212" s="29" t="n"/>
      <c r="B212" s="31" t="n"/>
      <c r="C212" s="31">
        <f>IF(OR($A212="",$B212=""),"",SUMIFS(QuickLog!$L$2:$L$1000,QuickLog!$B$2:$B$1000,$B212,QuickLog!$Q$2:$Q$1000,$A212))</f>
        <v/>
      </c>
      <c r="D212" s="31">
        <f>Settings!$B$3</f>
        <v/>
      </c>
      <c r="E212" s="31">
        <f>IF($C212="","",MIN($C212,$D212))</f>
        <v/>
      </c>
      <c r="F212" s="40">
        <f>IF($E212="","",$E212*Settings!$B$4)</f>
        <v/>
      </c>
    </row>
    <row r="213">
      <c r="A213" s="29" t="n"/>
      <c r="B213" s="31" t="n"/>
      <c r="C213" s="31">
        <f>IF(OR($A213="",$B213=""),"",SUMIFS(QuickLog!$L$2:$L$1000,QuickLog!$B$2:$B$1000,$B213,QuickLog!$Q$2:$Q$1000,$A213))</f>
        <v/>
      </c>
      <c r="D213" s="31">
        <f>Settings!$B$3</f>
        <v/>
      </c>
      <c r="E213" s="31">
        <f>IF($C213="","",MIN($C213,$D213))</f>
        <v/>
      </c>
      <c r="F213" s="40">
        <f>IF($E213="","",$E213*Settings!$B$4)</f>
        <v/>
      </c>
    </row>
    <row r="214">
      <c r="A214" s="29" t="n"/>
      <c r="B214" s="31" t="n"/>
      <c r="C214" s="31">
        <f>IF(OR($A214="",$B214=""),"",SUMIFS(QuickLog!$L$2:$L$1000,QuickLog!$B$2:$B$1000,$B214,QuickLog!$Q$2:$Q$1000,$A214))</f>
        <v/>
      </c>
      <c r="D214" s="31">
        <f>Settings!$B$3</f>
        <v/>
      </c>
      <c r="E214" s="31">
        <f>IF($C214="","",MIN($C214,$D214))</f>
        <v/>
      </c>
      <c r="F214" s="40">
        <f>IF($E214="","",$E214*Settings!$B$4)</f>
        <v/>
      </c>
    </row>
    <row r="215">
      <c r="A215" s="29" t="n"/>
      <c r="B215" s="31" t="n"/>
      <c r="C215" s="31">
        <f>IF(OR($A215="",$B215=""),"",SUMIFS(QuickLog!$L$2:$L$1000,QuickLog!$B$2:$B$1000,$B215,QuickLog!$Q$2:$Q$1000,$A215))</f>
        <v/>
      </c>
      <c r="D215" s="31">
        <f>Settings!$B$3</f>
        <v/>
      </c>
      <c r="E215" s="31">
        <f>IF($C215="","",MIN($C215,$D215))</f>
        <v/>
      </c>
      <c r="F215" s="40">
        <f>IF($E215="","",$E215*Settings!$B$4)</f>
        <v/>
      </c>
    </row>
    <row r="216">
      <c r="A216" s="29" t="n"/>
      <c r="B216" s="31" t="n"/>
      <c r="C216" s="31">
        <f>IF(OR($A216="",$B216=""),"",SUMIFS(QuickLog!$L$2:$L$1000,QuickLog!$B$2:$B$1000,$B216,QuickLog!$Q$2:$Q$1000,$A216))</f>
        <v/>
      </c>
      <c r="D216" s="31">
        <f>Settings!$B$3</f>
        <v/>
      </c>
      <c r="E216" s="31">
        <f>IF($C216="","",MIN($C216,$D216))</f>
        <v/>
      </c>
      <c r="F216" s="40">
        <f>IF($E216="","",$E216*Settings!$B$4)</f>
        <v/>
      </c>
    </row>
    <row r="217">
      <c r="A217" s="29" t="n"/>
      <c r="B217" s="31" t="n"/>
      <c r="C217" s="31">
        <f>IF(OR($A217="",$B217=""),"",SUMIFS(QuickLog!$L$2:$L$1000,QuickLog!$B$2:$B$1000,$B217,QuickLog!$Q$2:$Q$1000,$A217))</f>
        <v/>
      </c>
      <c r="D217" s="31">
        <f>Settings!$B$3</f>
        <v/>
      </c>
      <c r="E217" s="31">
        <f>IF($C217="","",MIN($C217,$D217))</f>
        <v/>
      </c>
      <c r="F217" s="40">
        <f>IF($E217="","",$E217*Settings!$B$4)</f>
        <v/>
      </c>
    </row>
    <row r="218">
      <c r="A218" s="29" t="n"/>
      <c r="B218" s="31" t="n"/>
      <c r="C218" s="31">
        <f>IF(OR($A218="",$B218=""),"",SUMIFS(QuickLog!$L$2:$L$1000,QuickLog!$B$2:$B$1000,$B218,QuickLog!$Q$2:$Q$1000,$A218))</f>
        <v/>
      </c>
      <c r="D218" s="31">
        <f>Settings!$B$3</f>
        <v/>
      </c>
      <c r="E218" s="31">
        <f>IF($C218="","",MIN($C218,$D218))</f>
        <v/>
      </c>
      <c r="F218" s="40">
        <f>IF($E218="","",$E218*Settings!$B$4)</f>
        <v/>
      </c>
    </row>
    <row r="219">
      <c r="A219" s="29" t="n"/>
      <c r="B219" s="31" t="n"/>
      <c r="C219" s="31">
        <f>IF(OR($A219="",$B219=""),"",SUMIFS(QuickLog!$L$2:$L$1000,QuickLog!$B$2:$B$1000,$B219,QuickLog!$Q$2:$Q$1000,$A219))</f>
        <v/>
      </c>
      <c r="D219" s="31">
        <f>Settings!$B$3</f>
        <v/>
      </c>
      <c r="E219" s="31">
        <f>IF($C219="","",MIN($C219,$D219))</f>
        <v/>
      </c>
      <c r="F219" s="40">
        <f>IF($E219="","",$E219*Settings!$B$4)</f>
        <v/>
      </c>
    </row>
    <row r="220">
      <c r="A220" s="29" t="n"/>
      <c r="B220" s="31" t="n"/>
      <c r="C220" s="31">
        <f>IF(OR($A220="",$B220=""),"",SUMIFS(QuickLog!$L$2:$L$1000,QuickLog!$B$2:$B$1000,$B220,QuickLog!$Q$2:$Q$1000,$A220))</f>
        <v/>
      </c>
      <c r="D220" s="31">
        <f>Settings!$B$3</f>
        <v/>
      </c>
      <c r="E220" s="31">
        <f>IF($C220="","",MIN($C220,$D220))</f>
        <v/>
      </c>
      <c r="F220" s="40">
        <f>IF($E220="","",$E220*Settings!$B$4)</f>
        <v/>
      </c>
    </row>
    <row r="221">
      <c r="A221" s="29" t="n"/>
      <c r="B221" s="31" t="n"/>
      <c r="C221" s="31">
        <f>IF(OR($A221="",$B221=""),"",SUMIFS(QuickLog!$L$2:$L$1000,QuickLog!$B$2:$B$1000,$B221,QuickLog!$Q$2:$Q$1000,$A221))</f>
        <v/>
      </c>
      <c r="D221" s="31">
        <f>Settings!$B$3</f>
        <v/>
      </c>
      <c r="E221" s="31">
        <f>IF($C221="","",MIN($C221,$D221))</f>
        <v/>
      </c>
      <c r="F221" s="40">
        <f>IF($E221="","",$E221*Settings!$B$4)</f>
        <v/>
      </c>
    </row>
    <row r="222">
      <c r="A222" s="29" t="n"/>
      <c r="B222" s="31" t="n"/>
      <c r="C222" s="31">
        <f>IF(OR($A222="",$B222=""),"",SUMIFS(QuickLog!$L$2:$L$1000,QuickLog!$B$2:$B$1000,$B222,QuickLog!$Q$2:$Q$1000,$A222))</f>
        <v/>
      </c>
      <c r="D222" s="31">
        <f>Settings!$B$3</f>
        <v/>
      </c>
      <c r="E222" s="31">
        <f>IF($C222="","",MIN($C222,$D222))</f>
        <v/>
      </c>
      <c r="F222" s="40">
        <f>IF($E222="","",$E222*Settings!$B$4)</f>
        <v/>
      </c>
    </row>
    <row r="223">
      <c r="A223" s="29" t="n"/>
      <c r="B223" s="31" t="n"/>
      <c r="C223" s="31">
        <f>IF(OR($A223="",$B223=""),"",SUMIFS(QuickLog!$L$2:$L$1000,QuickLog!$B$2:$B$1000,$B223,QuickLog!$Q$2:$Q$1000,$A223))</f>
        <v/>
      </c>
      <c r="D223" s="31">
        <f>Settings!$B$3</f>
        <v/>
      </c>
      <c r="E223" s="31">
        <f>IF($C223="","",MIN($C223,$D223))</f>
        <v/>
      </c>
      <c r="F223" s="40">
        <f>IF($E223="","",$E223*Settings!$B$4)</f>
        <v/>
      </c>
    </row>
    <row r="224">
      <c r="A224" s="29" t="n"/>
      <c r="B224" s="31" t="n"/>
      <c r="C224" s="31">
        <f>IF(OR($A224="",$B224=""),"",SUMIFS(QuickLog!$L$2:$L$1000,QuickLog!$B$2:$B$1000,$B224,QuickLog!$Q$2:$Q$1000,$A224))</f>
        <v/>
      </c>
      <c r="D224" s="31">
        <f>Settings!$B$3</f>
        <v/>
      </c>
      <c r="E224" s="31">
        <f>IF($C224="","",MIN($C224,$D224))</f>
        <v/>
      </c>
      <c r="F224" s="40">
        <f>IF($E224="","",$E224*Settings!$B$4)</f>
        <v/>
      </c>
    </row>
    <row r="225">
      <c r="A225" s="29" t="n"/>
      <c r="B225" s="31" t="n"/>
      <c r="C225" s="31">
        <f>IF(OR($A225="",$B225=""),"",SUMIFS(QuickLog!$L$2:$L$1000,QuickLog!$B$2:$B$1000,$B225,QuickLog!$Q$2:$Q$1000,$A225))</f>
        <v/>
      </c>
      <c r="D225" s="31">
        <f>Settings!$B$3</f>
        <v/>
      </c>
      <c r="E225" s="31">
        <f>IF($C225="","",MIN($C225,$D225))</f>
        <v/>
      </c>
      <c r="F225" s="40">
        <f>IF($E225="","",$E225*Settings!$B$4)</f>
        <v/>
      </c>
    </row>
    <row r="226">
      <c r="A226" s="29" t="n"/>
      <c r="B226" s="31" t="n"/>
      <c r="C226" s="31">
        <f>IF(OR($A226="",$B226=""),"",SUMIFS(QuickLog!$L$2:$L$1000,QuickLog!$B$2:$B$1000,$B226,QuickLog!$Q$2:$Q$1000,$A226))</f>
        <v/>
      </c>
      <c r="D226" s="31">
        <f>Settings!$B$3</f>
        <v/>
      </c>
      <c r="E226" s="31">
        <f>IF($C226="","",MIN($C226,$D226))</f>
        <v/>
      </c>
      <c r="F226" s="40">
        <f>IF($E226="","",$E226*Settings!$B$4)</f>
        <v/>
      </c>
    </row>
    <row r="227">
      <c r="A227" s="29" t="n"/>
      <c r="B227" s="31" t="n"/>
      <c r="C227" s="31">
        <f>IF(OR($A227="",$B227=""),"",SUMIFS(QuickLog!$L$2:$L$1000,QuickLog!$B$2:$B$1000,$B227,QuickLog!$Q$2:$Q$1000,$A227))</f>
        <v/>
      </c>
      <c r="D227" s="31">
        <f>Settings!$B$3</f>
        <v/>
      </c>
      <c r="E227" s="31">
        <f>IF($C227="","",MIN($C227,$D227))</f>
        <v/>
      </c>
      <c r="F227" s="40">
        <f>IF($E227="","",$E227*Settings!$B$4)</f>
        <v/>
      </c>
    </row>
    <row r="228">
      <c r="A228" s="29" t="n"/>
      <c r="B228" s="31" t="n"/>
      <c r="C228" s="31">
        <f>IF(OR($A228="",$B228=""),"",SUMIFS(QuickLog!$L$2:$L$1000,QuickLog!$B$2:$B$1000,$B228,QuickLog!$Q$2:$Q$1000,$A228))</f>
        <v/>
      </c>
      <c r="D228" s="31">
        <f>Settings!$B$3</f>
        <v/>
      </c>
      <c r="E228" s="31">
        <f>IF($C228="","",MIN($C228,$D228))</f>
        <v/>
      </c>
      <c r="F228" s="40">
        <f>IF($E228="","",$E228*Settings!$B$4)</f>
        <v/>
      </c>
    </row>
    <row r="229">
      <c r="A229" s="29" t="n"/>
      <c r="B229" s="31" t="n"/>
      <c r="C229" s="31">
        <f>IF(OR($A229="",$B229=""),"",SUMIFS(QuickLog!$L$2:$L$1000,QuickLog!$B$2:$B$1000,$B229,QuickLog!$Q$2:$Q$1000,$A229))</f>
        <v/>
      </c>
      <c r="D229" s="31">
        <f>Settings!$B$3</f>
        <v/>
      </c>
      <c r="E229" s="31">
        <f>IF($C229="","",MIN($C229,$D229))</f>
        <v/>
      </c>
      <c r="F229" s="40">
        <f>IF($E229="","",$E229*Settings!$B$4)</f>
        <v/>
      </c>
    </row>
    <row r="230">
      <c r="A230" s="29" t="n"/>
      <c r="B230" s="31" t="n"/>
      <c r="C230" s="31">
        <f>IF(OR($A230="",$B230=""),"",SUMIFS(QuickLog!$L$2:$L$1000,QuickLog!$B$2:$B$1000,$B230,QuickLog!$Q$2:$Q$1000,$A230))</f>
        <v/>
      </c>
      <c r="D230" s="31">
        <f>Settings!$B$3</f>
        <v/>
      </c>
      <c r="E230" s="31">
        <f>IF($C230="","",MIN($C230,$D230))</f>
        <v/>
      </c>
      <c r="F230" s="40">
        <f>IF($E230="","",$E230*Settings!$B$4)</f>
        <v/>
      </c>
    </row>
    <row r="231">
      <c r="A231" s="29" t="n"/>
      <c r="B231" s="31" t="n"/>
      <c r="C231" s="31">
        <f>IF(OR($A231="",$B231=""),"",SUMIFS(QuickLog!$L$2:$L$1000,QuickLog!$B$2:$B$1000,$B231,QuickLog!$Q$2:$Q$1000,$A231))</f>
        <v/>
      </c>
      <c r="D231" s="31">
        <f>Settings!$B$3</f>
        <v/>
      </c>
      <c r="E231" s="31">
        <f>IF($C231="","",MIN($C231,$D231))</f>
        <v/>
      </c>
      <c r="F231" s="40">
        <f>IF($E231="","",$E231*Settings!$B$4)</f>
        <v/>
      </c>
    </row>
    <row r="232">
      <c r="A232" s="29" t="n"/>
      <c r="B232" s="31" t="n"/>
      <c r="C232" s="31">
        <f>IF(OR($A232="",$B232=""),"",SUMIFS(QuickLog!$L$2:$L$1000,QuickLog!$B$2:$B$1000,$B232,QuickLog!$Q$2:$Q$1000,$A232))</f>
        <v/>
      </c>
      <c r="D232" s="31">
        <f>Settings!$B$3</f>
        <v/>
      </c>
      <c r="E232" s="31">
        <f>IF($C232="","",MIN($C232,$D232))</f>
        <v/>
      </c>
      <c r="F232" s="40">
        <f>IF($E232="","",$E232*Settings!$B$4)</f>
        <v/>
      </c>
    </row>
    <row r="233">
      <c r="A233" s="29" t="n"/>
      <c r="B233" s="31" t="n"/>
      <c r="C233" s="31">
        <f>IF(OR($A233="",$B233=""),"",SUMIFS(QuickLog!$L$2:$L$1000,QuickLog!$B$2:$B$1000,$B233,QuickLog!$Q$2:$Q$1000,$A233))</f>
        <v/>
      </c>
      <c r="D233" s="31">
        <f>Settings!$B$3</f>
        <v/>
      </c>
      <c r="E233" s="31">
        <f>IF($C233="","",MIN($C233,$D233))</f>
        <v/>
      </c>
      <c r="F233" s="40">
        <f>IF($E233="","",$E233*Settings!$B$4)</f>
        <v/>
      </c>
    </row>
    <row r="234">
      <c r="A234" s="29" t="n"/>
      <c r="B234" s="31" t="n"/>
      <c r="C234" s="31">
        <f>IF(OR($A234="",$B234=""),"",SUMIFS(QuickLog!$L$2:$L$1000,QuickLog!$B$2:$B$1000,$B234,QuickLog!$Q$2:$Q$1000,$A234))</f>
        <v/>
      </c>
      <c r="D234" s="31">
        <f>Settings!$B$3</f>
        <v/>
      </c>
      <c r="E234" s="31">
        <f>IF($C234="","",MIN($C234,$D234))</f>
        <v/>
      </c>
      <c r="F234" s="40">
        <f>IF($E234="","",$E234*Settings!$B$4)</f>
        <v/>
      </c>
    </row>
    <row r="235">
      <c r="A235" s="29" t="n"/>
      <c r="B235" s="31" t="n"/>
      <c r="C235" s="31">
        <f>IF(OR($A235="",$B235=""),"",SUMIFS(QuickLog!$L$2:$L$1000,QuickLog!$B$2:$B$1000,$B235,QuickLog!$Q$2:$Q$1000,$A235))</f>
        <v/>
      </c>
      <c r="D235" s="31">
        <f>Settings!$B$3</f>
        <v/>
      </c>
      <c r="E235" s="31">
        <f>IF($C235="","",MIN($C235,$D235))</f>
        <v/>
      </c>
      <c r="F235" s="40">
        <f>IF($E235="","",$E235*Settings!$B$4)</f>
        <v/>
      </c>
    </row>
    <row r="236">
      <c r="A236" s="29" t="n"/>
      <c r="B236" s="31" t="n"/>
      <c r="C236" s="31">
        <f>IF(OR($A236="",$B236=""),"",SUMIFS(QuickLog!$L$2:$L$1000,QuickLog!$B$2:$B$1000,$B236,QuickLog!$Q$2:$Q$1000,$A236))</f>
        <v/>
      </c>
      <c r="D236" s="31">
        <f>Settings!$B$3</f>
        <v/>
      </c>
      <c r="E236" s="31">
        <f>IF($C236="","",MIN($C236,$D236))</f>
        <v/>
      </c>
      <c r="F236" s="40">
        <f>IF($E236="","",$E236*Settings!$B$4)</f>
        <v/>
      </c>
    </row>
    <row r="237">
      <c r="A237" s="29" t="n"/>
      <c r="B237" s="31" t="n"/>
      <c r="C237" s="31">
        <f>IF(OR($A237="",$B237=""),"",SUMIFS(QuickLog!$L$2:$L$1000,QuickLog!$B$2:$B$1000,$B237,QuickLog!$Q$2:$Q$1000,$A237))</f>
        <v/>
      </c>
      <c r="D237" s="31">
        <f>Settings!$B$3</f>
        <v/>
      </c>
      <c r="E237" s="31">
        <f>IF($C237="","",MIN($C237,$D237))</f>
        <v/>
      </c>
      <c r="F237" s="40">
        <f>IF($E237="","",$E237*Settings!$B$4)</f>
        <v/>
      </c>
    </row>
    <row r="238">
      <c r="A238" s="29" t="n"/>
      <c r="B238" s="31" t="n"/>
      <c r="C238" s="31">
        <f>IF(OR($A238="",$B238=""),"",SUMIFS(QuickLog!$L$2:$L$1000,QuickLog!$B$2:$B$1000,$B238,QuickLog!$Q$2:$Q$1000,$A238))</f>
        <v/>
      </c>
      <c r="D238" s="31">
        <f>Settings!$B$3</f>
        <v/>
      </c>
      <c r="E238" s="31">
        <f>IF($C238="","",MIN($C238,$D238))</f>
        <v/>
      </c>
      <c r="F238" s="40">
        <f>IF($E238="","",$E238*Settings!$B$4)</f>
        <v/>
      </c>
    </row>
    <row r="239">
      <c r="A239" s="29" t="n"/>
      <c r="B239" s="31" t="n"/>
      <c r="C239" s="31">
        <f>IF(OR($A239="",$B239=""),"",SUMIFS(QuickLog!$L$2:$L$1000,QuickLog!$B$2:$B$1000,$B239,QuickLog!$Q$2:$Q$1000,$A239))</f>
        <v/>
      </c>
      <c r="D239" s="31">
        <f>Settings!$B$3</f>
        <v/>
      </c>
      <c r="E239" s="31">
        <f>IF($C239="","",MIN($C239,$D239))</f>
        <v/>
      </c>
      <c r="F239" s="40">
        <f>IF($E239="","",$E239*Settings!$B$4)</f>
        <v/>
      </c>
    </row>
    <row r="240">
      <c r="A240" s="29" t="n"/>
      <c r="B240" s="31" t="n"/>
      <c r="C240" s="31">
        <f>IF(OR($A240="",$B240=""),"",SUMIFS(QuickLog!$L$2:$L$1000,QuickLog!$B$2:$B$1000,$B240,QuickLog!$Q$2:$Q$1000,$A240))</f>
        <v/>
      </c>
      <c r="D240" s="31">
        <f>Settings!$B$3</f>
        <v/>
      </c>
      <c r="E240" s="31">
        <f>IF($C240="","",MIN($C240,$D240))</f>
        <v/>
      </c>
      <c r="F240" s="40">
        <f>IF($E240="","",$E240*Settings!$B$4)</f>
        <v/>
      </c>
    </row>
    <row r="241">
      <c r="A241" s="29" t="n"/>
      <c r="B241" s="31" t="n"/>
      <c r="C241" s="31">
        <f>IF(OR($A241="",$B241=""),"",SUMIFS(QuickLog!$L$2:$L$1000,QuickLog!$B$2:$B$1000,$B241,QuickLog!$Q$2:$Q$1000,$A241))</f>
        <v/>
      </c>
      <c r="D241" s="31">
        <f>Settings!$B$3</f>
        <v/>
      </c>
      <c r="E241" s="31">
        <f>IF($C241="","",MIN($C241,$D241))</f>
        <v/>
      </c>
      <c r="F241" s="40">
        <f>IF($E241="","",$E241*Settings!$B$4)</f>
        <v/>
      </c>
    </row>
    <row r="242">
      <c r="A242" s="29" t="n"/>
      <c r="B242" s="31" t="n"/>
      <c r="C242" s="31">
        <f>IF(OR($A242="",$B242=""),"",SUMIFS(QuickLog!$L$2:$L$1000,QuickLog!$B$2:$B$1000,$B242,QuickLog!$Q$2:$Q$1000,$A242))</f>
        <v/>
      </c>
      <c r="D242" s="31">
        <f>Settings!$B$3</f>
        <v/>
      </c>
      <c r="E242" s="31">
        <f>IF($C242="","",MIN($C242,$D242))</f>
        <v/>
      </c>
      <c r="F242" s="40">
        <f>IF($E242="","",$E242*Settings!$B$4)</f>
        <v/>
      </c>
    </row>
    <row r="243">
      <c r="A243" s="29" t="n"/>
      <c r="B243" s="31" t="n"/>
      <c r="C243" s="31">
        <f>IF(OR($A243="",$B243=""),"",SUMIFS(QuickLog!$L$2:$L$1000,QuickLog!$B$2:$B$1000,$B243,QuickLog!$Q$2:$Q$1000,$A243))</f>
        <v/>
      </c>
      <c r="D243" s="31">
        <f>Settings!$B$3</f>
        <v/>
      </c>
      <c r="E243" s="31">
        <f>IF($C243="","",MIN($C243,$D243))</f>
        <v/>
      </c>
      <c r="F243" s="40">
        <f>IF($E243="","",$E243*Settings!$B$4)</f>
        <v/>
      </c>
    </row>
    <row r="244">
      <c r="A244" s="29" t="n"/>
      <c r="B244" s="31" t="n"/>
      <c r="C244" s="31">
        <f>IF(OR($A244="",$B244=""),"",SUMIFS(QuickLog!$L$2:$L$1000,QuickLog!$B$2:$B$1000,$B244,QuickLog!$Q$2:$Q$1000,$A244))</f>
        <v/>
      </c>
      <c r="D244" s="31">
        <f>Settings!$B$3</f>
        <v/>
      </c>
      <c r="E244" s="31">
        <f>IF($C244="","",MIN($C244,$D244))</f>
        <v/>
      </c>
      <c r="F244" s="40">
        <f>IF($E244="","",$E244*Settings!$B$4)</f>
        <v/>
      </c>
    </row>
    <row r="245">
      <c r="A245" s="29" t="n"/>
      <c r="B245" s="31" t="n"/>
      <c r="C245" s="31">
        <f>IF(OR($A245="",$B245=""),"",SUMIFS(QuickLog!$L$2:$L$1000,QuickLog!$B$2:$B$1000,$B245,QuickLog!$Q$2:$Q$1000,$A245))</f>
        <v/>
      </c>
      <c r="D245" s="31">
        <f>Settings!$B$3</f>
        <v/>
      </c>
      <c r="E245" s="31">
        <f>IF($C245="","",MIN($C245,$D245))</f>
        <v/>
      </c>
      <c r="F245" s="40">
        <f>IF($E245="","",$E245*Settings!$B$4)</f>
        <v/>
      </c>
    </row>
    <row r="246">
      <c r="A246" s="29" t="n"/>
      <c r="B246" s="31" t="n"/>
      <c r="C246" s="31">
        <f>IF(OR($A246="",$B246=""),"",SUMIFS(QuickLog!$L$2:$L$1000,QuickLog!$B$2:$B$1000,$B246,QuickLog!$Q$2:$Q$1000,$A246))</f>
        <v/>
      </c>
      <c r="D246" s="31">
        <f>Settings!$B$3</f>
        <v/>
      </c>
      <c r="E246" s="31">
        <f>IF($C246="","",MIN($C246,$D246))</f>
        <v/>
      </c>
      <c r="F246" s="40">
        <f>IF($E246="","",$E246*Settings!$B$4)</f>
        <v/>
      </c>
    </row>
    <row r="247">
      <c r="A247" s="29" t="n"/>
      <c r="B247" s="31" t="n"/>
      <c r="C247" s="31">
        <f>IF(OR($A247="",$B247=""),"",SUMIFS(QuickLog!$L$2:$L$1000,QuickLog!$B$2:$B$1000,$B247,QuickLog!$Q$2:$Q$1000,$A247))</f>
        <v/>
      </c>
      <c r="D247" s="31">
        <f>Settings!$B$3</f>
        <v/>
      </c>
      <c r="E247" s="31">
        <f>IF($C247="","",MIN($C247,$D247))</f>
        <v/>
      </c>
      <c r="F247" s="40">
        <f>IF($E247="","",$E247*Settings!$B$4)</f>
        <v/>
      </c>
    </row>
    <row r="248">
      <c r="A248" s="29" t="n"/>
      <c r="B248" s="31" t="n"/>
      <c r="C248" s="31">
        <f>IF(OR($A248="",$B248=""),"",SUMIFS(QuickLog!$L$2:$L$1000,QuickLog!$B$2:$B$1000,$B248,QuickLog!$Q$2:$Q$1000,$A248))</f>
        <v/>
      </c>
      <c r="D248" s="31">
        <f>Settings!$B$3</f>
        <v/>
      </c>
      <c r="E248" s="31">
        <f>IF($C248="","",MIN($C248,$D248))</f>
        <v/>
      </c>
      <c r="F248" s="40">
        <f>IF($E248="","",$E248*Settings!$B$4)</f>
        <v/>
      </c>
    </row>
    <row r="249">
      <c r="A249" s="29" t="n"/>
      <c r="B249" s="31" t="n"/>
      <c r="C249" s="31">
        <f>IF(OR($A249="",$B249=""),"",SUMIFS(QuickLog!$L$2:$L$1000,QuickLog!$B$2:$B$1000,$B249,QuickLog!$Q$2:$Q$1000,$A249))</f>
        <v/>
      </c>
      <c r="D249" s="31">
        <f>Settings!$B$3</f>
        <v/>
      </c>
      <c r="E249" s="31">
        <f>IF($C249="","",MIN($C249,$D249))</f>
        <v/>
      </c>
      <c r="F249" s="40">
        <f>IF($E249="","",$E249*Settings!$B$4)</f>
        <v/>
      </c>
    </row>
    <row r="250">
      <c r="A250" s="29" t="n"/>
      <c r="B250" s="31" t="n"/>
      <c r="C250" s="31">
        <f>IF(OR($A250="",$B250=""),"",SUMIFS(QuickLog!$L$2:$L$1000,QuickLog!$B$2:$B$1000,$B250,QuickLog!$Q$2:$Q$1000,$A250))</f>
        <v/>
      </c>
      <c r="D250" s="31">
        <f>Settings!$B$3</f>
        <v/>
      </c>
      <c r="E250" s="31">
        <f>IF($C250="","",MIN($C250,$D250))</f>
        <v/>
      </c>
      <c r="F250" s="40">
        <f>IF($E250="","",$E250*Settings!$B$4)</f>
        <v/>
      </c>
    </row>
    <row r="251">
      <c r="A251" s="29" t="n"/>
      <c r="B251" s="31" t="n"/>
      <c r="C251" s="31">
        <f>IF(OR($A251="",$B251=""),"",SUMIFS(QuickLog!$L$2:$L$1000,QuickLog!$B$2:$B$1000,$B251,QuickLog!$Q$2:$Q$1000,$A251))</f>
        <v/>
      </c>
      <c r="D251" s="31">
        <f>Settings!$B$3</f>
        <v/>
      </c>
      <c r="E251" s="31">
        <f>IF($C251="","",MIN($C251,$D251))</f>
        <v/>
      </c>
      <c r="F251" s="40">
        <f>IF($E251="","",$E251*Settings!$B$4)</f>
        <v/>
      </c>
    </row>
    <row r="252">
      <c r="A252" s="29" t="n"/>
      <c r="B252" s="31" t="n"/>
      <c r="C252" s="31">
        <f>IF(OR($A252="",$B252=""),"",SUMIFS(QuickLog!$L$2:$L$1000,QuickLog!$B$2:$B$1000,$B252,QuickLog!$Q$2:$Q$1000,$A252))</f>
        <v/>
      </c>
      <c r="D252" s="31">
        <f>Settings!$B$3</f>
        <v/>
      </c>
      <c r="E252" s="31">
        <f>IF($C252="","",MIN($C252,$D252))</f>
        <v/>
      </c>
      <c r="F252" s="40">
        <f>IF($E252="","",$E252*Settings!$B$4)</f>
        <v/>
      </c>
    </row>
    <row r="253">
      <c r="A253" s="29" t="n"/>
      <c r="B253" s="31" t="n"/>
      <c r="C253" s="31">
        <f>IF(OR($A253="",$B253=""),"",SUMIFS(QuickLog!$L$2:$L$1000,QuickLog!$B$2:$B$1000,$B253,QuickLog!$Q$2:$Q$1000,$A253))</f>
        <v/>
      </c>
      <c r="D253" s="31">
        <f>Settings!$B$3</f>
        <v/>
      </c>
      <c r="E253" s="31">
        <f>IF($C253="","",MIN($C253,$D253))</f>
        <v/>
      </c>
      <c r="F253" s="40">
        <f>IF($E253="","",$E253*Settings!$B$4)</f>
        <v/>
      </c>
    </row>
    <row r="254">
      <c r="A254" s="29" t="n"/>
      <c r="B254" s="31" t="n"/>
      <c r="C254" s="31">
        <f>IF(OR($A254="",$B254=""),"",SUMIFS(QuickLog!$L$2:$L$1000,QuickLog!$B$2:$B$1000,$B254,QuickLog!$Q$2:$Q$1000,$A254))</f>
        <v/>
      </c>
      <c r="D254" s="31">
        <f>Settings!$B$3</f>
        <v/>
      </c>
      <c r="E254" s="31">
        <f>IF($C254="","",MIN($C254,$D254))</f>
        <v/>
      </c>
      <c r="F254" s="40">
        <f>IF($E254="","",$E254*Settings!$B$4)</f>
        <v/>
      </c>
    </row>
    <row r="255">
      <c r="A255" s="29" t="n"/>
      <c r="B255" s="31" t="n"/>
      <c r="C255" s="31">
        <f>IF(OR($A255="",$B255=""),"",SUMIFS(QuickLog!$L$2:$L$1000,QuickLog!$B$2:$B$1000,$B255,QuickLog!$Q$2:$Q$1000,$A255))</f>
        <v/>
      </c>
      <c r="D255" s="31">
        <f>Settings!$B$3</f>
        <v/>
      </c>
      <c r="E255" s="31">
        <f>IF($C255="","",MIN($C255,$D255))</f>
        <v/>
      </c>
      <c r="F255" s="40">
        <f>IF($E255="","",$E255*Settings!$B$4)</f>
        <v/>
      </c>
    </row>
    <row r="256">
      <c r="A256" s="29" t="n"/>
      <c r="B256" s="31" t="n"/>
      <c r="C256" s="31">
        <f>IF(OR($A256="",$B256=""),"",SUMIFS(QuickLog!$L$2:$L$1000,QuickLog!$B$2:$B$1000,$B256,QuickLog!$Q$2:$Q$1000,$A256))</f>
        <v/>
      </c>
      <c r="D256" s="31">
        <f>Settings!$B$3</f>
        <v/>
      </c>
      <c r="E256" s="31">
        <f>IF($C256="","",MIN($C256,$D256))</f>
        <v/>
      </c>
      <c r="F256" s="40">
        <f>IF($E256="","",$E256*Settings!$B$4)</f>
        <v/>
      </c>
    </row>
    <row r="257">
      <c r="A257" s="29" t="n"/>
      <c r="B257" s="31" t="n"/>
      <c r="C257" s="31">
        <f>IF(OR($A257="",$B257=""),"",SUMIFS(QuickLog!$L$2:$L$1000,QuickLog!$B$2:$B$1000,$B257,QuickLog!$Q$2:$Q$1000,$A257))</f>
        <v/>
      </c>
      <c r="D257" s="31">
        <f>Settings!$B$3</f>
        <v/>
      </c>
      <c r="E257" s="31">
        <f>IF($C257="","",MIN($C257,$D257))</f>
        <v/>
      </c>
      <c r="F257" s="40">
        <f>IF($E257="","",$E257*Settings!$B$4)</f>
        <v/>
      </c>
    </row>
    <row r="258">
      <c r="A258" s="29" t="n"/>
      <c r="B258" s="31" t="n"/>
      <c r="C258" s="31">
        <f>IF(OR($A258="",$B258=""),"",SUMIFS(QuickLog!$L$2:$L$1000,QuickLog!$B$2:$B$1000,$B258,QuickLog!$Q$2:$Q$1000,$A258))</f>
        <v/>
      </c>
      <c r="D258" s="31">
        <f>Settings!$B$3</f>
        <v/>
      </c>
      <c r="E258" s="31">
        <f>IF($C258="","",MIN($C258,$D258))</f>
        <v/>
      </c>
      <c r="F258" s="40">
        <f>IF($E258="","",$E258*Settings!$B$4)</f>
        <v/>
      </c>
    </row>
    <row r="259">
      <c r="A259" s="29" t="n"/>
      <c r="B259" s="31" t="n"/>
      <c r="C259" s="31">
        <f>IF(OR($A259="",$B259=""),"",SUMIFS(QuickLog!$L$2:$L$1000,QuickLog!$B$2:$B$1000,$B259,QuickLog!$Q$2:$Q$1000,$A259))</f>
        <v/>
      </c>
      <c r="D259" s="31">
        <f>Settings!$B$3</f>
        <v/>
      </c>
      <c r="E259" s="31">
        <f>IF($C259="","",MIN($C259,$D259))</f>
        <v/>
      </c>
      <c r="F259" s="40">
        <f>IF($E259="","",$E259*Settings!$B$4)</f>
        <v/>
      </c>
    </row>
    <row r="260">
      <c r="A260" s="29" t="n"/>
      <c r="B260" s="31" t="n"/>
      <c r="C260" s="31">
        <f>IF(OR($A260="",$B260=""),"",SUMIFS(QuickLog!$L$2:$L$1000,QuickLog!$B$2:$B$1000,$B260,QuickLog!$Q$2:$Q$1000,$A260))</f>
        <v/>
      </c>
      <c r="D260" s="31">
        <f>Settings!$B$3</f>
        <v/>
      </c>
      <c r="E260" s="31">
        <f>IF($C260="","",MIN($C260,$D260))</f>
        <v/>
      </c>
      <c r="F260" s="40">
        <f>IF($E260="","",$E260*Settings!$B$4)</f>
        <v/>
      </c>
    </row>
    <row r="261">
      <c r="A261" s="29" t="n"/>
      <c r="B261" s="31" t="n"/>
      <c r="C261" s="31">
        <f>IF(OR($A261="",$B261=""),"",SUMIFS(QuickLog!$L$2:$L$1000,QuickLog!$B$2:$B$1000,$B261,QuickLog!$Q$2:$Q$1000,$A261))</f>
        <v/>
      </c>
      <c r="D261" s="31">
        <f>Settings!$B$3</f>
        <v/>
      </c>
      <c r="E261" s="31">
        <f>IF($C261="","",MIN($C261,$D261))</f>
        <v/>
      </c>
      <c r="F261" s="40">
        <f>IF($E261="","",$E261*Settings!$B$4)</f>
        <v/>
      </c>
    </row>
    <row r="262">
      <c r="A262" s="29" t="n"/>
      <c r="B262" s="31" t="n"/>
      <c r="C262" s="31">
        <f>IF(OR($A262="",$B262=""),"",SUMIFS(QuickLog!$L$2:$L$1000,QuickLog!$B$2:$B$1000,$B262,QuickLog!$Q$2:$Q$1000,$A262))</f>
        <v/>
      </c>
      <c r="D262" s="31">
        <f>Settings!$B$3</f>
        <v/>
      </c>
      <c r="E262" s="31">
        <f>IF($C262="","",MIN($C262,$D262))</f>
        <v/>
      </c>
      <c r="F262" s="40">
        <f>IF($E262="","",$E262*Settings!$B$4)</f>
        <v/>
      </c>
    </row>
    <row r="263">
      <c r="A263" s="29" t="n"/>
      <c r="B263" s="31" t="n"/>
      <c r="C263" s="31">
        <f>IF(OR($A263="",$B263=""),"",SUMIFS(QuickLog!$L$2:$L$1000,QuickLog!$B$2:$B$1000,$B263,QuickLog!$Q$2:$Q$1000,$A263))</f>
        <v/>
      </c>
      <c r="D263" s="31">
        <f>Settings!$B$3</f>
        <v/>
      </c>
      <c r="E263" s="31">
        <f>IF($C263="","",MIN($C263,$D263))</f>
        <v/>
      </c>
      <c r="F263" s="40">
        <f>IF($E263="","",$E263*Settings!$B$4)</f>
        <v/>
      </c>
    </row>
    <row r="264">
      <c r="A264" s="29" t="n"/>
      <c r="B264" s="31" t="n"/>
      <c r="C264" s="31">
        <f>IF(OR($A264="",$B264=""),"",SUMIFS(QuickLog!$L$2:$L$1000,QuickLog!$B$2:$B$1000,$B264,QuickLog!$Q$2:$Q$1000,$A264))</f>
        <v/>
      </c>
      <c r="D264" s="31">
        <f>Settings!$B$3</f>
        <v/>
      </c>
      <c r="E264" s="31">
        <f>IF($C264="","",MIN($C264,$D264))</f>
        <v/>
      </c>
      <c r="F264" s="40">
        <f>IF($E264="","",$E264*Settings!$B$4)</f>
        <v/>
      </c>
    </row>
    <row r="265">
      <c r="A265" s="29" t="n"/>
      <c r="B265" s="31" t="n"/>
      <c r="C265" s="31">
        <f>IF(OR($A265="",$B265=""),"",SUMIFS(QuickLog!$L$2:$L$1000,QuickLog!$B$2:$B$1000,$B265,QuickLog!$Q$2:$Q$1000,$A265))</f>
        <v/>
      </c>
      <c r="D265" s="31">
        <f>Settings!$B$3</f>
        <v/>
      </c>
      <c r="E265" s="31">
        <f>IF($C265="","",MIN($C265,$D265))</f>
        <v/>
      </c>
      <c r="F265" s="40">
        <f>IF($E265="","",$E265*Settings!$B$4)</f>
        <v/>
      </c>
    </row>
    <row r="266">
      <c r="A266" s="29" t="n"/>
      <c r="B266" s="31" t="n"/>
      <c r="C266" s="31">
        <f>IF(OR($A266="",$B266=""),"",SUMIFS(QuickLog!$L$2:$L$1000,QuickLog!$B$2:$B$1000,$B266,QuickLog!$Q$2:$Q$1000,$A266))</f>
        <v/>
      </c>
      <c r="D266" s="31">
        <f>Settings!$B$3</f>
        <v/>
      </c>
      <c r="E266" s="31">
        <f>IF($C266="","",MIN($C266,$D266))</f>
        <v/>
      </c>
      <c r="F266" s="40">
        <f>IF($E266="","",$E266*Settings!$B$4)</f>
        <v/>
      </c>
    </row>
    <row r="267">
      <c r="A267" s="29" t="n"/>
      <c r="B267" s="31" t="n"/>
      <c r="C267" s="31">
        <f>IF(OR($A267="",$B267=""),"",SUMIFS(QuickLog!$L$2:$L$1000,QuickLog!$B$2:$B$1000,$B267,QuickLog!$Q$2:$Q$1000,$A267))</f>
        <v/>
      </c>
      <c r="D267" s="31">
        <f>Settings!$B$3</f>
        <v/>
      </c>
      <c r="E267" s="31">
        <f>IF($C267="","",MIN($C267,$D267))</f>
        <v/>
      </c>
      <c r="F267" s="40">
        <f>IF($E267="","",$E267*Settings!$B$4)</f>
        <v/>
      </c>
    </row>
    <row r="268">
      <c r="A268" s="29" t="n"/>
      <c r="B268" s="31" t="n"/>
      <c r="C268" s="31">
        <f>IF(OR($A268="",$B268=""),"",SUMIFS(QuickLog!$L$2:$L$1000,QuickLog!$B$2:$B$1000,$B268,QuickLog!$Q$2:$Q$1000,$A268))</f>
        <v/>
      </c>
      <c r="D268" s="31">
        <f>Settings!$B$3</f>
        <v/>
      </c>
      <c r="E268" s="31">
        <f>IF($C268="","",MIN($C268,$D268))</f>
        <v/>
      </c>
      <c r="F268" s="40">
        <f>IF($E268="","",$E268*Settings!$B$4)</f>
        <v/>
      </c>
    </row>
    <row r="269">
      <c r="A269" s="29" t="n"/>
      <c r="B269" s="31" t="n"/>
      <c r="C269" s="31">
        <f>IF(OR($A269="",$B269=""),"",SUMIFS(QuickLog!$L$2:$L$1000,QuickLog!$B$2:$B$1000,$B269,QuickLog!$Q$2:$Q$1000,$A269))</f>
        <v/>
      </c>
      <c r="D269" s="31">
        <f>Settings!$B$3</f>
        <v/>
      </c>
      <c r="E269" s="31">
        <f>IF($C269="","",MIN($C269,$D269))</f>
        <v/>
      </c>
      <c r="F269" s="40">
        <f>IF($E269="","",$E269*Settings!$B$4)</f>
        <v/>
      </c>
    </row>
    <row r="270">
      <c r="A270" s="29" t="n"/>
      <c r="B270" s="31" t="n"/>
      <c r="C270" s="31">
        <f>IF(OR($A270="",$B270=""),"",SUMIFS(QuickLog!$L$2:$L$1000,QuickLog!$B$2:$B$1000,$B270,QuickLog!$Q$2:$Q$1000,$A270))</f>
        <v/>
      </c>
      <c r="D270" s="31">
        <f>Settings!$B$3</f>
        <v/>
      </c>
      <c r="E270" s="31">
        <f>IF($C270="","",MIN($C270,$D270))</f>
        <v/>
      </c>
      <c r="F270" s="40">
        <f>IF($E270="","",$E270*Settings!$B$4)</f>
        <v/>
      </c>
    </row>
    <row r="271">
      <c r="A271" s="29" t="n"/>
      <c r="B271" s="31" t="n"/>
      <c r="C271" s="31">
        <f>IF(OR($A271="",$B271=""),"",SUMIFS(QuickLog!$L$2:$L$1000,QuickLog!$B$2:$B$1000,$B271,QuickLog!$Q$2:$Q$1000,$A271))</f>
        <v/>
      </c>
      <c r="D271" s="31">
        <f>Settings!$B$3</f>
        <v/>
      </c>
      <c r="E271" s="31">
        <f>IF($C271="","",MIN($C271,$D271))</f>
        <v/>
      </c>
      <c r="F271" s="40">
        <f>IF($E271="","",$E271*Settings!$B$4)</f>
        <v/>
      </c>
    </row>
    <row r="272">
      <c r="A272" s="29" t="n"/>
      <c r="B272" s="31" t="n"/>
      <c r="C272" s="31">
        <f>IF(OR($A272="",$B272=""),"",SUMIFS(QuickLog!$L$2:$L$1000,QuickLog!$B$2:$B$1000,$B272,QuickLog!$Q$2:$Q$1000,$A272))</f>
        <v/>
      </c>
      <c r="D272" s="31">
        <f>Settings!$B$3</f>
        <v/>
      </c>
      <c r="E272" s="31">
        <f>IF($C272="","",MIN($C272,$D272))</f>
        <v/>
      </c>
      <c r="F272" s="40">
        <f>IF($E272="","",$E272*Settings!$B$4)</f>
        <v/>
      </c>
    </row>
    <row r="273">
      <c r="A273" s="29" t="n"/>
      <c r="B273" s="31" t="n"/>
      <c r="C273" s="31">
        <f>IF(OR($A273="",$B273=""),"",SUMIFS(QuickLog!$L$2:$L$1000,QuickLog!$B$2:$B$1000,$B273,QuickLog!$Q$2:$Q$1000,$A273))</f>
        <v/>
      </c>
      <c r="D273" s="31">
        <f>Settings!$B$3</f>
        <v/>
      </c>
      <c r="E273" s="31">
        <f>IF($C273="","",MIN($C273,$D273))</f>
        <v/>
      </c>
      <c r="F273" s="40">
        <f>IF($E273="","",$E273*Settings!$B$4)</f>
        <v/>
      </c>
    </row>
    <row r="274">
      <c r="A274" s="29" t="n"/>
      <c r="B274" s="31" t="n"/>
      <c r="C274" s="31">
        <f>IF(OR($A274="",$B274=""),"",SUMIFS(QuickLog!$L$2:$L$1000,QuickLog!$B$2:$B$1000,$B274,QuickLog!$Q$2:$Q$1000,$A274))</f>
        <v/>
      </c>
      <c r="D274" s="31">
        <f>Settings!$B$3</f>
        <v/>
      </c>
      <c r="E274" s="31">
        <f>IF($C274="","",MIN($C274,$D274))</f>
        <v/>
      </c>
      <c r="F274" s="40">
        <f>IF($E274="","",$E274*Settings!$B$4)</f>
        <v/>
      </c>
    </row>
    <row r="275">
      <c r="A275" s="29" t="n"/>
      <c r="B275" s="31" t="n"/>
      <c r="C275" s="31">
        <f>IF(OR($A275="",$B275=""),"",SUMIFS(QuickLog!$L$2:$L$1000,QuickLog!$B$2:$B$1000,$B275,QuickLog!$Q$2:$Q$1000,$A275))</f>
        <v/>
      </c>
      <c r="D275" s="31">
        <f>Settings!$B$3</f>
        <v/>
      </c>
      <c r="E275" s="31">
        <f>IF($C275="","",MIN($C275,$D275))</f>
        <v/>
      </c>
      <c r="F275" s="40">
        <f>IF($E275="","",$E275*Settings!$B$4)</f>
        <v/>
      </c>
    </row>
    <row r="276">
      <c r="A276" s="29" t="n"/>
      <c r="B276" s="31" t="n"/>
      <c r="C276" s="31">
        <f>IF(OR($A276="",$B276=""),"",SUMIFS(QuickLog!$L$2:$L$1000,QuickLog!$B$2:$B$1000,$B276,QuickLog!$Q$2:$Q$1000,$A276))</f>
        <v/>
      </c>
      <c r="D276" s="31">
        <f>Settings!$B$3</f>
        <v/>
      </c>
      <c r="E276" s="31">
        <f>IF($C276="","",MIN($C276,$D276))</f>
        <v/>
      </c>
      <c r="F276" s="40">
        <f>IF($E276="","",$E276*Settings!$B$4)</f>
        <v/>
      </c>
    </row>
    <row r="277">
      <c r="A277" s="29" t="n"/>
      <c r="B277" s="31" t="n"/>
      <c r="C277" s="31">
        <f>IF(OR($A277="",$B277=""),"",SUMIFS(QuickLog!$L$2:$L$1000,QuickLog!$B$2:$B$1000,$B277,QuickLog!$Q$2:$Q$1000,$A277))</f>
        <v/>
      </c>
      <c r="D277" s="31">
        <f>Settings!$B$3</f>
        <v/>
      </c>
      <c r="E277" s="31">
        <f>IF($C277="","",MIN($C277,$D277))</f>
        <v/>
      </c>
      <c r="F277" s="40">
        <f>IF($E277="","",$E277*Settings!$B$4)</f>
        <v/>
      </c>
    </row>
    <row r="278">
      <c r="A278" s="29" t="n"/>
      <c r="B278" s="31" t="n"/>
      <c r="C278" s="31">
        <f>IF(OR($A278="",$B278=""),"",SUMIFS(QuickLog!$L$2:$L$1000,QuickLog!$B$2:$B$1000,$B278,QuickLog!$Q$2:$Q$1000,$A278))</f>
        <v/>
      </c>
      <c r="D278" s="31">
        <f>Settings!$B$3</f>
        <v/>
      </c>
      <c r="E278" s="31">
        <f>IF($C278="","",MIN($C278,$D278))</f>
        <v/>
      </c>
      <c r="F278" s="40">
        <f>IF($E278="","",$E278*Settings!$B$4)</f>
        <v/>
      </c>
    </row>
    <row r="279">
      <c r="A279" s="29" t="n"/>
      <c r="B279" s="31" t="n"/>
      <c r="C279" s="31">
        <f>IF(OR($A279="",$B279=""),"",SUMIFS(QuickLog!$L$2:$L$1000,QuickLog!$B$2:$B$1000,$B279,QuickLog!$Q$2:$Q$1000,$A279))</f>
        <v/>
      </c>
      <c r="D279" s="31">
        <f>Settings!$B$3</f>
        <v/>
      </c>
      <c r="E279" s="31">
        <f>IF($C279="","",MIN($C279,$D279))</f>
        <v/>
      </c>
      <c r="F279" s="40">
        <f>IF($E279="","",$E279*Settings!$B$4)</f>
        <v/>
      </c>
    </row>
    <row r="280">
      <c r="A280" s="29" t="n"/>
      <c r="B280" s="31" t="n"/>
      <c r="C280" s="31">
        <f>IF(OR($A280="",$B280=""),"",SUMIFS(QuickLog!$L$2:$L$1000,QuickLog!$B$2:$B$1000,$B280,QuickLog!$Q$2:$Q$1000,$A280))</f>
        <v/>
      </c>
      <c r="D280" s="31">
        <f>Settings!$B$3</f>
        <v/>
      </c>
      <c r="E280" s="31">
        <f>IF($C280="","",MIN($C280,$D280))</f>
        <v/>
      </c>
      <c r="F280" s="40">
        <f>IF($E280="","",$E280*Settings!$B$4)</f>
        <v/>
      </c>
    </row>
    <row r="281">
      <c r="A281" s="29" t="n"/>
      <c r="B281" s="31" t="n"/>
      <c r="C281" s="31">
        <f>IF(OR($A281="",$B281=""),"",SUMIFS(QuickLog!$L$2:$L$1000,QuickLog!$B$2:$B$1000,$B281,QuickLog!$Q$2:$Q$1000,$A281))</f>
        <v/>
      </c>
      <c r="D281" s="31">
        <f>Settings!$B$3</f>
        <v/>
      </c>
      <c r="E281" s="31">
        <f>IF($C281="","",MIN($C281,$D281))</f>
        <v/>
      </c>
      <c r="F281" s="40">
        <f>IF($E281="","",$E281*Settings!$B$4)</f>
        <v/>
      </c>
    </row>
    <row r="282">
      <c r="A282" s="29" t="n"/>
      <c r="B282" s="31" t="n"/>
      <c r="C282" s="31">
        <f>IF(OR($A282="",$B282=""),"",SUMIFS(QuickLog!$L$2:$L$1000,QuickLog!$B$2:$B$1000,$B282,QuickLog!$Q$2:$Q$1000,$A282))</f>
        <v/>
      </c>
      <c r="D282" s="31">
        <f>Settings!$B$3</f>
        <v/>
      </c>
      <c r="E282" s="31">
        <f>IF($C282="","",MIN($C282,$D282))</f>
        <v/>
      </c>
      <c r="F282" s="40">
        <f>IF($E282="","",$E282*Settings!$B$4)</f>
        <v/>
      </c>
    </row>
    <row r="283">
      <c r="A283" s="29" t="n"/>
      <c r="B283" s="31" t="n"/>
      <c r="C283" s="31">
        <f>IF(OR($A283="",$B283=""),"",SUMIFS(QuickLog!$L$2:$L$1000,QuickLog!$B$2:$B$1000,$B283,QuickLog!$Q$2:$Q$1000,$A283))</f>
        <v/>
      </c>
      <c r="D283" s="31">
        <f>Settings!$B$3</f>
        <v/>
      </c>
      <c r="E283" s="31">
        <f>IF($C283="","",MIN($C283,$D283))</f>
        <v/>
      </c>
      <c r="F283" s="40">
        <f>IF($E283="","",$E283*Settings!$B$4)</f>
        <v/>
      </c>
    </row>
    <row r="284">
      <c r="A284" s="29" t="n"/>
      <c r="B284" s="31" t="n"/>
      <c r="C284" s="31">
        <f>IF(OR($A284="",$B284=""),"",SUMIFS(QuickLog!$L$2:$L$1000,QuickLog!$B$2:$B$1000,$B284,QuickLog!$Q$2:$Q$1000,$A284))</f>
        <v/>
      </c>
      <c r="D284" s="31">
        <f>Settings!$B$3</f>
        <v/>
      </c>
      <c r="E284" s="31">
        <f>IF($C284="","",MIN($C284,$D284))</f>
        <v/>
      </c>
      <c r="F284" s="40">
        <f>IF($E284="","",$E284*Settings!$B$4)</f>
        <v/>
      </c>
    </row>
    <row r="285">
      <c r="A285" s="29" t="n"/>
      <c r="B285" s="31" t="n"/>
      <c r="C285" s="31">
        <f>IF(OR($A285="",$B285=""),"",SUMIFS(QuickLog!$L$2:$L$1000,QuickLog!$B$2:$B$1000,$B285,QuickLog!$Q$2:$Q$1000,$A285))</f>
        <v/>
      </c>
      <c r="D285" s="31">
        <f>Settings!$B$3</f>
        <v/>
      </c>
      <c r="E285" s="31">
        <f>IF($C285="","",MIN($C285,$D285))</f>
        <v/>
      </c>
      <c r="F285" s="40">
        <f>IF($E285="","",$E285*Settings!$B$4)</f>
        <v/>
      </c>
    </row>
    <row r="286">
      <c r="A286" s="29" t="n"/>
      <c r="B286" s="31" t="n"/>
      <c r="C286" s="31">
        <f>IF(OR($A286="",$B286=""),"",SUMIFS(QuickLog!$L$2:$L$1000,QuickLog!$B$2:$B$1000,$B286,QuickLog!$Q$2:$Q$1000,$A286))</f>
        <v/>
      </c>
      <c r="D286" s="31">
        <f>Settings!$B$3</f>
        <v/>
      </c>
      <c r="E286" s="31">
        <f>IF($C286="","",MIN($C286,$D286))</f>
        <v/>
      </c>
      <c r="F286" s="40">
        <f>IF($E286="","",$E286*Settings!$B$4)</f>
        <v/>
      </c>
    </row>
    <row r="287">
      <c r="A287" s="29" t="n"/>
      <c r="B287" s="31" t="n"/>
      <c r="C287" s="31">
        <f>IF(OR($A287="",$B287=""),"",SUMIFS(QuickLog!$L$2:$L$1000,QuickLog!$B$2:$B$1000,$B287,QuickLog!$Q$2:$Q$1000,$A287))</f>
        <v/>
      </c>
      <c r="D287" s="31">
        <f>Settings!$B$3</f>
        <v/>
      </c>
      <c r="E287" s="31">
        <f>IF($C287="","",MIN($C287,$D287))</f>
        <v/>
      </c>
      <c r="F287" s="40">
        <f>IF($E287="","",$E287*Settings!$B$4)</f>
        <v/>
      </c>
    </row>
    <row r="288">
      <c r="A288" s="29" t="n"/>
      <c r="B288" s="31" t="n"/>
      <c r="C288" s="31">
        <f>IF(OR($A288="",$B288=""),"",SUMIFS(QuickLog!$L$2:$L$1000,QuickLog!$B$2:$B$1000,$B288,QuickLog!$Q$2:$Q$1000,$A288))</f>
        <v/>
      </c>
      <c r="D288" s="31">
        <f>Settings!$B$3</f>
        <v/>
      </c>
      <c r="E288" s="31">
        <f>IF($C288="","",MIN($C288,$D288))</f>
        <v/>
      </c>
      <c r="F288" s="40">
        <f>IF($E288="","",$E288*Settings!$B$4)</f>
        <v/>
      </c>
    </row>
    <row r="289">
      <c r="A289" s="29" t="n"/>
      <c r="B289" s="31" t="n"/>
      <c r="C289" s="31">
        <f>IF(OR($A289="",$B289=""),"",SUMIFS(QuickLog!$L$2:$L$1000,QuickLog!$B$2:$B$1000,$B289,QuickLog!$Q$2:$Q$1000,$A289))</f>
        <v/>
      </c>
      <c r="D289" s="31">
        <f>Settings!$B$3</f>
        <v/>
      </c>
      <c r="E289" s="31">
        <f>IF($C289="","",MIN($C289,$D289))</f>
        <v/>
      </c>
      <c r="F289" s="40">
        <f>IF($E289="","",$E289*Settings!$B$4)</f>
        <v/>
      </c>
    </row>
    <row r="290">
      <c r="A290" s="29" t="n"/>
      <c r="B290" s="31" t="n"/>
      <c r="C290" s="31">
        <f>IF(OR($A290="",$B290=""),"",SUMIFS(QuickLog!$L$2:$L$1000,QuickLog!$B$2:$B$1000,$B290,QuickLog!$Q$2:$Q$1000,$A290))</f>
        <v/>
      </c>
      <c r="D290" s="31">
        <f>Settings!$B$3</f>
        <v/>
      </c>
      <c r="E290" s="31">
        <f>IF($C290="","",MIN($C290,$D290))</f>
        <v/>
      </c>
      <c r="F290" s="40">
        <f>IF($E290="","",$E290*Settings!$B$4)</f>
        <v/>
      </c>
    </row>
    <row r="291">
      <c r="A291" s="29" t="n"/>
      <c r="B291" s="31" t="n"/>
      <c r="C291" s="31">
        <f>IF(OR($A291="",$B291=""),"",SUMIFS(QuickLog!$L$2:$L$1000,QuickLog!$B$2:$B$1000,$B291,QuickLog!$Q$2:$Q$1000,$A291))</f>
        <v/>
      </c>
      <c r="D291" s="31">
        <f>Settings!$B$3</f>
        <v/>
      </c>
      <c r="E291" s="31">
        <f>IF($C291="","",MIN($C291,$D291))</f>
        <v/>
      </c>
      <c r="F291" s="40">
        <f>IF($E291="","",$E291*Settings!$B$4)</f>
        <v/>
      </c>
    </row>
    <row r="292">
      <c r="A292" s="29" t="n"/>
      <c r="B292" s="31" t="n"/>
      <c r="C292" s="31">
        <f>IF(OR($A292="",$B292=""),"",SUMIFS(QuickLog!$L$2:$L$1000,QuickLog!$B$2:$B$1000,$B292,QuickLog!$Q$2:$Q$1000,$A292))</f>
        <v/>
      </c>
      <c r="D292" s="31">
        <f>Settings!$B$3</f>
        <v/>
      </c>
      <c r="E292" s="31">
        <f>IF($C292="","",MIN($C292,$D292))</f>
        <v/>
      </c>
      <c r="F292" s="40">
        <f>IF($E292="","",$E292*Settings!$B$4)</f>
        <v/>
      </c>
    </row>
    <row r="293">
      <c r="A293" s="29" t="n"/>
      <c r="B293" s="31" t="n"/>
      <c r="C293" s="31">
        <f>IF(OR($A293="",$B293=""),"",SUMIFS(QuickLog!$L$2:$L$1000,QuickLog!$B$2:$B$1000,$B293,QuickLog!$Q$2:$Q$1000,$A293))</f>
        <v/>
      </c>
      <c r="D293" s="31">
        <f>Settings!$B$3</f>
        <v/>
      </c>
      <c r="E293" s="31">
        <f>IF($C293="","",MIN($C293,$D293))</f>
        <v/>
      </c>
      <c r="F293" s="40">
        <f>IF($E293="","",$E293*Settings!$B$4)</f>
        <v/>
      </c>
    </row>
    <row r="294">
      <c r="A294" s="29" t="n"/>
      <c r="B294" s="31" t="n"/>
      <c r="C294" s="31">
        <f>IF(OR($A294="",$B294=""),"",SUMIFS(QuickLog!$L$2:$L$1000,QuickLog!$B$2:$B$1000,$B294,QuickLog!$Q$2:$Q$1000,$A294))</f>
        <v/>
      </c>
      <c r="D294" s="31">
        <f>Settings!$B$3</f>
        <v/>
      </c>
      <c r="E294" s="31">
        <f>IF($C294="","",MIN($C294,$D294))</f>
        <v/>
      </c>
      <c r="F294" s="40">
        <f>IF($E294="","",$E294*Settings!$B$4)</f>
        <v/>
      </c>
    </row>
    <row r="295">
      <c r="A295" s="29" t="n"/>
      <c r="B295" s="31" t="n"/>
      <c r="C295" s="31">
        <f>IF(OR($A295="",$B295=""),"",SUMIFS(QuickLog!$L$2:$L$1000,QuickLog!$B$2:$B$1000,$B295,QuickLog!$Q$2:$Q$1000,$A295))</f>
        <v/>
      </c>
      <c r="D295" s="31">
        <f>Settings!$B$3</f>
        <v/>
      </c>
      <c r="E295" s="31">
        <f>IF($C295="","",MIN($C295,$D295))</f>
        <v/>
      </c>
      <c r="F295" s="40">
        <f>IF($E295="","",$E295*Settings!$B$4)</f>
        <v/>
      </c>
    </row>
    <row r="296">
      <c r="A296" s="29" t="n"/>
      <c r="B296" s="31" t="n"/>
      <c r="C296" s="31">
        <f>IF(OR($A296="",$B296=""),"",SUMIFS(QuickLog!$L$2:$L$1000,QuickLog!$B$2:$B$1000,$B296,QuickLog!$Q$2:$Q$1000,$A296))</f>
        <v/>
      </c>
      <c r="D296" s="31">
        <f>Settings!$B$3</f>
        <v/>
      </c>
      <c r="E296" s="31">
        <f>IF($C296="","",MIN($C296,$D296))</f>
        <v/>
      </c>
      <c r="F296" s="40">
        <f>IF($E296="","",$E296*Settings!$B$4)</f>
        <v/>
      </c>
    </row>
    <row r="297">
      <c r="A297" s="29" t="n"/>
      <c r="B297" s="31" t="n"/>
      <c r="C297" s="31">
        <f>IF(OR($A297="",$B297=""),"",SUMIFS(QuickLog!$L$2:$L$1000,QuickLog!$B$2:$B$1000,$B297,QuickLog!$Q$2:$Q$1000,$A297))</f>
        <v/>
      </c>
      <c r="D297" s="31">
        <f>Settings!$B$3</f>
        <v/>
      </c>
      <c r="E297" s="31">
        <f>IF($C297="","",MIN($C297,$D297))</f>
        <v/>
      </c>
      <c r="F297" s="40">
        <f>IF($E297="","",$E297*Settings!$B$4)</f>
        <v/>
      </c>
    </row>
    <row r="298">
      <c r="A298" s="29" t="n"/>
      <c r="B298" s="31" t="n"/>
      <c r="C298" s="31">
        <f>IF(OR($A298="",$B298=""),"",SUMIFS(QuickLog!$L$2:$L$1000,QuickLog!$B$2:$B$1000,$B298,QuickLog!$Q$2:$Q$1000,$A298))</f>
        <v/>
      </c>
      <c r="D298" s="31">
        <f>Settings!$B$3</f>
        <v/>
      </c>
      <c r="E298" s="31">
        <f>IF($C298="","",MIN($C298,$D298))</f>
        <v/>
      </c>
      <c r="F298" s="40">
        <f>IF($E298="","",$E298*Settings!$B$4)</f>
        <v/>
      </c>
    </row>
    <row r="299">
      <c r="A299" s="29" t="n"/>
      <c r="B299" s="31" t="n"/>
      <c r="C299" s="31">
        <f>IF(OR($A299="",$B299=""),"",SUMIFS(QuickLog!$L$2:$L$1000,QuickLog!$B$2:$B$1000,$B299,QuickLog!$Q$2:$Q$1000,$A299))</f>
        <v/>
      </c>
      <c r="D299" s="31">
        <f>Settings!$B$3</f>
        <v/>
      </c>
      <c r="E299" s="31">
        <f>IF($C299="","",MIN($C299,$D299))</f>
        <v/>
      </c>
      <c r="F299" s="40">
        <f>IF($E299="","",$E299*Settings!$B$4)</f>
        <v/>
      </c>
    </row>
    <row r="300">
      <c r="A300" s="29" t="n"/>
      <c r="B300" s="31" t="n"/>
      <c r="C300" s="31">
        <f>IF(OR($A300="",$B300=""),"",SUMIFS(QuickLog!$L$2:$L$1000,QuickLog!$B$2:$B$1000,$B300,QuickLog!$Q$2:$Q$1000,$A300))</f>
        <v/>
      </c>
      <c r="D300" s="31">
        <f>Settings!$B$3</f>
        <v/>
      </c>
      <c r="E300" s="31">
        <f>IF($C300="","",MIN($C300,$D300))</f>
        <v/>
      </c>
      <c r="F300" s="40">
        <f>IF($E300="","",$E300*Settings!$B$4)</f>
        <v/>
      </c>
    </row>
    <row r="301">
      <c r="A301" s="29" t="n"/>
      <c r="B301" s="31" t="n"/>
      <c r="C301" s="31">
        <f>IF(OR($A301="",$B301=""),"",SUMIFS(QuickLog!$L$2:$L$1000,QuickLog!$B$2:$B$1000,$B301,QuickLog!$Q$2:$Q$1000,$A301))</f>
        <v/>
      </c>
      <c r="D301" s="31">
        <f>Settings!$B$3</f>
        <v/>
      </c>
      <c r="E301" s="31">
        <f>IF($C301="","",MIN($C301,$D301))</f>
        <v/>
      </c>
      <c r="F301" s="40">
        <f>IF($E301="","",$E301*Settings!$B$4)</f>
        <v/>
      </c>
    </row>
    <row r="302">
      <c r="A302" s="29" t="n"/>
      <c r="B302" s="31" t="n"/>
      <c r="C302" s="31">
        <f>IF(OR($A302="",$B302=""),"",SUMIFS(QuickLog!$L$2:$L$1000,QuickLog!$B$2:$B$1000,$B302,QuickLog!$Q$2:$Q$1000,$A302))</f>
        <v/>
      </c>
      <c r="D302" s="31">
        <f>Settings!$B$3</f>
        <v/>
      </c>
      <c r="E302" s="31">
        <f>IF($C302="","",MIN($C302,$D302))</f>
        <v/>
      </c>
      <c r="F302" s="40">
        <f>IF($E302="","",$E302*Settings!$B$4)</f>
        <v/>
      </c>
    </row>
    <row r="303">
      <c r="A303" s="29" t="n"/>
      <c r="B303" s="31" t="n"/>
      <c r="C303" s="31">
        <f>IF(OR($A303="",$B303=""),"",SUMIFS(QuickLog!$L$2:$L$1000,QuickLog!$B$2:$B$1000,$B303,QuickLog!$Q$2:$Q$1000,$A303))</f>
        <v/>
      </c>
      <c r="D303" s="31">
        <f>Settings!$B$3</f>
        <v/>
      </c>
      <c r="E303" s="31">
        <f>IF($C303="","",MIN($C303,$D303))</f>
        <v/>
      </c>
      <c r="F303" s="40">
        <f>IF($E303="","",$E303*Settings!$B$4)</f>
        <v/>
      </c>
    </row>
    <row r="304">
      <c r="A304" s="29" t="n"/>
      <c r="B304" s="31" t="n"/>
      <c r="C304" s="31">
        <f>IF(OR($A304="",$B304=""),"",SUMIFS(QuickLog!$L$2:$L$1000,QuickLog!$B$2:$B$1000,$B304,QuickLog!$Q$2:$Q$1000,$A304))</f>
        <v/>
      </c>
      <c r="D304" s="31">
        <f>Settings!$B$3</f>
        <v/>
      </c>
      <c r="E304" s="31">
        <f>IF($C304="","",MIN($C304,$D304))</f>
        <v/>
      </c>
      <c r="F304" s="40">
        <f>IF($E304="","",$E304*Settings!$B$4)</f>
        <v/>
      </c>
    </row>
    <row r="305">
      <c r="A305" s="29" t="n"/>
      <c r="B305" s="31" t="n"/>
      <c r="C305" s="31">
        <f>IF(OR($A305="",$B305=""),"",SUMIFS(QuickLog!$L$2:$L$1000,QuickLog!$B$2:$B$1000,$B305,QuickLog!$Q$2:$Q$1000,$A305))</f>
        <v/>
      </c>
      <c r="D305" s="31">
        <f>Settings!$B$3</f>
        <v/>
      </c>
      <c r="E305" s="31">
        <f>IF($C305="","",MIN($C305,$D305))</f>
        <v/>
      </c>
      <c r="F305" s="40">
        <f>IF($E305="","",$E305*Settings!$B$4)</f>
        <v/>
      </c>
    </row>
    <row r="306">
      <c r="A306" s="29" t="n"/>
      <c r="B306" s="31" t="n"/>
      <c r="C306" s="31">
        <f>IF(OR($A306="",$B306=""),"",SUMIFS(QuickLog!$L$2:$L$1000,QuickLog!$B$2:$B$1000,$B306,QuickLog!$Q$2:$Q$1000,$A306))</f>
        <v/>
      </c>
      <c r="D306" s="31">
        <f>Settings!$B$3</f>
        <v/>
      </c>
      <c r="E306" s="31">
        <f>IF($C306="","",MIN($C306,$D306))</f>
        <v/>
      </c>
      <c r="F306" s="40">
        <f>IF($E306="","",$E306*Settings!$B$4)</f>
        <v/>
      </c>
    </row>
    <row r="307">
      <c r="A307" s="29" t="n"/>
      <c r="B307" s="31" t="n"/>
      <c r="C307" s="31">
        <f>IF(OR($A307="",$B307=""),"",SUMIFS(QuickLog!$L$2:$L$1000,QuickLog!$B$2:$B$1000,$B307,QuickLog!$Q$2:$Q$1000,$A307))</f>
        <v/>
      </c>
      <c r="D307" s="31">
        <f>Settings!$B$3</f>
        <v/>
      </c>
      <c r="E307" s="31">
        <f>IF($C307="","",MIN($C307,$D307))</f>
        <v/>
      </c>
      <c r="F307" s="40">
        <f>IF($E307="","",$E307*Settings!$B$4)</f>
        <v/>
      </c>
    </row>
    <row r="308">
      <c r="A308" s="29" t="n"/>
      <c r="B308" s="31" t="n"/>
      <c r="C308" s="31">
        <f>IF(OR($A308="",$B308=""),"",SUMIFS(QuickLog!$L$2:$L$1000,QuickLog!$B$2:$B$1000,$B308,QuickLog!$Q$2:$Q$1000,$A308))</f>
        <v/>
      </c>
      <c r="D308" s="31">
        <f>Settings!$B$3</f>
        <v/>
      </c>
      <c r="E308" s="31">
        <f>IF($C308="","",MIN($C308,$D308))</f>
        <v/>
      </c>
      <c r="F308" s="40">
        <f>IF($E308="","",$E308*Settings!$B$4)</f>
        <v/>
      </c>
    </row>
    <row r="309">
      <c r="A309" s="29" t="n"/>
      <c r="B309" s="31" t="n"/>
      <c r="C309" s="31">
        <f>IF(OR($A309="",$B309=""),"",SUMIFS(QuickLog!$L$2:$L$1000,QuickLog!$B$2:$B$1000,$B309,QuickLog!$Q$2:$Q$1000,$A309))</f>
        <v/>
      </c>
      <c r="D309" s="31">
        <f>Settings!$B$3</f>
        <v/>
      </c>
      <c r="E309" s="31">
        <f>IF($C309="","",MIN($C309,$D309))</f>
        <v/>
      </c>
      <c r="F309" s="40">
        <f>IF($E309="","",$E309*Settings!$B$4)</f>
        <v/>
      </c>
    </row>
    <row r="310">
      <c r="A310" s="29" t="n"/>
      <c r="B310" s="31" t="n"/>
      <c r="C310" s="31">
        <f>IF(OR($A310="",$B310=""),"",SUMIFS(QuickLog!$L$2:$L$1000,QuickLog!$B$2:$B$1000,$B310,QuickLog!$Q$2:$Q$1000,$A310))</f>
        <v/>
      </c>
      <c r="D310" s="31">
        <f>Settings!$B$3</f>
        <v/>
      </c>
      <c r="E310" s="31">
        <f>IF($C310="","",MIN($C310,$D310))</f>
        <v/>
      </c>
      <c r="F310" s="40">
        <f>IF($E310="","",$E310*Settings!$B$4)</f>
        <v/>
      </c>
    </row>
    <row r="311">
      <c r="A311" s="29" t="n"/>
      <c r="B311" s="31" t="n"/>
      <c r="C311" s="31">
        <f>IF(OR($A311="",$B311=""),"",SUMIFS(QuickLog!$L$2:$L$1000,QuickLog!$B$2:$B$1000,$B311,QuickLog!$Q$2:$Q$1000,$A311))</f>
        <v/>
      </c>
      <c r="D311" s="31">
        <f>Settings!$B$3</f>
        <v/>
      </c>
      <c r="E311" s="31">
        <f>IF($C311="","",MIN($C311,$D311))</f>
        <v/>
      </c>
      <c r="F311" s="40">
        <f>IF($E311="","",$E311*Settings!$B$4)</f>
        <v/>
      </c>
    </row>
    <row r="312">
      <c r="A312" s="29" t="n"/>
      <c r="B312" s="31" t="n"/>
      <c r="C312" s="31">
        <f>IF(OR($A312="",$B312=""),"",SUMIFS(QuickLog!$L$2:$L$1000,QuickLog!$B$2:$B$1000,$B312,QuickLog!$Q$2:$Q$1000,$A312))</f>
        <v/>
      </c>
      <c r="D312" s="31">
        <f>Settings!$B$3</f>
        <v/>
      </c>
      <c r="E312" s="31">
        <f>IF($C312="","",MIN($C312,$D312))</f>
        <v/>
      </c>
      <c r="F312" s="40">
        <f>IF($E312="","",$E312*Settings!$B$4)</f>
        <v/>
      </c>
    </row>
    <row r="313">
      <c r="A313" s="29" t="n"/>
      <c r="B313" s="31" t="n"/>
      <c r="C313" s="31">
        <f>IF(OR($A313="",$B313=""),"",SUMIFS(QuickLog!$L$2:$L$1000,QuickLog!$B$2:$B$1000,$B313,QuickLog!$Q$2:$Q$1000,$A313))</f>
        <v/>
      </c>
      <c r="D313" s="31">
        <f>Settings!$B$3</f>
        <v/>
      </c>
      <c r="E313" s="31">
        <f>IF($C313="","",MIN($C313,$D313))</f>
        <v/>
      </c>
      <c r="F313" s="40">
        <f>IF($E313="","",$E313*Settings!$B$4)</f>
        <v/>
      </c>
    </row>
    <row r="314">
      <c r="A314" s="29" t="n"/>
      <c r="B314" s="31" t="n"/>
      <c r="C314" s="31">
        <f>IF(OR($A314="",$B314=""),"",SUMIFS(QuickLog!$L$2:$L$1000,QuickLog!$B$2:$B$1000,$B314,QuickLog!$Q$2:$Q$1000,$A314))</f>
        <v/>
      </c>
      <c r="D314" s="31">
        <f>Settings!$B$3</f>
        <v/>
      </c>
      <c r="E314" s="31">
        <f>IF($C314="","",MIN($C314,$D314))</f>
        <v/>
      </c>
      <c r="F314" s="40">
        <f>IF($E314="","",$E314*Settings!$B$4)</f>
        <v/>
      </c>
    </row>
    <row r="315">
      <c r="A315" s="29" t="n"/>
      <c r="B315" s="31" t="n"/>
      <c r="C315" s="31">
        <f>IF(OR($A315="",$B315=""),"",SUMIFS(QuickLog!$L$2:$L$1000,QuickLog!$B$2:$B$1000,$B315,QuickLog!$Q$2:$Q$1000,$A315))</f>
        <v/>
      </c>
      <c r="D315" s="31">
        <f>Settings!$B$3</f>
        <v/>
      </c>
      <c r="E315" s="31">
        <f>IF($C315="","",MIN($C315,$D315))</f>
        <v/>
      </c>
      <c r="F315" s="40">
        <f>IF($E315="","",$E315*Settings!$B$4)</f>
        <v/>
      </c>
    </row>
    <row r="316">
      <c r="A316" s="29" t="n"/>
      <c r="B316" s="31" t="n"/>
      <c r="C316" s="31">
        <f>IF(OR($A316="",$B316=""),"",SUMIFS(QuickLog!$L$2:$L$1000,QuickLog!$B$2:$B$1000,$B316,QuickLog!$Q$2:$Q$1000,$A316))</f>
        <v/>
      </c>
      <c r="D316" s="31">
        <f>Settings!$B$3</f>
        <v/>
      </c>
      <c r="E316" s="31">
        <f>IF($C316="","",MIN($C316,$D316))</f>
        <v/>
      </c>
      <c r="F316" s="40">
        <f>IF($E316="","",$E316*Settings!$B$4)</f>
        <v/>
      </c>
    </row>
    <row r="317">
      <c r="A317" s="29" t="n"/>
      <c r="B317" s="31" t="n"/>
      <c r="C317" s="31">
        <f>IF(OR($A317="",$B317=""),"",SUMIFS(QuickLog!$L$2:$L$1000,QuickLog!$B$2:$B$1000,$B317,QuickLog!$Q$2:$Q$1000,$A317))</f>
        <v/>
      </c>
      <c r="D317" s="31">
        <f>Settings!$B$3</f>
        <v/>
      </c>
      <c r="E317" s="31">
        <f>IF($C317="","",MIN($C317,$D317))</f>
        <v/>
      </c>
      <c r="F317" s="40">
        <f>IF($E317="","",$E317*Settings!$B$4)</f>
        <v/>
      </c>
    </row>
    <row r="318">
      <c r="A318" s="29" t="n"/>
      <c r="B318" s="31" t="n"/>
      <c r="C318" s="31">
        <f>IF(OR($A318="",$B318=""),"",SUMIFS(QuickLog!$L$2:$L$1000,QuickLog!$B$2:$B$1000,$B318,QuickLog!$Q$2:$Q$1000,$A318))</f>
        <v/>
      </c>
      <c r="D318" s="31">
        <f>Settings!$B$3</f>
        <v/>
      </c>
      <c r="E318" s="31">
        <f>IF($C318="","",MIN($C318,$D318))</f>
        <v/>
      </c>
      <c r="F318" s="40">
        <f>IF($E318="","",$E318*Settings!$B$4)</f>
        <v/>
      </c>
    </row>
    <row r="319">
      <c r="A319" s="29" t="n"/>
      <c r="B319" s="31" t="n"/>
      <c r="C319" s="31">
        <f>IF(OR($A319="",$B319=""),"",SUMIFS(QuickLog!$L$2:$L$1000,QuickLog!$B$2:$B$1000,$B319,QuickLog!$Q$2:$Q$1000,$A319))</f>
        <v/>
      </c>
      <c r="D319" s="31">
        <f>Settings!$B$3</f>
        <v/>
      </c>
      <c r="E319" s="31">
        <f>IF($C319="","",MIN($C319,$D319))</f>
        <v/>
      </c>
      <c r="F319" s="40">
        <f>IF($E319="","",$E319*Settings!$B$4)</f>
        <v/>
      </c>
    </row>
    <row r="320">
      <c r="A320" s="29" t="n"/>
      <c r="B320" s="31" t="n"/>
      <c r="C320" s="31">
        <f>IF(OR($A320="",$B320=""),"",SUMIFS(QuickLog!$L$2:$L$1000,QuickLog!$B$2:$B$1000,$B320,QuickLog!$Q$2:$Q$1000,$A320))</f>
        <v/>
      </c>
      <c r="D320" s="31">
        <f>Settings!$B$3</f>
        <v/>
      </c>
      <c r="E320" s="31">
        <f>IF($C320="","",MIN($C320,$D320))</f>
        <v/>
      </c>
      <c r="F320" s="40">
        <f>IF($E320="","",$E320*Settings!$B$4)</f>
        <v/>
      </c>
    </row>
    <row r="321">
      <c r="A321" s="29" t="n"/>
      <c r="B321" s="31" t="n"/>
      <c r="C321" s="31">
        <f>IF(OR($A321="",$B321=""),"",SUMIFS(QuickLog!$L$2:$L$1000,QuickLog!$B$2:$B$1000,$B321,QuickLog!$Q$2:$Q$1000,$A321))</f>
        <v/>
      </c>
      <c r="D321" s="31">
        <f>Settings!$B$3</f>
        <v/>
      </c>
      <c r="E321" s="31">
        <f>IF($C321="","",MIN($C321,$D321))</f>
        <v/>
      </c>
      <c r="F321" s="40">
        <f>IF($E321="","",$E321*Settings!$B$4)</f>
        <v/>
      </c>
    </row>
    <row r="322">
      <c r="A322" s="29" t="n"/>
      <c r="B322" s="31" t="n"/>
      <c r="C322" s="31">
        <f>IF(OR($A322="",$B322=""),"",SUMIFS(QuickLog!$L$2:$L$1000,QuickLog!$B$2:$B$1000,$B322,QuickLog!$Q$2:$Q$1000,$A322))</f>
        <v/>
      </c>
      <c r="D322" s="31">
        <f>Settings!$B$3</f>
        <v/>
      </c>
      <c r="E322" s="31">
        <f>IF($C322="","",MIN($C322,$D322))</f>
        <v/>
      </c>
      <c r="F322" s="40">
        <f>IF($E322="","",$E322*Settings!$B$4)</f>
        <v/>
      </c>
    </row>
    <row r="323">
      <c r="A323" s="29" t="n"/>
      <c r="B323" s="31" t="n"/>
      <c r="C323" s="31">
        <f>IF(OR($A323="",$B323=""),"",SUMIFS(QuickLog!$L$2:$L$1000,QuickLog!$B$2:$B$1000,$B323,QuickLog!$Q$2:$Q$1000,$A323))</f>
        <v/>
      </c>
      <c r="D323" s="31">
        <f>Settings!$B$3</f>
        <v/>
      </c>
      <c r="E323" s="31">
        <f>IF($C323="","",MIN($C323,$D323))</f>
        <v/>
      </c>
      <c r="F323" s="40">
        <f>IF($E323="","",$E323*Settings!$B$4)</f>
        <v/>
      </c>
    </row>
    <row r="324">
      <c r="A324" s="29" t="n"/>
      <c r="B324" s="31" t="n"/>
      <c r="C324" s="31">
        <f>IF(OR($A324="",$B324=""),"",SUMIFS(QuickLog!$L$2:$L$1000,QuickLog!$B$2:$B$1000,$B324,QuickLog!$Q$2:$Q$1000,$A324))</f>
        <v/>
      </c>
      <c r="D324" s="31">
        <f>Settings!$B$3</f>
        <v/>
      </c>
      <c r="E324" s="31">
        <f>IF($C324="","",MIN($C324,$D324))</f>
        <v/>
      </c>
      <c r="F324" s="40">
        <f>IF($E324="","",$E324*Settings!$B$4)</f>
        <v/>
      </c>
    </row>
    <row r="325">
      <c r="A325" s="29" t="n"/>
      <c r="B325" s="31" t="n"/>
      <c r="C325" s="31">
        <f>IF(OR($A325="",$B325=""),"",SUMIFS(QuickLog!$L$2:$L$1000,QuickLog!$B$2:$B$1000,$B325,QuickLog!$Q$2:$Q$1000,$A325))</f>
        <v/>
      </c>
      <c r="D325" s="31">
        <f>Settings!$B$3</f>
        <v/>
      </c>
      <c r="E325" s="31">
        <f>IF($C325="","",MIN($C325,$D325))</f>
        <v/>
      </c>
      <c r="F325" s="40">
        <f>IF($E325="","",$E325*Settings!$B$4)</f>
        <v/>
      </c>
    </row>
    <row r="326">
      <c r="A326" s="29" t="n"/>
      <c r="B326" s="31" t="n"/>
      <c r="C326" s="31">
        <f>IF(OR($A326="",$B326=""),"",SUMIFS(QuickLog!$L$2:$L$1000,QuickLog!$B$2:$B$1000,$B326,QuickLog!$Q$2:$Q$1000,$A326))</f>
        <v/>
      </c>
      <c r="D326" s="31">
        <f>Settings!$B$3</f>
        <v/>
      </c>
      <c r="E326" s="31">
        <f>IF($C326="","",MIN($C326,$D326))</f>
        <v/>
      </c>
      <c r="F326" s="40">
        <f>IF($E326="","",$E326*Settings!$B$4)</f>
        <v/>
      </c>
    </row>
    <row r="327">
      <c r="A327" s="29" t="n"/>
      <c r="B327" s="31" t="n"/>
      <c r="C327" s="31">
        <f>IF(OR($A327="",$B327=""),"",SUMIFS(QuickLog!$L$2:$L$1000,QuickLog!$B$2:$B$1000,$B327,QuickLog!$Q$2:$Q$1000,$A327))</f>
        <v/>
      </c>
      <c r="D327" s="31">
        <f>Settings!$B$3</f>
        <v/>
      </c>
      <c r="E327" s="31">
        <f>IF($C327="","",MIN($C327,$D327))</f>
        <v/>
      </c>
      <c r="F327" s="40">
        <f>IF($E327="","",$E327*Settings!$B$4)</f>
        <v/>
      </c>
    </row>
    <row r="328">
      <c r="A328" s="29" t="n"/>
      <c r="B328" s="31" t="n"/>
      <c r="C328" s="31">
        <f>IF(OR($A328="",$B328=""),"",SUMIFS(QuickLog!$L$2:$L$1000,QuickLog!$B$2:$B$1000,$B328,QuickLog!$Q$2:$Q$1000,$A328))</f>
        <v/>
      </c>
      <c r="D328" s="31">
        <f>Settings!$B$3</f>
        <v/>
      </c>
      <c r="E328" s="31">
        <f>IF($C328="","",MIN($C328,$D328))</f>
        <v/>
      </c>
      <c r="F328" s="40">
        <f>IF($E328="","",$E328*Settings!$B$4)</f>
        <v/>
      </c>
    </row>
    <row r="329">
      <c r="A329" s="29" t="n"/>
      <c r="B329" s="31" t="n"/>
      <c r="C329" s="31">
        <f>IF(OR($A329="",$B329=""),"",SUMIFS(QuickLog!$L$2:$L$1000,QuickLog!$B$2:$B$1000,$B329,QuickLog!$Q$2:$Q$1000,$A329))</f>
        <v/>
      </c>
      <c r="D329" s="31">
        <f>Settings!$B$3</f>
        <v/>
      </c>
      <c r="E329" s="31">
        <f>IF($C329="","",MIN($C329,$D329))</f>
        <v/>
      </c>
      <c r="F329" s="40">
        <f>IF($E329="","",$E329*Settings!$B$4)</f>
        <v/>
      </c>
    </row>
    <row r="330">
      <c r="A330" s="29" t="n"/>
      <c r="B330" s="31" t="n"/>
      <c r="C330" s="31">
        <f>IF(OR($A330="",$B330=""),"",SUMIFS(QuickLog!$L$2:$L$1000,QuickLog!$B$2:$B$1000,$B330,QuickLog!$Q$2:$Q$1000,$A330))</f>
        <v/>
      </c>
      <c r="D330" s="31">
        <f>Settings!$B$3</f>
        <v/>
      </c>
      <c r="E330" s="31">
        <f>IF($C330="","",MIN($C330,$D330))</f>
        <v/>
      </c>
      <c r="F330" s="40">
        <f>IF($E330="","",$E330*Settings!$B$4)</f>
        <v/>
      </c>
    </row>
    <row r="331">
      <c r="A331" s="29" t="n"/>
      <c r="B331" s="31" t="n"/>
      <c r="C331" s="31">
        <f>IF(OR($A331="",$B331=""),"",SUMIFS(QuickLog!$L$2:$L$1000,QuickLog!$B$2:$B$1000,$B331,QuickLog!$Q$2:$Q$1000,$A331))</f>
        <v/>
      </c>
      <c r="D331" s="31">
        <f>Settings!$B$3</f>
        <v/>
      </c>
      <c r="E331" s="31">
        <f>IF($C331="","",MIN($C331,$D331))</f>
        <v/>
      </c>
      <c r="F331" s="40">
        <f>IF($E331="","",$E331*Settings!$B$4)</f>
        <v/>
      </c>
    </row>
    <row r="332">
      <c r="A332" s="29" t="n"/>
      <c r="B332" s="31" t="n"/>
      <c r="C332" s="31">
        <f>IF(OR($A332="",$B332=""),"",SUMIFS(QuickLog!$L$2:$L$1000,QuickLog!$B$2:$B$1000,$B332,QuickLog!$Q$2:$Q$1000,$A332))</f>
        <v/>
      </c>
      <c r="D332" s="31">
        <f>Settings!$B$3</f>
        <v/>
      </c>
      <c r="E332" s="31">
        <f>IF($C332="","",MIN($C332,$D332))</f>
        <v/>
      </c>
      <c r="F332" s="40">
        <f>IF($E332="","",$E332*Settings!$B$4)</f>
        <v/>
      </c>
    </row>
    <row r="333">
      <c r="A333" s="29" t="n"/>
      <c r="B333" s="31" t="n"/>
      <c r="C333" s="31">
        <f>IF(OR($A333="",$B333=""),"",SUMIFS(QuickLog!$L$2:$L$1000,QuickLog!$B$2:$B$1000,$B333,QuickLog!$Q$2:$Q$1000,$A333))</f>
        <v/>
      </c>
      <c r="D333" s="31">
        <f>Settings!$B$3</f>
        <v/>
      </c>
      <c r="E333" s="31">
        <f>IF($C333="","",MIN($C333,$D333))</f>
        <v/>
      </c>
      <c r="F333" s="40">
        <f>IF($E333="","",$E333*Settings!$B$4)</f>
        <v/>
      </c>
    </row>
    <row r="334">
      <c r="A334" s="29" t="n"/>
      <c r="B334" s="31" t="n"/>
      <c r="C334" s="31">
        <f>IF(OR($A334="",$B334=""),"",SUMIFS(QuickLog!$L$2:$L$1000,QuickLog!$B$2:$B$1000,$B334,QuickLog!$Q$2:$Q$1000,$A334))</f>
        <v/>
      </c>
      <c r="D334" s="31">
        <f>Settings!$B$3</f>
        <v/>
      </c>
      <c r="E334" s="31">
        <f>IF($C334="","",MIN($C334,$D334))</f>
        <v/>
      </c>
      <c r="F334" s="40">
        <f>IF($E334="","",$E334*Settings!$B$4)</f>
        <v/>
      </c>
    </row>
    <row r="335">
      <c r="A335" s="29" t="n"/>
      <c r="B335" s="31" t="n"/>
      <c r="C335" s="31">
        <f>IF(OR($A335="",$B335=""),"",SUMIFS(QuickLog!$L$2:$L$1000,QuickLog!$B$2:$B$1000,$B335,QuickLog!$Q$2:$Q$1000,$A335))</f>
        <v/>
      </c>
      <c r="D335" s="31">
        <f>Settings!$B$3</f>
        <v/>
      </c>
      <c r="E335" s="31">
        <f>IF($C335="","",MIN($C335,$D335))</f>
        <v/>
      </c>
      <c r="F335" s="40">
        <f>IF($E335="","",$E335*Settings!$B$4)</f>
        <v/>
      </c>
    </row>
    <row r="336">
      <c r="A336" s="29" t="n"/>
      <c r="B336" s="31" t="n"/>
      <c r="C336" s="31">
        <f>IF(OR($A336="",$B336=""),"",SUMIFS(QuickLog!$L$2:$L$1000,QuickLog!$B$2:$B$1000,$B336,QuickLog!$Q$2:$Q$1000,$A336))</f>
        <v/>
      </c>
      <c r="D336" s="31">
        <f>Settings!$B$3</f>
        <v/>
      </c>
      <c r="E336" s="31">
        <f>IF($C336="","",MIN($C336,$D336))</f>
        <v/>
      </c>
      <c r="F336" s="40">
        <f>IF($E336="","",$E336*Settings!$B$4)</f>
        <v/>
      </c>
    </row>
    <row r="337">
      <c r="A337" s="29" t="n"/>
      <c r="B337" s="31" t="n"/>
      <c r="C337" s="31">
        <f>IF(OR($A337="",$B337=""),"",SUMIFS(QuickLog!$L$2:$L$1000,QuickLog!$B$2:$B$1000,$B337,QuickLog!$Q$2:$Q$1000,$A337))</f>
        <v/>
      </c>
      <c r="D337" s="31">
        <f>Settings!$B$3</f>
        <v/>
      </c>
      <c r="E337" s="31">
        <f>IF($C337="","",MIN($C337,$D337))</f>
        <v/>
      </c>
      <c r="F337" s="40">
        <f>IF($E337="","",$E337*Settings!$B$4)</f>
        <v/>
      </c>
    </row>
    <row r="338">
      <c r="A338" s="29" t="n"/>
      <c r="B338" s="31" t="n"/>
      <c r="C338" s="31">
        <f>IF(OR($A338="",$B338=""),"",SUMIFS(QuickLog!$L$2:$L$1000,QuickLog!$B$2:$B$1000,$B338,QuickLog!$Q$2:$Q$1000,$A338))</f>
        <v/>
      </c>
      <c r="D338" s="31">
        <f>Settings!$B$3</f>
        <v/>
      </c>
      <c r="E338" s="31">
        <f>IF($C338="","",MIN($C338,$D338))</f>
        <v/>
      </c>
      <c r="F338" s="40">
        <f>IF($E338="","",$E338*Settings!$B$4)</f>
        <v/>
      </c>
    </row>
    <row r="339">
      <c r="A339" s="29" t="n"/>
      <c r="B339" s="31" t="n"/>
      <c r="C339" s="31">
        <f>IF(OR($A339="",$B339=""),"",SUMIFS(QuickLog!$L$2:$L$1000,QuickLog!$B$2:$B$1000,$B339,QuickLog!$Q$2:$Q$1000,$A339))</f>
        <v/>
      </c>
      <c r="D339" s="31">
        <f>Settings!$B$3</f>
        <v/>
      </c>
      <c r="E339" s="31">
        <f>IF($C339="","",MIN($C339,$D339))</f>
        <v/>
      </c>
      <c r="F339" s="40">
        <f>IF($E339="","",$E339*Settings!$B$4)</f>
        <v/>
      </c>
    </row>
    <row r="340">
      <c r="A340" s="29" t="n"/>
      <c r="B340" s="31" t="n"/>
      <c r="C340" s="31">
        <f>IF(OR($A340="",$B340=""),"",SUMIFS(QuickLog!$L$2:$L$1000,QuickLog!$B$2:$B$1000,$B340,QuickLog!$Q$2:$Q$1000,$A340))</f>
        <v/>
      </c>
      <c r="D340" s="31">
        <f>Settings!$B$3</f>
        <v/>
      </c>
      <c r="E340" s="31">
        <f>IF($C340="","",MIN($C340,$D340))</f>
        <v/>
      </c>
      <c r="F340" s="40">
        <f>IF($E340="","",$E340*Settings!$B$4)</f>
        <v/>
      </c>
    </row>
    <row r="341">
      <c r="A341" s="29" t="n"/>
      <c r="B341" s="31" t="n"/>
      <c r="C341" s="31">
        <f>IF(OR($A341="",$B341=""),"",SUMIFS(QuickLog!$L$2:$L$1000,QuickLog!$B$2:$B$1000,$B341,QuickLog!$Q$2:$Q$1000,$A341))</f>
        <v/>
      </c>
      <c r="D341" s="31">
        <f>Settings!$B$3</f>
        <v/>
      </c>
      <c r="E341" s="31">
        <f>IF($C341="","",MIN($C341,$D341))</f>
        <v/>
      </c>
      <c r="F341" s="40">
        <f>IF($E341="","",$E341*Settings!$B$4)</f>
        <v/>
      </c>
    </row>
    <row r="342">
      <c r="A342" s="29" t="n"/>
      <c r="B342" s="31" t="n"/>
      <c r="C342" s="31">
        <f>IF(OR($A342="",$B342=""),"",SUMIFS(QuickLog!$L$2:$L$1000,QuickLog!$B$2:$B$1000,$B342,QuickLog!$Q$2:$Q$1000,$A342))</f>
        <v/>
      </c>
      <c r="D342" s="31">
        <f>Settings!$B$3</f>
        <v/>
      </c>
      <c r="E342" s="31">
        <f>IF($C342="","",MIN($C342,$D342))</f>
        <v/>
      </c>
      <c r="F342" s="40">
        <f>IF($E342="","",$E342*Settings!$B$4)</f>
        <v/>
      </c>
    </row>
    <row r="343">
      <c r="A343" s="29" t="n"/>
      <c r="B343" s="31" t="n"/>
      <c r="C343" s="31">
        <f>IF(OR($A343="",$B343=""),"",SUMIFS(QuickLog!$L$2:$L$1000,QuickLog!$B$2:$B$1000,$B343,QuickLog!$Q$2:$Q$1000,$A343))</f>
        <v/>
      </c>
      <c r="D343" s="31">
        <f>Settings!$B$3</f>
        <v/>
      </c>
      <c r="E343" s="31">
        <f>IF($C343="","",MIN($C343,$D343))</f>
        <v/>
      </c>
      <c r="F343" s="40">
        <f>IF($E343="","",$E343*Settings!$B$4)</f>
        <v/>
      </c>
    </row>
    <row r="344">
      <c r="A344" s="29" t="n"/>
      <c r="B344" s="31" t="n"/>
      <c r="C344" s="31">
        <f>IF(OR($A344="",$B344=""),"",SUMIFS(QuickLog!$L$2:$L$1000,QuickLog!$B$2:$B$1000,$B344,QuickLog!$Q$2:$Q$1000,$A344))</f>
        <v/>
      </c>
      <c r="D344" s="31">
        <f>Settings!$B$3</f>
        <v/>
      </c>
      <c r="E344" s="31">
        <f>IF($C344="","",MIN($C344,$D344))</f>
        <v/>
      </c>
      <c r="F344" s="40">
        <f>IF($E344="","",$E344*Settings!$B$4)</f>
        <v/>
      </c>
    </row>
    <row r="345">
      <c r="A345" s="29" t="n"/>
      <c r="B345" s="31" t="n"/>
      <c r="C345" s="31">
        <f>IF(OR($A345="",$B345=""),"",SUMIFS(QuickLog!$L$2:$L$1000,QuickLog!$B$2:$B$1000,$B345,QuickLog!$Q$2:$Q$1000,$A345))</f>
        <v/>
      </c>
      <c r="D345" s="31">
        <f>Settings!$B$3</f>
        <v/>
      </c>
      <c r="E345" s="31">
        <f>IF($C345="","",MIN($C345,$D345))</f>
        <v/>
      </c>
      <c r="F345" s="40">
        <f>IF($E345="","",$E345*Settings!$B$4)</f>
        <v/>
      </c>
    </row>
    <row r="346">
      <c r="A346" s="29" t="n"/>
      <c r="B346" s="31" t="n"/>
      <c r="C346" s="31">
        <f>IF(OR($A346="",$B346=""),"",SUMIFS(QuickLog!$L$2:$L$1000,QuickLog!$B$2:$B$1000,$B346,QuickLog!$Q$2:$Q$1000,$A346))</f>
        <v/>
      </c>
      <c r="D346" s="31">
        <f>Settings!$B$3</f>
        <v/>
      </c>
      <c r="E346" s="31">
        <f>IF($C346="","",MIN($C346,$D346))</f>
        <v/>
      </c>
      <c r="F346" s="40">
        <f>IF($E346="","",$E346*Settings!$B$4)</f>
        <v/>
      </c>
    </row>
    <row r="347">
      <c r="A347" s="29" t="n"/>
      <c r="B347" s="31" t="n"/>
      <c r="C347" s="31">
        <f>IF(OR($A347="",$B347=""),"",SUMIFS(QuickLog!$L$2:$L$1000,QuickLog!$B$2:$B$1000,$B347,QuickLog!$Q$2:$Q$1000,$A347))</f>
        <v/>
      </c>
      <c r="D347" s="31">
        <f>Settings!$B$3</f>
        <v/>
      </c>
      <c r="E347" s="31">
        <f>IF($C347="","",MIN($C347,$D347))</f>
        <v/>
      </c>
      <c r="F347" s="40">
        <f>IF($E347="","",$E347*Settings!$B$4)</f>
        <v/>
      </c>
    </row>
    <row r="348">
      <c r="A348" s="29" t="n"/>
      <c r="B348" s="31" t="n"/>
      <c r="C348" s="31">
        <f>IF(OR($A348="",$B348=""),"",SUMIFS(QuickLog!$L$2:$L$1000,QuickLog!$B$2:$B$1000,$B348,QuickLog!$Q$2:$Q$1000,$A348))</f>
        <v/>
      </c>
      <c r="D348" s="31">
        <f>Settings!$B$3</f>
        <v/>
      </c>
      <c r="E348" s="31">
        <f>IF($C348="","",MIN($C348,$D348))</f>
        <v/>
      </c>
      <c r="F348" s="40">
        <f>IF($E348="","",$E348*Settings!$B$4)</f>
        <v/>
      </c>
    </row>
    <row r="349">
      <c r="A349" s="29" t="n"/>
      <c r="B349" s="31" t="n"/>
      <c r="C349" s="31">
        <f>IF(OR($A349="",$B349=""),"",SUMIFS(QuickLog!$L$2:$L$1000,QuickLog!$B$2:$B$1000,$B349,QuickLog!$Q$2:$Q$1000,$A349))</f>
        <v/>
      </c>
      <c r="D349" s="31">
        <f>Settings!$B$3</f>
        <v/>
      </c>
      <c r="E349" s="31">
        <f>IF($C349="","",MIN($C349,$D349))</f>
        <v/>
      </c>
      <c r="F349" s="40">
        <f>IF($E349="","",$E349*Settings!$B$4)</f>
        <v/>
      </c>
    </row>
    <row r="350">
      <c r="A350" s="29" t="n"/>
      <c r="B350" s="31" t="n"/>
      <c r="C350" s="31">
        <f>IF(OR($A350="",$B350=""),"",SUMIFS(QuickLog!$L$2:$L$1000,QuickLog!$B$2:$B$1000,$B350,QuickLog!$Q$2:$Q$1000,$A350))</f>
        <v/>
      </c>
      <c r="D350" s="31">
        <f>Settings!$B$3</f>
        <v/>
      </c>
      <c r="E350" s="31">
        <f>IF($C350="","",MIN($C350,$D350))</f>
        <v/>
      </c>
      <c r="F350" s="40">
        <f>IF($E350="","",$E350*Settings!$B$4)</f>
        <v/>
      </c>
    </row>
    <row r="351">
      <c r="A351" s="29" t="n"/>
      <c r="B351" s="31" t="n"/>
      <c r="C351" s="31">
        <f>IF(OR($A351="",$B351=""),"",SUMIFS(QuickLog!$L$2:$L$1000,QuickLog!$B$2:$B$1000,$B351,QuickLog!$Q$2:$Q$1000,$A351))</f>
        <v/>
      </c>
      <c r="D351" s="31">
        <f>Settings!$B$3</f>
        <v/>
      </c>
      <c r="E351" s="31">
        <f>IF($C351="","",MIN($C351,$D351))</f>
        <v/>
      </c>
      <c r="F351" s="40">
        <f>IF($E351="","",$E351*Settings!$B$4)</f>
        <v/>
      </c>
    </row>
    <row r="352">
      <c r="A352" s="29" t="n"/>
      <c r="B352" s="31" t="n"/>
      <c r="C352" s="31">
        <f>IF(OR($A352="",$B352=""),"",SUMIFS(QuickLog!$L$2:$L$1000,QuickLog!$B$2:$B$1000,$B352,QuickLog!$Q$2:$Q$1000,$A352))</f>
        <v/>
      </c>
      <c r="D352" s="31">
        <f>Settings!$B$3</f>
        <v/>
      </c>
      <c r="E352" s="31">
        <f>IF($C352="","",MIN($C352,$D352))</f>
        <v/>
      </c>
      <c r="F352" s="40">
        <f>IF($E352="","",$E352*Settings!$B$4)</f>
        <v/>
      </c>
    </row>
    <row r="353">
      <c r="A353" s="29" t="n"/>
      <c r="B353" s="31" t="n"/>
      <c r="C353" s="31">
        <f>IF(OR($A353="",$B353=""),"",SUMIFS(QuickLog!$L$2:$L$1000,QuickLog!$B$2:$B$1000,$B353,QuickLog!$Q$2:$Q$1000,$A353))</f>
        <v/>
      </c>
      <c r="D353" s="31">
        <f>Settings!$B$3</f>
        <v/>
      </c>
      <c r="E353" s="31">
        <f>IF($C353="","",MIN($C353,$D353))</f>
        <v/>
      </c>
      <c r="F353" s="40">
        <f>IF($E353="","",$E353*Settings!$B$4)</f>
        <v/>
      </c>
    </row>
    <row r="354">
      <c r="A354" s="29" t="n"/>
      <c r="B354" s="31" t="n"/>
      <c r="C354" s="31">
        <f>IF(OR($A354="",$B354=""),"",SUMIFS(QuickLog!$L$2:$L$1000,QuickLog!$B$2:$B$1000,$B354,QuickLog!$Q$2:$Q$1000,$A354))</f>
        <v/>
      </c>
      <c r="D354" s="31">
        <f>Settings!$B$3</f>
        <v/>
      </c>
      <c r="E354" s="31">
        <f>IF($C354="","",MIN($C354,$D354))</f>
        <v/>
      </c>
      <c r="F354" s="40">
        <f>IF($E354="","",$E354*Settings!$B$4)</f>
        <v/>
      </c>
    </row>
    <row r="355">
      <c r="A355" s="29" t="n"/>
      <c r="B355" s="31" t="n"/>
      <c r="C355" s="31">
        <f>IF(OR($A355="",$B355=""),"",SUMIFS(QuickLog!$L$2:$L$1000,QuickLog!$B$2:$B$1000,$B355,QuickLog!$Q$2:$Q$1000,$A355))</f>
        <v/>
      </c>
      <c r="D355" s="31">
        <f>Settings!$B$3</f>
        <v/>
      </c>
      <c r="E355" s="31">
        <f>IF($C355="","",MIN($C355,$D355))</f>
        <v/>
      </c>
      <c r="F355" s="40">
        <f>IF($E355="","",$E355*Settings!$B$4)</f>
        <v/>
      </c>
    </row>
    <row r="356">
      <c r="A356" s="29" t="n"/>
      <c r="B356" s="31" t="n"/>
      <c r="C356" s="31">
        <f>IF(OR($A356="",$B356=""),"",SUMIFS(QuickLog!$L$2:$L$1000,QuickLog!$B$2:$B$1000,$B356,QuickLog!$Q$2:$Q$1000,$A356))</f>
        <v/>
      </c>
      <c r="D356" s="31">
        <f>Settings!$B$3</f>
        <v/>
      </c>
      <c r="E356" s="31">
        <f>IF($C356="","",MIN($C356,$D356))</f>
        <v/>
      </c>
      <c r="F356" s="40">
        <f>IF($E356="","",$E356*Settings!$B$4)</f>
        <v/>
      </c>
    </row>
    <row r="357">
      <c r="A357" s="29" t="n"/>
      <c r="B357" s="31" t="n"/>
      <c r="C357" s="31">
        <f>IF(OR($A357="",$B357=""),"",SUMIFS(QuickLog!$L$2:$L$1000,QuickLog!$B$2:$B$1000,$B357,QuickLog!$Q$2:$Q$1000,$A357))</f>
        <v/>
      </c>
      <c r="D357" s="31">
        <f>Settings!$B$3</f>
        <v/>
      </c>
      <c r="E357" s="31">
        <f>IF($C357="","",MIN($C357,$D357))</f>
        <v/>
      </c>
      <c r="F357" s="40">
        <f>IF($E357="","",$E357*Settings!$B$4)</f>
        <v/>
      </c>
    </row>
    <row r="358">
      <c r="A358" s="29" t="n"/>
      <c r="B358" s="31" t="n"/>
      <c r="C358" s="31">
        <f>IF(OR($A358="",$B358=""),"",SUMIFS(QuickLog!$L$2:$L$1000,QuickLog!$B$2:$B$1000,$B358,QuickLog!$Q$2:$Q$1000,$A358))</f>
        <v/>
      </c>
      <c r="D358" s="31">
        <f>Settings!$B$3</f>
        <v/>
      </c>
      <c r="E358" s="31">
        <f>IF($C358="","",MIN($C358,$D358))</f>
        <v/>
      </c>
      <c r="F358" s="40">
        <f>IF($E358="","",$E358*Settings!$B$4)</f>
        <v/>
      </c>
    </row>
    <row r="359">
      <c r="A359" s="29" t="n"/>
      <c r="B359" s="31" t="n"/>
      <c r="C359" s="31">
        <f>IF(OR($A359="",$B359=""),"",SUMIFS(QuickLog!$L$2:$L$1000,QuickLog!$B$2:$B$1000,$B359,QuickLog!$Q$2:$Q$1000,$A359))</f>
        <v/>
      </c>
      <c r="D359" s="31">
        <f>Settings!$B$3</f>
        <v/>
      </c>
      <c r="E359" s="31">
        <f>IF($C359="","",MIN($C359,$D359))</f>
        <v/>
      </c>
      <c r="F359" s="40">
        <f>IF($E359="","",$E359*Settings!$B$4)</f>
        <v/>
      </c>
    </row>
    <row r="360">
      <c r="A360" s="29" t="n"/>
      <c r="B360" s="31" t="n"/>
      <c r="C360" s="31">
        <f>IF(OR($A360="",$B360=""),"",SUMIFS(QuickLog!$L$2:$L$1000,QuickLog!$B$2:$B$1000,$B360,QuickLog!$Q$2:$Q$1000,$A360))</f>
        <v/>
      </c>
      <c r="D360" s="31">
        <f>Settings!$B$3</f>
        <v/>
      </c>
      <c r="E360" s="31">
        <f>IF($C360="","",MIN($C360,$D360))</f>
        <v/>
      </c>
      <c r="F360" s="40">
        <f>IF($E360="","",$E360*Settings!$B$4)</f>
        <v/>
      </c>
    </row>
    <row r="361">
      <c r="A361" s="29" t="n"/>
      <c r="B361" s="31" t="n"/>
      <c r="C361" s="31">
        <f>IF(OR($A361="",$B361=""),"",SUMIFS(QuickLog!$L$2:$L$1000,QuickLog!$B$2:$B$1000,$B361,QuickLog!$Q$2:$Q$1000,$A361))</f>
        <v/>
      </c>
      <c r="D361" s="31">
        <f>Settings!$B$3</f>
        <v/>
      </c>
      <c r="E361" s="31">
        <f>IF($C361="","",MIN($C361,$D361))</f>
        <v/>
      </c>
      <c r="F361" s="40">
        <f>IF($E361="","",$E361*Settings!$B$4)</f>
        <v/>
      </c>
    </row>
    <row r="362">
      <c r="A362" s="29" t="n"/>
      <c r="B362" s="31" t="n"/>
      <c r="C362" s="31">
        <f>IF(OR($A362="",$B362=""),"",SUMIFS(QuickLog!$L$2:$L$1000,QuickLog!$B$2:$B$1000,$B362,QuickLog!$Q$2:$Q$1000,$A362))</f>
        <v/>
      </c>
      <c r="D362" s="31">
        <f>Settings!$B$3</f>
        <v/>
      </c>
      <c r="E362" s="31">
        <f>IF($C362="","",MIN($C362,$D362))</f>
        <v/>
      </c>
      <c r="F362" s="40">
        <f>IF($E362="","",$E362*Settings!$B$4)</f>
        <v/>
      </c>
    </row>
    <row r="363">
      <c r="A363" s="29" t="n"/>
      <c r="B363" s="31" t="n"/>
      <c r="C363" s="31">
        <f>IF(OR($A363="",$B363=""),"",SUMIFS(QuickLog!$L$2:$L$1000,QuickLog!$B$2:$B$1000,$B363,QuickLog!$Q$2:$Q$1000,$A363))</f>
        <v/>
      </c>
      <c r="D363" s="31">
        <f>Settings!$B$3</f>
        <v/>
      </c>
      <c r="E363" s="31">
        <f>IF($C363="","",MIN($C363,$D363))</f>
        <v/>
      </c>
      <c r="F363" s="40">
        <f>IF($E363="","",$E363*Settings!$B$4)</f>
        <v/>
      </c>
    </row>
    <row r="364">
      <c r="A364" s="29" t="n"/>
      <c r="B364" s="31" t="n"/>
      <c r="C364" s="31">
        <f>IF(OR($A364="",$B364=""),"",SUMIFS(QuickLog!$L$2:$L$1000,QuickLog!$B$2:$B$1000,$B364,QuickLog!$Q$2:$Q$1000,$A364))</f>
        <v/>
      </c>
      <c r="D364" s="31">
        <f>Settings!$B$3</f>
        <v/>
      </c>
      <c r="E364" s="31">
        <f>IF($C364="","",MIN($C364,$D364))</f>
        <v/>
      </c>
      <c r="F364" s="40">
        <f>IF($E364="","",$E364*Settings!$B$4)</f>
        <v/>
      </c>
    </row>
    <row r="365">
      <c r="A365" s="29" t="n"/>
      <c r="B365" s="31" t="n"/>
      <c r="C365" s="31">
        <f>IF(OR($A365="",$B365=""),"",SUMIFS(QuickLog!$L$2:$L$1000,QuickLog!$B$2:$B$1000,$B365,QuickLog!$Q$2:$Q$1000,$A365))</f>
        <v/>
      </c>
      <c r="D365" s="31">
        <f>Settings!$B$3</f>
        <v/>
      </c>
      <c r="E365" s="31">
        <f>IF($C365="","",MIN($C365,$D365))</f>
        <v/>
      </c>
      <c r="F365" s="40">
        <f>IF($E365="","",$E365*Settings!$B$4)</f>
        <v/>
      </c>
    </row>
    <row r="366">
      <c r="A366" s="29" t="n"/>
      <c r="B366" s="31" t="n"/>
      <c r="C366" s="31">
        <f>IF(OR($A366="",$B366=""),"",SUMIFS(QuickLog!$L$2:$L$1000,QuickLog!$B$2:$B$1000,$B366,QuickLog!$Q$2:$Q$1000,$A366))</f>
        <v/>
      </c>
      <c r="D366" s="31">
        <f>Settings!$B$3</f>
        <v/>
      </c>
      <c r="E366" s="31">
        <f>IF($C366="","",MIN($C366,$D366))</f>
        <v/>
      </c>
      <c r="F366" s="40">
        <f>IF($E366="","",$E366*Settings!$B$4)</f>
        <v/>
      </c>
    </row>
    <row r="367">
      <c r="A367" s="29" t="n"/>
      <c r="B367" s="31" t="n"/>
      <c r="C367" s="31">
        <f>IF(OR($A367="",$B367=""),"",SUMIFS(QuickLog!$L$2:$L$1000,QuickLog!$B$2:$B$1000,$B367,QuickLog!$Q$2:$Q$1000,$A367))</f>
        <v/>
      </c>
      <c r="D367" s="31">
        <f>Settings!$B$3</f>
        <v/>
      </c>
      <c r="E367" s="31">
        <f>IF($C367="","",MIN($C367,$D367))</f>
        <v/>
      </c>
      <c r="F367" s="40">
        <f>IF($E367="","",$E367*Settings!$B$4)</f>
        <v/>
      </c>
    </row>
    <row r="368">
      <c r="A368" s="29" t="n"/>
      <c r="B368" s="31" t="n"/>
      <c r="C368" s="31">
        <f>IF(OR($A368="",$B368=""),"",SUMIFS(QuickLog!$L$2:$L$1000,QuickLog!$B$2:$B$1000,$B368,QuickLog!$Q$2:$Q$1000,$A368))</f>
        <v/>
      </c>
      <c r="D368" s="31">
        <f>Settings!$B$3</f>
        <v/>
      </c>
      <c r="E368" s="31">
        <f>IF($C368="","",MIN($C368,$D368))</f>
        <v/>
      </c>
      <c r="F368" s="40">
        <f>IF($E368="","",$E368*Settings!$B$4)</f>
        <v/>
      </c>
    </row>
    <row r="369">
      <c r="A369" s="29" t="n"/>
      <c r="B369" s="31" t="n"/>
      <c r="C369" s="31">
        <f>IF(OR($A369="",$B369=""),"",SUMIFS(QuickLog!$L$2:$L$1000,QuickLog!$B$2:$B$1000,$B369,QuickLog!$Q$2:$Q$1000,$A369))</f>
        <v/>
      </c>
      <c r="D369" s="31">
        <f>Settings!$B$3</f>
        <v/>
      </c>
      <c r="E369" s="31">
        <f>IF($C369="","",MIN($C369,$D369))</f>
        <v/>
      </c>
      <c r="F369" s="40">
        <f>IF($E369="","",$E369*Settings!$B$4)</f>
        <v/>
      </c>
    </row>
    <row r="370">
      <c r="A370" s="29" t="n"/>
      <c r="B370" s="31" t="n"/>
      <c r="C370" s="31">
        <f>IF(OR($A370="",$B370=""),"",SUMIFS(QuickLog!$L$2:$L$1000,QuickLog!$B$2:$B$1000,$B370,QuickLog!$Q$2:$Q$1000,$A370))</f>
        <v/>
      </c>
      <c r="D370" s="31">
        <f>Settings!$B$3</f>
        <v/>
      </c>
      <c r="E370" s="31">
        <f>IF($C370="","",MIN($C370,$D370))</f>
        <v/>
      </c>
      <c r="F370" s="40">
        <f>IF($E370="","",$E370*Settings!$B$4)</f>
        <v/>
      </c>
    </row>
    <row r="371">
      <c r="A371" s="29" t="n"/>
      <c r="B371" s="31" t="n"/>
      <c r="C371" s="31">
        <f>IF(OR($A371="",$B371=""),"",SUMIFS(QuickLog!$L$2:$L$1000,QuickLog!$B$2:$B$1000,$B371,QuickLog!$Q$2:$Q$1000,$A371))</f>
        <v/>
      </c>
      <c r="D371" s="31">
        <f>Settings!$B$3</f>
        <v/>
      </c>
      <c r="E371" s="31">
        <f>IF($C371="","",MIN($C371,$D371))</f>
        <v/>
      </c>
      <c r="F371" s="40">
        <f>IF($E371="","",$E371*Settings!$B$4)</f>
        <v/>
      </c>
    </row>
    <row r="372">
      <c r="A372" s="29" t="n"/>
      <c r="B372" s="31" t="n"/>
      <c r="C372" s="31">
        <f>IF(OR($A372="",$B372=""),"",SUMIFS(QuickLog!$L$2:$L$1000,QuickLog!$B$2:$B$1000,$B372,QuickLog!$Q$2:$Q$1000,$A372))</f>
        <v/>
      </c>
      <c r="D372" s="31">
        <f>Settings!$B$3</f>
        <v/>
      </c>
      <c r="E372" s="31">
        <f>IF($C372="","",MIN($C372,$D372))</f>
        <v/>
      </c>
      <c r="F372" s="40">
        <f>IF($E372="","",$E372*Settings!$B$4)</f>
        <v/>
      </c>
    </row>
    <row r="373">
      <c r="A373" s="29" t="n"/>
      <c r="B373" s="31" t="n"/>
      <c r="C373" s="31">
        <f>IF(OR($A373="",$B373=""),"",SUMIFS(QuickLog!$L$2:$L$1000,QuickLog!$B$2:$B$1000,$B373,QuickLog!$Q$2:$Q$1000,$A373))</f>
        <v/>
      </c>
      <c r="D373" s="31">
        <f>Settings!$B$3</f>
        <v/>
      </c>
      <c r="E373" s="31">
        <f>IF($C373="","",MIN($C373,$D373))</f>
        <v/>
      </c>
      <c r="F373" s="40">
        <f>IF($E373="","",$E373*Settings!$B$4)</f>
        <v/>
      </c>
    </row>
    <row r="374">
      <c r="A374" s="29" t="n"/>
      <c r="B374" s="31" t="n"/>
      <c r="C374" s="31">
        <f>IF(OR($A374="",$B374=""),"",SUMIFS(QuickLog!$L$2:$L$1000,QuickLog!$B$2:$B$1000,$B374,QuickLog!$Q$2:$Q$1000,$A374))</f>
        <v/>
      </c>
      <c r="D374" s="31">
        <f>Settings!$B$3</f>
        <v/>
      </c>
      <c r="E374" s="31">
        <f>IF($C374="","",MIN($C374,$D374))</f>
        <v/>
      </c>
      <c r="F374" s="40">
        <f>IF($E374="","",$E374*Settings!$B$4)</f>
        <v/>
      </c>
    </row>
    <row r="375">
      <c r="A375" s="29" t="n"/>
      <c r="B375" s="31" t="n"/>
      <c r="C375" s="31">
        <f>IF(OR($A375="",$B375=""),"",SUMIFS(QuickLog!$L$2:$L$1000,QuickLog!$B$2:$B$1000,$B375,QuickLog!$Q$2:$Q$1000,$A375))</f>
        <v/>
      </c>
      <c r="D375" s="31">
        <f>Settings!$B$3</f>
        <v/>
      </c>
      <c r="E375" s="31">
        <f>IF($C375="","",MIN($C375,$D375))</f>
        <v/>
      </c>
      <c r="F375" s="40">
        <f>IF($E375="","",$E375*Settings!$B$4)</f>
        <v/>
      </c>
    </row>
    <row r="376">
      <c r="A376" s="29" t="n"/>
      <c r="B376" s="31" t="n"/>
      <c r="C376" s="31">
        <f>IF(OR($A376="",$B376=""),"",SUMIFS(QuickLog!$L$2:$L$1000,QuickLog!$B$2:$B$1000,$B376,QuickLog!$Q$2:$Q$1000,$A376))</f>
        <v/>
      </c>
      <c r="D376" s="31">
        <f>Settings!$B$3</f>
        <v/>
      </c>
      <c r="E376" s="31">
        <f>IF($C376="","",MIN($C376,$D376))</f>
        <v/>
      </c>
      <c r="F376" s="40">
        <f>IF($E376="","",$E376*Settings!$B$4)</f>
        <v/>
      </c>
    </row>
    <row r="377">
      <c r="A377" s="29" t="n"/>
      <c r="B377" s="31" t="n"/>
      <c r="C377" s="31">
        <f>IF(OR($A377="",$B377=""),"",SUMIFS(QuickLog!$L$2:$L$1000,QuickLog!$B$2:$B$1000,$B377,QuickLog!$Q$2:$Q$1000,$A377))</f>
        <v/>
      </c>
      <c r="D377" s="31">
        <f>Settings!$B$3</f>
        <v/>
      </c>
      <c r="E377" s="31">
        <f>IF($C377="","",MIN($C377,$D377))</f>
        <v/>
      </c>
      <c r="F377" s="40">
        <f>IF($E377="","",$E377*Settings!$B$4)</f>
        <v/>
      </c>
    </row>
    <row r="378">
      <c r="A378" s="29" t="n"/>
      <c r="B378" s="31" t="n"/>
      <c r="C378" s="31">
        <f>IF(OR($A378="",$B378=""),"",SUMIFS(QuickLog!$L$2:$L$1000,QuickLog!$B$2:$B$1000,$B378,QuickLog!$Q$2:$Q$1000,$A378))</f>
        <v/>
      </c>
      <c r="D378" s="31">
        <f>Settings!$B$3</f>
        <v/>
      </c>
      <c r="E378" s="31">
        <f>IF($C378="","",MIN($C378,$D378))</f>
        <v/>
      </c>
      <c r="F378" s="40">
        <f>IF($E378="","",$E378*Settings!$B$4)</f>
        <v/>
      </c>
    </row>
    <row r="379">
      <c r="A379" s="29" t="n"/>
      <c r="B379" s="31" t="n"/>
      <c r="C379" s="31">
        <f>IF(OR($A379="",$B379=""),"",SUMIFS(QuickLog!$L$2:$L$1000,QuickLog!$B$2:$B$1000,$B379,QuickLog!$Q$2:$Q$1000,$A379))</f>
        <v/>
      </c>
      <c r="D379" s="31">
        <f>Settings!$B$3</f>
        <v/>
      </c>
      <c r="E379" s="31">
        <f>IF($C379="","",MIN($C379,$D379))</f>
        <v/>
      </c>
      <c r="F379" s="40">
        <f>IF($E379="","",$E379*Settings!$B$4)</f>
        <v/>
      </c>
    </row>
    <row r="380">
      <c r="A380" s="29" t="n"/>
      <c r="B380" s="31" t="n"/>
      <c r="C380" s="31">
        <f>IF(OR($A380="",$B380=""),"",SUMIFS(QuickLog!$L$2:$L$1000,QuickLog!$B$2:$B$1000,$B380,QuickLog!$Q$2:$Q$1000,$A380))</f>
        <v/>
      </c>
      <c r="D380" s="31">
        <f>Settings!$B$3</f>
        <v/>
      </c>
      <c r="E380" s="31">
        <f>IF($C380="","",MIN($C380,$D380))</f>
        <v/>
      </c>
      <c r="F380" s="40">
        <f>IF($E380="","",$E380*Settings!$B$4)</f>
        <v/>
      </c>
    </row>
    <row r="381">
      <c r="A381" s="29" t="n"/>
      <c r="B381" s="31" t="n"/>
      <c r="C381" s="31">
        <f>IF(OR($A381="",$B381=""),"",SUMIFS(QuickLog!$L$2:$L$1000,QuickLog!$B$2:$B$1000,$B381,QuickLog!$Q$2:$Q$1000,$A381))</f>
        <v/>
      </c>
      <c r="D381" s="31">
        <f>Settings!$B$3</f>
        <v/>
      </c>
      <c r="E381" s="31">
        <f>IF($C381="","",MIN($C381,$D381))</f>
        <v/>
      </c>
      <c r="F381" s="40">
        <f>IF($E381="","",$E381*Settings!$B$4)</f>
        <v/>
      </c>
    </row>
    <row r="382">
      <c r="A382" s="29" t="n"/>
      <c r="B382" s="31" t="n"/>
      <c r="C382" s="31">
        <f>IF(OR($A382="",$B382=""),"",SUMIFS(QuickLog!$L$2:$L$1000,QuickLog!$B$2:$B$1000,$B382,QuickLog!$Q$2:$Q$1000,$A382))</f>
        <v/>
      </c>
      <c r="D382" s="31">
        <f>Settings!$B$3</f>
        <v/>
      </c>
      <c r="E382" s="31">
        <f>IF($C382="","",MIN($C382,$D382))</f>
        <v/>
      </c>
      <c r="F382" s="40">
        <f>IF($E382="","",$E382*Settings!$B$4)</f>
        <v/>
      </c>
    </row>
    <row r="383">
      <c r="A383" s="29" t="n"/>
      <c r="B383" s="31" t="n"/>
      <c r="C383" s="31">
        <f>IF(OR($A383="",$B383=""),"",SUMIFS(QuickLog!$L$2:$L$1000,QuickLog!$B$2:$B$1000,$B383,QuickLog!$Q$2:$Q$1000,$A383))</f>
        <v/>
      </c>
      <c r="D383" s="31">
        <f>Settings!$B$3</f>
        <v/>
      </c>
      <c r="E383" s="31">
        <f>IF($C383="","",MIN($C383,$D383))</f>
        <v/>
      </c>
      <c r="F383" s="40">
        <f>IF($E383="","",$E383*Settings!$B$4)</f>
        <v/>
      </c>
    </row>
    <row r="384">
      <c r="A384" s="29" t="n"/>
      <c r="B384" s="31" t="n"/>
      <c r="C384" s="31">
        <f>IF(OR($A384="",$B384=""),"",SUMIFS(QuickLog!$L$2:$L$1000,QuickLog!$B$2:$B$1000,$B384,QuickLog!$Q$2:$Q$1000,$A384))</f>
        <v/>
      </c>
      <c r="D384" s="31">
        <f>Settings!$B$3</f>
        <v/>
      </c>
      <c r="E384" s="31">
        <f>IF($C384="","",MIN($C384,$D384))</f>
        <v/>
      </c>
      <c r="F384" s="40">
        <f>IF($E384="","",$E384*Settings!$B$4)</f>
        <v/>
      </c>
    </row>
    <row r="385">
      <c r="A385" s="29" t="n"/>
      <c r="B385" s="31" t="n"/>
      <c r="C385" s="31">
        <f>IF(OR($A385="",$B385=""),"",SUMIFS(QuickLog!$L$2:$L$1000,QuickLog!$B$2:$B$1000,$B385,QuickLog!$Q$2:$Q$1000,$A385))</f>
        <v/>
      </c>
      <c r="D385" s="31">
        <f>Settings!$B$3</f>
        <v/>
      </c>
      <c r="E385" s="31">
        <f>IF($C385="","",MIN($C385,$D385))</f>
        <v/>
      </c>
      <c r="F385" s="40">
        <f>IF($E385="","",$E385*Settings!$B$4)</f>
        <v/>
      </c>
    </row>
    <row r="386">
      <c r="A386" s="29" t="n"/>
      <c r="B386" s="31" t="n"/>
      <c r="C386" s="31">
        <f>IF(OR($A386="",$B386=""),"",SUMIFS(QuickLog!$L$2:$L$1000,QuickLog!$B$2:$B$1000,$B386,QuickLog!$Q$2:$Q$1000,$A386))</f>
        <v/>
      </c>
      <c r="D386" s="31">
        <f>Settings!$B$3</f>
        <v/>
      </c>
      <c r="E386" s="31">
        <f>IF($C386="","",MIN($C386,$D386))</f>
        <v/>
      </c>
      <c r="F386" s="40">
        <f>IF($E386="","",$E386*Settings!$B$4)</f>
        <v/>
      </c>
    </row>
    <row r="387">
      <c r="A387" s="29" t="n"/>
      <c r="B387" s="31" t="n"/>
      <c r="C387" s="31">
        <f>IF(OR($A387="",$B387=""),"",SUMIFS(QuickLog!$L$2:$L$1000,QuickLog!$B$2:$B$1000,$B387,QuickLog!$Q$2:$Q$1000,$A387))</f>
        <v/>
      </c>
      <c r="D387" s="31">
        <f>Settings!$B$3</f>
        <v/>
      </c>
      <c r="E387" s="31">
        <f>IF($C387="","",MIN($C387,$D387))</f>
        <v/>
      </c>
      <c r="F387" s="40">
        <f>IF($E387="","",$E387*Settings!$B$4)</f>
        <v/>
      </c>
    </row>
    <row r="388">
      <c r="A388" s="29" t="n"/>
      <c r="B388" s="31" t="n"/>
      <c r="C388" s="31">
        <f>IF(OR($A388="",$B388=""),"",SUMIFS(QuickLog!$L$2:$L$1000,QuickLog!$B$2:$B$1000,$B388,QuickLog!$Q$2:$Q$1000,$A388))</f>
        <v/>
      </c>
      <c r="D388" s="31">
        <f>Settings!$B$3</f>
        <v/>
      </c>
      <c r="E388" s="31">
        <f>IF($C388="","",MIN($C388,$D388))</f>
        <v/>
      </c>
      <c r="F388" s="40">
        <f>IF($E388="","",$E388*Settings!$B$4)</f>
        <v/>
      </c>
    </row>
    <row r="389">
      <c r="A389" s="29" t="n"/>
      <c r="B389" s="31" t="n"/>
      <c r="C389" s="31">
        <f>IF(OR($A389="",$B389=""),"",SUMIFS(QuickLog!$L$2:$L$1000,QuickLog!$B$2:$B$1000,$B389,QuickLog!$Q$2:$Q$1000,$A389))</f>
        <v/>
      </c>
      <c r="D389" s="31">
        <f>Settings!$B$3</f>
        <v/>
      </c>
      <c r="E389" s="31">
        <f>IF($C389="","",MIN($C389,$D389))</f>
        <v/>
      </c>
      <c r="F389" s="40">
        <f>IF($E389="","",$E389*Settings!$B$4)</f>
        <v/>
      </c>
    </row>
    <row r="390">
      <c r="A390" s="29" t="n"/>
      <c r="B390" s="31" t="n"/>
      <c r="C390" s="31">
        <f>IF(OR($A390="",$B390=""),"",SUMIFS(QuickLog!$L$2:$L$1000,QuickLog!$B$2:$B$1000,$B390,QuickLog!$Q$2:$Q$1000,$A390))</f>
        <v/>
      </c>
      <c r="D390" s="31">
        <f>Settings!$B$3</f>
        <v/>
      </c>
      <c r="E390" s="31">
        <f>IF($C390="","",MIN($C390,$D390))</f>
        <v/>
      </c>
      <c r="F390" s="40">
        <f>IF($E390="","",$E390*Settings!$B$4)</f>
        <v/>
      </c>
    </row>
    <row r="391">
      <c r="A391" s="29" t="n"/>
      <c r="B391" s="31" t="n"/>
      <c r="C391" s="31">
        <f>IF(OR($A391="",$B391=""),"",SUMIFS(QuickLog!$L$2:$L$1000,QuickLog!$B$2:$B$1000,$B391,QuickLog!$Q$2:$Q$1000,$A391))</f>
        <v/>
      </c>
      <c r="D391" s="31">
        <f>Settings!$B$3</f>
        <v/>
      </c>
      <c r="E391" s="31">
        <f>IF($C391="","",MIN($C391,$D391))</f>
        <v/>
      </c>
      <c r="F391" s="40">
        <f>IF($E391="","",$E391*Settings!$B$4)</f>
        <v/>
      </c>
    </row>
    <row r="392">
      <c r="A392" s="29" t="n"/>
      <c r="B392" s="31" t="n"/>
      <c r="C392" s="31">
        <f>IF(OR($A392="",$B392=""),"",SUMIFS(QuickLog!$L$2:$L$1000,QuickLog!$B$2:$B$1000,$B392,QuickLog!$Q$2:$Q$1000,$A392))</f>
        <v/>
      </c>
      <c r="D392" s="31">
        <f>Settings!$B$3</f>
        <v/>
      </c>
      <c r="E392" s="31">
        <f>IF($C392="","",MIN($C392,$D392))</f>
        <v/>
      </c>
      <c r="F392" s="40">
        <f>IF($E392="","",$E392*Settings!$B$4)</f>
        <v/>
      </c>
    </row>
    <row r="393">
      <c r="A393" s="29" t="n"/>
      <c r="B393" s="31" t="n"/>
      <c r="C393" s="31">
        <f>IF(OR($A393="",$B393=""),"",SUMIFS(QuickLog!$L$2:$L$1000,QuickLog!$B$2:$B$1000,$B393,QuickLog!$Q$2:$Q$1000,$A393))</f>
        <v/>
      </c>
      <c r="D393" s="31">
        <f>Settings!$B$3</f>
        <v/>
      </c>
      <c r="E393" s="31">
        <f>IF($C393="","",MIN($C393,$D393))</f>
        <v/>
      </c>
      <c r="F393" s="40">
        <f>IF($E393="","",$E393*Settings!$B$4)</f>
        <v/>
      </c>
    </row>
    <row r="394">
      <c r="A394" s="29" t="n"/>
      <c r="B394" s="31" t="n"/>
      <c r="C394" s="31">
        <f>IF(OR($A394="",$B394=""),"",SUMIFS(QuickLog!$L$2:$L$1000,QuickLog!$B$2:$B$1000,$B394,QuickLog!$Q$2:$Q$1000,$A394))</f>
        <v/>
      </c>
      <c r="D394" s="31">
        <f>Settings!$B$3</f>
        <v/>
      </c>
      <c r="E394" s="31">
        <f>IF($C394="","",MIN($C394,$D394))</f>
        <v/>
      </c>
      <c r="F394" s="40">
        <f>IF($E394="","",$E394*Settings!$B$4)</f>
        <v/>
      </c>
    </row>
    <row r="395">
      <c r="A395" s="29" t="n"/>
      <c r="B395" s="31" t="n"/>
      <c r="C395" s="31">
        <f>IF(OR($A395="",$B395=""),"",SUMIFS(QuickLog!$L$2:$L$1000,QuickLog!$B$2:$B$1000,$B395,QuickLog!$Q$2:$Q$1000,$A395))</f>
        <v/>
      </c>
      <c r="D395" s="31">
        <f>Settings!$B$3</f>
        <v/>
      </c>
      <c r="E395" s="31">
        <f>IF($C395="","",MIN($C395,$D395))</f>
        <v/>
      </c>
      <c r="F395" s="40">
        <f>IF($E395="","",$E395*Settings!$B$4)</f>
        <v/>
      </c>
    </row>
    <row r="396">
      <c r="A396" s="29" t="n"/>
      <c r="B396" s="31" t="n"/>
      <c r="C396" s="31">
        <f>IF(OR($A396="",$B396=""),"",SUMIFS(QuickLog!$L$2:$L$1000,QuickLog!$B$2:$B$1000,$B396,QuickLog!$Q$2:$Q$1000,$A396))</f>
        <v/>
      </c>
      <c r="D396" s="31">
        <f>Settings!$B$3</f>
        <v/>
      </c>
      <c r="E396" s="31">
        <f>IF($C396="","",MIN($C396,$D396))</f>
        <v/>
      </c>
      <c r="F396" s="40">
        <f>IF($E396="","",$E396*Settings!$B$4)</f>
        <v/>
      </c>
    </row>
    <row r="397">
      <c r="A397" s="29" t="n"/>
      <c r="B397" s="31" t="n"/>
      <c r="C397" s="31">
        <f>IF(OR($A397="",$B397=""),"",SUMIFS(QuickLog!$L$2:$L$1000,QuickLog!$B$2:$B$1000,$B397,QuickLog!$Q$2:$Q$1000,$A397))</f>
        <v/>
      </c>
      <c r="D397" s="31">
        <f>Settings!$B$3</f>
        <v/>
      </c>
      <c r="E397" s="31">
        <f>IF($C397="","",MIN($C397,$D397))</f>
        <v/>
      </c>
      <c r="F397" s="40">
        <f>IF($E397="","",$E397*Settings!$B$4)</f>
        <v/>
      </c>
    </row>
    <row r="398">
      <c r="A398" s="29" t="n"/>
      <c r="B398" s="31" t="n"/>
      <c r="C398" s="31">
        <f>IF(OR($A398="",$B398=""),"",SUMIFS(QuickLog!$L$2:$L$1000,QuickLog!$B$2:$B$1000,$B398,QuickLog!$Q$2:$Q$1000,$A398))</f>
        <v/>
      </c>
      <c r="D398" s="31">
        <f>Settings!$B$3</f>
        <v/>
      </c>
      <c r="E398" s="31">
        <f>IF($C398="","",MIN($C398,$D398))</f>
        <v/>
      </c>
      <c r="F398" s="40">
        <f>IF($E398="","",$E398*Settings!$B$4)</f>
        <v/>
      </c>
    </row>
    <row r="399">
      <c r="A399" s="29" t="n"/>
      <c r="B399" s="31" t="n"/>
      <c r="C399" s="31">
        <f>IF(OR($A399="",$B399=""),"",SUMIFS(QuickLog!$L$2:$L$1000,QuickLog!$B$2:$B$1000,$B399,QuickLog!$Q$2:$Q$1000,$A399))</f>
        <v/>
      </c>
      <c r="D399" s="31">
        <f>Settings!$B$3</f>
        <v/>
      </c>
      <c r="E399" s="31">
        <f>IF($C399="","",MIN($C399,$D399))</f>
        <v/>
      </c>
      <c r="F399" s="40">
        <f>IF($E399="","",$E399*Settings!$B$4)</f>
        <v/>
      </c>
    </row>
    <row r="400">
      <c r="A400" s="29" t="n"/>
      <c r="B400" s="31" t="n"/>
      <c r="C400" s="31">
        <f>IF(OR($A400="",$B400=""),"",SUMIFS(QuickLog!$L$2:$L$1000,QuickLog!$B$2:$B$1000,$B400,QuickLog!$Q$2:$Q$1000,$A400))</f>
        <v/>
      </c>
      <c r="D400" s="31">
        <f>Settings!$B$3</f>
        <v/>
      </c>
      <c r="E400" s="31">
        <f>IF($C400="","",MIN($C400,$D400))</f>
        <v/>
      </c>
      <c r="F400" s="40">
        <f>IF($E400="","",$E400*Settings!$B$4)</f>
        <v/>
      </c>
    </row>
    <row r="401">
      <c r="A401" s="29" t="n"/>
      <c r="B401" s="31" t="n"/>
      <c r="C401" s="31">
        <f>IF(OR($A401="",$B401=""),"",SUMIFS(QuickLog!$L$2:$L$1000,QuickLog!$B$2:$B$1000,$B401,QuickLog!$Q$2:$Q$1000,$A401))</f>
        <v/>
      </c>
      <c r="D401" s="31">
        <f>Settings!$B$3</f>
        <v/>
      </c>
      <c r="E401" s="31">
        <f>IF($C401="","",MIN($C401,$D401))</f>
        <v/>
      </c>
      <c r="F401" s="40">
        <f>IF($E401="","",$E401*Settings!$B$4)</f>
        <v/>
      </c>
    </row>
    <row r="402">
      <c r="A402" s="29" t="n"/>
      <c r="B402" s="31" t="n"/>
      <c r="C402" s="31">
        <f>IF(OR($A402="",$B402=""),"",SUMIFS(QuickLog!$L$2:$L$1000,QuickLog!$B$2:$B$1000,$B402,QuickLog!$Q$2:$Q$1000,$A402))</f>
        <v/>
      </c>
      <c r="D402" s="31">
        <f>Settings!$B$3</f>
        <v/>
      </c>
      <c r="E402" s="31">
        <f>IF($C402="","",MIN($C402,$D402))</f>
        <v/>
      </c>
      <c r="F402" s="40">
        <f>IF($E402="","",$E402*Settings!$B$4)</f>
        <v/>
      </c>
    </row>
    <row r="403">
      <c r="A403" s="29" t="n"/>
      <c r="B403" s="31" t="n"/>
      <c r="C403" s="31">
        <f>IF(OR($A403="",$B403=""),"",SUMIFS(QuickLog!$L$2:$L$1000,QuickLog!$B$2:$B$1000,$B403,QuickLog!$Q$2:$Q$1000,$A403))</f>
        <v/>
      </c>
      <c r="D403" s="31">
        <f>Settings!$B$3</f>
        <v/>
      </c>
      <c r="E403" s="31">
        <f>IF($C403="","",MIN($C403,$D403))</f>
        <v/>
      </c>
      <c r="F403" s="40">
        <f>IF($E403="","",$E403*Settings!$B$4)</f>
        <v/>
      </c>
    </row>
    <row r="404">
      <c r="A404" s="29" t="n"/>
      <c r="B404" s="31" t="n"/>
      <c r="C404" s="31">
        <f>IF(OR($A404="",$B404=""),"",SUMIFS(QuickLog!$L$2:$L$1000,QuickLog!$B$2:$B$1000,$B404,QuickLog!$Q$2:$Q$1000,$A404))</f>
        <v/>
      </c>
      <c r="D404" s="31">
        <f>Settings!$B$3</f>
        <v/>
      </c>
      <c r="E404" s="31">
        <f>IF($C404="","",MIN($C404,$D404))</f>
        <v/>
      </c>
      <c r="F404" s="40">
        <f>IF($E404="","",$E404*Settings!$B$4)</f>
        <v/>
      </c>
    </row>
    <row r="405">
      <c r="A405" s="29" t="n"/>
      <c r="B405" s="31" t="n"/>
      <c r="C405" s="31">
        <f>IF(OR($A405="",$B405=""),"",SUMIFS(QuickLog!$L$2:$L$1000,QuickLog!$B$2:$B$1000,$B405,QuickLog!$Q$2:$Q$1000,$A405))</f>
        <v/>
      </c>
      <c r="D405" s="31">
        <f>Settings!$B$3</f>
        <v/>
      </c>
      <c r="E405" s="31">
        <f>IF($C405="","",MIN($C405,$D405))</f>
        <v/>
      </c>
      <c r="F405" s="40">
        <f>IF($E405="","",$E405*Settings!$B$4)</f>
        <v/>
      </c>
    </row>
    <row r="406">
      <c r="A406" s="29" t="n"/>
      <c r="B406" s="31" t="n"/>
      <c r="C406" s="31">
        <f>IF(OR($A406="",$B406=""),"",SUMIFS(QuickLog!$L$2:$L$1000,QuickLog!$B$2:$B$1000,$B406,QuickLog!$Q$2:$Q$1000,$A406))</f>
        <v/>
      </c>
      <c r="D406" s="31">
        <f>Settings!$B$3</f>
        <v/>
      </c>
      <c r="E406" s="31">
        <f>IF($C406="","",MIN($C406,$D406))</f>
        <v/>
      </c>
      <c r="F406" s="40">
        <f>IF($E406="","",$E406*Settings!$B$4)</f>
        <v/>
      </c>
    </row>
    <row r="407">
      <c r="A407" s="29" t="n"/>
      <c r="B407" s="31" t="n"/>
      <c r="C407" s="31">
        <f>IF(OR($A407="",$B407=""),"",SUMIFS(QuickLog!$L$2:$L$1000,QuickLog!$B$2:$B$1000,$B407,QuickLog!$Q$2:$Q$1000,$A407))</f>
        <v/>
      </c>
      <c r="D407" s="31">
        <f>Settings!$B$3</f>
        <v/>
      </c>
      <c r="E407" s="31">
        <f>IF($C407="","",MIN($C407,$D407))</f>
        <v/>
      </c>
      <c r="F407" s="40">
        <f>IF($E407="","",$E407*Settings!$B$4)</f>
        <v/>
      </c>
    </row>
    <row r="408">
      <c r="A408" s="29" t="n"/>
      <c r="B408" s="31" t="n"/>
      <c r="C408" s="31">
        <f>IF(OR($A408="",$B408=""),"",SUMIFS(QuickLog!$L$2:$L$1000,QuickLog!$B$2:$B$1000,$B408,QuickLog!$Q$2:$Q$1000,$A408))</f>
        <v/>
      </c>
      <c r="D408" s="31">
        <f>Settings!$B$3</f>
        <v/>
      </c>
      <c r="E408" s="31">
        <f>IF($C408="","",MIN($C408,$D408))</f>
        <v/>
      </c>
      <c r="F408" s="40">
        <f>IF($E408="","",$E408*Settings!$B$4)</f>
        <v/>
      </c>
    </row>
    <row r="409">
      <c r="A409" s="29" t="n"/>
      <c r="B409" s="31" t="n"/>
      <c r="C409" s="31">
        <f>IF(OR($A409="",$B409=""),"",SUMIFS(QuickLog!$L$2:$L$1000,QuickLog!$B$2:$B$1000,$B409,QuickLog!$Q$2:$Q$1000,$A409))</f>
        <v/>
      </c>
      <c r="D409" s="31">
        <f>Settings!$B$3</f>
        <v/>
      </c>
      <c r="E409" s="31">
        <f>IF($C409="","",MIN($C409,$D409))</f>
        <v/>
      </c>
      <c r="F409" s="40">
        <f>IF($E409="","",$E409*Settings!$B$4)</f>
        <v/>
      </c>
    </row>
    <row r="410">
      <c r="A410" s="29" t="n"/>
      <c r="B410" s="31" t="n"/>
      <c r="C410" s="31">
        <f>IF(OR($A410="",$B410=""),"",SUMIFS(QuickLog!$L$2:$L$1000,QuickLog!$B$2:$B$1000,$B410,QuickLog!$Q$2:$Q$1000,$A410))</f>
        <v/>
      </c>
      <c r="D410" s="31">
        <f>Settings!$B$3</f>
        <v/>
      </c>
      <c r="E410" s="31">
        <f>IF($C410="","",MIN($C410,$D410))</f>
        <v/>
      </c>
      <c r="F410" s="40">
        <f>IF($E410="","",$E410*Settings!$B$4)</f>
        <v/>
      </c>
    </row>
    <row r="411">
      <c r="A411" s="29" t="n"/>
      <c r="B411" s="31" t="n"/>
      <c r="C411" s="31">
        <f>IF(OR($A411="",$B411=""),"",SUMIFS(QuickLog!$L$2:$L$1000,QuickLog!$B$2:$B$1000,$B411,QuickLog!$Q$2:$Q$1000,$A411))</f>
        <v/>
      </c>
      <c r="D411" s="31">
        <f>Settings!$B$3</f>
        <v/>
      </c>
      <c r="E411" s="31">
        <f>IF($C411="","",MIN($C411,$D411))</f>
        <v/>
      </c>
      <c r="F411" s="40">
        <f>IF($E411="","",$E411*Settings!$B$4)</f>
        <v/>
      </c>
    </row>
    <row r="412">
      <c r="A412" s="29" t="n"/>
      <c r="B412" s="31" t="n"/>
      <c r="C412" s="31">
        <f>IF(OR($A412="",$B412=""),"",SUMIFS(QuickLog!$L$2:$L$1000,QuickLog!$B$2:$B$1000,$B412,QuickLog!$Q$2:$Q$1000,$A412))</f>
        <v/>
      </c>
      <c r="D412" s="31">
        <f>Settings!$B$3</f>
        <v/>
      </c>
      <c r="E412" s="31">
        <f>IF($C412="","",MIN($C412,$D412))</f>
        <v/>
      </c>
      <c r="F412" s="40">
        <f>IF($E412="","",$E412*Settings!$B$4)</f>
        <v/>
      </c>
    </row>
    <row r="413">
      <c r="A413" s="29" t="n"/>
      <c r="B413" s="31" t="n"/>
      <c r="C413" s="31">
        <f>IF(OR($A413="",$B413=""),"",SUMIFS(QuickLog!$L$2:$L$1000,QuickLog!$B$2:$B$1000,$B413,QuickLog!$Q$2:$Q$1000,$A413))</f>
        <v/>
      </c>
      <c r="D413" s="31">
        <f>Settings!$B$3</f>
        <v/>
      </c>
      <c r="E413" s="31">
        <f>IF($C413="","",MIN($C413,$D413))</f>
        <v/>
      </c>
      <c r="F413" s="40">
        <f>IF($E413="","",$E413*Settings!$B$4)</f>
        <v/>
      </c>
    </row>
    <row r="414">
      <c r="A414" s="29" t="n"/>
      <c r="B414" s="31" t="n"/>
      <c r="C414" s="31">
        <f>IF(OR($A414="",$B414=""),"",SUMIFS(QuickLog!$L$2:$L$1000,QuickLog!$B$2:$B$1000,$B414,QuickLog!$Q$2:$Q$1000,$A414))</f>
        <v/>
      </c>
      <c r="D414" s="31">
        <f>Settings!$B$3</f>
        <v/>
      </c>
      <c r="E414" s="31">
        <f>IF($C414="","",MIN($C414,$D414))</f>
        <v/>
      </c>
      <c r="F414" s="40">
        <f>IF($E414="","",$E414*Settings!$B$4)</f>
        <v/>
      </c>
    </row>
    <row r="415">
      <c r="A415" s="29" t="n"/>
      <c r="B415" s="31" t="n"/>
      <c r="C415" s="31">
        <f>IF(OR($A415="",$B415=""),"",SUMIFS(QuickLog!$L$2:$L$1000,QuickLog!$B$2:$B$1000,$B415,QuickLog!$Q$2:$Q$1000,$A415))</f>
        <v/>
      </c>
      <c r="D415" s="31">
        <f>Settings!$B$3</f>
        <v/>
      </c>
      <c r="E415" s="31">
        <f>IF($C415="","",MIN($C415,$D415))</f>
        <v/>
      </c>
      <c r="F415" s="40">
        <f>IF($E415="","",$E415*Settings!$B$4)</f>
        <v/>
      </c>
    </row>
    <row r="416">
      <c r="A416" s="29" t="n"/>
      <c r="B416" s="31" t="n"/>
      <c r="C416" s="31">
        <f>IF(OR($A416="",$B416=""),"",SUMIFS(QuickLog!$L$2:$L$1000,QuickLog!$B$2:$B$1000,$B416,QuickLog!$Q$2:$Q$1000,$A416))</f>
        <v/>
      </c>
      <c r="D416" s="31">
        <f>Settings!$B$3</f>
        <v/>
      </c>
      <c r="E416" s="31">
        <f>IF($C416="","",MIN($C416,$D416))</f>
        <v/>
      </c>
      <c r="F416" s="40">
        <f>IF($E416="","",$E416*Settings!$B$4)</f>
        <v/>
      </c>
    </row>
    <row r="417">
      <c r="A417" s="29" t="n"/>
      <c r="B417" s="31" t="n"/>
      <c r="C417" s="31">
        <f>IF(OR($A417="",$B417=""),"",SUMIFS(QuickLog!$L$2:$L$1000,QuickLog!$B$2:$B$1000,$B417,QuickLog!$Q$2:$Q$1000,$A417))</f>
        <v/>
      </c>
      <c r="D417" s="31">
        <f>Settings!$B$3</f>
        <v/>
      </c>
      <c r="E417" s="31">
        <f>IF($C417="","",MIN($C417,$D417))</f>
        <v/>
      </c>
      <c r="F417" s="40">
        <f>IF($E417="","",$E417*Settings!$B$4)</f>
        <v/>
      </c>
    </row>
    <row r="418">
      <c r="A418" s="29" t="n"/>
      <c r="B418" s="31" t="n"/>
      <c r="C418" s="31">
        <f>IF(OR($A418="",$B418=""),"",SUMIFS(QuickLog!$L$2:$L$1000,QuickLog!$B$2:$B$1000,$B418,QuickLog!$Q$2:$Q$1000,$A418))</f>
        <v/>
      </c>
      <c r="D418" s="31">
        <f>Settings!$B$3</f>
        <v/>
      </c>
      <c r="E418" s="31">
        <f>IF($C418="","",MIN($C418,$D418))</f>
        <v/>
      </c>
      <c r="F418" s="40">
        <f>IF($E418="","",$E418*Settings!$B$4)</f>
        <v/>
      </c>
    </row>
    <row r="419">
      <c r="A419" s="29" t="n"/>
      <c r="B419" s="31" t="n"/>
      <c r="C419" s="31">
        <f>IF(OR($A419="",$B419=""),"",SUMIFS(QuickLog!$L$2:$L$1000,QuickLog!$B$2:$B$1000,$B419,QuickLog!$Q$2:$Q$1000,$A419))</f>
        <v/>
      </c>
      <c r="D419" s="31">
        <f>Settings!$B$3</f>
        <v/>
      </c>
      <c r="E419" s="31">
        <f>IF($C419="","",MIN($C419,$D419))</f>
        <v/>
      </c>
      <c r="F419" s="40">
        <f>IF($E419="","",$E419*Settings!$B$4)</f>
        <v/>
      </c>
    </row>
    <row r="420">
      <c r="A420" s="29" t="n"/>
      <c r="B420" s="31" t="n"/>
      <c r="C420" s="31">
        <f>IF(OR($A420="",$B420=""),"",SUMIFS(QuickLog!$L$2:$L$1000,QuickLog!$B$2:$B$1000,$B420,QuickLog!$Q$2:$Q$1000,$A420))</f>
        <v/>
      </c>
      <c r="D420" s="31">
        <f>Settings!$B$3</f>
        <v/>
      </c>
      <c r="E420" s="31">
        <f>IF($C420="","",MIN($C420,$D420))</f>
        <v/>
      </c>
      <c r="F420" s="40">
        <f>IF($E420="","",$E420*Settings!$B$4)</f>
        <v/>
      </c>
    </row>
    <row r="421">
      <c r="A421" s="29" t="n"/>
      <c r="B421" s="31" t="n"/>
      <c r="C421" s="31">
        <f>IF(OR($A421="",$B421=""),"",SUMIFS(QuickLog!$L$2:$L$1000,QuickLog!$B$2:$B$1000,$B421,QuickLog!$Q$2:$Q$1000,$A421))</f>
        <v/>
      </c>
      <c r="D421" s="31">
        <f>Settings!$B$3</f>
        <v/>
      </c>
      <c r="E421" s="31">
        <f>IF($C421="","",MIN($C421,$D421))</f>
        <v/>
      </c>
      <c r="F421" s="40">
        <f>IF($E421="","",$E421*Settings!$B$4)</f>
        <v/>
      </c>
    </row>
    <row r="422">
      <c r="A422" s="29" t="n"/>
      <c r="B422" s="31" t="n"/>
      <c r="C422" s="31">
        <f>IF(OR($A422="",$B422=""),"",SUMIFS(QuickLog!$L$2:$L$1000,QuickLog!$B$2:$B$1000,$B422,QuickLog!$Q$2:$Q$1000,$A422))</f>
        <v/>
      </c>
      <c r="D422" s="31">
        <f>Settings!$B$3</f>
        <v/>
      </c>
      <c r="E422" s="31">
        <f>IF($C422="","",MIN($C422,$D422))</f>
        <v/>
      </c>
      <c r="F422" s="40">
        <f>IF($E422="","",$E422*Settings!$B$4)</f>
        <v/>
      </c>
    </row>
    <row r="423">
      <c r="A423" s="29" t="n"/>
      <c r="B423" s="31" t="n"/>
      <c r="C423" s="31">
        <f>IF(OR($A423="",$B423=""),"",SUMIFS(QuickLog!$L$2:$L$1000,QuickLog!$B$2:$B$1000,$B423,QuickLog!$Q$2:$Q$1000,$A423))</f>
        <v/>
      </c>
      <c r="D423" s="31">
        <f>Settings!$B$3</f>
        <v/>
      </c>
      <c r="E423" s="31">
        <f>IF($C423="","",MIN($C423,$D423))</f>
        <v/>
      </c>
      <c r="F423" s="40">
        <f>IF($E423="","",$E423*Settings!$B$4)</f>
        <v/>
      </c>
    </row>
    <row r="424">
      <c r="A424" s="29" t="n"/>
      <c r="B424" s="31" t="n"/>
      <c r="C424" s="31">
        <f>IF(OR($A424="",$B424=""),"",SUMIFS(QuickLog!$L$2:$L$1000,QuickLog!$B$2:$B$1000,$B424,QuickLog!$Q$2:$Q$1000,$A424))</f>
        <v/>
      </c>
      <c r="D424" s="31">
        <f>Settings!$B$3</f>
        <v/>
      </c>
      <c r="E424" s="31">
        <f>IF($C424="","",MIN($C424,$D424))</f>
        <v/>
      </c>
      <c r="F424" s="40">
        <f>IF($E424="","",$E424*Settings!$B$4)</f>
        <v/>
      </c>
    </row>
    <row r="425">
      <c r="A425" s="29" t="n"/>
      <c r="B425" s="31" t="n"/>
      <c r="C425" s="31">
        <f>IF(OR($A425="",$B425=""),"",SUMIFS(QuickLog!$L$2:$L$1000,QuickLog!$B$2:$B$1000,$B425,QuickLog!$Q$2:$Q$1000,$A425))</f>
        <v/>
      </c>
      <c r="D425" s="31">
        <f>Settings!$B$3</f>
        <v/>
      </c>
      <c r="E425" s="31">
        <f>IF($C425="","",MIN($C425,$D425))</f>
        <v/>
      </c>
      <c r="F425" s="40">
        <f>IF($E425="","",$E425*Settings!$B$4)</f>
        <v/>
      </c>
    </row>
    <row r="426">
      <c r="A426" s="29" t="n"/>
      <c r="B426" s="31" t="n"/>
      <c r="C426" s="31">
        <f>IF(OR($A426="",$B426=""),"",SUMIFS(QuickLog!$L$2:$L$1000,QuickLog!$B$2:$B$1000,$B426,QuickLog!$Q$2:$Q$1000,$A426))</f>
        <v/>
      </c>
      <c r="D426" s="31">
        <f>Settings!$B$3</f>
        <v/>
      </c>
      <c r="E426" s="31">
        <f>IF($C426="","",MIN($C426,$D426))</f>
        <v/>
      </c>
      <c r="F426" s="40">
        <f>IF($E426="","",$E426*Settings!$B$4)</f>
        <v/>
      </c>
    </row>
    <row r="427">
      <c r="A427" s="29" t="n"/>
      <c r="B427" s="31" t="n"/>
      <c r="C427" s="31">
        <f>IF(OR($A427="",$B427=""),"",SUMIFS(QuickLog!$L$2:$L$1000,QuickLog!$B$2:$B$1000,$B427,QuickLog!$Q$2:$Q$1000,$A427))</f>
        <v/>
      </c>
      <c r="D427" s="31">
        <f>Settings!$B$3</f>
        <v/>
      </c>
      <c r="E427" s="31">
        <f>IF($C427="","",MIN($C427,$D427))</f>
        <v/>
      </c>
      <c r="F427" s="40">
        <f>IF($E427="","",$E427*Settings!$B$4)</f>
        <v/>
      </c>
    </row>
    <row r="428">
      <c r="A428" s="29" t="n"/>
      <c r="B428" s="31" t="n"/>
      <c r="C428" s="31">
        <f>IF(OR($A428="",$B428=""),"",SUMIFS(QuickLog!$L$2:$L$1000,QuickLog!$B$2:$B$1000,$B428,QuickLog!$Q$2:$Q$1000,$A428))</f>
        <v/>
      </c>
      <c r="D428" s="31">
        <f>Settings!$B$3</f>
        <v/>
      </c>
      <c r="E428" s="31">
        <f>IF($C428="","",MIN($C428,$D428))</f>
        <v/>
      </c>
      <c r="F428" s="40">
        <f>IF($E428="","",$E428*Settings!$B$4)</f>
        <v/>
      </c>
    </row>
    <row r="429">
      <c r="A429" s="29" t="n"/>
      <c r="B429" s="31" t="n"/>
      <c r="C429" s="31">
        <f>IF(OR($A429="",$B429=""),"",SUMIFS(QuickLog!$L$2:$L$1000,QuickLog!$B$2:$B$1000,$B429,QuickLog!$Q$2:$Q$1000,$A429))</f>
        <v/>
      </c>
      <c r="D429" s="31">
        <f>Settings!$B$3</f>
        <v/>
      </c>
      <c r="E429" s="31">
        <f>IF($C429="","",MIN($C429,$D429))</f>
        <v/>
      </c>
      <c r="F429" s="40">
        <f>IF($E429="","",$E429*Settings!$B$4)</f>
        <v/>
      </c>
    </row>
    <row r="430">
      <c r="A430" s="29" t="n"/>
      <c r="B430" s="31" t="n"/>
      <c r="C430" s="31">
        <f>IF(OR($A430="",$B430=""),"",SUMIFS(QuickLog!$L$2:$L$1000,QuickLog!$B$2:$B$1000,$B430,QuickLog!$Q$2:$Q$1000,$A430))</f>
        <v/>
      </c>
      <c r="D430" s="31">
        <f>Settings!$B$3</f>
        <v/>
      </c>
      <c r="E430" s="31">
        <f>IF($C430="","",MIN($C430,$D430))</f>
        <v/>
      </c>
      <c r="F430" s="40">
        <f>IF($E430="","",$E430*Settings!$B$4)</f>
        <v/>
      </c>
    </row>
    <row r="431">
      <c r="A431" s="29" t="n"/>
      <c r="B431" s="31" t="n"/>
      <c r="C431" s="31">
        <f>IF(OR($A431="",$B431=""),"",SUMIFS(QuickLog!$L$2:$L$1000,QuickLog!$B$2:$B$1000,$B431,QuickLog!$Q$2:$Q$1000,$A431))</f>
        <v/>
      </c>
      <c r="D431" s="31">
        <f>Settings!$B$3</f>
        <v/>
      </c>
      <c r="E431" s="31">
        <f>IF($C431="","",MIN($C431,$D431))</f>
        <v/>
      </c>
      <c r="F431" s="40">
        <f>IF($E431="","",$E431*Settings!$B$4)</f>
        <v/>
      </c>
    </row>
    <row r="432">
      <c r="A432" s="29" t="n"/>
      <c r="B432" s="31" t="n"/>
      <c r="C432" s="31">
        <f>IF(OR($A432="",$B432=""),"",SUMIFS(QuickLog!$L$2:$L$1000,QuickLog!$B$2:$B$1000,$B432,QuickLog!$Q$2:$Q$1000,$A432))</f>
        <v/>
      </c>
      <c r="D432" s="31">
        <f>Settings!$B$3</f>
        <v/>
      </c>
      <c r="E432" s="31">
        <f>IF($C432="","",MIN($C432,$D432))</f>
        <v/>
      </c>
      <c r="F432" s="40">
        <f>IF($E432="","",$E432*Settings!$B$4)</f>
        <v/>
      </c>
    </row>
    <row r="433">
      <c r="A433" s="29" t="n"/>
      <c r="B433" s="31" t="n"/>
      <c r="C433" s="31">
        <f>IF(OR($A433="",$B433=""),"",SUMIFS(QuickLog!$L$2:$L$1000,QuickLog!$B$2:$B$1000,$B433,QuickLog!$Q$2:$Q$1000,$A433))</f>
        <v/>
      </c>
      <c r="D433" s="31">
        <f>Settings!$B$3</f>
        <v/>
      </c>
      <c r="E433" s="31">
        <f>IF($C433="","",MIN($C433,$D433))</f>
        <v/>
      </c>
      <c r="F433" s="40">
        <f>IF($E433="","",$E433*Settings!$B$4)</f>
        <v/>
      </c>
    </row>
    <row r="434">
      <c r="A434" s="29" t="n"/>
      <c r="B434" s="31" t="n"/>
      <c r="C434" s="31">
        <f>IF(OR($A434="",$B434=""),"",SUMIFS(QuickLog!$L$2:$L$1000,QuickLog!$B$2:$B$1000,$B434,QuickLog!$Q$2:$Q$1000,$A434))</f>
        <v/>
      </c>
      <c r="D434" s="31">
        <f>Settings!$B$3</f>
        <v/>
      </c>
      <c r="E434" s="31">
        <f>IF($C434="","",MIN($C434,$D434))</f>
        <v/>
      </c>
      <c r="F434" s="40">
        <f>IF($E434="","",$E434*Settings!$B$4)</f>
        <v/>
      </c>
    </row>
    <row r="435">
      <c r="A435" s="29" t="n"/>
      <c r="B435" s="31" t="n"/>
      <c r="C435" s="31">
        <f>IF(OR($A435="",$B435=""),"",SUMIFS(QuickLog!$L$2:$L$1000,QuickLog!$B$2:$B$1000,$B435,QuickLog!$Q$2:$Q$1000,$A435))</f>
        <v/>
      </c>
      <c r="D435" s="31">
        <f>Settings!$B$3</f>
        <v/>
      </c>
      <c r="E435" s="31">
        <f>IF($C435="","",MIN($C435,$D435))</f>
        <v/>
      </c>
      <c r="F435" s="40">
        <f>IF($E435="","",$E435*Settings!$B$4)</f>
        <v/>
      </c>
    </row>
    <row r="436">
      <c r="A436" s="29" t="n"/>
      <c r="B436" s="31" t="n"/>
      <c r="C436" s="31">
        <f>IF(OR($A436="",$B436=""),"",SUMIFS(QuickLog!$L$2:$L$1000,QuickLog!$B$2:$B$1000,$B436,QuickLog!$Q$2:$Q$1000,$A436))</f>
        <v/>
      </c>
      <c r="D436" s="31">
        <f>Settings!$B$3</f>
        <v/>
      </c>
      <c r="E436" s="31">
        <f>IF($C436="","",MIN($C436,$D436))</f>
        <v/>
      </c>
      <c r="F436" s="40">
        <f>IF($E436="","",$E436*Settings!$B$4)</f>
        <v/>
      </c>
    </row>
    <row r="437">
      <c r="A437" s="29" t="n"/>
      <c r="B437" s="31" t="n"/>
      <c r="C437" s="31">
        <f>IF(OR($A437="",$B437=""),"",SUMIFS(QuickLog!$L$2:$L$1000,QuickLog!$B$2:$B$1000,$B437,QuickLog!$Q$2:$Q$1000,$A437))</f>
        <v/>
      </c>
      <c r="D437" s="31">
        <f>Settings!$B$3</f>
        <v/>
      </c>
      <c r="E437" s="31">
        <f>IF($C437="","",MIN($C437,$D437))</f>
        <v/>
      </c>
      <c r="F437" s="40">
        <f>IF($E437="","",$E437*Settings!$B$4)</f>
        <v/>
      </c>
    </row>
    <row r="438">
      <c r="A438" s="29" t="n"/>
      <c r="B438" s="31" t="n"/>
      <c r="C438" s="31">
        <f>IF(OR($A438="",$B438=""),"",SUMIFS(QuickLog!$L$2:$L$1000,QuickLog!$B$2:$B$1000,$B438,QuickLog!$Q$2:$Q$1000,$A438))</f>
        <v/>
      </c>
      <c r="D438" s="31">
        <f>Settings!$B$3</f>
        <v/>
      </c>
      <c r="E438" s="31">
        <f>IF($C438="","",MIN($C438,$D438))</f>
        <v/>
      </c>
      <c r="F438" s="40">
        <f>IF($E438="","",$E438*Settings!$B$4)</f>
        <v/>
      </c>
    </row>
    <row r="439">
      <c r="A439" s="29" t="n"/>
      <c r="B439" s="31" t="n"/>
      <c r="C439" s="31">
        <f>IF(OR($A439="",$B439=""),"",SUMIFS(QuickLog!$L$2:$L$1000,QuickLog!$B$2:$B$1000,$B439,QuickLog!$Q$2:$Q$1000,$A439))</f>
        <v/>
      </c>
      <c r="D439" s="31">
        <f>Settings!$B$3</f>
        <v/>
      </c>
      <c r="E439" s="31">
        <f>IF($C439="","",MIN($C439,$D439))</f>
        <v/>
      </c>
      <c r="F439" s="40">
        <f>IF($E439="","",$E439*Settings!$B$4)</f>
        <v/>
      </c>
    </row>
    <row r="440">
      <c r="A440" s="29" t="n"/>
      <c r="B440" s="31" t="n"/>
      <c r="C440" s="31">
        <f>IF(OR($A440="",$B440=""),"",SUMIFS(QuickLog!$L$2:$L$1000,QuickLog!$B$2:$B$1000,$B440,QuickLog!$Q$2:$Q$1000,$A440))</f>
        <v/>
      </c>
      <c r="D440" s="31">
        <f>Settings!$B$3</f>
        <v/>
      </c>
      <c r="E440" s="31">
        <f>IF($C440="","",MIN($C440,$D440))</f>
        <v/>
      </c>
      <c r="F440" s="40">
        <f>IF($E440="","",$E440*Settings!$B$4)</f>
        <v/>
      </c>
    </row>
    <row r="441">
      <c r="A441" s="29" t="n"/>
      <c r="B441" s="31" t="n"/>
      <c r="C441" s="31">
        <f>IF(OR($A441="",$B441=""),"",SUMIFS(QuickLog!$L$2:$L$1000,QuickLog!$B$2:$B$1000,$B441,QuickLog!$Q$2:$Q$1000,$A441))</f>
        <v/>
      </c>
      <c r="D441" s="31">
        <f>Settings!$B$3</f>
        <v/>
      </c>
      <c r="E441" s="31">
        <f>IF($C441="","",MIN($C441,$D441))</f>
        <v/>
      </c>
      <c r="F441" s="40">
        <f>IF($E441="","",$E441*Settings!$B$4)</f>
        <v/>
      </c>
    </row>
    <row r="442">
      <c r="A442" s="29" t="n"/>
      <c r="B442" s="31" t="n"/>
      <c r="C442" s="31">
        <f>IF(OR($A442="",$B442=""),"",SUMIFS(QuickLog!$L$2:$L$1000,QuickLog!$B$2:$B$1000,$B442,QuickLog!$Q$2:$Q$1000,$A442))</f>
        <v/>
      </c>
      <c r="D442" s="31">
        <f>Settings!$B$3</f>
        <v/>
      </c>
      <c r="E442" s="31">
        <f>IF($C442="","",MIN($C442,$D442))</f>
        <v/>
      </c>
      <c r="F442" s="40">
        <f>IF($E442="","",$E442*Settings!$B$4)</f>
        <v/>
      </c>
    </row>
    <row r="443">
      <c r="A443" s="29" t="n"/>
      <c r="B443" s="31" t="n"/>
      <c r="C443" s="31">
        <f>IF(OR($A443="",$B443=""),"",SUMIFS(QuickLog!$L$2:$L$1000,QuickLog!$B$2:$B$1000,$B443,QuickLog!$Q$2:$Q$1000,$A443))</f>
        <v/>
      </c>
      <c r="D443" s="31">
        <f>Settings!$B$3</f>
        <v/>
      </c>
      <c r="E443" s="31">
        <f>IF($C443="","",MIN($C443,$D443))</f>
        <v/>
      </c>
      <c r="F443" s="40">
        <f>IF($E443="","",$E443*Settings!$B$4)</f>
        <v/>
      </c>
    </row>
    <row r="444">
      <c r="A444" s="29" t="n"/>
      <c r="B444" s="31" t="n"/>
      <c r="C444" s="31">
        <f>IF(OR($A444="",$B444=""),"",SUMIFS(QuickLog!$L$2:$L$1000,QuickLog!$B$2:$B$1000,$B444,QuickLog!$Q$2:$Q$1000,$A444))</f>
        <v/>
      </c>
      <c r="D444" s="31">
        <f>Settings!$B$3</f>
        <v/>
      </c>
      <c r="E444" s="31">
        <f>IF($C444="","",MIN($C444,$D444))</f>
        <v/>
      </c>
      <c r="F444" s="40">
        <f>IF($E444="","",$E444*Settings!$B$4)</f>
        <v/>
      </c>
    </row>
    <row r="445">
      <c r="A445" s="29" t="n"/>
      <c r="B445" s="31" t="n"/>
      <c r="C445" s="31">
        <f>IF(OR($A445="",$B445=""),"",SUMIFS(QuickLog!$L$2:$L$1000,QuickLog!$B$2:$B$1000,$B445,QuickLog!$Q$2:$Q$1000,$A445))</f>
        <v/>
      </c>
      <c r="D445" s="31">
        <f>Settings!$B$3</f>
        <v/>
      </c>
      <c r="E445" s="31">
        <f>IF($C445="","",MIN($C445,$D445))</f>
        <v/>
      </c>
      <c r="F445" s="40">
        <f>IF($E445="","",$E445*Settings!$B$4)</f>
        <v/>
      </c>
    </row>
    <row r="446">
      <c r="A446" s="29" t="n"/>
      <c r="B446" s="31" t="n"/>
      <c r="C446" s="31">
        <f>IF(OR($A446="",$B446=""),"",SUMIFS(QuickLog!$L$2:$L$1000,QuickLog!$B$2:$B$1000,$B446,QuickLog!$Q$2:$Q$1000,$A446))</f>
        <v/>
      </c>
      <c r="D446" s="31">
        <f>Settings!$B$3</f>
        <v/>
      </c>
      <c r="E446" s="31">
        <f>IF($C446="","",MIN($C446,$D446))</f>
        <v/>
      </c>
      <c r="F446" s="40">
        <f>IF($E446="","",$E446*Settings!$B$4)</f>
        <v/>
      </c>
    </row>
    <row r="447">
      <c r="A447" s="29" t="n"/>
      <c r="B447" s="31" t="n"/>
      <c r="C447" s="31">
        <f>IF(OR($A447="",$B447=""),"",SUMIFS(QuickLog!$L$2:$L$1000,QuickLog!$B$2:$B$1000,$B447,QuickLog!$Q$2:$Q$1000,$A447))</f>
        <v/>
      </c>
      <c r="D447" s="31">
        <f>Settings!$B$3</f>
        <v/>
      </c>
      <c r="E447" s="31">
        <f>IF($C447="","",MIN($C447,$D447))</f>
        <v/>
      </c>
      <c r="F447" s="40">
        <f>IF($E447="","",$E447*Settings!$B$4)</f>
        <v/>
      </c>
    </row>
    <row r="448">
      <c r="A448" s="29" t="n"/>
      <c r="B448" s="31" t="n"/>
      <c r="C448" s="31">
        <f>IF(OR($A448="",$B448=""),"",SUMIFS(QuickLog!$L$2:$L$1000,QuickLog!$B$2:$B$1000,$B448,QuickLog!$Q$2:$Q$1000,$A448))</f>
        <v/>
      </c>
      <c r="D448" s="31">
        <f>Settings!$B$3</f>
        <v/>
      </c>
      <c r="E448" s="31">
        <f>IF($C448="","",MIN($C448,$D448))</f>
        <v/>
      </c>
      <c r="F448" s="40">
        <f>IF($E448="","",$E448*Settings!$B$4)</f>
        <v/>
      </c>
    </row>
    <row r="449">
      <c r="A449" s="29" t="n"/>
      <c r="B449" s="31" t="n"/>
      <c r="C449" s="31">
        <f>IF(OR($A449="",$B449=""),"",SUMIFS(QuickLog!$L$2:$L$1000,QuickLog!$B$2:$B$1000,$B449,QuickLog!$Q$2:$Q$1000,$A449))</f>
        <v/>
      </c>
      <c r="D449" s="31">
        <f>Settings!$B$3</f>
        <v/>
      </c>
      <c r="E449" s="31">
        <f>IF($C449="","",MIN($C449,$D449))</f>
        <v/>
      </c>
      <c r="F449" s="40">
        <f>IF($E449="","",$E449*Settings!$B$4)</f>
        <v/>
      </c>
    </row>
    <row r="450">
      <c r="A450" s="29" t="n"/>
      <c r="B450" s="31" t="n"/>
      <c r="C450" s="31">
        <f>IF(OR($A450="",$B450=""),"",SUMIFS(QuickLog!$L$2:$L$1000,QuickLog!$B$2:$B$1000,$B450,QuickLog!$Q$2:$Q$1000,$A450))</f>
        <v/>
      </c>
      <c r="D450" s="31">
        <f>Settings!$B$3</f>
        <v/>
      </c>
      <c r="E450" s="31">
        <f>IF($C450="","",MIN($C450,$D450))</f>
        <v/>
      </c>
      <c r="F450" s="40">
        <f>IF($E450="","",$E450*Settings!$B$4)</f>
        <v/>
      </c>
    </row>
    <row r="451">
      <c r="A451" s="29" t="n"/>
      <c r="B451" s="31" t="n"/>
      <c r="C451" s="31">
        <f>IF(OR($A451="",$B451=""),"",SUMIFS(QuickLog!$L$2:$L$1000,QuickLog!$B$2:$B$1000,$B451,QuickLog!$Q$2:$Q$1000,$A451))</f>
        <v/>
      </c>
      <c r="D451" s="31">
        <f>Settings!$B$3</f>
        <v/>
      </c>
      <c r="E451" s="31">
        <f>IF($C451="","",MIN($C451,$D451))</f>
        <v/>
      </c>
      <c r="F451" s="40">
        <f>IF($E451="","",$E451*Settings!$B$4)</f>
        <v/>
      </c>
    </row>
    <row r="452">
      <c r="A452" s="29" t="n"/>
      <c r="B452" s="31" t="n"/>
      <c r="C452" s="31">
        <f>IF(OR($A452="",$B452=""),"",SUMIFS(QuickLog!$L$2:$L$1000,QuickLog!$B$2:$B$1000,$B452,QuickLog!$Q$2:$Q$1000,$A452))</f>
        <v/>
      </c>
      <c r="D452" s="31">
        <f>Settings!$B$3</f>
        <v/>
      </c>
      <c r="E452" s="31">
        <f>IF($C452="","",MIN($C452,$D452))</f>
        <v/>
      </c>
      <c r="F452" s="40">
        <f>IF($E452="","",$E452*Settings!$B$4)</f>
        <v/>
      </c>
    </row>
    <row r="453">
      <c r="A453" s="29" t="n"/>
      <c r="B453" s="31" t="n"/>
      <c r="C453" s="31">
        <f>IF(OR($A453="",$B453=""),"",SUMIFS(QuickLog!$L$2:$L$1000,QuickLog!$B$2:$B$1000,$B453,QuickLog!$Q$2:$Q$1000,$A453))</f>
        <v/>
      </c>
      <c r="D453" s="31">
        <f>Settings!$B$3</f>
        <v/>
      </c>
      <c r="E453" s="31">
        <f>IF($C453="","",MIN($C453,$D453))</f>
        <v/>
      </c>
      <c r="F453" s="40">
        <f>IF($E453="","",$E453*Settings!$B$4)</f>
        <v/>
      </c>
    </row>
    <row r="454">
      <c r="A454" s="29" t="n"/>
      <c r="B454" s="31" t="n"/>
      <c r="C454" s="31">
        <f>IF(OR($A454="",$B454=""),"",SUMIFS(QuickLog!$L$2:$L$1000,QuickLog!$B$2:$B$1000,$B454,QuickLog!$Q$2:$Q$1000,$A454))</f>
        <v/>
      </c>
      <c r="D454" s="31">
        <f>Settings!$B$3</f>
        <v/>
      </c>
      <c r="E454" s="31">
        <f>IF($C454="","",MIN($C454,$D454))</f>
        <v/>
      </c>
      <c r="F454" s="40">
        <f>IF($E454="","",$E454*Settings!$B$4)</f>
        <v/>
      </c>
    </row>
    <row r="455">
      <c r="A455" s="29" t="n"/>
      <c r="B455" s="31" t="n"/>
      <c r="C455" s="31">
        <f>IF(OR($A455="",$B455=""),"",SUMIFS(QuickLog!$L$2:$L$1000,QuickLog!$B$2:$B$1000,$B455,QuickLog!$Q$2:$Q$1000,$A455))</f>
        <v/>
      </c>
      <c r="D455" s="31">
        <f>Settings!$B$3</f>
        <v/>
      </c>
      <c r="E455" s="31">
        <f>IF($C455="","",MIN($C455,$D455))</f>
        <v/>
      </c>
      <c r="F455" s="40">
        <f>IF($E455="","",$E455*Settings!$B$4)</f>
        <v/>
      </c>
    </row>
    <row r="456">
      <c r="A456" s="29" t="n"/>
      <c r="B456" s="31" t="n"/>
      <c r="C456" s="31">
        <f>IF(OR($A456="",$B456=""),"",SUMIFS(QuickLog!$L$2:$L$1000,QuickLog!$B$2:$B$1000,$B456,QuickLog!$Q$2:$Q$1000,$A456))</f>
        <v/>
      </c>
      <c r="D456" s="31">
        <f>Settings!$B$3</f>
        <v/>
      </c>
      <c r="E456" s="31">
        <f>IF($C456="","",MIN($C456,$D456))</f>
        <v/>
      </c>
      <c r="F456" s="40">
        <f>IF($E456="","",$E456*Settings!$B$4)</f>
        <v/>
      </c>
    </row>
    <row r="457">
      <c r="A457" s="29" t="n"/>
      <c r="B457" s="31" t="n"/>
      <c r="C457" s="31">
        <f>IF(OR($A457="",$B457=""),"",SUMIFS(QuickLog!$L$2:$L$1000,QuickLog!$B$2:$B$1000,$B457,QuickLog!$Q$2:$Q$1000,$A457))</f>
        <v/>
      </c>
      <c r="D457" s="31">
        <f>Settings!$B$3</f>
        <v/>
      </c>
      <c r="E457" s="31">
        <f>IF($C457="","",MIN($C457,$D457))</f>
        <v/>
      </c>
      <c r="F457" s="40">
        <f>IF($E457="","",$E457*Settings!$B$4)</f>
        <v/>
      </c>
    </row>
    <row r="458">
      <c r="A458" s="29" t="n"/>
      <c r="B458" s="31" t="n"/>
      <c r="C458" s="31">
        <f>IF(OR($A458="",$B458=""),"",SUMIFS(QuickLog!$L$2:$L$1000,QuickLog!$B$2:$B$1000,$B458,QuickLog!$Q$2:$Q$1000,$A458))</f>
        <v/>
      </c>
      <c r="D458" s="31">
        <f>Settings!$B$3</f>
        <v/>
      </c>
      <c r="E458" s="31">
        <f>IF($C458="","",MIN($C458,$D458))</f>
        <v/>
      </c>
      <c r="F458" s="40">
        <f>IF($E458="","",$E458*Settings!$B$4)</f>
        <v/>
      </c>
    </row>
    <row r="459">
      <c r="A459" s="29" t="n"/>
      <c r="B459" s="31" t="n"/>
      <c r="C459" s="31">
        <f>IF(OR($A459="",$B459=""),"",SUMIFS(QuickLog!$L$2:$L$1000,QuickLog!$B$2:$B$1000,$B459,QuickLog!$Q$2:$Q$1000,$A459))</f>
        <v/>
      </c>
      <c r="D459" s="31">
        <f>Settings!$B$3</f>
        <v/>
      </c>
      <c r="E459" s="31">
        <f>IF($C459="","",MIN($C459,$D459))</f>
        <v/>
      </c>
      <c r="F459" s="40">
        <f>IF($E459="","",$E459*Settings!$B$4)</f>
        <v/>
      </c>
    </row>
    <row r="460">
      <c r="A460" s="29" t="n"/>
      <c r="B460" s="31" t="n"/>
      <c r="C460" s="31">
        <f>IF(OR($A460="",$B460=""),"",SUMIFS(QuickLog!$L$2:$L$1000,QuickLog!$B$2:$B$1000,$B460,QuickLog!$Q$2:$Q$1000,$A460))</f>
        <v/>
      </c>
      <c r="D460" s="31">
        <f>Settings!$B$3</f>
        <v/>
      </c>
      <c r="E460" s="31">
        <f>IF($C460="","",MIN($C460,$D460))</f>
        <v/>
      </c>
      <c r="F460" s="40">
        <f>IF($E460="","",$E460*Settings!$B$4)</f>
        <v/>
      </c>
    </row>
    <row r="461">
      <c r="A461" s="29" t="n"/>
      <c r="B461" s="31" t="n"/>
      <c r="C461" s="31">
        <f>IF(OR($A461="",$B461=""),"",SUMIFS(QuickLog!$L$2:$L$1000,QuickLog!$B$2:$B$1000,$B461,QuickLog!$Q$2:$Q$1000,$A461))</f>
        <v/>
      </c>
      <c r="D461" s="31">
        <f>Settings!$B$3</f>
        <v/>
      </c>
      <c r="E461" s="31">
        <f>IF($C461="","",MIN($C461,$D461))</f>
        <v/>
      </c>
      <c r="F461" s="40">
        <f>IF($E461="","",$E461*Settings!$B$4)</f>
        <v/>
      </c>
    </row>
    <row r="462">
      <c r="A462" s="29" t="n"/>
      <c r="B462" s="31" t="n"/>
      <c r="C462" s="31">
        <f>IF(OR($A462="",$B462=""),"",SUMIFS(QuickLog!$L$2:$L$1000,QuickLog!$B$2:$B$1000,$B462,QuickLog!$Q$2:$Q$1000,$A462))</f>
        <v/>
      </c>
      <c r="D462" s="31">
        <f>Settings!$B$3</f>
        <v/>
      </c>
      <c r="E462" s="31">
        <f>IF($C462="","",MIN($C462,$D462))</f>
        <v/>
      </c>
      <c r="F462" s="40">
        <f>IF($E462="","",$E462*Settings!$B$4)</f>
        <v/>
      </c>
    </row>
    <row r="463">
      <c r="A463" s="29" t="n"/>
      <c r="B463" s="31" t="n"/>
      <c r="C463" s="31">
        <f>IF(OR($A463="",$B463=""),"",SUMIFS(QuickLog!$L$2:$L$1000,QuickLog!$B$2:$B$1000,$B463,QuickLog!$Q$2:$Q$1000,$A463))</f>
        <v/>
      </c>
      <c r="D463" s="31">
        <f>Settings!$B$3</f>
        <v/>
      </c>
      <c r="E463" s="31">
        <f>IF($C463="","",MIN($C463,$D463))</f>
        <v/>
      </c>
      <c r="F463" s="40">
        <f>IF($E463="","",$E463*Settings!$B$4)</f>
        <v/>
      </c>
    </row>
    <row r="464">
      <c r="A464" s="29" t="n"/>
      <c r="B464" s="31" t="n"/>
      <c r="C464" s="31">
        <f>IF(OR($A464="",$B464=""),"",SUMIFS(QuickLog!$L$2:$L$1000,QuickLog!$B$2:$B$1000,$B464,QuickLog!$Q$2:$Q$1000,$A464))</f>
        <v/>
      </c>
      <c r="D464" s="31">
        <f>Settings!$B$3</f>
        <v/>
      </c>
      <c r="E464" s="31">
        <f>IF($C464="","",MIN($C464,$D464))</f>
        <v/>
      </c>
      <c r="F464" s="40">
        <f>IF($E464="","",$E464*Settings!$B$4)</f>
        <v/>
      </c>
    </row>
    <row r="465">
      <c r="A465" s="29" t="n"/>
      <c r="B465" s="31" t="n"/>
      <c r="C465" s="31">
        <f>IF(OR($A465="",$B465=""),"",SUMIFS(QuickLog!$L$2:$L$1000,QuickLog!$B$2:$B$1000,$B465,QuickLog!$Q$2:$Q$1000,$A465))</f>
        <v/>
      </c>
      <c r="D465" s="31">
        <f>Settings!$B$3</f>
        <v/>
      </c>
      <c r="E465" s="31">
        <f>IF($C465="","",MIN($C465,$D465))</f>
        <v/>
      </c>
      <c r="F465" s="40">
        <f>IF($E465="","",$E465*Settings!$B$4)</f>
        <v/>
      </c>
    </row>
    <row r="466">
      <c r="A466" s="29" t="n"/>
      <c r="B466" s="31" t="n"/>
      <c r="C466" s="31">
        <f>IF(OR($A466="",$B466=""),"",SUMIFS(QuickLog!$L$2:$L$1000,QuickLog!$B$2:$B$1000,$B466,QuickLog!$Q$2:$Q$1000,$A466))</f>
        <v/>
      </c>
      <c r="D466" s="31">
        <f>Settings!$B$3</f>
        <v/>
      </c>
      <c r="E466" s="31">
        <f>IF($C466="","",MIN($C466,$D466))</f>
        <v/>
      </c>
      <c r="F466" s="40">
        <f>IF($E466="","",$E466*Settings!$B$4)</f>
        <v/>
      </c>
    </row>
    <row r="467">
      <c r="A467" s="29" t="n"/>
      <c r="B467" s="31" t="n"/>
      <c r="C467" s="31">
        <f>IF(OR($A467="",$B467=""),"",SUMIFS(QuickLog!$L$2:$L$1000,QuickLog!$B$2:$B$1000,$B467,QuickLog!$Q$2:$Q$1000,$A467))</f>
        <v/>
      </c>
      <c r="D467" s="31">
        <f>Settings!$B$3</f>
        <v/>
      </c>
      <c r="E467" s="31">
        <f>IF($C467="","",MIN($C467,$D467))</f>
        <v/>
      </c>
      <c r="F467" s="40">
        <f>IF($E467="","",$E467*Settings!$B$4)</f>
        <v/>
      </c>
    </row>
    <row r="468">
      <c r="A468" s="29" t="n"/>
      <c r="B468" s="31" t="n"/>
      <c r="C468" s="31">
        <f>IF(OR($A468="",$B468=""),"",SUMIFS(QuickLog!$L$2:$L$1000,QuickLog!$B$2:$B$1000,$B468,QuickLog!$Q$2:$Q$1000,$A468))</f>
        <v/>
      </c>
      <c r="D468" s="31">
        <f>Settings!$B$3</f>
        <v/>
      </c>
      <c r="E468" s="31">
        <f>IF($C468="","",MIN($C468,$D468))</f>
        <v/>
      </c>
      <c r="F468" s="40">
        <f>IF($E468="","",$E468*Settings!$B$4)</f>
        <v/>
      </c>
    </row>
    <row r="469">
      <c r="A469" s="29" t="n"/>
      <c r="B469" s="31" t="n"/>
      <c r="C469" s="31">
        <f>IF(OR($A469="",$B469=""),"",SUMIFS(QuickLog!$L$2:$L$1000,QuickLog!$B$2:$B$1000,$B469,QuickLog!$Q$2:$Q$1000,$A469))</f>
        <v/>
      </c>
      <c r="D469" s="31">
        <f>Settings!$B$3</f>
        <v/>
      </c>
      <c r="E469" s="31">
        <f>IF($C469="","",MIN($C469,$D469))</f>
        <v/>
      </c>
      <c r="F469" s="40">
        <f>IF($E469="","",$E469*Settings!$B$4)</f>
        <v/>
      </c>
    </row>
    <row r="470">
      <c r="A470" s="29" t="n"/>
      <c r="B470" s="31" t="n"/>
      <c r="C470" s="31">
        <f>IF(OR($A470="",$B470=""),"",SUMIFS(QuickLog!$L$2:$L$1000,QuickLog!$B$2:$B$1000,$B470,QuickLog!$Q$2:$Q$1000,$A470))</f>
        <v/>
      </c>
      <c r="D470" s="31">
        <f>Settings!$B$3</f>
        <v/>
      </c>
      <c r="E470" s="31">
        <f>IF($C470="","",MIN($C470,$D470))</f>
        <v/>
      </c>
      <c r="F470" s="40">
        <f>IF($E470="","",$E470*Settings!$B$4)</f>
        <v/>
      </c>
    </row>
    <row r="471">
      <c r="A471" s="29" t="n"/>
      <c r="B471" s="31" t="n"/>
      <c r="C471" s="31">
        <f>IF(OR($A471="",$B471=""),"",SUMIFS(QuickLog!$L$2:$L$1000,QuickLog!$B$2:$B$1000,$B471,QuickLog!$Q$2:$Q$1000,$A471))</f>
        <v/>
      </c>
      <c r="D471" s="31">
        <f>Settings!$B$3</f>
        <v/>
      </c>
      <c r="E471" s="31">
        <f>IF($C471="","",MIN($C471,$D471))</f>
        <v/>
      </c>
      <c r="F471" s="40">
        <f>IF($E471="","",$E471*Settings!$B$4)</f>
        <v/>
      </c>
    </row>
    <row r="472">
      <c r="A472" s="29" t="n"/>
      <c r="B472" s="31" t="n"/>
      <c r="C472" s="31">
        <f>IF(OR($A472="",$B472=""),"",SUMIFS(QuickLog!$L$2:$L$1000,QuickLog!$B$2:$B$1000,$B472,QuickLog!$Q$2:$Q$1000,$A472))</f>
        <v/>
      </c>
      <c r="D472" s="31">
        <f>Settings!$B$3</f>
        <v/>
      </c>
      <c r="E472" s="31">
        <f>IF($C472="","",MIN($C472,$D472))</f>
        <v/>
      </c>
      <c r="F472" s="40">
        <f>IF($E472="","",$E472*Settings!$B$4)</f>
        <v/>
      </c>
    </row>
    <row r="473">
      <c r="A473" s="29" t="n"/>
      <c r="B473" s="31" t="n"/>
      <c r="C473" s="31">
        <f>IF(OR($A473="",$B473=""),"",SUMIFS(QuickLog!$L$2:$L$1000,QuickLog!$B$2:$B$1000,$B473,QuickLog!$Q$2:$Q$1000,$A473))</f>
        <v/>
      </c>
      <c r="D473" s="31">
        <f>Settings!$B$3</f>
        <v/>
      </c>
      <c r="E473" s="31">
        <f>IF($C473="","",MIN($C473,$D473))</f>
        <v/>
      </c>
      <c r="F473" s="40">
        <f>IF($E473="","",$E473*Settings!$B$4)</f>
        <v/>
      </c>
    </row>
    <row r="474">
      <c r="A474" s="29" t="n"/>
      <c r="B474" s="31" t="n"/>
      <c r="C474" s="31">
        <f>IF(OR($A474="",$B474=""),"",SUMIFS(QuickLog!$L$2:$L$1000,QuickLog!$B$2:$B$1000,$B474,QuickLog!$Q$2:$Q$1000,$A474))</f>
        <v/>
      </c>
      <c r="D474" s="31">
        <f>Settings!$B$3</f>
        <v/>
      </c>
      <c r="E474" s="31">
        <f>IF($C474="","",MIN($C474,$D474))</f>
        <v/>
      </c>
      <c r="F474" s="40">
        <f>IF($E474="","",$E474*Settings!$B$4)</f>
        <v/>
      </c>
    </row>
    <row r="475">
      <c r="A475" s="29" t="n"/>
      <c r="B475" s="31" t="n"/>
      <c r="C475" s="31">
        <f>IF(OR($A475="",$B475=""),"",SUMIFS(QuickLog!$L$2:$L$1000,QuickLog!$B$2:$B$1000,$B475,QuickLog!$Q$2:$Q$1000,$A475))</f>
        <v/>
      </c>
      <c r="D475" s="31">
        <f>Settings!$B$3</f>
        <v/>
      </c>
      <c r="E475" s="31">
        <f>IF($C475="","",MIN($C475,$D475))</f>
        <v/>
      </c>
      <c r="F475" s="40">
        <f>IF($E475="","",$E475*Settings!$B$4)</f>
        <v/>
      </c>
    </row>
    <row r="476">
      <c r="A476" s="29" t="n"/>
      <c r="B476" s="31" t="n"/>
      <c r="C476" s="31">
        <f>IF(OR($A476="",$B476=""),"",SUMIFS(QuickLog!$L$2:$L$1000,QuickLog!$B$2:$B$1000,$B476,QuickLog!$Q$2:$Q$1000,$A476))</f>
        <v/>
      </c>
      <c r="D476" s="31">
        <f>Settings!$B$3</f>
        <v/>
      </c>
      <c r="E476" s="31">
        <f>IF($C476="","",MIN($C476,$D476))</f>
        <v/>
      </c>
      <c r="F476" s="40">
        <f>IF($E476="","",$E476*Settings!$B$4)</f>
        <v/>
      </c>
    </row>
    <row r="477">
      <c r="A477" s="29" t="n"/>
      <c r="B477" s="31" t="n"/>
      <c r="C477" s="31">
        <f>IF(OR($A477="",$B477=""),"",SUMIFS(QuickLog!$L$2:$L$1000,QuickLog!$B$2:$B$1000,$B477,QuickLog!$Q$2:$Q$1000,$A477))</f>
        <v/>
      </c>
      <c r="D477" s="31">
        <f>Settings!$B$3</f>
        <v/>
      </c>
      <c r="E477" s="31">
        <f>IF($C477="","",MIN($C477,$D477))</f>
        <v/>
      </c>
      <c r="F477" s="40">
        <f>IF($E477="","",$E477*Settings!$B$4)</f>
        <v/>
      </c>
    </row>
    <row r="478">
      <c r="A478" s="29" t="n"/>
      <c r="B478" s="31" t="n"/>
      <c r="C478" s="31">
        <f>IF(OR($A478="",$B478=""),"",SUMIFS(QuickLog!$L$2:$L$1000,QuickLog!$B$2:$B$1000,$B478,QuickLog!$Q$2:$Q$1000,$A478))</f>
        <v/>
      </c>
      <c r="D478" s="31">
        <f>Settings!$B$3</f>
        <v/>
      </c>
      <c r="E478" s="31">
        <f>IF($C478="","",MIN($C478,$D478))</f>
        <v/>
      </c>
      <c r="F478" s="40">
        <f>IF($E478="","",$E478*Settings!$B$4)</f>
        <v/>
      </c>
    </row>
    <row r="479">
      <c r="A479" s="29" t="n"/>
      <c r="B479" s="31" t="n"/>
      <c r="C479" s="31">
        <f>IF(OR($A479="",$B479=""),"",SUMIFS(QuickLog!$L$2:$L$1000,QuickLog!$B$2:$B$1000,$B479,QuickLog!$Q$2:$Q$1000,$A479))</f>
        <v/>
      </c>
      <c r="D479" s="31">
        <f>Settings!$B$3</f>
        <v/>
      </c>
      <c r="E479" s="31">
        <f>IF($C479="","",MIN($C479,$D479))</f>
        <v/>
      </c>
      <c r="F479" s="40">
        <f>IF($E479="","",$E479*Settings!$B$4)</f>
        <v/>
      </c>
    </row>
    <row r="480">
      <c r="A480" s="29" t="n"/>
      <c r="B480" s="31" t="n"/>
      <c r="C480" s="31">
        <f>IF(OR($A480="",$B480=""),"",SUMIFS(QuickLog!$L$2:$L$1000,QuickLog!$B$2:$B$1000,$B480,QuickLog!$Q$2:$Q$1000,$A480))</f>
        <v/>
      </c>
      <c r="D480" s="31">
        <f>Settings!$B$3</f>
        <v/>
      </c>
      <c r="E480" s="31">
        <f>IF($C480="","",MIN($C480,$D480))</f>
        <v/>
      </c>
      <c r="F480" s="40">
        <f>IF($E480="","",$E480*Settings!$B$4)</f>
        <v/>
      </c>
    </row>
    <row r="481">
      <c r="A481" s="29" t="n"/>
      <c r="B481" s="31" t="n"/>
      <c r="C481" s="31">
        <f>IF(OR($A481="",$B481=""),"",SUMIFS(QuickLog!$L$2:$L$1000,QuickLog!$B$2:$B$1000,$B481,QuickLog!$Q$2:$Q$1000,$A481))</f>
        <v/>
      </c>
      <c r="D481" s="31">
        <f>Settings!$B$3</f>
        <v/>
      </c>
      <c r="E481" s="31">
        <f>IF($C481="","",MIN($C481,$D481))</f>
        <v/>
      </c>
      <c r="F481" s="40">
        <f>IF($E481="","",$E481*Settings!$B$4)</f>
        <v/>
      </c>
    </row>
    <row r="482">
      <c r="A482" s="29" t="n"/>
      <c r="B482" s="31" t="n"/>
      <c r="C482" s="31">
        <f>IF(OR($A482="",$B482=""),"",SUMIFS(QuickLog!$L$2:$L$1000,QuickLog!$B$2:$B$1000,$B482,QuickLog!$Q$2:$Q$1000,$A482))</f>
        <v/>
      </c>
      <c r="D482" s="31">
        <f>Settings!$B$3</f>
        <v/>
      </c>
      <c r="E482" s="31">
        <f>IF($C482="","",MIN($C482,$D482))</f>
        <v/>
      </c>
      <c r="F482" s="40">
        <f>IF($E482="","",$E482*Settings!$B$4)</f>
        <v/>
      </c>
    </row>
    <row r="483">
      <c r="A483" s="29" t="n"/>
      <c r="B483" s="31" t="n"/>
      <c r="C483" s="31">
        <f>IF(OR($A483="",$B483=""),"",SUMIFS(QuickLog!$L$2:$L$1000,QuickLog!$B$2:$B$1000,$B483,QuickLog!$Q$2:$Q$1000,$A483))</f>
        <v/>
      </c>
      <c r="D483" s="31">
        <f>Settings!$B$3</f>
        <v/>
      </c>
      <c r="E483" s="31">
        <f>IF($C483="","",MIN($C483,$D483))</f>
        <v/>
      </c>
      <c r="F483" s="40">
        <f>IF($E483="","",$E483*Settings!$B$4)</f>
        <v/>
      </c>
    </row>
    <row r="484">
      <c r="A484" s="29" t="n"/>
      <c r="B484" s="31" t="n"/>
      <c r="C484" s="31">
        <f>IF(OR($A484="",$B484=""),"",SUMIFS(QuickLog!$L$2:$L$1000,QuickLog!$B$2:$B$1000,$B484,QuickLog!$Q$2:$Q$1000,$A484))</f>
        <v/>
      </c>
      <c r="D484" s="31">
        <f>Settings!$B$3</f>
        <v/>
      </c>
      <c r="E484" s="31">
        <f>IF($C484="","",MIN($C484,$D484))</f>
        <v/>
      </c>
      <c r="F484" s="40">
        <f>IF($E484="","",$E484*Settings!$B$4)</f>
        <v/>
      </c>
    </row>
    <row r="485">
      <c r="A485" s="29" t="n"/>
      <c r="B485" s="31" t="n"/>
      <c r="C485" s="31">
        <f>IF(OR($A485="",$B485=""),"",SUMIFS(QuickLog!$L$2:$L$1000,QuickLog!$B$2:$B$1000,$B485,QuickLog!$Q$2:$Q$1000,$A485))</f>
        <v/>
      </c>
      <c r="D485" s="31">
        <f>Settings!$B$3</f>
        <v/>
      </c>
      <c r="E485" s="31">
        <f>IF($C485="","",MIN($C485,$D485))</f>
        <v/>
      </c>
      <c r="F485" s="40">
        <f>IF($E485="","",$E485*Settings!$B$4)</f>
        <v/>
      </c>
    </row>
    <row r="486">
      <c r="A486" s="29" t="n"/>
      <c r="B486" s="31" t="n"/>
      <c r="C486" s="31">
        <f>IF(OR($A486="",$B486=""),"",SUMIFS(QuickLog!$L$2:$L$1000,QuickLog!$B$2:$B$1000,$B486,QuickLog!$Q$2:$Q$1000,$A486))</f>
        <v/>
      </c>
      <c r="D486" s="31">
        <f>Settings!$B$3</f>
        <v/>
      </c>
      <c r="E486" s="31">
        <f>IF($C486="","",MIN($C486,$D486))</f>
        <v/>
      </c>
      <c r="F486" s="40">
        <f>IF($E486="","",$E486*Settings!$B$4)</f>
        <v/>
      </c>
    </row>
    <row r="487">
      <c r="A487" s="29" t="n"/>
      <c r="B487" s="31" t="n"/>
      <c r="C487" s="31">
        <f>IF(OR($A487="",$B487=""),"",SUMIFS(QuickLog!$L$2:$L$1000,QuickLog!$B$2:$B$1000,$B487,QuickLog!$Q$2:$Q$1000,$A487))</f>
        <v/>
      </c>
      <c r="D487" s="31">
        <f>Settings!$B$3</f>
        <v/>
      </c>
      <c r="E487" s="31">
        <f>IF($C487="","",MIN($C487,$D487))</f>
        <v/>
      </c>
      <c r="F487" s="40">
        <f>IF($E487="","",$E487*Settings!$B$4)</f>
        <v/>
      </c>
    </row>
    <row r="488">
      <c r="A488" s="29" t="n"/>
      <c r="B488" s="31" t="n"/>
      <c r="C488" s="31">
        <f>IF(OR($A488="",$B488=""),"",SUMIFS(QuickLog!$L$2:$L$1000,QuickLog!$B$2:$B$1000,$B488,QuickLog!$Q$2:$Q$1000,$A488))</f>
        <v/>
      </c>
      <c r="D488" s="31">
        <f>Settings!$B$3</f>
        <v/>
      </c>
      <c r="E488" s="31">
        <f>IF($C488="","",MIN($C488,$D488))</f>
        <v/>
      </c>
      <c r="F488" s="40">
        <f>IF($E488="","",$E488*Settings!$B$4)</f>
        <v/>
      </c>
    </row>
    <row r="489">
      <c r="A489" s="29" t="n"/>
      <c r="B489" s="31" t="n"/>
      <c r="C489" s="31">
        <f>IF(OR($A489="",$B489=""),"",SUMIFS(QuickLog!$L$2:$L$1000,QuickLog!$B$2:$B$1000,$B489,QuickLog!$Q$2:$Q$1000,$A489))</f>
        <v/>
      </c>
      <c r="D489" s="31">
        <f>Settings!$B$3</f>
        <v/>
      </c>
      <c r="E489" s="31">
        <f>IF($C489="","",MIN($C489,$D489))</f>
        <v/>
      </c>
      <c r="F489" s="40">
        <f>IF($E489="","",$E489*Settings!$B$4)</f>
        <v/>
      </c>
    </row>
    <row r="490">
      <c r="A490" s="29" t="n"/>
      <c r="B490" s="31" t="n"/>
      <c r="C490" s="31">
        <f>IF(OR($A490="",$B490=""),"",SUMIFS(QuickLog!$L$2:$L$1000,QuickLog!$B$2:$B$1000,$B490,QuickLog!$Q$2:$Q$1000,$A490))</f>
        <v/>
      </c>
      <c r="D490" s="31">
        <f>Settings!$B$3</f>
        <v/>
      </c>
      <c r="E490" s="31">
        <f>IF($C490="","",MIN($C490,$D490))</f>
        <v/>
      </c>
      <c r="F490" s="40">
        <f>IF($E490="","",$E490*Settings!$B$4)</f>
        <v/>
      </c>
    </row>
    <row r="491">
      <c r="A491" s="29" t="n"/>
      <c r="B491" s="31" t="n"/>
      <c r="C491" s="31">
        <f>IF(OR($A491="",$B491=""),"",SUMIFS(QuickLog!$L$2:$L$1000,QuickLog!$B$2:$B$1000,$B491,QuickLog!$Q$2:$Q$1000,$A491))</f>
        <v/>
      </c>
      <c r="D491" s="31">
        <f>Settings!$B$3</f>
        <v/>
      </c>
      <c r="E491" s="31">
        <f>IF($C491="","",MIN($C491,$D491))</f>
        <v/>
      </c>
      <c r="F491" s="40">
        <f>IF($E491="","",$E491*Settings!$B$4)</f>
        <v/>
      </c>
    </row>
    <row r="492">
      <c r="A492" s="29" t="n"/>
      <c r="B492" s="31" t="n"/>
      <c r="C492" s="31">
        <f>IF(OR($A492="",$B492=""),"",SUMIFS(QuickLog!$L$2:$L$1000,QuickLog!$B$2:$B$1000,$B492,QuickLog!$Q$2:$Q$1000,$A492))</f>
        <v/>
      </c>
      <c r="D492" s="31">
        <f>Settings!$B$3</f>
        <v/>
      </c>
      <c r="E492" s="31">
        <f>IF($C492="","",MIN($C492,$D492))</f>
        <v/>
      </c>
      <c r="F492" s="40">
        <f>IF($E492="","",$E492*Settings!$B$4)</f>
        <v/>
      </c>
    </row>
    <row r="493">
      <c r="A493" s="29" t="n"/>
      <c r="B493" s="31" t="n"/>
      <c r="C493" s="31">
        <f>IF(OR($A493="",$B493=""),"",SUMIFS(QuickLog!$L$2:$L$1000,QuickLog!$B$2:$B$1000,$B493,QuickLog!$Q$2:$Q$1000,$A493))</f>
        <v/>
      </c>
      <c r="D493" s="31">
        <f>Settings!$B$3</f>
        <v/>
      </c>
      <c r="E493" s="31">
        <f>IF($C493="","",MIN($C493,$D493))</f>
        <v/>
      </c>
      <c r="F493" s="40">
        <f>IF($E493="","",$E493*Settings!$B$4)</f>
        <v/>
      </c>
    </row>
    <row r="494">
      <c r="A494" s="29" t="n"/>
      <c r="B494" s="31" t="n"/>
      <c r="C494" s="31">
        <f>IF(OR($A494="",$B494=""),"",SUMIFS(QuickLog!$L$2:$L$1000,QuickLog!$B$2:$B$1000,$B494,QuickLog!$Q$2:$Q$1000,$A494))</f>
        <v/>
      </c>
      <c r="D494" s="31">
        <f>Settings!$B$3</f>
        <v/>
      </c>
      <c r="E494" s="31">
        <f>IF($C494="","",MIN($C494,$D494))</f>
        <v/>
      </c>
      <c r="F494" s="40">
        <f>IF($E494="","",$E494*Settings!$B$4)</f>
        <v/>
      </c>
    </row>
    <row r="495">
      <c r="A495" s="29" t="n"/>
      <c r="B495" s="31" t="n"/>
      <c r="C495" s="31">
        <f>IF(OR($A495="",$B495=""),"",SUMIFS(QuickLog!$L$2:$L$1000,QuickLog!$B$2:$B$1000,$B495,QuickLog!$Q$2:$Q$1000,$A495))</f>
        <v/>
      </c>
      <c r="D495" s="31">
        <f>Settings!$B$3</f>
        <v/>
      </c>
      <c r="E495" s="31">
        <f>IF($C495="","",MIN($C495,$D495))</f>
        <v/>
      </c>
      <c r="F495" s="40">
        <f>IF($E495="","",$E495*Settings!$B$4)</f>
        <v/>
      </c>
    </row>
    <row r="496">
      <c r="A496" s="29" t="n"/>
      <c r="B496" s="31" t="n"/>
      <c r="C496" s="31">
        <f>IF(OR($A496="",$B496=""),"",SUMIFS(QuickLog!$L$2:$L$1000,QuickLog!$B$2:$B$1000,$B496,QuickLog!$Q$2:$Q$1000,$A496))</f>
        <v/>
      </c>
      <c r="D496" s="31">
        <f>Settings!$B$3</f>
        <v/>
      </c>
      <c r="E496" s="31">
        <f>IF($C496="","",MIN($C496,$D496))</f>
        <v/>
      </c>
      <c r="F496" s="40">
        <f>IF($E496="","",$E496*Settings!$B$4)</f>
        <v/>
      </c>
    </row>
    <row r="497">
      <c r="A497" s="29" t="n"/>
      <c r="B497" s="31" t="n"/>
      <c r="C497" s="31">
        <f>IF(OR($A497="",$B497=""),"",SUMIFS(QuickLog!$L$2:$L$1000,QuickLog!$B$2:$B$1000,$B497,QuickLog!$Q$2:$Q$1000,$A497))</f>
        <v/>
      </c>
      <c r="D497" s="31">
        <f>Settings!$B$3</f>
        <v/>
      </c>
      <c r="E497" s="31">
        <f>IF($C497="","",MIN($C497,$D497))</f>
        <v/>
      </c>
      <c r="F497" s="40">
        <f>IF($E497="","",$E497*Settings!$B$4)</f>
        <v/>
      </c>
    </row>
    <row r="498">
      <c r="A498" s="29" t="n"/>
      <c r="B498" s="31" t="n"/>
      <c r="C498" s="31">
        <f>IF(OR($A498="",$B498=""),"",SUMIFS(QuickLog!$L$2:$L$1000,QuickLog!$B$2:$B$1000,$B498,QuickLog!$Q$2:$Q$1000,$A498))</f>
        <v/>
      </c>
      <c r="D498" s="31">
        <f>Settings!$B$3</f>
        <v/>
      </c>
      <c r="E498" s="31">
        <f>IF($C498="","",MIN($C498,$D498))</f>
        <v/>
      </c>
      <c r="F498" s="40">
        <f>IF($E498="","",$E498*Settings!$B$4)</f>
        <v/>
      </c>
    </row>
    <row r="499">
      <c r="A499" s="29" t="n"/>
      <c r="B499" s="31" t="n"/>
      <c r="C499" s="31">
        <f>IF(OR($A499="",$B499=""),"",SUMIFS(QuickLog!$L$2:$L$1000,QuickLog!$B$2:$B$1000,$B499,QuickLog!$Q$2:$Q$1000,$A499))</f>
        <v/>
      </c>
      <c r="D499" s="31">
        <f>Settings!$B$3</f>
        <v/>
      </c>
      <c r="E499" s="31">
        <f>IF($C499="","",MIN($C499,$D499))</f>
        <v/>
      </c>
      <c r="F499" s="40">
        <f>IF($E499="","",$E499*Settings!$B$4)</f>
        <v/>
      </c>
    </row>
    <row r="500">
      <c r="A500" s="29" t="n"/>
      <c r="B500" s="31" t="n"/>
      <c r="C500" s="31">
        <f>IF(OR($A500="",$B500=""),"",SUMIFS(QuickLog!$L$2:$L$1000,QuickLog!$B$2:$B$1000,$B500,QuickLog!$Q$2:$Q$1000,$A500))</f>
        <v/>
      </c>
      <c r="D500" s="31">
        <f>Settings!$B$3</f>
        <v/>
      </c>
      <c r="E500" s="31">
        <f>IF($C500="","",MIN($C500,$D500))</f>
        <v/>
      </c>
      <c r="F500" s="40">
        <f>IF($E500="","",$E500*Settings!$B$4)</f>
        <v/>
      </c>
    </row>
    <row r="501">
      <c r="A501" s="29" t="n"/>
      <c r="B501" s="31" t="n"/>
      <c r="C501" s="31">
        <f>IF(OR($A501="",$B501=""),"",SUMIFS(QuickLog!$L$2:$L$1000,QuickLog!$B$2:$B$1000,$B501,QuickLog!$Q$2:$Q$1000,$A501))</f>
        <v/>
      </c>
      <c r="D501" s="31">
        <f>Settings!$B$3</f>
        <v/>
      </c>
      <c r="E501" s="31">
        <f>IF($C501="","",MIN($C501,$D501))</f>
        <v/>
      </c>
      <c r="F501" s="40">
        <f>IF($E501="","",$E501*Settings!$B$4)</f>
        <v/>
      </c>
    </row>
    <row r="502">
      <c r="A502" s="29" t="n"/>
      <c r="B502" s="31" t="n"/>
      <c r="C502" s="31">
        <f>IF(OR($A502="",$B502=""),"",SUMIFS(QuickLog!$L$2:$L$1000,QuickLog!$B$2:$B$1000,$B502,QuickLog!$Q$2:$Q$1000,$A502))</f>
        <v/>
      </c>
      <c r="D502" s="31">
        <f>Settings!$B$3</f>
        <v/>
      </c>
      <c r="E502" s="31">
        <f>IF($C502="","",MIN($C502,$D502))</f>
        <v/>
      </c>
      <c r="F502" s="40">
        <f>IF($E502="","",$E502*Settings!$B$4)</f>
        <v/>
      </c>
    </row>
    <row r="503">
      <c r="A503" s="29" t="n"/>
      <c r="B503" s="31" t="n"/>
      <c r="C503" s="31">
        <f>IF(OR($A503="",$B503=""),"",SUMIFS(QuickLog!$L$2:$L$1000,QuickLog!$B$2:$B$1000,$B503,QuickLog!$Q$2:$Q$1000,$A503))</f>
        <v/>
      </c>
      <c r="D503" s="31">
        <f>Settings!$B$3</f>
        <v/>
      </c>
      <c r="E503" s="31">
        <f>IF($C503="","",MIN($C503,$D503))</f>
        <v/>
      </c>
      <c r="F503" s="40">
        <f>IF($E503="","",$E503*Settings!$B$4)</f>
        <v/>
      </c>
    </row>
    <row r="504">
      <c r="A504" s="29" t="n"/>
      <c r="B504" s="31" t="n"/>
      <c r="C504" s="31">
        <f>IF(OR($A504="",$B504=""),"",SUMIFS(QuickLog!$L$2:$L$1000,QuickLog!$B$2:$B$1000,$B504,QuickLog!$Q$2:$Q$1000,$A504))</f>
        <v/>
      </c>
      <c r="D504" s="31">
        <f>Settings!$B$3</f>
        <v/>
      </c>
      <c r="E504" s="31">
        <f>IF($C504="","",MIN($C504,$D504))</f>
        <v/>
      </c>
      <c r="F504" s="40">
        <f>IF($E504="","",$E504*Settings!$B$4)</f>
        <v/>
      </c>
    </row>
    <row r="505">
      <c r="A505" s="29" t="n"/>
      <c r="B505" s="31" t="n"/>
      <c r="C505" s="31">
        <f>IF(OR($A505="",$B505=""),"",SUMIFS(QuickLog!$L$2:$L$1000,QuickLog!$B$2:$B$1000,$B505,QuickLog!$Q$2:$Q$1000,$A505))</f>
        <v/>
      </c>
      <c r="D505" s="31">
        <f>Settings!$B$3</f>
        <v/>
      </c>
      <c r="E505" s="31">
        <f>IF($C505="","",MIN($C505,$D505))</f>
        <v/>
      </c>
      <c r="F505" s="40">
        <f>IF($E505="","",$E505*Settings!$B$4)</f>
        <v/>
      </c>
    </row>
    <row r="506">
      <c r="A506" s="29" t="n"/>
      <c r="B506" s="31" t="n"/>
      <c r="C506" s="31">
        <f>IF(OR($A506="",$B506=""),"",SUMIFS(QuickLog!$L$2:$L$1000,QuickLog!$B$2:$B$1000,$B506,QuickLog!$Q$2:$Q$1000,$A506))</f>
        <v/>
      </c>
      <c r="D506" s="31">
        <f>Settings!$B$3</f>
        <v/>
      </c>
      <c r="E506" s="31">
        <f>IF($C506="","",MIN($C506,$D506))</f>
        <v/>
      </c>
      <c r="F506" s="40">
        <f>IF($E506="","",$E506*Settings!$B$4)</f>
        <v/>
      </c>
    </row>
    <row r="507">
      <c r="A507" s="29" t="n"/>
      <c r="B507" s="31" t="n"/>
      <c r="C507" s="31">
        <f>IF(OR($A507="",$B507=""),"",SUMIFS(QuickLog!$L$2:$L$1000,QuickLog!$B$2:$B$1000,$B507,QuickLog!$Q$2:$Q$1000,$A507))</f>
        <v/>
      </c>
      <c r="D507" s="31">
        <f>Settings!$B$3</f>
        <v/>
      </c>
      <c r="E507" s="31">
        <f>IF($C507="","",MIN($C507,$D507))</f>
        <v/>
      </c>
      <c r="F507" s="40">
        <f>IF($E507="","",$E507*Settings!$B$4)</f>
        <v/>
      </c>
    </row>
    <row r="508">
      <c r="A508" s="29" t="n"/>
      <c r="B508" s="31" t="n"/>
      <c r="C508" s="31">
        <f>IF(OR($A508="",$B508=""),"",SUMIFS(QuickLog!$L$2:$L$1000,QuickLog!$B$2:$B$1000,$B508,QuickLog!$Q$2:$Q$1000,$A508))</f>
        <v/>
      </c>
      <c r="D508" s="31">
        <f>Settings!$B$3</f>
        <v/>
      </c>
      <c r="E508" s="31">
        <f>IF($C508="","",MIN($C508,$D508))</f>
        <v/>
      </c>
      <c r="F508" s="40">
        <f>IF($E508="","",$E508*Settings!$B$4)</f>
        <v/>
      </c>
    </row>
    <row r="509">
      <c r="A509" s="29" t="n"/>
      <c r="B509" s="31" t="n"/>
      <c r="C509" s="31">
        <f>IF(OR($A509="",$B509=""),"",SUMIFS(QuickLog!$L$2:$L$1000,QuickLog!$B$2:$B$1000,$B509,QuickLog!$Q$2:$Q$1000,$A509))</f>
        <v/>
      </c>
      <c r="D509" s="31">
        <f>Settings!$B$3</f>
        <v/>
      </c>
      <c r="E509" s="31">
        <f>IF($C509="","",MIN($C509,$D509))</f>
        <v/>
      </c>
      <c r="F509" s="40">
        <f>IF($E509="","",$E509*Settings!$B$4)</f>
        <v/>
      </c>
    </row>
    <row r="510">
      <c r="A510" s="29" t="n"/>
      <c r="B510" s="31" t="n"/>
      <c r="C510" s="31">
        <f>IF(OR($A510="",$B510=""),"",SUMIFS(QuickLog!$L$2:$L$1000,QuickLog!$B$2:$B$1000,$B510,QuickLog!$Q$2:$Q$1000,$A510))</f>
        <v/>
      </c>
      <c r="D510" s="31">
        <f>Settings!$B$3</f>
        <v/>
      </c>
      <c r="E510" s="31">
        <f>IF($C510="","",MIN($C510,$D510))</f>
        <v/>
      </c>
      <c r="F510" s="40">
        <f>IF($E510="","",$E510*Settings!$B$4)</f>
        <v/>
      </c>
    </row>
    <row r="511">
      <c r="A511" s="29" t="n"/>
      <c r="B511" s="31" t="n"/>
      <c r="C511" s="31">
        <f>IF(OR($A511="",$B511=""),"",SUMIFS(QuickLog!$L$2:$L$1000,QuickLog!$B$2:$B$1000,$B511,QuickLog!$Q$2:$Q$1000,$A511))</f>
        <v/>
      </c>
      <c r="D511" s="31">
        <f>Settings!$B$3</f>
        <v/>
      </c>
      <c r="E511" s="31">
        <f>IF($C511="","",MIN($C511,$D511))</f>
        <v/>
      </c>
      <c r="F511" s="40">
        <f>IF($E511="","",$E511*Settings!$B$4)</f>
        <v/>
      </c>
    </row>
    <row r="512">
      <c r="A512" s="29" t="n"/>
      <c r="B512" s="31" t="n"/>
      <c r="C512" s="31">
        <f>IF(OR($A512="",$B512=""),"",SUMIFS(QuickLog!$L$2:$L$1000,QuickLog!$B$2:$B$1000,$B512,QuickLog!$Q$2:$Q$1000,$A512))</f>
        <v/>
      </c>
      <c r="D512" s="31">
        <f>Settings!$B$3</f>
        <v/>
      </c>
      <c r="E512" s="31">
        <f>IF($C512="","",MIN($C512,$D512))</f>
        <v/>
      </c>
      <c r="F512" s="40">
        <f>IF($E512="","",$E512*Settings!$B$4)</f>
        <v/>
      </c>
    </row>
    <row r="513">
      <c r="A513" s="29" t="n"/>
      <c r="B513" s="31" t="n"/>
      <c r="C513" s="31">
        <f>IF(OR($A513="",$B513=""),"",SUMIFS(QuickLog!$L$2:$L$1000,QuickLog!$B$2:$B$1000,$B513,QuickLog!$Q$2:$Q$1000,$A513))</f>
        <v/>
      </c>
      <c r="D513" s="31">
        <f>Settings!$B$3</f>
        <v/>
      </c>
      <c r="E513" s="31">
        <f>IF($C513="","",MIN($C513,$D513))</f>
        <v/>
      </c>
      <c r="F513" s="40">
        <f>IF($E513="","",$E513*Settings!$B$4)</f>
        <v/>
      </c>
    </row>
    <row r="514">
      <c r="A514" s="29" t="n"/>
      <c r="B514" s="31" t="n"/>
      <c r="C514" s="31">
        <f>IF(OR($A514="",$B514=""),"",SUMIFS(QuickLog!$L$2:$L$1000,QuickLog!$B$2:$B$1000,$B514,QuickLog!$Q$2:$Q$1000,$A514))</f>
        <v/>
      </c>
      <c r="D514" s="31">
        <f>Settings!$B$3</f>
        <v/>
      </c>
      <c r="E514" s="31">
        <f>IF($C514="","",MIN($C514,$D514))</f>
        <v/>
      </c>
      <c r="F514" s="40">
        <f>IF($E514="","",$E514*Settings!$B$4)</f>
        <v/>
      </c>
    </row>
    <row r="515">
      <c r="A515" s="29" t="n"/>
      <c r="B515" s="31" t="n"/>
      <c r="C515" s="31">
        <f>IF(OR($A515="",$B515=""),"",SUMIFS(QuickLog!$L$2:$L$1000,QuickLog!$B$2:$B$1000,$B515,QuickLog!$Q$2:$Q$1000,$A515))</f>
        <v/>
      </c>
      <c r="D515" s="31">
        <f>Settings!$B$3</f>
        <v/>
      </c>
      <c r="E515" s="31">
        <f>IF($C515="","",MIN($C515,$D515))</f>
        <v/>
      </c>
      <c r="F515" s="40">
        <f>IF($E515="","",$E515*Settings!$B$4)</f>
        <v/>
      </c>
    </row>
    <row r="516">
      <c r="A516" s="29" t="n"/>
      <c r="B516" s="31" t="n"/>
      <c r="C516" s="31">
        <f>IF(OR($A516="",$B516=""),"",SUMIFS(QuickLog!$L$2:$L$1000,QuickLog!$B$2:$B$1000,$B516,QuickLog!$Q$2:$Q$1000,$A516))</f>
        <v/>
      </c>
      <c r="D516" s="31">
        <f>Settings!$B$3</f>
        <v/>
      </c>
      <c r="E516" s="31">
        <f>IF($C516="","",MIN($C516,$D516))</f>
        <v/>
      </c>
      <c r="F516" s="40">
        <f>IF($E516="","",$E516*Settings!$B$4)</f>
        <v/>
      </c>
    </row>
    <row r="517">
      <c r="A517" s="29" t="n"/>
      <c r="B517" s="31" t="n"/>
      <c r="C517" s="31">
        <f>IF(OR($A517="",$B517=""),"",SUMIFS(QuickLog!$L$2:$L$1000,QuickLog!$B$2:$B$1000,$B517,QuickLog!$Q$2:$Q$1000,$A517))</f>
        <v/>
      </c>
      <c r="D517" s="31">
        <f>Settings!$B$3</f>
        <v/>
      </c>
      <c r="E517" s="31">
        <f>IF($C517="","",MIN($C517,$D517))</f>
        <v/>
      </c>
      <c r="F517" s="40">
        <f>IF($E517="","",$E517*Settings!$B$4)</f>
        <v/>
      </c>
    </row>
    <row r="518">
      <c r="A518" s="29" t="n"/>
      <c r="B518" s="31" t="n"/>
      <c r="C518" s="31">
        <f>IF(OR($A518="",$B518=""),"",SUMIFS(QuickLog!$L$2:$L$1000,QuickLog!$B$2:$B$1000,$B518,QuickLog!$Q$2:$Q$1000,$A518))</f>
        <v/>
      </c>
      <c r="D518" s="31">
        <f>Settings!$B$3</f>
        <v/>
      </c>
      <c r="E518" s="31">
        <f>IF($C518="","",MIN($C518,$D518))</f>
        <v/>
      </c>
      <c r="F518" s="40">
        <f>IF($E518="","",$E518*Settings!$B$4)</f>
        <v/>
      </c>
    </row>
    <row r="519">
      <c r="A519" s="29" t="n"/>
      <c r="B519" s="31" t="n"/>
      <c r="C519" s="31">
        <f>IF(OR($A519="",$B519=""),"",SUMIFS(QuickLog!$L$2:$L$1000,QuickLog!$B$2:$B$1000,$B519,QuickLog!$Q$2:$Q$1000,$A519))</f>
        <v/>
      </c>
      <c r="D519" s="31">
        <f>Settings!$B$3</f>
        <v/>
      </c>
      <c r="E519" s="31">
        <f>IF($C519="","",MIN($C519,$D519))</f>
        <v/>
      </c>
      <c r="F519" s="40">
        <f>IF($E519="","",$E519*Settings!$B$4)</f>
        <v/>
      </c>
    </row>
    <row r="520">
      <c r="A520" s="29" t="n"/>
      <c r="B520" s="31" t="n"/>
      <c r="C520" s="31">
        <f>IF(OR($A520="",$B520=""),"",SUMIFS(QuickLog!$L$2:$L$1000,QuickLog!$B$2:$B$1000,$B520,QuickLog!$Q$2:$Q$1000,$A520))</f>
        <v/>
      </c>
      <c r="D520" s="31">
        <f>Settings!$B$3</f>
        <v/>
      </c>
      <c r="E520" s="31">
        <f>IF($C520="","",MIN($C520,$D520))</f>
        <v/>
      </c>
      <c r="F520" s="40">
        <f>IF($E520="","",$E520*Settings!$B$4)</f>
        <v/>
      </c>
    </row>
    <row r="521">
      <c r="A521" s="29" t="n"/>
      <c r="B521" s="31" t="n"/>
      <c r="C521" s="31">
        <f>IF(OR($A521="",$B521=""),"",SUMIFS(QuickLog!$L$2:$L$1000,QuickLog!$B$2:$B$1000,$B521,QuickLog!$Q$2:$Q$1000,$A521))</f>
        <v/>
      </c>
      <c r="D521" s="31">
        <f>Settings!$B$3</f>
        <v/>
      </c>
      <c r="E521" s="31">
        <f>IF($C521="","",MIN($C521,$D521))</f>
        <v/>
      </c>
      <c r="F521" s="40">
        <f>IF($E521="","",$E521*Settings!$B$4)</f>
        <v/>
      </c>
    </row>
    <row r="522">
      <c r="A522" s="29" t="n"/>
      <c r="B522" s="31" t="n"/>
      <c r="C522" s="31">
        <f>IF(OR($A522="",$B522=""),"",SUMIFS(QuickLog!$L$2:$L$1000,QuickLog!$B$2:$B$1000,$B522,QuickLog!$Q$2:$Q$1000,$A522))</f>
        <v/>
      </c>
      <c r="D522" s="31">
        <f>Settings!$B$3</f>
        <v/>
      </c>
      <c r="E522" s="31">
        <f>IF($C522="","",MIN($C522,$D522))</f>
        <v/>
      </c>
      <c r="F522" s="40">
        <f>IF($E522="","",$E522*Settings!$B$4)</f>
        <v/>
      </c>
    </row>
    <row r="523">
      <c r="A523" s="29" t="n"/>
      <c r="B523" s="31" t="n"/>
      <c r="C523" s="31">
        <f>IF(OR($A523="",$B523=""),"",SUMIFS(QuickLog!$L$2:$L$1000,QuickLog!$B$2:$B$1000,$B523,QuickLog!$Q$2:$Q$1000,$A523))</f>
        <v/>
      </c>
      <c r="D523" s="31">
        <f>Settings!$B$3</f>
        <v/>
      </c>
      <c r="E523" s="31">
        <f>IF($C523="","",MIN($C523,$D523))</f>
        <v/>
      </c>
      <c r="F523" s="40">
        <f>IF($E523="","",$E523*Settings!$B$4)</f>
        <v/>
      </c>
    </row>
    <row r="524">
      <c r="A524" s="29" t="n"/>
      <c r="B524" s="31" t="n"/>
      <c r="C524" s="31">
        <f>IF(OR($A524="",$B524=""),"",SUMIFS(QuickLog!$L$2:$L$1000,QuickLog!$B$2:$B$1000,$B524,QuickLog!$Q$2:$Q$1000,$A524))</f>
        <v/>
      </c>
      <c r="D524" s="31">
        <f>Settings!$B$3</f>
        <v/>
      </c>
      <c r="E524" s="31">
        <f>IF($C524="","",MIN($C524,$D524))</f>
        <v/>
      </c>
      <c r="F524" s="40">
        <f>IF($E524="","",$E524*Settings!$B$4)</f>
        <v/>
      </c>
    </row>
    <row r="525">
      <c r="A525" s="29" t="n"/>
      <c r="B525" s="31" t="n"/>
      <c r="C525" s="31">
        <f>IF(OR($A525="",$B525=""),"",SUMIFS(QuickLog!$L$2:$L$1000,QuickLog!$B$2:$B$1000,$B525,QuickLog!$Q$2:$Q$1000,$A525))</f>
        <v/>
      </c>
      <c r="D525" s="31">
        <f>Settings!$B$3</f>
        <v/>
      </c>
      <c r="E525" s="31">
        <f>IF($C525="","",MIN($C525,$D525))</f>
        <v/>
      </c>
      <c r="F525" s="40">
        <f>IF($E525="","",$E525*Settings!$B$4)</f>
        <v/>
      </c>
    </row>
    <row r="526">
      <c r="A526" s="29" t="n"/>
      <c r="B526" s="31" t="n"/>
      <c r="C526" s="31">
        <f>IF(OR($A526="",$B526=""),"",SUMIFS(QuickLog!$L$2:$L$1000,QuickLog!$B$2:$B$1000,$B526,QuickLog!$Q$2:$Q$1000,$A526))</f>
        <v/>
      </c>
      <c r="D526" s="31">
        <f>Settings!$B$3</f>
        <v/>
      </c>
      <c r="E526" s="31">
        <f>IF($C526="","",MIN($C526,$D526))</f>
        <v/>
      </c>
      <c r="F526" s="40">
        <f>IF($E526="","",$E526*Settings!$B$4)</f>
        <v/>
      </c>
    </row>
    <row r="527">
      <c r="A527" s="29" t="n"/>
      <c r="B527" s="31" t="n"/>
      <c r="C527" s="31">
        <f>IF(OR($A527="",$B527=""),"",SUMIFS(QuickLog!$L$2:$L$1000,QuickLog!$B$2:$B$1000,$B527,QuickLog!$Q$2:$Q$1000,$A527))</f>
        <v/>
      </c>
      <c r="D527" s="31">
        <f>Settings!$B$3</f>
        <v/>
      </c>
      <c r="E527" s="31">
        <f>IF($C527="","",MIN($C527,$D527))</f>
        <v/>
      </c>
      <c r="F527" s="40">
        <f>IF($E527="","",$E527*Settings!$B$4)</f>
        <v/>
      </c>
    </row>
    <row r="528">
      <c r="A528" s="29" t="n"/>
      <c r="B528" s="31" t="n"/>
      <c r="C528" s="31">
        <f>IF(OR($A528="",$B528=""),"",SUMIFS(QuickLog!$L$2:$L$1000,QuickLog!$B$2:$B$1000,$B528,QuickLog!$Q$2:$Q$1000,$A528))</f>
        <v/>
      </c>
      <c r="D528" s="31">
        <f>Settings!$B$3</f>
        <v/>
      </c>
      <c r="E528" s="31">
        <f>IF($C528="","",MIN($C528,$D528))</f>
        <v/>
      </c>
      <c r="F528" s="40">
        <f>IF($E528="","",$E528*Settings!$B$4)</f>
        <v/>
      </c>
    </row>
    <row r="529">
      <c r="A529" s="29" t="n"/>
      <c r="B529" s="31" t="n"/>
      <c r="C529" s="31">
        <f>IF(OR($A529="",$B529=""),"",SUMIFS(QuickLog!$L$2:$L$1000,QuickLog!$B$2:$B$1000,$B529,QuickLog!$Q$2:$Q$1000,$A529))</f>
        <v/>
      </c>
      <c r="D529" s="31">
        <f>Settings!$B$3</f>
        <v/>
      </c>
      <c r="E529" s="31">
        <f>IF($C529="","",MIN($C529,$D529))</f>
        <v/>
      </c>
      <c r="F529" s="40">
        <f>IF($E529="","",$E529*Settings!$B$4)</f>
        <v/>
      </c>
    </row>
    <row r="530">
      <c r="A530" s="29" t="n"/>
      <c r="B530" s="31" t="n"/>
      <c r="C530" s="31">
        <f>IF(OR($A530="",$B530=""),"",SUMIFS(QuickLog!$L$2:$L$1000,QuickLog!$B$2:$B$1000,$B530,QuickLog!$Q$2:$Q$1000,$A530))</f>
        <v/>
      </c>
      <c r="D530" s="31">
        <f>Settings!$B$3</f>
        <v/>
      </c>
      <c r="E530" s="31">
        <f>IF($C530="","",MIN($C530,$D530))</f>
        <v/>
      </c>
      <c r="F530" s="40">
        <f>IF($E530="","",$E530*Settings!$B$4)</f>
        <v/>
      </c>
    </row>
    <row r="531">
      <c r="A531" s="29" t="n"/>
      <c r="B531" s="31" t="n"/>
      <c r="C531" s="31">
        <f>IF(OR($A531="",$B531=""),"",SUMIFS(QuickLog!$L$2:$L$1000,QuickLog!$B$2:$B$1000,$B531,QuickLog!$Q$2:$Q$1000,$A531))</f>
        <v/>
      </c>
      <c r="D531" s="31">
        <f>Settings!$B$3</f>
        <v/>
      </c>
      <c r="E531" s="31">
        <f>IF($C531="","",MIN($C531,$D531))</f>
        <v/>
      </c>
      <c r="F531" s="40">
        <f>IF($E531="","",$E531*Settings!$B$4)</f>
        <v/>
      </c>
    </row>
    <row r="532">
      <c r="A532" s="29" t="n"/>
      <c r="B532" s="31" t="n"/>
      <c r="C532" s="31">
        <f>IF(OR($A532="",$B532=""),"",SUMIFS(QuickLog!$L$2:$L$1000,QuickLog!$B$2:$B$1000,$B532,QuickLog!$Q$2:$Q$1000,$A532))</f>
        <v/>
      </c>
      <c r="D532" s="31">
        <f>Settings!$B$3</f>
        <v/>
      </c>
      <c r="E532" s="31">
        <f>IF($C532="","",MIN($C532,$D532))</f>
        <v/>
      </c>
      <c r="F532" s="40">
        <f>IF($E532="","",$E532*Settings!$B$4)</f>
        <v/>
      </c>
    </row>
    <row r="533">
      <c r="A533" s="29" t="n"/>
      <c r="B533" s="31" t="n"/>
      <c r="C533" s="31">
        <f>IF(OR($A533="",$B533=""),"",SUMIFS(QuickLog!$L$2:$L$1000,QuickLog!$B$2:$B$1000,$B533,QuickLog!$Q$2:$Q$1000,$A533))</f>
        <v/>
      </c>
      <c r="D533" s="31">
        <f>Settings!$B$3</f>
        <v/>
      </c>
      <c r="E533" s="31">
        <f>IF($C533="","",MIN($C533,$D533))</f>
        <v/>
      </c>
      <c r="F533" s="40">
        <f>IF($E533="","",$E533*Settings!$B$4)</f>
        <v/>
      </c>
    </row>
    <row r="534">
      <c r="A534" s="29" t="n"/>
      <c r="B534" s="31" t="n"/>
      <c r="C534" s="31">
        <f>IF(OR($A534="",$B534=""),"",SUMIFS(QuickLog!$L$2:$L$1000,QuickLog!$B$2:$B$1000,$B534,QuickLog!$Q$2:$Q$1000,$A534))</f>
        <v/>
      </c>
      <c r="D534" s="31">
        <f>Settings!$B$3</f>
        <v/>
      </c>
      <c r="E534" s="31">
        <f>IF($C534="","",MIN($C534,$D534))</f>
        <v/>
      </c>
      <c r="F534" s="40">
        <f>IF($E534="","",$E534*Settings!$B$4)</f>
        <v/>
      </c>
    </row>
    <row r="535">
      <c r="A535" s="29" t="n"/>
      <c r="B535" s="31" t="n"/>
      <c r="C535" s="31">
        <f>IF(OR($A535="",$B535=""),"",SUMIFS(QuickLog!$L$2:$L$1000,QuickLog!$B$2:$B$1000,$B535,QuickLog!$Q$2:$Q$1000,$A535))</f>
        <v/>
      </c>
      <c r="D535" s="31">
        <f>Settings!$B$3</f>
        <v/>
      </c>
      <c r="E535" s="31">
        <f>IF($C535="","",MIN($C535,$D535))</f>
        <v/>
      </c>
      <c r="F535" s="40">
        <f>IF($E535="","",$E535*Settings!$B$4)</f>
        <v/>
      </c>
    </row>
    <row r="536">
      <c r="A536" s="29" t="n"/>
      <c r="B536" s="31" t="n"/>
      <c r="C536" s="31">
        <f>IF(OR($A536="",$B536=""),"",SUMIFS(QuickLog!$L$2:$L$1000,QuickLog!$B$2:$B$1000,$B536,QuickLog!$Q$2:$Q$1000,$A536))</f>
        <v/>
      </c>
      <c r="D536" s="31">
        <f>Settings!$B$3</f>
        <v/>
      </c>
      <c r="E536" s="31">
        <f>IF($C536="","",MIN($C536,$D536))</f>
        <v/>
      </c>
      <c r="F536" s="40">
        <f>IF($E536="","",$E536*Settings!$B$4)</f>
        <v/>
      </c>
    </row>
    <row r="537">
      <c r="A537" s="29" t="n"/>
      <c r="B537" s="31" t="n"/>
      <c r="C537" s="31">
        <f>IF(OR($A537="",$B537=""),"",SUMIFS(QuickLog!$L$2:$L$1000,QuickLog!$B$2:$B$1000,$B537,QuickLog!$Q$2:$Q$1000,$A537))</f>
        <v/>
      </c>
      <c r="D537" s="31">
        <f>Settings!$B$3</f>
        <v/>
      </c>
      <c r="E537" s="31">
        <f>IF($C537="","",MIN($C537,$D537))</f>
        <v/>
      </c>
      <c r="F537" s="40">
        <f>IF($E537="","",$E537*Settings!$B$4)</f>
        <v/>
      </c>
    </row>
    <row r="538">
      <c r="A538" s="29" t="n"/>
      <c r="B538" s="31" t="n"/>
      <c r="C538" s="31">
        <f>IF(OR($A538="",$B538=""),"",SUMIFS(QuickLog!$L$2:$L$1000,QuickLog!$B$2:$B$1000,$B538,QuickLog!$Q$2:$Q$1000,$A538))</f>
        <v/>
      </c>
      <c r="D538" s="31">
        <f>Settings!$B$3</f>
        <v/>
      </c>
      <c r="E538" s="31">
        <f>IF($C538="","",MIN($C538,$D538))</f>
        <v/>
      </c>
      <c r="F538" s="40">
        <f>IF($E538="","",$E538*Settings!$B$4)</f>
        <v/>
      </c>
    </row>
    <row r="539">
      <c r="A539" s="29" t="n"/>
      <c r="B539" s="31" t="n"/>
      <c r="C539" s="31">
        <f>IF(OR($A539="",$B539=""),"",SUMIFS(QuickLog!$L$2:$L$1000,QuickLog!$B$2:$B$1000,$B539,QuickLog!$Q$2:$Q$1000,$A539))</f>
        <v/>
      </c>
      <c r="D539" s="31">
        <f>Settings!$B$3</f>
        <v/>
      </c>
      <c r="E539" s="31">
        <f>IF($C539="","",MIN($C539,$D539))</f>
        <v/>
      </c>
      <c r="F539" s="40">
        <f>IF($E539="","",$E539*Settings!$B$4)</f>
        <v/>
      </c>
    </row>
    <row r="540">
      <c r="A540" s="29" t="n"/>
      <c r="B540" s="31" t="n"/>
      <c r="C540" s="31">
        <f>IF(OR($A540="",$B540=""),"",SUMIFS(QuickLog!$L$2:$L$1000,QuickLog!$B$2:$B$1000,$B540,QuickLog!$Q$2:$Q$1000,$A540))</f>
        <v/>
      </c>
      <c r="D540" s="31">
        <f>Settings!$B$3</f>
        <v/>
      </c>
      <c r="E540" s="31">
        <f>IF($C540="","",MIN($C540,$D540))</f>
        <v/>
      </c>
      <c r="F540" s="40">
        <f>IF($E540="","",$E540*Settings!$B$4)</f>
        <v/>
      </c>
    </row>
    <row r="541">
      <c r="A541" s="29" t="n"/>
      <c r="B541" s="31" t="n"/>
      <c r="C541" s="31">
        <f>IF(OR($A541="",$B541=""),"",SUMIFS(QuickLog!$L$2:$L$1000,QuickLog!$B$2:$B$1000,$B541,QuickLog!$Q$2:$Q$1000,$A541))</f>
        <v/>
      </c>
      <c r="D541" s="31">
        <f>Settings!$B$3</f>
        <v/>
      </c>
      <c r="E541" s="31">
        <f>IF($C541="","",MIN($C541,$D541))</f>
        <v/>
      </c>
      <c r="F541" s="40">
        <f>IF($E541="","",$E541*Settings!$B$4)</f>
        <v/>
      </c>
    </row>
    <row r="542">
      <c r="A542" s="29" t="n"/>
      <c r="B542" s="31" t="n"/>
      <c r="C542" s="31">
        <f>IF(OR($A542="",$B542=""),"",SUMIFS(QuickLog!$L$2:$L$1000,QuickLog!$B$2:$B$1000,$B542,QuickLog!$Q$2:$Q$1000,$A542))</f>
        <v/>
      </c>
      <c r="D542" s="31">
        <f>Settings!$B$3</f>
        <v/>
      </c>
      <c r="E542" s="31">
        <f>IF($C542="","",MIN($C542,$D542))</f>
        <v/>
      </c>
      <c r="F542" s="40">
        <f>IF($E542="","",$E542*Settings!$B$4)</f>
        <v/>
      </c>
    </row>
    <row r="543">
      <c r="A543" s="29" t="n"/>
      <c r="B543" s="31" t="n"/>
      <c r="C543" s="31">
        <f>IF(OR($A543="",$B543=""),"",SUMIFS(QuickLog!$L$2:$L$1000,QuickLog!$B$2:$B$1000,$B543,QuickLog!$Q$2:$Q$1000,$A543))</f>
        <v/>
      </c>
      <c r="D543" s="31">
        <f>Settings!$B$3</f>
        <v/>
      </c>
      <c r="E543" s="31">
        <f>IF($C543="","",MIN($C543,$D543))</f>
        <v/>
      </c>
      <c r="F543" s="40">
        <f>IF($E543="","",$E543*Settings!$B$4)</f>
        <v/>
      </c>
    </row>
    <row r="544">
      <c r="A544" s="29" t="n"/>
      <c r="B544" s="31" t="n"/>
      <c r="C544" s="31">
        <f>IF(OR($A544="",$B544=""),"",SUMIFS(QuickLog!$L$2:$L$1000,QuickLog!$B$2:$B$1000,$B544,QuickLog!$Q$2:$Q$1000,$A544))</f>
        <v/>
      </c>
      <c r="D544" s="31">
        <f>Settings!$B$3</f>
        <v/>
      </c>
      <c r="E544" s="31">
        <f>IF($C544="","",MIN($C544,$D544))</f>
        <v/>
      </c>
      <c r="F544" s="40">
        <f>IF($E544="","",$E544*Settings!$B$4)</f>
        <v/>
      </c>
    </row>
    <row r="545">
      <c r="A545" s="29" t="n"/>
      <c r="B545" s="31" t="n"/>
      <c r="C545" s="31">
        <f>IF(OR($A545="",$B545=""),"",SUMIFS(QuickLog!$L$2:$L$1000,QuickLog!$B$2:$B$1000,$B545,QuickLog!$Q$2:$Q$1000,$A545))</f>
        <v/>
      </c>
      <c r="D545" s="31">
        <f>Settings!$B$3</f>
        <v/>
      </c>
      <c r="E545" s="31">
        <f>IF($C545="","",MIN($C545,$D545))</f>
        <v/>
      </c>
      <c r="F545" s="40">
        <f>IF($E545="","",$E545*Settings!$B$4)</f>
        <v/>
      </c>
    </row>
    <row r="546">
      <c r="A546" s="29" t="n"/>
      <c r="B546" s="31" t="n"/>
      <c r="C546" s="31">
        <f>IF(OR($A546="",$B546=""),"",SUMIFS(QuickLog!$L$2:$L$1000,QuickLog!$B$2:$B$1000,$B546,QuickLog!$Q$2:$Q$1000,$A546))</f>
        <v/>
      </c>
      <c r="D546" s="31">
        <f>Settings!$B$3</f>
        <v/>
      </c>
      <c r="E546" s="31">
        <f>IF($C546="","",MIN($C546,$D546))</f>
        <v/>
      </c>
      <c r="F546" s="40">
        <f>IF($E546="","",$E546*Settings!$B$4)</f>
        <v/>
      </c>
    </row>
    <row r="547">
      <c r="A547" s="29" t="n"/>
      <c r="B547" s="31" t="n"/>
      <c r="C547" s="31">
        <f>IF(OR($A547="",$B547=""),"",SUMIFS(QuickLog!$L$2:$L$1000,QuickLog!$B$2:$B$1000,$B547,QuickLog!$Q$2:$Q$1000,$A547))</f>
        <v/>
      </c>
      <c r="D547" s="31">
        <f>Settings!$B$3</f>
        <v/>
      </c>
      <c r="E547" s="31">
        <f>IF($C547="","",MIN($C547,$D547))</f>
        <v/>
      </c>
      <c r="F547" s="40">
        <f>IF($E547="","",$E547*Settings!$B$4)</f>
        <v/>
      </c>
    </row>
    <row r="548">
      <c r="A548" s="29" t="n"/>
      <c r="B548" s="31" t="n"/>
      <c r="C548" s="31">
        <f>IF(OR($A548="",$B548=""),"",SUMIFS(QuickLog!$L$2:$L$1000,QuickLog!$B$2:$B$1000,$B548,QuickLog!$Q$2:$Q$1000,$A548))</f>
        <v/>
      </c>
      <c r="D548" s="31">
        <f>Settings!$B$3</f>
        <v/>
      </c>
      <c r="E548" s="31">
        <f>IF($C548="","",MIN($C548,$D548))</f>
        <v/>
      </c>
      <c r="F548" s="40">
        <f>IF($E548="","",$E548*Settings!$B$4)</f>
        <v/>
      </c>
    </row>
    <row r="549">
      <c r="A549" s="29" t="n"/>
      <c r="B549" s="31" t="n"/>
      <c r="C549" s="31">
        <f>IF(OR($A549="",$B549=""),"",SUMIFS(QuickLog!$L$2:$L$1000,QuickLog!$B$2:$B$1000,$B549,QuickLog!$Q$2:$Q$1000,$A549))</f>
        <v/>
      </c>
      <c r="D549" s="31">
        <f>Settings!$B$3</f>
        <v/>
      </c>
      <c r="E549" s="31">
        <f>IF($C549="","",MIN($C549,$D549))</f>
        <v/>
      </c>
      <c r="F549" s="40">
        <f>IF($E549="","",$E549*Settings!$B$4)</f>
        <v/>
      </c>
    </row>
    <row r="550">
      <c r="A550" s="29" t="n"/>
      <c r="B550" s="31" t="n"/>
      <c r="C550" s="31">
        <f>IF(OR($A550="",$B550=""),"",SUMIFS(QuickLog!$L$2:$L$1000,QuickLog!$B$2:$B$1000,$B550,QuickLog!$Q$2:$Q$1000,$A550))</f>
        <v/>
      </c>
      <c r="D550" s="31">
        <f>Settings!$B$3</f>
        <v/>
      </c>
      <c r="E550" s="31">
        <f>IF($C550="","",MIN($C550,$D550))</f>
        <v/>
      </c>
      <c r="F550" s="40">
        <f>IF($E550="","",$E550*Settings!$B$4)</f>
        <v/>
      </c>
    </row>
    <row r="551">
      <c r="A551" s="29" t="n"/>
      <c r="B551" s="31" t="n"/>
      <c r="C551" s="31">
        <f>IF(OR($A551="",$B551=""),"",SUMIFS(QuickLog!$L$2:$L$1000,QuickLog!$B$2:$B$1000,$B551,QuickLog!$Q$2:$Q$1000,$A551))</f>
        <v/>
      </c>
      <c r="D551" s="31">
        <f>Settings!$B$3</f>
        <v/>
      </c>
      <c r="E551" s="31">
        <f>IF($C551="","",MIN($C551,$D551))</f>
        <v/>
      </c>
      <c r="F551" s="40">
        <f>IF($E551="","",$E551*Settings!$B$4)</f>
        <v/>
      </c>
    </row>
    <row r="552">
      <c r="A552" s="29" t="n"/>
      <c r="B552" s="31" t="n"/>
      <c r="C552" s="31">
        <f>IF(OR($A552="",$B552=""),"",SUMIFS(QuickLog!$L$2:$L$1000,QuickLog!$B$2:$B$1000,$B552,QuickLog!$Q$2:$Q$1000,$A552))</f>
        <v/>
      </c>
      <c r="D552" s="31">
        <f>Settings!$B$3</f>
        <v/>
      </c>
      <c r="E552" s="31">
        <f>IF($C552="","",MIN($C552,$D552))</f>
        <v/>
      </c>
      <c r="F552" s="40">
        <f>IF($E552="","",$E552*Settings!$B$4)</f>
        <v/>
      </c>
    </row>
    <row r="553">
      <c r="A553" s="29" t="n"/>
      <c r="B553" s="31" t="n"/>
      <c r="C553" s="31">
        <f>IF(OR($A553="",$B553=""),"",SUMIFS(QuickLog!$L$2:$L$1000,QuickLog!$B$2:$B$1000,$B553,QuickLog!$Q$2:$Q$1000,$A553))</f>
        <v/>
      </c>
      <c r="D553" s="31">
        <f>Settings!$B$3</f>
        <v/>
      </c>
      <c r="E553" s="31">
        <f>IF($C553="","",MIN($C553,$D553))</f>
        <v/>
      </c>
      <c r="F553" s="40">
        <f>IF($E553="","",$E553*Settings!$B$4)</f>
        <v/>
      </c>
    </row>
    <row r="554">
      <c r="A554" s="29" t="n"/>
      <c r="B554" s="31" t="n"/>
      <c r="C554" s="31">
        <f>IF(OR($A554="",$B554=""),"",SUMIFS(QuickLog!$L$2:$L$1000,QuickLog!$B$2:$B$1000,$B554,QuickLog!$Q$2:$Q$1000,$A554))</f>
        <v/>
      </c>
      <c r="D554" s="31">
        <f>Settings!$B$3</f>
        <v/>
      </c>
      <c r="E554" s="31">
        <f>IF($C554="","",MIN($C554,$D554))</f>
        <v/>
      </c>
      <c r="F554" s="40">
        <f>IF($E554="","",$E554*Settings!$B$4)</f>
        <v/>
      </c>
    </row>
    <row r="555">
      <c r="A555" s="29" t="n"/>
      <c r="B555" s="31" t="n"/>
      <c r="C555" s="31">
        <f>IF(OR($A555="",$B555=""),"",SUMIFS(QuickLog!$L$2:$L$1000,QuickLog!$B$2:$B$1000,$B555,QuickLog!$Q$2:$Q$1000,$A555))</f>
        <v/>
      </c>
      <c r="D555" s="31">
        <f>Settings!$B$3</f>
        <v/>
      </c>
      <c r="E555" s="31">
        <f>IF($C555="","",MIN($C555,$D555))</f>
        <v/>
      </c>
      <c r="F555" s="40">
        <f>IF($E555="","",$E555*Settings!$B$4)</f>
        <v/>
      </c>
    </row>
    <row r="556">
      <c r="A556" s="29" t="n"/>
      <c r="B556" s="31" t="n"/>
      <c r="C556" s="31">
        <f>IF(OR($A556="",$B556=""),"",SUMIFS(QuickLog!$L$2:$L$1000,QuickLog!$B$2:$B$1000,$B556,QuickLog!$Q$2:$Q$1000,$A556))</f>
        <v/>
      </c>
      <c r="D556" s="31">
        <f>Settings!$B$3</f>
        <v/>
      </c>
      <c r="E556" s="31">
        <f>IF($C556="","",MIN($C556,$D556))</f>
        <v/>
      </c>
      <c r="F556" s="40">
        <f>IF($E556="","",$E556*Settings!$B$4)</f>
        <v/>
      </c>
    </row>
    <row r="557">
      <c r="A557" s="29" t="n"/>
      <c r="B557" s="31" t="n"/>
      <c r="C557" s="31">
        <f>IF(OR($A557="",$B557=""),"",SUMIFS(QuickLog!$L$2:$L$1000,QuickLog!$B$2:$B$1000,$B557,QuickLog!$Q$2:$Q$1000,$A557))</f>
        <v/>
      </c>
      <c r="D557" s="31">
        <f>Settings!$B$3</f>
        <v/>
      </c>
      <c r="E557" s="31">
        <f>IF($C557="","",MIN($C557,$D557))</f>
        <v/>
      </c>
      <c r="F557" s="40">
        <f>IF($E557="","",$E557*Settings!$B$4)</f>
        <v/>
      </c>
    </row>
    <row r="558">
      <c r="A558" s="29" t="n"/>
      <c r="B558" s="31" t="n"/>
      <c r="C558" s="31">
        <f>IF(OR($A558="",$B558=""),"",SUMIFS(QuickLog!$L$2:$L$1000,QuickLog!$B$2:$B$1000,$B558,QuickLog!$Q$2:$Q$1000,$A558))</f>
        <v/>
      </c>
      <c r="D558" s="31">
        <f>Settings!$B$3</f>
        <v/>
      </c>
      <c r="E558" s="31">
        <f>IF($C558="","",MIN($C558,$D558))</f>
        <v/>
      </c>
      <c r="F558" s="40">
        <f>IF($E558="","",$E558*Settings!$B$4)</f>
        <v/>
      </c>
    </row>
    <row r="559">
      <c r="A559" s="29" t="n"/>
      <c r="B559" s="31" t="n"/>
      <c r="C559" s="31">
        <f>IF(OR($A559="",$B559=""),"",SUMIFS(QuickLog!$L$2:$L$1000,QuickLog!$B$2:$B$1000,$B559,QuickLog!$Q$2:$Q$1000,$A559))</f>
        <v/>
      </c>
      <c r="D559" s="31">
        <f>Settings!$B$3</f>
        <v/>
      </c>
      <c r="E559" s="31">
        <f>IF($C559="","",MIN($C559,$D559))</f>
        <v/>
      </c>
      <c r="F559" s="40">
        <f>IF($E559="","",$E559*Settings!$B$4)</f>
        <v/>
      </c>
    </row>
    <row r="560">
      <c r="A560" s="29" t="n"/>
      <c r="B560" s="31" t="n"/>
      <c r="C560" s="31">
        <f>IF(OR($A560="",$B560=""),"",SUMIFS(QuickLog!$L$2:$L$1000,QuickLog!$B$2:$B$1000,$B560,QuickLog!$Q$2:$Q$1000,$A560))</f>
        <v/>
      </c>
      <c r="D560" s="31">
        <f>Settings!$B$3</f>
        <v/>
      </c>
      <c r="E560" s="31">
        <f>IF($C560="","",MIN($C560,$D560))</f>
        <v/>
      </c>
      <c r="F560" s="40">
        <f>IF($E560="","",$E560*Settings!$B$4)</f>
        <v/>
      </c>
    </row>
    <row r="561">
      <c r="A561" s="29" t="n"/>
      <c r="B561" s="31" t="n"/>
      <c r="C561" s="31">
        <f>IF(OR($A561="",$B561=""),"",SUMIFS(QuickLog!$L$2:$L$1000,QuickLog!$B$2:$B$1000,$B561,QuickLog!$Q$2:$Q$1000,$A561))</f>
        <v/>
      </c>
      <c r="D561" s="31">
        <f>Settings!$B$3</f>
        <v/>
      </c>
      <c r="E561" s="31">
        <f>IF($C561="","",MIN($C561,$D561))</f>
        <v/>
      </c>
      <c r="F561" s="40">
        <f>IF($E561="","",$E561*Settings!$B$4)</f>
        <v/>
      </c>
    </row>
    <row r="562">
      <c r="A562" s="29" t="n"/>
      <c r="B562" s="31" t="n"/>
      <c r="C562" s="31">
        <f>IF(OR($A562="",$B562=""),"",SUMIFS(QuickLog!$L$2:$L$1000,QuickLog!$B$2:$B$1000,$B562,QuickLog!$Q$2:$Q$1000,$A562))</f>
        <v/>
      </c>
      <c r="D562" s="31">
        <f>Settings!$B$3</f>
        <v/>
      </c>
      <c r="E562" s="31">
        <f>IF($C562="","",MIN($C562,$D562))</f>
        <v/>
      </c>
      <c r="F562" s="40">
        <f>IF($E562="","",$E562*Settings!$B$4)</f>
        <v/>
      </c>
    </row>
    <row r="563">
      <c r="A563" s="29" t="n"/>
      <c r="B563" s="31" t="n"/>
      <c r="C563" s="31">
        <f>IF(OR($A563="",$B563=""),"",SUMIFS(QuickLog!$L$2:$L$1000,QuickLog!$B$2:$B$1000,$B563,QuickLog!$Q$2:$Q$1000,$A563))</f>
        <v/>
      </c>
      <c r="D563" s="31">
        <f>Settings!$B$3</f>
        <v/>
      </c>
      <c r="E563" s="31">
        <f>IF($C563="","",MIN($C563,$D563))</f>
        <v/>
      </c>
      <c r="F563" s="40">
        <f>IF($E563="","",$E563*Settings!$B$4)</f>
        <v/>
      </c>
    </row>
    <row r="564">
      <c r="A564" s="29" t="n"/>
      <c r="B564" s="31" t="n"/>
      <c r="C564" s="31">
        <f>IF(OR($A564="",$B564=""),"",SUMIFS(QuickLog!$L$2:$L$1000,QuickLog!$B$2:$B$1000,$B564,QuickLog!$Q$2:$Q$1000,$A564))</f>
        <v/>
      </c>
      <c r="D564" s="31">
        <f>Settings!$B$3</f>
        <v/>
      </c>
      <c r="E564" s="31">
        <f>IF($C564="","",MIN($C564,$D564))</f>
        <v/>
      </c>
      <c r="F564" s="40">
        <f>IF($E564="","",$E564*Settings!$B$4)</f>
        <v/>
      </c>
    </row>
    <row r="565">
      <c r="A565" s="29" t="n"/>
      <c r="B565" s="31" t="n"/>
      <c r="C565" s="31">
        <f>IF(OR($A565="",$B565=""),"",SUMIFS(QuickLog!$L$2:$L$1000,QuickLog!$B$2:$B$1000,$B565,QuickLog!$Q$2:$Q$1000,$A565))</f>
        <v/>
      </c>
      <c r="D565" s="31">
        <f>Settings!$B$3</f>
        <v/>
      </c>
      <c r="E565" s="31">
        <f>IF($C565="","",MIN($C565,$D565))</f>
        <v/>
      </c>
      <c r="F565" s="40">
        <f>IF($E565="","",$E565*Settings!$B$4)</f>
        <v/>
      </c>
    </row>
    <row r="566">
      <c r="A566" s="29" t="n"/>
      <c r="B566" s="31" t="n"/>
      <c r="C566" s="31">
        <f>IF(OR($A566="",$B566=""),"",SUMIFS(QuickLog!$L$2:$L$1000,QuickLog!$B$2:$B$1000,$B566,QuickLog!$Q$2:$Q$1000,$A566))</f>
        <v/>
      </c>
      <c r="D566" s="31">
        <f>Settings!$B$3</f>
        <v/>
      </c>
      <c r="E566" s="31">
        <f>IF($C566="","",MIN($C566,$D566))</f>
        <v/>
      </c>
      <c r="F566" s="40">
        <f>IF($E566="","",$E566*Settings!$B$4)</f>
        <v/>
      </c>
    </row>
    <row r="567">
      <c r="A567" s="29" t="n"/>
      <c r="B567" s="31" t="n"/>
      <c r="C567" s="31">
        <f>IF(OR($A567="",$B567=""),"",SUMIFS(QuickLog!$L$2:$L$1000,QuickLog!$B$2:$B$1000,$B567,QuickLog!$Q$2:$Q$1000,$A567))</f>
        <v/>
      </c>
      <c r="D567" s="31">
        <f>Settings!$B$3</f>
        <v/>
      </c>
      <c r="E567" s="31">
        <f>IF($C567="","",MIN($C567,$D567))</f>
        <v/>
      </c>
      <c r="F567" s="40">
        <f>IF($E567="","",$E567*Settings!$B$4)</f>
        <v/>
      </c>
    </row>
    <row r="568">
      <c r="A568" s="29" t="n"/>
      <c r="B568" s="31" t="n"/>
      <c r="C568" s="31">
        <f>IF(OR($A568="",$B568=""),"",SUMIFS(QuickLog!$L$2:$L$1000,QuickLog!$B$2:$B$1000,$B568,QuickLog!$Q$2:$Q$1000,$A568))</f>
        <v/>
      </c>
      <c r="D568" s="31">
        <f>Settings!$B$3</f>
        <v/>
      </c>
      <c r="E568" s="31">
        <f>IF($C568="","",MIN($C568,$D568))</f>
        <v/>
      </c>
      <c r="F568" s="40">
        <f>IF($E568="","",$E568*Settings!$B$4)</f>
        <v/>
      </c>
    </row>
    <row r="569">
      <c r="A569" s="29" t="n"/>
      <c r="B569" s="31" t="n"/>
      <c r="C569" s="31">
        <f>IF(OR($A569="",$B569=""),"",SUMIFS(QuickLog!$L$2:$L$1000,QuickLog!$B$2:$B$1000,$B569,QuickLog!$Q$2:$Q$1000,$A569))</f>
        <v/>
      </c>
      <c r="D569" s="31">
        <f>Settings!$B$3</f>
        <v/>
      </c>
      <c r="E569" s="31">
        <f>IF($C569="","",MIN($C569,$D569))</f>
        <v/>
      </c>
      <c r="F569" s="40">
        <f>IF($E569="","",$E569*Settings!$B$4)</f>
        <v/>
      </c>
    </row>
    <row r="570">
      <c r="A570" s="29" t="n"/>
      <c r="B570" s="31" t="n"/>
      <c r="C570" s="31">
        <f>IF(OR($A570="",$B570=""),"",SUMIFS(QuickLog!$L$2:$L$1000,QuickLog!$B$2:$B$1000,$B570,QuickLog!$Q$2:$Q$1000,$A570))</f>
        <v/>
      </c>
      <c r="D570" s="31">
        <f>Settings!$B$3</f>
        <v/>
      </c>
      <c r="E570" s="31">
        <f>IF($C570="","",MIN($C570,$D570))</f>
        <v/>
      </c>
      <c r="F570" s="40">
        <f>IF($E570="","",$E570*Settings!$B$4)</f>
        <v/>
      </c>
    </row>
    <row r="571">
      <c r="A571" s="29" t="n"/>
      <c r="B571" s="31" t="n"/>
      <c r="C571" s="31">
        <f>IF(OR($A571="",$B571=""),"",SUMIFS(QuickLog!$L$2:$L$1000,QuickLog!$B$2:$B$1000,$B571,QuickLog!$Q$2:$Q$1000,$A571))</f>
        <v/>
      </c>
      <c r="D571" s="31">
        <f>Settings!$B$3</f>
        <v/>
      </c>
      <c r="E571" s="31">
        <f>IF($C571="","",MIN($C571,$D571))</f>
        <v/>
      </c>
      <c r="F571" s="40">
        <f>IF($E571="","",$E571*Settings!$B$4)</f>
        <v/>
      </c>
    </row>
    <row r="572">
      <c r="A572" s="29" t="n"/>
      <c r="B572" s="31" t="n"/>
      <c r="C572" s="31">
        <f>IF(OR($A572="",$B572=""),"",SUMIFS(QuickLog!$L$2:$L$1000,QuickLog!$B$2:$B$1000,$B572,QuickLog!$Q$2:$Q$1000,$A572))</f>
        <v/>
      </c>
      <c r="D572" s="31">
        <f>Settings!$B$3</f>
        <v/>
      </c>
      <c r="E572" s="31">
        <f>IF($C572="","",MIN($C572,$D572))</f>
        <v/>
      </c>
      <c r="F572" s="40">
        <f>IF($E572="","",$E572*Settings!$B$4)</f>
        <v/>
      </c>
    </row>
    <row r="573">
      <c r="A573" s="29" t="n"/>
      <c r="B573" s="31" t="n"/>
      <c r="C573" s="31">
        <f>IF(OR($A573="",$B573=""),"",SUMIFS(QuickLog!$L$2:$L$1000,QuickLog!$B$2:$B$1000,$B573,QuickLog!$Q$2:$Q$1000,$A573))</f>
        <v/>
      </c>
      <c r="D573" s="31">
        <f>Settings!$B$3</f>
        <v/>
      </c>
      <c r="E573" s="31">
        <f>IF($C573="","",MIN($C573,$D573))</f>
        <v/>
      </c>
      <c r="F573" s="40">
        <f>IF($E573="","",$E573*Settings!$B$4)</f>
        <v/>
      </c>
    </row>
    <row r="574">
      <c r="A574" s="29" t="n"/>
      <c r="B574" s="31" t="n"/>
      <c r="C574" s="31">
        <f>IF(OR($A574="",$B574=""),"",SUMIFS(QuickLog!$L$2:$L$1000,QuickLog!$B$2:$B$1000,$B574,QuickLog!$Q$2:$Q$1000,$A574))</f>
        <v/>
      </c>
      <c r="D574" s="31">
        <f>Settings!$B$3</f>
        <v/>
      </c>
      <c r="E574" s="31">
        <f>IF($C574="","",MIN($C574,$D574))</f>
        <v/>
      </c>
      <c r="F574" s="40">
        <f>IF($E574="","",$E574*Settings!$B$4)</f>
        <v/>
      </c>
    </row>
    <row r="575">
      <c r="A575" s="29" t="n"/>
      <c r="B575" s="31" t="n"/>
      <c r="C575" s="31">
        <f>IF(OR($A575="",$B575=""),"",SUMIFS(QuickLog!$L$2:$L$1000,QuickLog!$B$2:$B$1000,$B575,QuickLog!$Q$2:$Q$1000,$A575))</f>
        <v/>
      </c>
      <c r="D575" s="31">
        <f>Settings!$B$3</f>
        <v/>
      </c>
      <c r="E575" s="31">
        <f>IF($C575="","",MIN($C575,$D575))</f>
        <v/>
      </c>
      <c r="F575" s="40">
        <f>IF($E575="","",$E575*Settings!$B$4)</f>
        <v/>
      </c>
    </row>
    <row r="576">
      <c r="A576" s="29" t="n"/>
      <c r="B576" s="31" t="n"/>
      <c r="C576" s="31">
        <f>IF(OR($A576="",$B576=""),"",SUMIFS(QuickLog!$L$2:$L$1000,QuickLog!$B$2:$B$1000,$B576,QuickLog!$Q$2:$Q$1000,$A576))</f>
        <v/>
      </c>
      <c r="D576" s="31">
        <f>Settings!$B$3</f>
        <v/>
      </c>
      <c r="E576" s="31">
        <f>IF($C576="","",MIN($C576,$D576))</f>
        <v/>
      </c>
      <c r="F576" s="40">
        <f>IF($E576="","",$E576*Settings!$B$4)</f>
        <v/>
      </c>
    </row>
    <row r="577">
      <c r="A577" s="29" t="n"/>
      <c r="B577" s="31" t="n"/>
      <c r="C577" s="31">
        <f>IF(OR($A577="",$B577=""),"",SUMIFS(QuickLog!$L$2:$L$1000,QuickLog!$B$2:$B$1000,$B577,QuickLog!$Q$2:$Q$1000,$A577))</f>
        <v/>
      </c>
      <c r="D577" s="31">
        <f>Settings!$B$3</f>
        <v/>
      </c>
      <c r="E577" s="31">
        <f>IF($C577="","",MIN($C577,$D577))</f>
        <v/>
      </c>
      <c r="F577" s="40">
        <f>IF($E577="","",$E577*Settings!$B$4)</f>
        <v/>
      </c>
    </row>
    <row r="578">
      <c r="A578" s="29" t="n"/>
      <c r="B578" s="31" t="n"/>
      <c r="C578" s="31">
        <f>IF(OR($A578="",$B578=""),"",SUMIFS(QuickLog!$L$2:$L$1000,QuickLog!$B$2:$B$1000,$B578,QuickLog!$Q$2:$Q$1000,$A578))</f>
        <v/>
      </c>
      <c r="D578" s="31">
        <f>Settings!$B$3</f>
        <v/>
      </c>
      <c r="E578" s="31">
        <f>IF($C578="","",MIN($C578,$D578))</f>
        <v/>
      </c>
      <c r="F578" s="40">
        <f>IF($E578="","",$E578*Settings!$B$4)</f>
        <v/>
      </c>
    </row>
    <row r="579">
      <c r="A579" s="29" t="n"/>
      <c r="B579" s="31" t="n"/>
      <c r="C579" s="31">
        <f>IF(OR($A579="",$B579=""),"",SUMIFS(QuickLog!$L$2:$L$1000,QuickLog!$B$2:$B$1000,$B579,QuickLog!$Q$2:$Q$1000,$A579))</f>
        <v/>
      </c>
      <c r="D579" s="31">
        <f>Settings!$B$3</f>
        <v/>
      </c>
      <c r="E579" s="31">
        <f>IF($C579="","",MIN($C579,$D579))</f>
        <v/>
      </c>
      <c r="F579" s="40">
        <f>IF($E579="","",$E579*Settings!$B$4)</f>
        <v/>
      </c>
    </row>
    <row r="580">
      <c r="A580" s="29" t="n"/>
      <c r="B580" s="31" t="n"/>
      <c r="C580" s="31">
        <f>IF(OR($A580="",$B580=""),"",SUMIFS(QuickLog!$L$2:$L$1000,QuickLog!$B$2:$B$1000,$B580,QuickLog!$Q$2:$Q$1000,$A580))</f>
        <v/>
      </c>
      <c r="D580" s="31">
        <f>Settings!$B$3</f>
        <v/>
      </c>
      <c r="E580" s="31">
        <f>IF($C580="","",MIN($C580,$D580))</f>
        <v/>
      </c>
      <c r="F580" s="40">
        <f>IF($E580="","",$E580*Settings!$B$4)</f>
        <v/>
      </c>
    </row>
    <row r="581">
      <c r="A581" s="29" t="n"/>
      <c r="B581" s="31" t="n"/>
      <c r="C581" s="31">
        <f>IF(OR($A581="",$B581=""),"",SUMIFS(QuickLog!$L$2:$L$1000,QuickLog!$B$2:$B$1000,$B581,QuickLog!$Q$2:$Q$1000,$A581))</f>
        <v/>
      </c>
      <c r="D581" s="31">
        <f>Settings!$B$3</f>
        <v/>
      </c>
      <c r="E581" s="31">
        <f>IF($C581="","",MIN($C581,$D581))</f>
        <v/>
      </c>
      <c r="F581" s="40">
        <f>IF($E581="","",$E581*Settings!$B$4)</f>
        <v/>
      </c>
    </row>
    <row r="582">
      <c r="A582" s="29" t="n"/>
      <c r="B582" s="31" t="n"/>
      <c r="C582" s="31">
        <f>IF(OR($A582="",$B582=""),"",SUMIFS(QuickLog!$L$2:$L$1000,QuickLog!$B$2:$B$1000,$B582,QuickLog!$Q$2:$Q$1000,$A582))</f>
        <v/>
      </c>
      <c r="D582" s="31">
        <f>Settings!$B$3</f>
        <v/>
      </c>
      <c r="E582" s="31">
        <f>IF($C582="","",MIN($C582,$D582))</f>
        <v/>
      </c>
      <c r="F582" s="40">
        <f>IF($E582="","",$E582*Settings!$B$4)</f>
        <v/>
      </c>
    </row>
    <row r="583">
      <c r="A583" s="29" t="n"/>
      <c r="B583" s="31" t="n"/>
      <c r="C583" s="31">
        <f>IF(OR($A583="",$B583=""),"",SUMIFS(QuickLog!$L$2:$L$1000,QuickLog!$B$2:$B$1000,$B583,QuickLog!$Q$2:$Q$1000,$A583))</f>
        <v/>
      </c>
      <c r="D583" s="31">
        <f>Settings!$B$3</f>
        <v/>
      </c>
      <c r="E583" s="31">
        <f>IF($C583="","",MIN($C583,$D583))</f>
        <v/>
      </c>
      <c r="F583" s="40">
        <f>IF($E583="","",$E583*Settings!$B$4)</f>
        <v/>
      </c>
    </row>
    <row r="584">
      <c r="A584" s="29" t="n"/>
      <c r="B584" s="31" t="n"/>
      <c r="C584" s="31">
        <f>IF(OR($A584="",$B584=""),"",SUMIFS(QuickLog!$L$2:$L$1000,QuickLog!$B$2:$B$1000,$B584,QuickLog!$Q$2:$Q$1000,$A584))</f>
        <v/>
      </c>
      <c r="D584" s="31">
        <f>Settings!$B$3</f>
        <v/>
      </c>
      <c r="E584" s="31">
        <f>IF($C584="","",MIN($C584,$D584))</f>
        <v/>
      </c>
      <c r="F584" s="40">
        <f>IF($E584="","",$E584*Settings!$B$4)</f>
        <v/>
      </c>
    </row>
    <row r="585">
      <c r="A585" s="29" t="n"/>
      <c r="B585" s="31" t="n"/>
      <c r="C585" s="31">
        <f>IF(OR($A585="",$B585=""),"",SUMIFS(QuickLog!$L$2:$L$1000,QuickLog!$B$2:$B$1000,$B585,QuickLog!$Q$2:$Q$1000,$A585))</f>
        <v/>
      </c>
      <c r="D585" s="31">
        <f>Settings!$B$3</f>
        <v/>
      </c>
      <c r="E585" s="31">
        <f>IF($C585="","",MIN($C585,$D585))</f>
        <v/>
      </c>
      <c r="F585" s="40">
        <f>IF($E585="","",$E585*Settings!$B$4)</f>
        <v/>
      </c>
    </row>
    <row r="586">
      <c r="A586" s="29" t="n"/>
      <c r="B586" s="31" t="n"/>
      <c r="C586" s="31">
        <f>IF(OR($A586="",$B586=""),"",SUMIFS(QuickLog!$L$2:$L$1000,QuickLog!$B$2:$B$1000,$B586,QuickLog!$Q$2:$Q$1000,$A586))</f>
        <v/>
      </c>
      <c r="D586" s="31">
        <f>Settings!$B$3</f>
        <v/>
      </c>
      <c r="E586" s="31">
        <f>IF($C586="","",MIN($C586,$D586))</f>
        <v/>
      </c>
      <c r="F586" s="40">
        <f>IF($E586="","",$E586*Settings!$B$4)</f>
        <v/>
      </c>
    </row>
    <row r="587">
      <c r="A587" s="29" t="n"/>
      <c r="B587" s="31" t="n"/>
      <c r="C587" s="31">
        <f>IF(OR($A587="",$B587=""),"",SUMIFS(QuickLog!$L$2:$L$1000,QuickLog!$B$2:$B$1000,$B587,QuickLog!$Q$2:$Q$1000,$A587))</f>
        <v/>
      </c>
      <c r="D587" s="31">
        <f>Settings!$B$3</f>
        <v/>
      </c>
      <c r="E587" s="31">
        <f>IF($C587="","",MIN($C587,$D587))</f>
        <v/>
      </c>
      <c r="F587" s="40">
        <f>IF($E587="","",$E587*Settings!$B$4)</f>
        <v/>
      </c>
    </row>
    <row r="588">
      <c r="A588" s="29" t="n"/>
      <c r="B588" s="31" t="n"/>
      <c r="C588" s="31">
        <f>IF(OR($A588="",$B588=""),"",SUMIFS(QuickLog!$L$2:$L$1000,QuickLog!$B$2:$B$1000,$B588,QuickLog!$Q$2:$Q$1000,$A588))</f>
        <v/>
      </c>
      <c r="D588" s="31">
        <f>Settings!$B$3</f>
        <v/>
      </c>
      <c r="E588" s="31">
        <f>IF($C588="","",MIN($C588,$D588))</f>
        <v/>
      </c>
      <c r="F588" s="40">
        <f>IF($E588="","",$E588*Settings!$B$4)</f>
        <v/>
      </c>
    </row>
    <row r="589">
      <c r="A589" s="29" t="n"/>
      <c r="B589" s="31" t="n"/>
      <c r="C589" s="31">
        <f>IF(OR($A589="",$B589=""),"",SUMIFS(QuickLog!$L$2:$L$1000,QuickLog!$B$2:$B$1000,$B589,QuickLog!$Q$2:$Q$1000,$A589))</f>
        <v/>
      </c>
      <c r="D589" s="31">
        <f>Settings!$B$3</f>
        <v/>
      </c>
      <c r="E589" s="31">
        <f>IF($C589="","",MIN($C589,$D589))</f>
        <v/>
      </c>
      <c r="F589" s="40">
        <f>IF($E589="","",$E589*Settings!$B$4)</f>
        <v/>
      </c>
    </row>
    <row r="590">
      <c r="A590" s="29" t="n"/>
      <c r="B590" s="31" t="n"/>
      <c r="C590" s="31">
        <f>IF(OR($A590="",$B590=""),"",SUMIFS(QuickLog!$L$2:$L$1000,QuickLog!$B$2:$B$1000,$B590,QuickLog!$Q$2:$Q$1000,$A590))</f>
        <v/>
      </c>
      <c r="D590" s="31">
        <f>Settings!$B$3</f>
        <v/>
      </c>
      <c r="E590" s="31">
        <f>IF($C590="","",MIN($C590,$D590))</f>
        <v/>
      </c>
      <c r="F590" s="40">
        <f>IF($E590="","",$E590*Settings!$B$4)</f>
        <v/>
      </c>
    </row>
    <row r="591">
      <c r="A591" s="29" t="n"/>
      <c r="B591" s="31" t="n"/>
      <c r="C591" s="31">
        <f>IF(OR($A591="",$B591=""),"",SUMIFS(QuickLog!$L$2:$L$1000,QuickLog!$B$2:$B$1000,$B591,QuickLog!$Q$2:$Q$1000,$A591))</f>
        <v/>
      </c>
      <c r="D591" s="31">
        <f>Settings!$B$3</f>
        <v/>
      </c>
      <c r="E591" s="31">
        <f>IF($C591="","",MIN($C591,$D591))</f>
        <v/>
      </c>
      <c r="F591" s="40">
        <f>IF($E591="","",$E591*Settings!$B$4)</f>
        <v/>
      </c>
    </row>
    <row r="592">
      <c r="A592" s="29" t="n"/>
      <c r="B592" s="31" t="n"/>
      <c r="C592" s="31">
        <f>IF(OR($A592="",$B592=""),"",SUMIFS(QuickLog!$L$2:$L$1000,QuickLog!$B$2:$B$1000,$B592,QuickLog!$Q$2:$Q$1000,$A592))</f>
        <v/>
      </c>
      <c r="D592" s="31">
        <f>Settings!$B$3</f>
        <v/>
      </c>
      <c r="E592" s="31">
        <f>IF($C592="","",MIN($C592,$D592))</f>
        <v/>
      </c>
      <c r="F592" s="40">
        <f>IF($E592="","",$E592*Settings!$B$4)</f>
        <v/>
      </c>
    </row>
    <row r="593">
      <c r="A593" s="29" t="n"/>
      <c r="B593" s="31" t="n"/>
      <c r="C593" s="31">
        <f>IF(OR($A593="",$B593=""),"",SUMIFS(QuickLog!$L$2:$L$1000,QuickLog!$B$2:$B$1000,$B593,QuickLog!$Q$2:$Q$1000,$A593))</f>
        <v/>
      </c>
      <c r="D593" s="31">
        <f>Settings!$B$3</f>
        <v/>
      </c>
      <c r="E593" s="31">
        <f>IF($C593="","",MIN($C593,$D593))</f>
        <v/>
      </c>
      <c r="F593" s="40">
        <f>IF($E593="","",$E593*Settings!$B$4)</f>
        <v/>
      </c>
    </row>
    <row r="594">
      <c r="A594" s="29" t="n"/>
      <c r="B594" s="31" t="n"/>
      <c r="C594" s="31">
        <f>IF(OR($A594="",$B594=""),"",SUMIFS(QuickLog!$L$2:$L$1000,QuickLog!$B$2:$B$1000,$B594,QuickLog!$Q$2:$Q$1000,$A594))</f>
        <v/>
      </c>
      <c r="D594" s="31">
        <f>Settings!$B$3</f>
        <v/>
      </c>
      <c r="E594" s="31">
        <f>IF($C594="","",MIN($C594,$D594))</f>
        <v/>
      </c>
      <c r="F594" s="40">
        <f>IF($E594="","",$E594*Settings!$B$4)</f>
        <v/>
      </c>
    </row>
    <row r="595">
      <c r="A595" s="29" t="n"/>
      <c r="B595" s="31" t="n"/>
      <c r="C595" s="31">
        <f>IF(OR($A595="",$B595=""),"",SUMIFS(QuickLog!$L$2:$L$1000,QuickLog!$B$2:$B$1000,$B595,QuickLog!$Q$2:$Q$1000,$A595))</f>
        <v/>
      </c>
      <c r="D595" s="31">
        <f>Settings!$B$3</f>
        <v/>
      </c>
      <c r="E595" s="31">
        <f>IF($C595="","",MIN($C595,$D595))</f>
        <v/>
      </c>
      <c r="F595" s="40">
        <f>IF($E595="","",$E595*Settings!$B$4)</f>
        <v/>
      </c>
    </row>
    <row r="596">
      <c r="A596" s="29" t="n"/>
      <c r="B596" s="31" t="n"/>
      <c r="C596" s="31">
        <f>IF(OR($A596="",$B596=""),"",SUMIFS(QuickLog!$L$2:$L$1000,QuickLog!$B$2:$B$1000,$B596,QuickLog!$Q$2:$Q$1000,$A596))</f>
        <v/>
      </c>
      <c r="D596" s="31">
        <f>Settings!$B$3</f>
        <v/>
      </c>
      <c r="E596" s="31">
        <f>IF($C596="","",MIN($C596,$D596))</f>
        <v/>
      </c>
      <c r="F596" s="40">
        <f>IF($E596="","",$E596*Settings!$B$4)</f>
        <v/>
      </c>
    </row>
    <row r="597">
      <c r="A597" s="29" t="n"/>
      <c r="B597" s="31" t="n"/>
      <c r="C597" s="31">
        <f>IF(OR($A597="",$B597=""),"",SUMIFS(QuickLog!$L$2:$L$1000,QuickLog!$B$2:$B$1000,$B597,QuickLog!$Q$2:$Q$1000,$A597))</f>
        <v/>
      </c>
      <c r="D597" s="31">
        <f>Settings!$B$3</f>
        <v/>
      </c>
      <c r="E597" s="31">
        <f>IF($C597="","",MIN($C597,$D597))</f>
        <v/>
      </c>
      <c r="F597" s="40">
        <f>IF($E597="","",$E597*Settings!$B$4)</f>
        <v/>
      </c>
    </row>
    <row r="598">
      <c r="A598" s="29" t="n"/>
      <c r="B598" s="31" t="n"/>
      <c r="C598" s="31">
        <f>IF(OR($A598="",$B598=""),"",SUMIFS(QuickLog!$L$2:$L$1000,QuickLog!$B$2:$B$1000,$B598,QuickLog!$Q$2:$Q$1000,$A598))</f>
        <v/>
      </c>
      <c r="D598" s="31">
        <f>Settings!$B$3</f>
        <v/>
      </c>
      <c r="E598" s="31">
        <f>IF($C598="","",MIN($C598,$D598))</f>
        <v/>
      </c>
      <c r="F598" s="40">
        <f>IF($E598="","",$E598*Settings!$B$4)</f>
        <v/>
      </c>
    </row>
    <row r="599">
      <c r="A599" s="29" t="n"/>
      <c r="B599" s="31" t="n"/>
      <c r="C599" s="31">
        <f>IF(OR($A599="",$B599=""),"",SUMIFS(QuickLog!$L$2:$L$1000,QuickLog!$B$2:$B$1000,$B599,QuickLog!$Q$2:$Q$1000,$A599))</f>
        <v/>
      </c>
      <c r="D599" s="31">
        <f>Settings!$B$3</f>
        <v/>
      </c>
      <c r="E599" s="31">
        <f>IF($C599="","",MIN($C599,$D599))</f>
        <v/>
      </c>
      <c r="F599" s="40">
        <f>IF($E599="","",$E599*Settings!$B$4)</f>
        <v/>
      </c>
    </row>
    <row r="600">
      <c r="A600" s="29" t="n"/>
      <c r="B600" s="31" t="n"/>
      <c r="C600" s="31">
        <f>IF(OR($A600="",$B600=""),"",SUMIFS(QuickLog!$L$2:$L$1000,QuickLog!$B$2:$B$1000,$B600,QuickLog!$Q$2:$Q$1000,$A600))</f>
        <v/>
      </c>
      <c r="D600" s="31">
        <f>Settings!$B$3</f>
        <v/>
      </c>
      <c r="E600" s="31">
        <f>IF($C600="","",MIN($C600,$D600))</f>
        <v/>
      </c>
      <c r="F600" s="40">
        <f>IF($E600="","",$E600*Settings!$B$4)</f>
        <v/>
      </c>
    </row>
    <row r="601">
      <c r="A601" s="29" t="n"/>
      <c r="B601" s="31" t="n"/>
      <c r="C601" s="31">
        <f>IF(OR($A601="",$B601=""),"",SUMIFS(QuickLog!$L$2:$L$1000,QuickLog!$B$2:$B$1000,$B601,QuickLog!$Q$2:$Q$1000,$A601))</f>
        <v/>
      </c>
      <c r="D601" s="31">
        <f>Settings!$B$3</f>
        <v/>
      </c>
      <c r="E601" s="31">
        <f>IF($C601="","",MIN($C601,$D601))</f>
        <v/>
      </c>
      <c r="F601" s="40">
        <f>IF($E601="","",$E601*Settings!$B$4)</f>
        <v/>
      </c>
    </row>
    <row r="602">
      <c r="A602" s="29" t="n"/>
      <c r="B602" s="31" t="n"/>
      <c r="C602" s="31">
        <f>IF(OR($A602="",$B602=""),"",SUMIFS(QuickLog!$L$2:$L$1000,QuickLog!$B$2:$B$1000,$B602,QuickLog!$Q$2:$Q$1000,$A602))</f>
        <v/>
      </c>
      <c r="D602" s="31">
        <f>Settings!$B$3</f>
        <v/>
      </c>
      <c r="E602" s="31">
        <f>IF($C602="","",MIN($C602,$D602))</f>
        <v/>
      </c>
      <c r="F602" s="40">
        <f>IF($E602="","",$E602*Settings!$B$4)</f>
        <v/>
      </c>
    </row>
    <row r="603">
      <c r="A603" s="29" t="n"/>
      <c r="B603" s="31" t="n"/>
      <c r="C603" s="31">
        <f>IF(OR($A603="",$B603=""),"",SUMIFS(QuickLog!$L$2:$L$1000,QuickLog!$B$2:$B$1000,$B603,QuickLog!$Q$2:$Q$1000,$A603))</f>
        <v/>
      </c>
      <c r="D603" s="31">
        <f>Settings!$B$3</f>
        <v/>
      </c>
      <c r="E603" s="31">
        <f>IF($C603="","",MIN($C603,$D603))</f>
        <v/>
      </c>
      <c r="F603" s="40">
        <f>IF($E603="","",$E603*Settings!$B$4)</f>
        <v/>
      </c>
    </row>
    <row r="604">
      <c r="A604" s="29" t="n"/>
      <c r="B604" s="31" t="n"/>
      <c r="C604" s="31">
        <f>IF(OR($A604="",$B604=""),"",SUMIFS(QuickLog!$L$2:$L$1000,QuickLog!$B$2:$B$1000,$B604,QuickLog!$Q$2:$Q$1000,$A604))</f>
        <v/>
      </c>
      <c r="D604" s="31">
        <f>Settings!$B$3</f>
        <v/>
      </c>
      <c r="E604" s="31">
        <f>IF($C604="","",MIN($C604,$D604))</f>
        <v/>
      </c>
      <c r="F604" s="40">
        <f>IF($E604="","",$E604*Settings!$B$4)</f>
        <v/>
      </c>
    </row>
    <row r="605">
      <c r="A605" s="29" t="n"/>
      <c r="B605" s="31" t="n"/>
      <c r="C605" s="31">
        <f>IF(OR($A605="",$B605=""),"",SUMIFS(QuickLog!$L$2:$L$1000,QuickLog!$B$2:$B$1000,$B605,QuickLog!$Q$2:$Q$1000,$A605))</f>
        <v/>
      </c>
      <c r="D605" s="31">
        <f>Settings!$B$3</f>
        <v/>
      </c>
      <c r="E605" s="31">
        <f>IF($C605="","",MIN($C605,$D605))</f>
        <v/>
      </c>
      <c r="F605" s="40">
        <f>IF($E605="","",$E605*Settings!$B$4)</f>
        <v/>
      </c>
    </row>
    <row r="606">
      <c r="A606" s="29" t="n"/>
      <c r="B606" s="31" t="n"/>
      <c r="C606" s="31">
        <f>IF(OR($A606="",$B606=""),"",SUMIFS(QuickLog!$L$2:$L$1000,QuickLog!$B$2:$B$1000,$B606,QuickLog!$Q$2:$Q$1000,$A606))</f>
        <v/>
      </c>
      <c r="D606" s="31">
        <f>Settings!$B$3</f>
        <v/>
      </c>
      <c r="E606" s="31">
        <f>IF($C606="","",MIN($C606,$D606))</f>
        <v/>
      </c>
      <c r="F606" s="40">
        <f>IF($E606="","",$E606*Settings!$B$4)</f>
        <v/>
      </c>
    </row>
    <row r="607">
      <c r="A607" s="29" t="n"/>
      <c r="B607" s="31" t="n"/>
      <c r="C607" s="31">
        <f>IF(OR($A607="",$B607=""),"",SUMIFS(QuickLog!$L$2:$L$1000,QuickLog!$B$2:$B$1000,$B607,QuickLog!$Q$2:$Q$1000,$A607))</f>
        <v/>
      </c>
      <c r="D607" s="31">
        <f>Settings!$B$3</f>
        <v/>
      </c>
      <c r="E607" s="31">
        <f>IF($C607="","",MIN($C607,$D607))</f>
        <v/>
      </c>
      <c r="F607" s="40">
        <f>IF($E607="","",$E607*Settings!$B$4)</f>
        <v/>
      </c>
    </row>
    <row r="608">
      <c r="A608" s="29" t="n"/>
      <c r="B608" s="31" t="n"/>
      <c r="C608" s="31">
        <f>IF(OR($A608="",$B608=""),"",SUMIFS(QuickLog!$L$2:$L$1000,QuickLog!$B$2:$B$1000,$B608,QuickLog!$Q$2:$Q$1000,$A608))</f>
        <v/>
      </c>
      <c r="D608" s="31">
        <f>Settings!$B$3</f>
        <v/>
      </c>
      <c r="E608" s="31">
        <f>IF($C608="","",MIN($C608,$D608))</f>
        <v/>
      </c>
      <c r="F608" s="40">
        <f>IF($E608="","",$E608*Settings!$B$4)</f>
        <v/>
      </c>
    </row>
    <row r="609">
      <c r="A609" s="29" t="n"/>
      <c r="B609" s="31" t="n"/>
      <c r="C609" s="31">
        <f>IF(OR($A609="",$B609=""),"",SUMIFS(QuickLog!$L$2:$L$1000,QuickLog!$B$2:$B$1000,$B609,QuickLog!$Q$2:$Q$1000,$A609))</f>
        <v/>
      </c>
      <c r="D609" s="31">
        <f>Settings!$B$3</f>
        <v/>
      </c>
      <c r="E609" s="31">
        <f>IF($C609="","",MIN($C609,$D609))</f>
        <v/>
      </c>
      <c r="F609" s="40">
        <f>IF($E609="","",$E609*Settings!$B$4)</f>
        <v/>
      </c>
    </row>
    <row r="610">
      <c r="A610" s="29" t="n"/>
      <c r="B610" s="31" t="n"/>
      <c r="C610" s="31">
        <f>IF(OR($A610="",$B610=""),"",SUMIFS(QuickLog!$L$2:$L$1000,QuickLog!$B$2:$B$1000,$B610,QuickLog!$Q$2:$Q$1000,$A610))</f>
        <v/>
      </c>
      <c r="D610" s="31">
        <f>Settings!$B$3</f>
        <v/>
      </c>
      <c r="E610" s="31">
        <f>IF($C610="","",MIN($C610,$D610))</f>
        <v/>
      </c>
      <c r="F610" s="40">
        <f>IF($E610="","",$E610*Settings!$B$4)</f>
        <v/>
      </c>
    </row>
    <row r="611">
      <c r="A611" s="29" t="n"/>
      <c r="B611" s="31" t="n"/>
      <c r="C611" s="31">
        <f>IF(OR($A611="",$B611=""),"",SUMIFS(QuickLog!$L$2:$L$1000,QuickLog!$B$2:$B$1000,$B611,QuickLog!$Q$2:$Q$1000,$A611))</f>
        <v/>
      </c>
      <c r="D611" s="31">
        <f>Settings!$B$3</f>
        <v/>
      </c>
      <c r="E611" s="31">
        <f>IF($C611="","",MIN($C611,$D611))</f>
        <v/>
      </c>
      <c r="F611" s="40">
        <f>IF($E611="","",$E611*Settings!$B$4)</f>
        <v/>
      </c>
    </row>
    <row r="612">
      <c r="A612" s="29" t="n"/>
      <c r="B612" s="31" t="n"/>
      <c r="C612" s="31">
        <f>IF(OR($A612="",$B612=""),"",SUMIFS(QuickLog!$L$2:$L$1000,QuickLog!$B$2:$B$1000,$B612,QuickLog!$Q$2:$Q$1000,$A612))</f>
        <v/>
      </c>
      <c r="D612" s="31">
        <f>Settings!$B$3</f>
        <v/>
      </c>
      <c r="E612" s="31">
        <f>IF($C612="","",MIN($C612,$D612))</f>
        <v/>
      </c>
      <c r="F612" s="40">
        <f>IF($E612="","",$E612*Settings!$B$4)</f>
        <v/>
      </c>
    </row>
    <row r="613">
      <c r="A613" s="29" t="n"/>
      <c r="B613" s="31" t="n"/>
      <c r="C613" s="31">
        <f>IF(OR($A613="",$B613=""),"",SUMIFS(QuickLog!$L$2:$L$1000,QuickLog!$B$2:$B$1000,$B613,QuickLog!$Q$2:$Q$1000,$A613))</f>
        <v/>
      </c>
      <c r="D613" s="31">
        <f>Settings!$B$3</f>
        <v/>
      </c>
      <c r="E613" s="31">
        <f>IF($C613="","",MIN($C613,$D613))</f>
        <v/>
      </c>
      <c r="F613" s="40">
        <f>IF($E613="","",$E613*Settings!$B$4)</f>
        <v/>
      </c>
    </row>
    <row r="614">
      <c r="A614" s="29" t="n"/>
      <c r="B614" s="31" t="n"/>
      <c r="C614" s="31">
        <f>IF(OR($A614="",$B614=""),"",SUMIFS(QuickLog!$L$2:$L$1000,QuickLog!$B$2:$B$1000,$B614,QuickLog!$Q$2:$Q$1000,$A614))</f>
        <v/>
      </c>
      <c r="D614" s="31">
        <f>Settings!$B$3</f>
        <v/>
      </c>
      <c r="E614" s="31">
        <f>IF($C614="","",MIN($C614,$D614))</f>
        <v/>
      </c>
      <c r="F614" s="40">
        <f>IF($E614="","",$E614*Settings!$B$4)</f>
        <v/>
      </c>
    </row>
    <row r="615">
      <c r="A615" s="29" t="n"/>
      <c r="B615" s="31" t="n"/>
      <c r="C615" s="31">
        <f>IF(OR($A615="",$B615=""),"",SUMIFS(QuickLog!$L$2:$L$1000,QuickLog!$B$2:$B$1000,$B615,QuickLog!$Q$2:$Q$1000,$A615))</f>
        <v/>
      </c>
      <c r="D615" s="31">
        <f>Settings!$B$3</f>
        <v/>
      </c>
      <c r="E615" s="31">
        <f>IF($C615="","",MIN($C615,$D615))</f>
        <v/>
      </c>
      <c r="F615" s="40">
        <f>IF($E615="","",$E615*Settings!$B$4)</f>
        <v/>
      </c>
    </row>
    <row r="616">
      <c r="A616" s="29" t="n"/>
      <c r="B616" s="31" t="n"/>
      <c r="C616" s="31">
        <f>IF(OR($A616="",$B616=""),"",SUMIFS(QuickLog!$L$2:$L$1000,QuickLog!$B$2:$B$1000,$B616,QuickLog!$Q$2:$Q$1000,$A616))</f>
        <v/>
      </c>
      <c r="D616" s="31">
        <f>Settings!$B$3</f>
        <v/>
      </c>
      <c r="E616" s="31">
        <f>IF($C616="","",MIN($C616,$D616))</f>
        <v/>
      </c>
      <c r="F616" s="40">
        <f>IF($E616="","",$E616*Settings!$B$4)</f>
        <v/>
      </c>
    </row>
    <row r="617">
      <c r="A617" s="29" t="n"/>
      <c r="B617" s="31" t="n"/>
      <c r="C617" s="31">
        <f>IF(OR($A617="",$B617=""),"",SUMIFS(QuickLog!$L$2:$L$1000,QuickLog!$B$2:$B$1000,$B617,QuickLog!$Q$2:$Q$1000,$A617))</f>
        <v/>
      </c>
      <c r="D617" s="31">
        <f>Settings!$B$3</f>
        <v/>
      </c>
      <c r="E617" s="31">
        <f>IF($C617="","",MIN($C617,$D617))</f>
        <v/>
      </c>
      <c r="F617" s="40">
        <f>IF($E617="","",$E617*Settings!$B$4)</f>
        <v/>
      </c>
    </row>
    <row r="618">
      <c r="A618" s="29" t="n"/>
      <c r="B618" s="31" t="n"/>
      <c r="C618" s="31">
        <f>IF(OR($A618="",$B618=""),"",SUMIFS(QuickLog!$L$2:$L$1000,QuickLog!$B$2:$B$1000,$B618,QuickLog!$Q$2:$Q$1000,$A618))</f>
        <v/>
      </c>
      <c r="D618" s="31">
        <f>Settings!$B$3</f>
        <v/>
      </c>
      <c r="E618" s="31">
        <f>IF($C618="","",MIN($C618,$D618))</f>
        <v/>
      </c>
      <c r="F618" s="40">
        <f>IF($E618="","",$E618*Settings!$B$4)</f>
        <v/>
      </c>
    </row>
    <row r="619">
      <c r="A619" s="29" t="n"/>
      <c r="B619" s="31" t="n"/>
      <c r="C619" s="31">
        <f>IF(OR($A619="",$B619=""),"",SUMIFS(QuickLog!$L$2:$L$1000,QuickLog!$B$2:$B$1000,$B619,QuickLog!$Q$2:$Q$1000,$A619))</f>
        <v/>
      </c>
      <c r="D619" s="31">
        <f>Settings!$B$3</f>
        <v/>
      </c>
      <c r="E619" s="31">
        <f>IF($C619="","",MIN($C619,$D619))</f>
        <v/>
      </c>
      <c r="F619" s="40">
        <f>IF($E619="","",$E619*Settings!$B$4)</f>
        <v/>
      </c>
    </row>
    <row r="620">
      <c r="A620" s="29" t="n"/>
      <c r="B620" s="31" t="n"/>
      <c r="C620" s="31">
        <f>IF(OR($A620="",$B620=""),"",SUMIFS(QuickLog!$L$2:$L$1000,QuickLog!$B$2:$B$1000,$B620,QuickLog!$Q$2:$Q$1000,$A620))</f>
        <v/>
      </c>
      <c r="D620" s="31">
        <f>Settings!$B$3</f>
        <v/>
      </c>
      <c r="E620" s="31">
        <f>IF($C620="","",MIN($C620,$D620))</f>
        <v/>
      </c>
      <c r="F620" s="40">
        <f>IF($E620="","",$E620*Settings!$B$4)</f>
        <v/>
      </c>
    </row>
    <row r="621">
      <c r="A621" s="29" t="n"/>
      <c r="B621" s="31" t="n"/>
      <c r="C621" s="31">
        <f>IF(OR($A621="",$B621=""),"",SUMIFS(QuickLog!$L$2:$L$1000,QuickLog!$B$2:$B$1000,$B621,QuickLog!$Q$2:$Q$1000,$A621))</f>
        <v/>
      </c>
      <c r="D621" s="31">
        <f>Settings!$B$3</f>
        <v/>
      </c>
      <c r="E621" s="31">
        <f>IF($C621="","",MIN($C621,$D621))</f>
        <v/>
      </c>
      <c r="F621" s="40">
        <f>IF($E621="","",$E621*Settings!$B$4)</f>
        <v/>
      </c>
    </row>
    <row r="622">
      <c r="A622" s="29" t="n"/>
      <c r="B622" s="31" t="n"/>
      <c r="C622" s="31">
        <f>IF(OR($A622="",$B622=""),"",SUMIFS(QuickLog!$L$2:$L$1000,QuickLog!$B$2:$B$1000,$B622,QuickLog!$Q$2:$Q$1000,$A622))</f>
        <v/>
      </c>
      <c r="D622" s="31">
        <f>Settings!$B$3</f>
        <v/>
      </c>
      <c r="E622" s="31">
        <f>IF($C622="","",MIN($C622,$D622))</f>
        <v/>
      </c>
      <c r="F622" s="40">
        <f>IF($E622="","",$E622*Settings!$B$4)</f>
        <v/>
      </c>
    </row>
    <row r="623">
      <c r="A623" s="29" t="n"/>
      <c r="B623" s="31" t="n"/>
      <c r="C623" s="31">
        <f>IF(OR($A623="",$B623=""),"",SUMIFS(QuickLog!$L$2:$L$1000,QuickLog!$B$2:$B$1000,$B623,QuickLog!$Q$2:$Q$1000,$A623))</f>
        <v/>
      </c>
      <c r="D623" s="31">
        <f>Settings!$B$3</f>
        <v/>
      </c>
      <c r="E623" s="31">
        <f>IF($C623="","",MIN($C623,$D623))</f>
        <v/>
      </c>
      <c r="F623" s="40">
        <f>IF($E623="","",$E623*Settings!$B$4)</f>
        <v/>
      </c>
    </row>
    <row r="624">
      <c r="A624" s="29" t="n"/>
      <c r="B624" s="31" t="n"/>
      <c r="C624" s="31">
        <f>IF(OR($A624="",$B624=""),"",SUMIFS(QuickLog!$L$2:$L$1000,QuickLog!$B$2:$B$1000,$B624,QuickLog!$Q$2:$Q$1000,$A624))</f>
        <v/>
      </c>
      <c r="D624" s="31">
        <f>Settings!$B$3</f>
        <v/>
      </c>
      <c r="E624" s="31">
        <f>IF($C624="","",MIN($C624,$D624))</f>
        <v/>
      </c>
      <c r="F624" s="40">
        <f>IF($E624="","",$E624*Settings!$B$4)</f>
        <v/>
      </c>
    </row>
    <row r="625">
      <c r="A625" s="29" t="n"/>
      <c r="B625" s="31" t="n"/>
      <c r="C625" s="31">
        <f>IF(OR($A625="",$B625=""),"",SUMIFS(QuickLog!$L$2:$L$1000,QuickLog!$B$2:$B$1000,$B625,QuickLog!$Q$2:$Q$1000,$A625))</f>
        <v/>
      </c>
      <c r="D625" s="31">
        <f>Settings!$B$3</f>
        <v/>
      </c>
      <c r="E625" s="31">
        <f>IF($C625="","",MIN($C625,$D625))</f>
        <v/>
      </c>
      <c r="F625" s="40">
        <f>IF($E625="","",$E625*Settings!$B$4)</f>
        <v/>
      </c>
    </row>
    <row r="626">
      <c r="A626" s="29" t="n"/>
      <c r="B626" s="31" t="n"/>
      <c r="C626" s="31">
        <f>IF(OR($A626="",$B626=""),"",SUMIFS(QuickLog!$L$2:$L$1000,QuickLog!$B$2:$B$1000,$B626,QuickLog!$Q$2:$Q$1000,$A626))</f>
        <v/>
      </c>
      <c r="D626" s="31">
        <f>Settings!$B$3</f>
        <v/>
      </c>
      <c r="E626" s="31">
        <f>IF($C626="","",MIN($C626,$D626))</f>
        <v/>
      </c>
      <c r="F626" s="40">
        <f>IF($E626="","",$E626*Settings!$B$4)</f>
        <v/>
      </c>
    </row>
    <row r="627">
      <c r="A627" s="29" t="n"/>
      <c r="B627" s="31" t="n"/>
      <c r="C627" s="31">
        <f>IF(OR($A627="",$B627=""),"",SUMIFS(QuickLog!$L$2:$L$1000,QuickLog!$B$2:$B$1000,$B627,QuickLog!$Q$2:$Q$1000,$A627))</f>
        <v/>
      </c>
      <c r="D627" s="31">
        <f>Settings!$B$3</f>
        <v/>
      </c>
      <c r="E627" s="31">
        <f>IF($C627="","",MIN($C627,$D627))</f>
        <v/>
      </c>
      <c r="F627" s="40">
        <f>IF($E627="","",$E627*Settings!$B$4)</f>
        <v/>
      </c>
    </row>
    <row r="628">
      <c r="A628" s="29" t="n"/>
      <c r="B628" s="31" t="n"/>
      <c r="C628" s="31">
        <f>IF(OR($A628="",$B628=""),"",SUMIFS(QuickLog!$L$2:$L$1000,QuickLog!$B$2:$B$1000,$B628,QuickLog!$Q$2:$Q$1000,$A628))</f>
        <v/>
      </c>
      <c r="D628" s="31">
        <f>Settings!$B$3</f>
        <v/>
      </c>
      <c r="E628" s="31">
        <f>IF($C628="","",MIN($C628,$D628))</f>
        <v/>
      </c>
      <c r="F628" s="40">
        <f>IF($E628="","",$E628*Settings!$B$4)</f>
        <v/>
      </c>
    </row>
    <row r="629">
      <c r="A629" s="29" t="n"/>
      <c r="B629" s="31" t="n"/>
      <c r="C629" s="31">
        <f>IF(OR($A629="",$B629=""),"",SUMIFS(QuickLog!$L$2:$L$1000,QuickLog!$B$2:$B$1000,$B629,QuickLog!$Q$2:$Q$1000,$A629))</f>
        <v/>
      </c>
      <c r="D629" s="31">
        <f>Settings!$B$3</f>
        <v/>
      </c>
      <c r="E629" s="31">
        <f>IF($C629="","",MIN($C629,$D629))</f>
        <v/>
      </c>
      <c r="F629" s="40">
        <f>IF($E629="","",$E629*Settings!$B$4)</f>
        <v/>
      </c>
    </row>
    <row r="630">
      <c r="A630" s="29" t="n"/>
      <c r="B630" s="31" t="n"/>
      <c r="C630" s="31">
        <f>IF(OR($A630="",$B630=""),"",SUMIFS(QuickLog!$L$2:$L$1000,QuickLog!$B$2:$B$1000,$B630,QuickLog!$Q$2:$Q$1000,$A630))</f>
        <v/>
      </c>
      <c r="D630" s="31">
        <f>Settings!$B$3</f>
        <v/>
      </c>
      <c r="E630" s="31">
        <f>IF($C630="","",MIN($C630,$D630))</f>
        <v/>
      </c>
      <c r="F630" s="40">
        <f>IF($E630="","",$E630*Settings!$B$4)</f>
        <v/>
      </c>
    </row>
    <row r="631">
      <c r="A631" s="29" t="n"/>
      <c r="B631" s="31" t="n"/>
      <c r="C631" s="31">
        <f>IF(OR($A631="",$B631=""),"",SUMIFS(QuickLog!$L$2:$L$1000,QuickLog!$B$2:$B$1000,$B631,QuickLog!$Q$2:$Q$1000,$A631))</f>
        <v/>
      </c>
      <c r="D631" s="31">
        <f>Settings!$B$3</f>
        <v/>
      </c>
      <c r="E631" s="31">
        <f>IF($C631="","",MIN($C631,$D631))</f>
        <v/>
      </c>
      <c r="F631" s="40">
        <f>IF($E631="","",$E631*Settings!$B$4)</f>
        <v/>
      </c>
    </row>
    <row r="632">
      <c r="A632" s="29" t="n"/>
      <c r="B632" s="31" t="n"/>
      <c r="C632" s="31">
        <f>IF(OR($A632="",$B632=""),"",SUMIFS(QuickLog!$L$2:$L$1000,QuickLog!$B$2:$B$1000,$B632,QuickLog!$Q$2:$Q$1000,$A632))</f>
        <v/>
      </c>
      <c r="D632" s="31">
        <f>Settings!$B$3</f>
        <v/>
      </c>
      <c r="E632" s="31">
        <f>IF($C632="","",MIN($C632,$D632))</f>
        <v/>
      </c>
      <c r="F632" s="40">
        <f>IF($E632="","",$E632*Settings!$B$4)</f>
        <v/>
      </c>
    </row>
    <row r="633">
      <c r="A633" s="29" t="n"/>
      <c r="B633" s="31" t="n"/>
      <c r="C633" s="31">
        <f>IF(OR($A633="",$B633=""),"",SUMIFS(QuickLog!$L$2:$L$1000,QuickLog!$B$2:$B$1000,$B633,QuickLog!$Q$2:$Q$1000,$A633))</f>
        <v/>
      </c>
      <c r="D633" s="31">
        <f>Settings!$B$3</f>
        <v/>
      </c>
      <c r="E633" s="31">
        <f>IF($C633="","",MIN($C633,$D633))</f>
        <v/>
      </c>
      <c r="F633" s="40">
        <f>IF($E633="","",$E633*Settings!$B$4)</f>
        <v/>
      </c>
    </row>
    <row r="634">
      <c r="A634" s="29" t="n"/>
      <c r="B634" s="31" t="n"/>
      <c r="C634" s="31">
        <f>IF(OR($A634="",$B634=""),"",SUMIFS(QuickLog!$L$2:$L$1000,QuickLog!$B$2:$B$1000,$B634,QuickLog!$Q$2:$Q$1000,$A634))</f>
        <v/>
      </c>
      <c r="D634" s="31">
        <f>Settings!$B$3</f>
        <v/>
      </c>
      <c r="E634" s="31">
        <f>IF($C634="","",MIN($C634,$D634))</f>
        <v/>
      </c>
      <c r="F634" s="40">
        <f>IF($E634="","",$E634*Settings!$B$4)</f>
        <v/>
      </c>
    </row>
    <row r="635">
      <c r="A635" s="29" t="n"/>
      <c r="B635" s="31" t="n"/>
      <c r="C635" s="31">
        <f>IF(OR($A635="",$B635=""),"",SUMIFS(QuickLog!$L$2:$L$1000,QuickLog!$B$2:$B$1000,$B635,QuickLog!$Q$2:$Q$1000,$A635))</f>
        <v/>
      </c>
      <c r="D635" s="31">
        <f>Settings!$B$3</f>
        <v/>
      </c>
      <c r="E635" s="31">
        <f>IF($C635="","",MIN($C635,$D635))</f>
        <v/>
      </c>
      <c r="F635" s="40">
        <f>IF($E635="","",$E635*Settings!$B$4)</f>
        <v/>
      </c>
    </row>
    <row r="636">
      <c r="A636" s="29" t="n"/>
      <c r="B636" s="31" t="n"/>
      <c r="C636" s="31">
        <f>IF(OR($A636="",$B636=""),"",SUMIFS(QuickLog!$L$2:$L$1000,QuickLog!$B$2:$B$1000,$B636,QuickLog!$Q$2:$Q$1000,$A636))</f>
        <v/>
      </c>
      <c r="D636" s="31">
        <f>Settings!$B$3</f>
        <v/>
      </c>
      <c r="E636" s="31">
        <f>IF($C636="","",MIN($C636,$D636))</f>
        <v/>
      </c>
      <c r="F636" s="40">
        <f>IF($E636="","",$E636*Settings!$B$4)</f>
        <v/>
      </c>
    </row>
    <row r="637">
      <c r="A637" s="29" t="n"/>
      <c r="B637" s="31" t="n"/>
      <c r="C637" s="31">
        <f>IF(OR($A637="",$B637=""),"",SUMIFS(QuickLog!$L$2:$L$1000,QuickLog!$B$2:$B$1000,$B637,QuickLog!$Q$2:$Q$1000,$A637))</f>
        <v/>
      </c>
      <c r="D637" s="31">
        <f>Settings!$B$3</f>
        <v/>
      </c>
      <c r="E637" s="31">
        <f>IF($C637="","",MIN($C637,$D637))</f>
        <v/>
      </c>
      <c r="F637" s="40">
        <f>IF($E637="","",$E637*Settings!$B$4)</f>
        <v/>
      </c>
    </row>
    <row r="638">
      <c r="A638" s="29" t="n"/>
      <c r="B638" s="31" t="n"/>
      <c r="C638" s="31">
        <f>IF(OR($A638="",$B638=""),"",SUMIFS(QuickLog!$L$2:$L$1000,QuickLog!$B$2:$B$1000,$B638,QuickLog!$Q$2:$Q$1000,$A638))</f>
        <v/>
      </c>
      <c r="D638" s="31">
        <f>Settings!$B$3</f>
        <v/>
      </c>
      <c r="E638" s="31">
        <f>IF($C638="","",MIN($C638,$D638))</f>
        <v/>
      </c>
      <c r="F638" s="40">
        <f>IF($E638="","",$E638*Settings!$B$4)</f>
        <v/>
      </c>
    </row>
    <row r="639">
      <c r="A639" s="29" t="n"/>
      <c r="B639" s="31" t="n"/>
      <c r="C639" s="31">
        <f>IF(OR($A639="",$B639=""),"",SUMIFS(QuickLog!$L$2:$L$1000,QuickLog!$B$2:$B$1000,$B639,QuickLog!$Q$2:$Q$1000,$A639))</f>
        <v/>
      </c>
      <c r="D639" s="31">
        <f>Settings!$B$3</f>
        <v/>
      </c>
      <c r="E639" s="31">
        <f>IF($C639="","",MIN($C639,$D639))</f>
        <v/>
      </c>
      <c r="F639" s="40">
        <f>IF($E639="","",$E639*Settings!$B$4)</f>
        <v/>
      </c>
    </row>
    <row r="640">
      <c r="A640" s="29" t="n"/>
      <c r="B640" s="31" t="n"/>
      <c r="C640" s="31">
        <f>IF(OR($A640="",$B640=""),"",SUMIFS(QuickLog!$L$2:$L$1000,QuickLog!$B$2:$B$1000,$B640,QuickLog!$Q$2:$Q$1000,$A640))</f>
        <v/>
      </c>
      <c r="D640" s="31">
        <f>Settings!$B$3</f>
        <v/>
      </c>
      <c r="E640" s="31">
        <f>IF($C640="","",MIN($C640,$D640))</f>
        <v/>
      </c>
      <c r="F640" s="40">
        <f>IF($E640="","",$E640*Settings!$B$4)</f>
        <v/>
      </c>
    </row>
    <row r="641">
      <c r="A641" s="29" t="n"/>
      <c r="B641" s="31" t="n"/>
      <c r="C641" s="31">
        <f>IF(OR($A641="",$B641=""),"",SUMIFS(QuickLog!$L$2:$L$1000,QuickLog!$B$2:$B$1000,$B641,QuickLog!$Q$2:$Q$1000,$A641))</f>
        <v/>
      </c>
      <c r="D641" s="31">
        <f>Settings!$B$3</f>
        <v/>
      </c>
      <c r="E641" s="31">
        <f>IF($C641="","",MIN($C641,$D641))</f>
        <v/>
      </c>
      <c r="F641" s="40">
        <f>IF($E641="","",$E641*Settings!$B$4)</f>
        <v/>
      </c>
    </row>
    <row r="642">
      <c r="A642" s="29" t="n"/>
      <c r="B642" s="31" t="n"/>
      <c r="C642" s="31">
        <f>IF(OR($A642="",$B642=""),"",SUMIFS(QuickLog!$L$2:$L$1000,QuickLog!$B$2:$B$1000,$B642,QuickLog!$Q$2:$Q$1000,$A642))</f>
        <v/>
      </c>
      <c r="D642" s="31">
        <f>Settings!$B$3</f>
        <v/>
      </c>
      <c r="E642" s="31">
        <f>IF($C642="","",MIN($C642,$D642))</f>
        <v/>
      </c>
      <c r="F642" s="40">
        <f>IF($E642="","",$E642*Settings!$B$4)</f>
        <v/>
      </c>
    </row>
    <row r="643">
      <c r="A643" s="29" t="n"/>
      <c r="B643" s="31" t="n"/>
      <c r="C643" s="31">
        <f>IF(OR($A643="",$B643=""),"",SUMIFS(QuickLog!$L$2:$L$1000,QuickLog!$B$2:$B$1000,$B643,QuickLog!$Q$2:$Q$1000,$A643))</f>
        <v/>
      </c>
      <c r="D643" s="31">
        <f>Settings!$B$3</f>
        <v/>
      </c>
      <c r="E643" s="31">
        <f>IF($C643="","",MIN($C643,$D643))</f>
        <v/>
      </c>
      <c r="F643" s="40">
        <f>IF($E643="","",$E643*Settings!$B$4)</f>
        <v/>
      </c>
    </row>
    <row r="644">
      <c r="A644" s="29" t="n"/>
      <c r="B644" s="31" t="n"/>
      <c r="C644" s="31">
        <f>IF(OR($A644="",$B644=""),"",SUMIFS(QuickLog!$L$2:$L$1000,QuickLog!$B$2:$B$1000,$B644,QuickLog!$Q$2:$Q$1000,$A644))</f>
        <v/>
      </c>
      <c r="D644" s="31">
        <f>Settings!$B$3</f>
        <v/>
      </c>
      <c r="E644" s="31">
        <f>IF($C644="","",MIN($C644,$D644))</f>
        <v/>
      </c>
      <c r="F644" s="40">
        <f>IF($E644="","",$E644*Settings!$B$4)</f>
        <v/>
      </c>
    </row>
    <row r="645">
      <c r="A645" s="29" t="n"/>
      <c r="B645" s="31" t="n"/>
      <c r="C645" s="31">
        <f>IF(OR($A645="",$B645=""),"",SUMIFS(QuickLog!$L$2:$L$1000,QuickLog!$B$2:$B$1000,$B645,QuickLog!$Q$2:$Q$1000,$A645))</f>
        <v/>
      </c>
      <c r="D645" s="31">
        <f>Settings!$B$3</f>
        <v/>
      </c>
      <c r="E645" s="31">
        <f>IF($C645="","",MIN($C645,$D645))</f>
        <v/>
      </c>
      <c r="F645" s="40">
        <f>IF($E645="","",$E645*Settings!$B$4)</f>
        <v/>
      </c>
    </row>
    <row r="646">
      <c r="A646" s="29" t="n"/>
      <c r="B646" s="31" t="n"/>
      <c r="C646" s="31">
        <f>IF(OR($A646="",$B646=""),"",SUMIFS(QuickLog!$L$2:$L$1000,QuickLog!$B$2:$B$1000,$B646,QuickLog!$Q$2:$Q$1000,$A646))</f>
        <v/>
      </c>
      <c r="D646" s="31">
        <f>Settings!$B$3</f>
        <v/>
      </c>
      <c r="E646" s="31">
        <f>IF($C646="","",MIN($C646,$D646))</f>
        <v/>
      </c>
      <c r="F646" s="40">
        <f>IF($E646="","",$E646*Settings!$B$4)</f>
        <v/>
      </c>
    </row>
    <row r="647">
      <c r="A647" s="29" t="n"/>
      <c r="B647" s="31" t="n"/>
      <c r="C647" s="31">
        <f>IF(OR($A647="",$B647=""),"",SUMIFS(QuickLog!$L$2:$L$1000,QuickLog!$B$2:$B$1000,$B647,QuickLog!$Q$2:$Q$1000,$A647))</f>
        <v/>
      </c>
      <c r="D647" s="31">
        <f>Settings!$B$3</f>
        <v/>
      </c>
      <c r="E647" s="31">
        <f>IF($C647="","",MIN($C647,$D647))</f>
        <v/>
      </c>
      <c r="F647" s="40">
        <f>IF($E647="","",$E647*Settings!$B$4)</f>
        <v/>
      </c>
    </row>
    <row r="648">
      <c r="A648" s="29" t="n"/>
      <c r="B648" s="31" t="n"/>
      <c r="C648" s="31">
        <f>IF(OR($A648="",$B648=""),"",SUMIFS(QuickLog!$L$2:$L$1000,QuickLog!$B$2:$B$1000,$B648,QuickLog!$Q$2:$Q$1000,$A648))</f>
        <v/>
      </c>
      <c r="D648" s="31">
        <f>Settings!$B$3</f>
        <v/>
      </c>
      <c r="E648" s="31">
        <f>IF($C648="","",MIN($C648,$D648))</f>
        <v/>
      </c>
      <c r="F648" s="40">
        <f>IF($E648="","",$E648*Settings!$B$4)</f>
        <v/>
      </c>
    </row>
    <row r="649">
      <c r="A649" s="29" t="n"/>
      <c r="B649" s="31" t="n"/>
      <c r="C649" s="31">
        <f>IF(OR($A649="",$B649=""),"",SUMIFS(QuickLog!$L$2:$L$1000,QuickLog!$B$2:$B$1000,$B649,QuickLog!$Q$2:$Q$1000,$A649))</f>
        <v/>
      </c>
      <c r="D649" s="31">
        <f>Settings!$B$3</f>
        <v/>
      </c>
      <c r="E649" s="31">
        <f>IF($C649="","",MIN($C649,$D649))</f>
        <v/>
      </c>
      <c r="F649" s="40">
        <f>IF($E649="","",$E649*Settings!$B$4)</f>
        <v/>
      </c>
    </row>
    <row r="650">
      <c r="A650" s="29" t="n"/>
      <c r="B650" s="31" t="n"/>
      <c r="C650" s="31">
        <f>IF(OR($A650="",$B650=""),"",SUMIFS(QuickLog!$L$2:$L$1000,QuickLog!$B$2:$B$1000,$B650,QuickLog!$Q$2:$Q$1000,$A650))</f>
        <v/>
      </c>
      <c r="D650" s="31">
        <f>Settings!$B$3</f>
        <v/>
      </c>
      <c r="E650" s="31">
        <f>IF($C650="","",MIN($C650,$D650))</f>
        <v/>
      </c>
      <c r="F650" s="40">
        <f>IF($E650="","",$E650*Settings!$B$4)</f>
        <v/>
      </c>
    </row>
    <row r="651">
      <c r="A651" s="29" t="n"/>
      <c r="B651" s="31" t="n"/>
      <c r="C651" s="31">
        <f>IF(OR($A651="",$B651=""),"",SUMIFS(QuickLog!$L$2:$L$1000,QuickLog!$B$2:$B$1000,$B651,QuickLog!$Q$2:$Q$1000,$A651))</f>
        <v/>
      </c>
      <c r="D651" s="31">
        <f>Settings!$B$3</f>
        <v/>
      </c>
      <c r="E651" s="31">
        <f>IF($C651="","",MIN($C651,$D651))</f>
        <v/>
      </c>
      <c r="F651" s="40">
        <f>IF($E651="","",$E651*Settings!$B$4)</f>
        <v/>
      </c>
    </row>
    <row r="652">
      <c r="A652" s="29" t="n"/>
      <c r="B652" s="31" t="n"/>
      <c r="C652" s="31">
        <f>IF(OR($A652="",$B652=""),"",SUMIFS(QuickLog!$L$2:$L$1000,QuickLog!$B$2:$B$1000,$B652,QuickLog!$Q$2:$Q$1000,$A652))</f>
        <v/>
      </c>
      <c r="D652" s="31">
        <f>Settings!$B$3</f>
        <v/>
      </c>
      <c r="E652" s="31">
        <f>IF($C652="","",MIN($C652,$D652))</f>
        <v/>
      </c>
      <c r="F652" s="40">
        <f>IF($E652="","",$E652*Settings!$B$4)</f>
        <v/>
      </c>
    </row>
    <row r="653">
      <c r="A653" s="29" t="n"/>
      <c r="B653" s="31" t="n"/>
      <c r="C653" s="31">
        <f>IF(OR($A653="",$B653=""),"",SUMIFS(QuickLog!$L$2:$L$1000,QuickLog!$B$2:$B$1000,$B653,QuickLog!$Q$2:$Q$1000,$A653))</f>
        <v/>
      </c>
      <c r="D653" s="31">
        <f>Settings!$B$3</f>
        <v/>
      </c>
      <c r="E653" s="31">
        <f>IF($C653="","",MIN($C653,$D653))</f>
        <v/>
      </c>
      <c r="F653" s="40">
        <f>IF($E653="","",$E653*Settings!$B$4)</f>
        <v/>
      </c>
    </row>
    <row r="654">
      <c r="A654" s="29" t="n"/>
      <c r="B654" s="31" t="n"/>
      <c r="C654" s="31">
        <f>IF(OR($A654="",$B654=""),"",SUMIFS(QuickLog!$L$2:$L$1000,QuickLog!$B$2:$B$1000,$B654,QuickLog!$Q$2:$Q$1000,$A654))</f>
        <v/>
      </c>
      <c r="D654" s="31">
        <f>Settings!$B$3</f>
        <v/>
      </c>
      <c r="E654" s="31">
        <f>IF($C654="","",MIN($C654,$D654))</f>
        <v/>
      </c>
      <c r="F654" s="40">
        <f>IF($E654="","",$E654*Settings!$B$4)</f>
        <v/>
      </c>
    </row>
    <row r="655">
      <c r="A655" s="29" t="n"/>
      <c r="B655" s="31" t="n"/>
      <c r="C655" s="31">
        <f>IF(OR($A655="",$B655=""),"",SUMIFS(QuickLog!$L$2:$L$1000,QuickLog!$B$2:$B$1000,$B655,QuickLog!$Q$2:$Q$1000,$A655))</f>
        <v/>
      </c>
      <c r="D655" s="31">
        <f>Settings!$B$3</f>
        <v/>
      </c>
      <c r="E655" s="31">
        <f>IF($C655="","",MIN($C655,$D655))</f>
        <v/>
      </c>
      <c r="F655" s="40">
        <f>IF($E655="","",$E655*Settings!$B$4)</f>
        <v/>
      </c>
    </row>
    <row r="656">
      <c r="A656" s="29" t="n"/>
      <c r="B656" s="31" t="n"/>
      <c r="C656" s="31">
        <f>IF(OR($A656="",$B656=""),"",SUMIFS(QuickLog!$L$2:$L$1000,QuickLog!$B$2:$B$1000,$B656,QuickLog!$Q$2:$Q$1000,$A656))</f>
        <v/>
      </c>
      <c r="D656" s="31">
        <f>Settings!$B$3</f>
        <v/>
      </c>
      <c r="E656" s="31">
        <f>IF($C656="","",MIN($C656,$D656))</f>
        <v/>
      </c>
      <c r="F656" s="40">
        <f>IF($E656="","",$E656*Settings!$B$4)</f>
        <v/>
      </c>
    </row>
    <row r="657">
      <c r="A657" s="29" t="n"/>
      <c r="B657" s="31" t="n"/>
      <c r="C657" s="31">
        <f>IF(OR($A657="",$B657=""),"",SUMIFS(QuickLog!$L$2:$L$1000,QuickLog!$B$2:$B$1000,$B657,QuickLog!$Q$2:$Q$1000,$A657))</f>
        <v/>
      </c>
      <c r="D657" s="31">
        <f>Settings!$B$3</f>
        <v/>
      </c>
      <c r="E657" s="31">
        <f>IF($C657="","",MIN($C657,$D657))</f>
        <v/>
      </c>
      <c r="F657" s="40">
        <f>IF($E657="","",$E657*Settings!$B$4)</f>
        <v/>
      </c>
    </row>
    <row r="658">
      <c r="A658" s="29" t="n"/>
      <c r="B658" s="31" t="n"/>
      <c r="C658" s="31">
        <f>IF(OR($A658="",$B658=""),"",SUMIFS(QuickLog!$L$2:$L$1000,QuickLog!$B$2:$B$1000,$B658,QuickLog!$Q$2:$Q$1000,$A658))</f>
        <v/>
      </c>
      <c r="D658" s="31">
        <f>Settings!$B$3</f>
        <v/>
      </c>
      <c r="E658" s="31">
        <f>IF($C658="","",MIN($C658,$D658))</f>
        <v/>
      </c>
      <c r="F658" s="40">
        <f>IF($E658="","",$E658*Settings!$B$4)</f>
        <v/>
      </c>
    </row>
    <row r="659">
      <c r="A659" s="29" t="n"/>
      <c r="B659" s="31" t="n"/>
      <c r="C659" s="31">
        <f>IF(OR($A659="",$B659=""),"",SUMIFS(QuickLog!$L$2:$L$1000,QuickLog!$B$2:$B$1000,$B659,QuickLog!$Q$2:$Q$1000,$A659))</f>
        <v/>
      </c>
      <c r="D659" s="31">
        <f>Settings!$B$3</f>
        <v/>
      </c>
      <c r="E659" s="31">
        <f>IF($C659="","",MIN($C659,$D659))</f>
        <v/>
      </c>
      <c r="F659" s="40">
        <f>IF($E659="","",$E659*Settings!$B$4)</f>
        <v/>
      </c>
    </row>
    <row r="660">
      <c r="A660" s="29" t="n"/>
      <c r="B660" s="31" t="n"/>
      <c r="C660" s="31">
        <f>IF(OR($A660="",$B660=""),"",SUMIFS(QuickLog!$L$2:$L$1000,QuickLog!$B$2:$B$1000,$B660,QuickLog!$Q$2:$Q$1000,$A660))</f>
        <v/>
      </c>
      <c r="D660" s="31">
        <f>Settings!$B$3</f>
        <v/>
      </c>
      <c r="E660" s="31">
        <f>IF($C660="","",MIN($C660,$D660))</f>
        <v/>
      </c>
      <c r="F660" s="40">
        <f>IF($E660="","",$E660*Settings!$B$4)</f>
        <v/>
      </c>
    </row>
    <row r="661">
      <c r="A661" s="29" t="n"/>
      <c r="B661" s="31" t="n"/>
      <c r="C661" s="31">
        <f>IF(OR($A661="",$B661=""),"",SUMIFS(QuickLog!$L$2:$L$1000,QuickLog!$B$2:$B$1000,$B661,QuickLog!$Q$2:$Q$1000,$A661))</f>
        <v/>
      </c>
      <c r="D661" s="31">
        <f>Settings!$B$3</f>
        <v/>
      </c>
      <c r="E661" s="31">
        <f>IF($C661="","",MIN($C661,$D661))</f>
        <v/>
      </c>
      <c r="F661" s="40">
        <f>IF($E661="","",$E661*Settings!$B$4)</f>
        <v/>
      </c>
    </row>
    <row r="662">
      <c r="A662" s="29" t="n"/>
      <c r="B662" s="31" t="n"/>
      <c r="C662" s="31">
        <f>IF(OR($A662="",$B662=""),"",SUMIFS(QuickLog!$L$2:$L$1000,QuickLog!$B$2:$B$1000,$B662,QuickLog!$Q$2:$Q$1000,$A662))</f>
        <v/>
      </c>
      <c r="D662" s="31">
        <f>Settings!$B$3</f>
        <v/>
      </c>
      <c r="E662" s="31">
        <f>IF($C662="","",MIN($C662,$D662))</f>
        <v/>
      </c>
      <c r="F662" s="40">
        <f>IF($E662="","",$E662*Settings!$B$4)</f>
        <v/>
      </c>
    </row>
    <row r="663">
      <c r="A663" s="29" t="n"/>
      <c r="B663" s="31" t="n"/>
      <c r="C663" s="31">
        <f>IF(OR($A663="",$B663=""),"",SUMIFS(QuickLog!$L$2:$L$1000,QuickLog!$B$2:$B$1000,$B663,QuickLog!$Q$2:$Q$1000,$A663))</f>
        <v/>
      </c>
      <c r="D663" s="31">
        <f>Settings!$B$3</f>
        <v/>
      </c>
      <c r="E663" s="31">
        <f>IF($C663="","",MIN($C663,$D663))</f>
        <v/>
      </c>
      <c r="F663" s="40">
        <f>IF($E663="","",$E663*Settings!$B$4)</f>
        <v/>
      </c>
    </row>
    <row r="664">
      <c r="A664" s="29" t="n"/>
      <c r="B664" s="31" t="n"/>
      <c r="C664" s="31">
        <f>IF(OR($A664="",$B664=""),"",SUMIFS(QuickLog!$L$2:$L$1000,QuickLog!$B$2:$B$1000,$B664,QuickLog!$Q$2:$Q$1000,$A664))</f>
        <v/>
      </c>
      <c r="D664" s="31">
        <f>Settings!$B$3</f>
        <v/>
      </c>
      <c r="E664" s="31">
        <f>IF($C664="","",MIN($C664,$D664))</f>
        <v/>
      </c>
      <c r="F664" s="40">
        <f>IF($E664="","",$E664*Settings!$B$4)</f>
        <v/>
      </c>
    </row>
    <row r="665">
      <c r="A665" s="29" t="n"/>
      <c r="B665" s="31" t="n"/>
      <c r="C665" s="31">
        <f>IF(OR($A665="",$B665=""),"",SUMIFS(QuickLog!$L$2:$L$1000,QuickLog!$B$2:$B$1000,$B665,QuickLog!$Q$2:$Q$1000,$A665))</f>
        <v/>
      </c>
      <c r="D665" s="31">
        <f>Settings!$B$3</f>
        <v/>
      </c>
      <c r="E665" s="31">
        <f>IF($C665="","",MIN($C665,$D665))</f>
        <v/>
      </c>
      <c r="F665" s="40">
        <f>IF($E665="","",$E665*Settings!$B$4)</f>
        <v/>
      </c>
    </row>
    <row r="666">
      <c r="A666" s="29" t="n"/>
      <c r="B666" s="31" t="n"/>
      <c r="C666" s="31">
        <f>IF(OR($A666="",$B666=""),"",SUMIFS(QuickLog!$L$2:$L$1000,QuickLog!$B$2:$B$1000,$B666,QuickLog!$Q$2:$Q$1000,$A666))</f>
        <v/>
      </c>
      <c r="D666" s="31">
        <f>Settings!$B$3</f>
        <v/>
      </c>
      <c r="E666" s="31">
        <f>IF($C666="","",MIN($C666,$D666))</f>
        <v/>
      </c>
      <c r="F666" s="40">
        <f>IF($E666="","",$E666*Settings!$B$4)</f>
        <v/>
      </c>
    </row>
    <row r="667">
      <c r="A667" s="29" t="n"/>
      <c r="B667" s="31" t="n"/>
      <c r="C667" s="31">
        <f>IF(OR($A667="",$B667=""),"",SUMIFS(QuickLog!$L$2:$L$1000,QuickLog!$B$2:$B$1000,$B667,QuickLog!$Q$2:$Q$1000,$A667))</f>
        <v/>
      </c>
      <c r="D667" s="31">
        <f>Settings!$B$3</f>
        <v/>
      </c>
      <c r="E667" s="31">
        <f>IF($C667="","",MIN($C667,$D667))</f>
        <v/>
      </c>
      <c r="F667" s="40">
        <f>IF($E667="","",$E667*Settings!$B$4)</f>
        <v/>
      </c>
    </row>
    <row r="668">
      <c r="A668" s="29" t="n"/>
      <c r="B668" s="31" t="n"/>
      <c r="C668" s="31">
        <f>IF(OR($A668="",$B668=""),"",SUMIFS(QuickLog!$L$2:$L$1000,QuickLog!$B$2:$B$1000,$B668,QuickLog!$Q$2:$Q$1000,$A668))</f>
        <v/>
      </c>
      <c r="D668" s="31">
        <f>Settings!$B$3</f>
        <v/>
      </c>
      <c r="E668" s="31">
        <f>IF($C668="","",MIN($C668,$D668))</f>
        <v/>
      </c>
      <c r="F668" s="40">
        <f>IF($E668="","",$E668*Settings!$B$4)</f>
        <v/>
      </c>
    </row>
    <row r="669">
      <c r="A669" s="29" t="n"/>
      <c r="B669" s="31" t="n"/>
      <c r="C669" s="31">
        <f>IF(OR($A669="",$B669=""),"",SUMIFS(QuickLog!$L$2:$L$1000,QuickLog!$B$2:$B$1000,$B669,QuickLog!$Q$2:$Q$1000,$A669))</f>
        <v/>
      </c>
      <c r="D669" s="31">
        <f>Settings!$B$3</f>
        <v/>
      </c>
      <c r="E669" s="31">
        <f>IF($C669="","",MIN($C669,$D669))</f>
        <v/>
      </c>
      <c r="F669" s="40">
        <f>IF($E669="","",$E669*Settings!$B$4)</f>
        <v/>
      </c>
    </row>
    <row r="670">
      <c r="A670" s="29" t="n"/>
      <c r="B670" s="31" t="n"/>
      <c r="C670" s="31">
        <f>IF(OR($A670="",$B670=""),"",SUMIFS(QuickLog!$L$2:$L$1000,QuickLog!$B$2:$B$1000,$B670,QuickLog!$Q$2:$Q$1000,$A670))</f>
        <v/>
      </c>
      <c r="D670" s="31">
        <f>Settings!$B$3</f>
        <v/>
      </c>
      <c r="E670" s="31">
        <f>IF($C670="","",MIN($C670,$D670))</f>
        <v/>
      </c>
      <c r="F670" s="40">
        <f>IF($E670="","",$E670*Settings!$B$4)</f>
        <v/>
      </c>
    </row>
    <row r="671">
      <c r="A671" s="29" t="n"/>
      <c r="B671" s="31" t="n"/>
      <c r="C671" s="31">
        <f>IF(OR($A671="",$B671=""),"",SUMIFS(QuickLog!$L$2:$L$1000,QuickLog!$B$2:$B$1000,$B671,QuickLog!$Q$2:$Q$1000,$A671))</f>
        <v/>
      </c>
      <c r="D671" s="31">
        <f>Settings!$B$3</f>
        <v/>
      </c>
      <c r="E671" s="31">
        <f>IF($C671="","",MIN($C671,$D671))</f>
        <v/>
      </c>
      <c r="F671" s="40">
        <f>IF($E671="","",$E671*Settings!$B$4)</f>
        <v/>
      </c>
    </row>
    <row r="672">
      <c r="A672" s="29" t="n"/>
      <c r="B672" s="31" t="n"/>
      <c r="C672" s="31">
        <f>IF(OR($A672="",$B672=""),"",SUMIFS(QuickLog!$L$2:$L$1000,QuickLog!$B$2:$B$1000,$B672,QuickLog!$Q$2:$Q$1000,$A672))</f>
        <v/>
      </c>
      <c r="D672" s="31">
        <f>Settings!$B$3</f>
        <v/>
      </c>
      <c r="E672" s="31">
        <f>IF($C672="","",MIN($C672,$D672))</f>
        <v/>
      </c>
      <c r="F672" s="40">
        <f>IF($E672="","",$E672*Settings!$B$4)</f>
        <v/>
      </c>
    </row>
    <row r="673">
      <c r="A673" s="29" t="n"/>
      <c r="B673" s="31" t="n"/>
      <c r="C673" s="31">
        <f>IF(OR($A673="",$B673=""),"",SUMIFS(QuickLog!$L$2:$L$1000,QuickLog!$B$2:$B$1000,$B673,QuickLog!$Q$2:$Q$1000,$A673))</f>
        <v/>
      </c>
      <c r="D673" s="31">
        <f>Settings!$B$3</f>
        <v/>
      </c>
      <c r="E673" s="31">
        <f>IF($C673="","",MIN($C673,$D673))</f>
        <v/>
      </c>
      <c r="F673" s="40">
        <f>IF($E673="","",$E673*Settings!$B$4)</f>
        <v/>
      </c>
    </row>
    <row r="674">
      <c r="A674" s="29" t="n"/>
      <c r="B674" s="31" t="n"/>
      <c r="C674" s="31">
        <f>IF(OR($A674="",$B674=""),"",SUMIFS(QuickLog!$L$2:$L$1000,QuickLog!$B$2:$B$1000,$B674,QuickLog!$Q$2:$Q$1000,$A674))</f>
        <v/>
      </c>
      <c r="D674" s="31">
        <f>Settings!$B$3</f>
        <v/>
      </c>
      <c r="E674" s="31">
        <f>IF($C674="","",MIN($C674,$D674))</f>
        <v/>
      </c>
      <c r="F674" s="40">
        <f>IF($E674="","",$E674*Settings!$B$4)</f>
        <v/>
      </c>
    </row>
    <row r="675">
      <c r="A675" s="29" t="n"/>
      <c r="B675" s="31" t="n"/>
      <c r="C675" s="31">
        <f>IF(OR($A675="",$B675=""),"",SUMIFS(QuickLog!$L$2:$L$1000,QuickLog!$B$2:$B$1000,$B675,QuickLog!$Q$2:$Q$1000,$A675))</f>
        <v/>
      </c>
      <c r="D675" s="31">
        <f>Settings!$B$3</f>
        <v/>
      </c>
      <c r="E675" s="31">
        <f>IF($C675="","",MIN($C675,$D675))</f>
        <v/>
      </c>
      <c r="F675" s="40">
        <f>IF($E675="","",$E675*Settings!$B$4)</f>
        <v/>
      </c>
    </row>
    <row r="676">
      <c r="A676" s="29" t="n"/>
      <c r="B676" s="31" t="n"/>
      <c r="C676" s="31">
        <f>IF(OR($A676="",$B676=""),"",SUMIFS(QuickLog!$L$2:$L$1000,QuickLog!$B$2:$B$1000,$B676,QuickLog!$Q$2:$Q$1000,$A676))</f>
        <v/>
      </c>
      <c r="D676" s="31">
        <f>Settings!$B$3</f>
        <v/>
      </c>
      <c r="E676" s="31">
        <f>IF($C676="","",MIN($C676,$D676))</f>
        <v/>
      </c>
      <c r="F676" s="40">
        <f>IF($E676="","",$E676*Settings!$B$4)</f>
        <v/>
      </c>
    </row>
    <row r="677">
      <c r="A677" s="29" t="n"/>
      <c r="B677" s="31" t="n"/>
      <c r="C677" s="31">
        <f>IF(OR($A677="",$B677=""),"",SUMIFS(QuickLog!$L$2:$L$1000,QuickLog!$B$2:$B$1000,$B677,QuickLog!$Q$2:$Q$1000,$A677))</f>
        <v/>
      </c>
      <c r="D677" s="31">
        <f>Settings!$B$3</f>
        <v/>
      </c>
      <c r="E677" s="31">
        <f>IF($C677="","",MIN($C677,$D677))</f>
        <v/>
      </c>
      <c r="F677" s="40">
        <f>IF($E677="","",$E677*Settings!$B$4)</f>
        <v/>
      </c>
    </row>
    <row r="678">
      <c r="A678" s="29" t="n"/>
      <c r="B678" s="31" t="n"/>
      <c r="C678" s="31">
        <f>IF(OR($A678="",$B678=""),"",SUMIFS(QuickLog!$L$2:$L$1000,QuickLog!$B$2:$B$1000,$B678,QuickLog!$Q$2:$Q$1000,$A678))</f>
        <v/>
      </c>
      <c r="D678" s="31">
        <f>Settings!$B$3</f>
        <v/>
      </c>
      <c r="E678" s="31">
        <f>IF($C678="","",MIN($C678,$D678))</f>
        <v/>
      </c>
      <c r="F678" s="40">
        <f>IF($E678="","",$E678*Settings!$B$4)</f>
        <v/>
      </c>
    </row>
    <row r="679">
      <c r="A679" s="29" t="n"/>
      <c r="B679" s="31" t="n"/>
      <c r="C679" s="31">
        <f>IF(OR($A679="",$B679=""),"",SUMIFS(QuickLog!$L$2:$L$1000,QuickLog!$B$2:$B$1000,$B679,QuickLog!$Q$2:$Q$1000,$A679))</f>
        <v/>
      </c>
      <c r="D679" s="31">
        <f>Settings!$B$3</f>
        <v/>
      </c>
      <c r="E679" s="31">
        <f>IF($C679="","",MIN($C679,$D679))</f>
        <v/>
      </c>
      <c r="F679" s="40">
        <f>IF($E679="","",$E679*Settings!$B$4)</f>
        <v/>
      </c>
    </row>
    <row r="680">
      <c r="A680" s="29" t="n"/>
      <c r="B680" s="31" t="n"/>
      <c r="C680" s="31">
        <f>IF(OR($A680="",$B680=""),"",SUMIFS(QuickLog!$L$2:$L$1000,QuickLog!$B$2:$B$1000,$B680,QuickLog!$Q$2:$Q$1000,$A680))</f>
        <v/>
      </c>
      <c r="D680" s="31">
        <f>Settings!$B$3</f>
        <v/>
      </c>
      <c r="E680" s="31">
        <f>IF($C680="","",MIN($C680,$D680))</f>
        <v/>
      </c>
      <c r="F680" s="40">
        <f>IF($E680="","",$E680*Settings!$B$4)</f>
        <v/>
      </c>
    </row>
    <row r="681">
      <c r="A681" s="29" t="n"/>
      <c r="B681" s="31" t="n"/>
      <c r="C681" s="31">
        <f>IF(OR($A681="",$B681=""),"",SUMIFS(QuickLog!$L$2:$L$1000,QuickLog!$B$2:$B$1000,$B681,QuickLog!$Q$2:$Q$1000,$A681))</f>
        <v/>
      </c>
      <c r="D681" s="31">
        <f>Settings!$B$3</f>
        <v/>
      </c>
      <c r="E681" s="31">
        <f>IF($C681="","",MIN($C681,$D681))</f>
        <v/>
      </c>
      <c r="F681" s="40">
        <f>IF($E681="","",$E681*Settings!$B$4)</f>
        <v/>
      </c>
    </row>
    <row r="682">
      <c r="A682" s="29" t="n"/>
      <c r="B682" s="31" t="n"/>
      <c r="C682" s="31">
        <f>IF(OR($A682="",$B682=""),"",SUMIFS(QuickLog!$L$2:$L$1000,QuickLog!$B$2:$B$1000,$B682,QuickLog!$Q$2:$Q$1000,$A682))</f>
        <v/>
      </c>
      <c r="D682" s="31">
        <f>Settings!$B$3</f>
        <v/>
      </c>
      <c r="E682" s="31">
        <f>IF($C682="","",MIN($C682,$D682))</f>
        <v/>
      </c>
      <c r="F682" s="40">
        <f>IF($E682="","",$E682*Settings!$B$4)</f>
        <v/>
      </c>
    </row>
    <row r="683">
      <c r="A683" s="29" t="n"/>
      <c r="B683" s="31" t="n"/>
      <c r="C683" s="31">
        <f>IF(OR($A683="",$B683=""),"",SUMIFS(QuickLog!$L$2:$L$1000,QuickLog!$B$2:$B$1000,$B683,QuickLog!$Q$2:$Q$1000,$A683))</f>
        <v/>
      </c>
      <c r="D683" s="31">
        <f>Settings!$B$3</f>
        <v/>
      </c>
      <c r="E683" s="31">
        <f>IF($C683="","",MIN($C683,$D683))</f>
        <v/>
      </c>
      <c r="F683" s="40">
        <f>IF($E683="","",$E683*Settings!$B$4)</f>
        <v/>
      </c>
    </row>
    <row r="684">
      <c r="A684" s="29" t="n"/>
      <c r="B684" s="31" t="n"/>
      <c r="C684" s="31">
        <f>IF(OR($A684="",$B684=""),"",SUMIFS(QuickLog!$L$2:$L$1000,QuickLog!$B$2:$B$1000,$B684,QuickLog!$Q$2:$Q$1000,$A684))</f>
        <v/>
      </c>
      <c r="D684" s="31">
        <f>Settings!$B$3</f>
        <v/>
      </c>
      <c r="E684" s="31">
        <f>IF($C684="","",MIN($C684,$D684))</f>
        <v/>
      </c>
      <c r="F684" s="40">
        <f>IF($E684="","",$E684*Settings!$B$4)</f>
        <v/>
      </c>
    </row>
    <row r="685">
      <c r="A685" s="29" t="n"/>
      <c r="B685" s="31" t="n"/>
      <c r="C685" s="31">
        <f>IF(OR($A685="",$B685=""),"",SUMIFS(QuickLog!$L$2:$L$1000,QuickLog!$B$2:$B$1000,$B685,QuickLog!$Q$2:$Q$1000,$A685))</f>
        <v/>
      </c>
      <c r="D685" s="31">
        <f>Settings!$B$3</f>
        <v/>
      </c>
      <c r="E685" s="31">
        <f>IF($C685="","",MIN($C685,$D685))</f>
        <v/>
      </c>
      <c r="F685" s="40">
        <f>IF($E685="","",$E685*Settings!$B$4)</f>
        <v/>
      </c>
    </row>
    <row r="686">
      <c r="A686" s="29" t="n"/>
      <c r="B686" s="31" t="n"/>
      <c r="C686" s="31">
        <f>IF(OR($A686="",$B686=""),"",SUMIFS(QuickLog!$L$2:$L$1000,QuickLog!$B$2:$B$1000,$B686,QuickLog!$Q$2:$Q$1000,$A686))</f>
        <v/>
      </c>
      <c r="D686" s="31">
        <f>Settings!$B$3</f>
        <v/>
      </c>
      <c r="E686" s="31">
        <f>IF($C686="","",MIN($C686,$D686))</f>
        <v/>
      </c>
      <c r="F686" s="40">
        <f>IF($E686="","",$E686*Settings!$B$4)</f>
        <v/>
      </c>
    </row>
    <row r="687">
      <c r="A687" s="29" t="n"/>
      <c r="B687" s="31" t="n"/>
      <c r="C687" s="31">
        <f>IF(OR($A687="",$B687=""),"",SUMIFS(QuickLog!$L$2:$L$1000,QuickLog!$B$2:$B$1000,$B687,QuickLog!$Q$2:$Q$1000,$A687))</f>
        <v/>
      </c>
      <c r="D687" s="31">
        <f>Settings!$B$3</f>
        <v/>
      </c>
      <c r="E687" s="31">
        <f>IF($C687="","",MIN($C687,$D687))</f>
        <v/>
      </c>
      <c r="F687" s="40">
        <f>IF($E687="","",$E687*Settings!$B$4)</f>
        <v/>
      </c>
    </row>
    <row r="688">
      <c r="A688" s="29" t="n"/>
      <c r="B688" s="31" t="n"/>
      <c r="C688" s="31">
        <f>IF(OR($A688="",$B688=""),"",SUMIFS(QuickLog!$L$2:$L$1000,QuickLog!$B$2:$B$1000,$B688,QuickLog!$Q$2:$Q$1000,$A688))</f>
        <v/>
      </c>
      <c r="D688" s="31">
        <f>Settings!$B$3</f>
        <v/>
      </c>
      <c r="E688" s="31">
        <f>IF($C688="","",MIN($C688,$D688))</f>
        <v/>
      </c>
      <c r="F688" s="40">
        <f>IF($E688="","",$E688*Settings!$B$4)</f>
        <v/>
      </c>
    </row>
    <row r="689">
      <c r="A689" s="29" t="n"/>
      <c r="B689" s="31" t="n"/>
      <c r="C689" s="31">
        <f>IF(OR($A689="",$B689=""),"",SUMIFS(QuickLog!$L$2:$L$1000,QuickLog!$B$2:$B$1000,$B689,QuickLog!$Q$2:$Q$1000,$A689))</f>
        <v/>
      </c>
      <c r="D689" s="31">
        <f>Settings!$B$3</f>
        <v/>
      </c>
      <c r="E689" s="31">
        <f>IF($C689="","",MIN($C689,$D689))</f>
        <v/>
      </c>
      <c r="F689" s="40">
        <f>IF($E689="","",$E689*Settings!$B$4)</f>
        <v/>
      </c>
    </row>
    <row r="690">
      <c r="A690" s="29" t="n"/>
      <c r="B690" s="31" t="n"/>
      <c r="C690" s="31">
        <f>IF(OR($A690="",$B690=""),"",SUMIFS(QuickLog!$L$2:$L$1000,QuickLog!$B$2:$B$1000,$B690,QuickLog!$Q$2:$Q$1000,$A690))</f>
        <v/>
      </c>
      <c r="D690" s="31">
        <f>Settings!$B$3</f>
        <v/>
      </c>
      <c r="E690" s="31">
        <f>IF($C690="","",MIN($C690,$D690))</f>
        <v/>
      </c>
      <c r="F690" s="40">
        <f>IF($E690="","",$E690*Settings!$B$4)</f>
        <v/>
      </c>
    </row>
    <row r="691">
      <c r="A691" s="29" t="n"/>
      <c r="B691" s="31" t="n"/>
      <c r="C691" s="31">
        <f>IF(OR($A691="",$B691=""),"",SUMIFS(QuickLog!$L$2:$L$1000,QuickLog!$B$2:$B$1000,$B691,QuickLog!$Q$2:$Q$1000,$A691))</f>
        <v/>
      </c>
      <c r="D691" s="31">
        <f>Settings!$B$3</f>
        <v/>
      </c>
      <c r="E691" s="31">
        <f>IF($C691="","",MIN($C691,$D691))</f>
        <v/>
      </c>
      <c r="F691" s="40">
        <f>IF($E691="","",$E691*Settings!$B$4)</f>
        <v/>
      </c>
    </row>
    <row r="692">
      <c r="A692" s="29" t="n"/>
      <c r="B692" s="31" t="n"/>
      <c r="C692" s="31">
        <f>IF(OR($A692="",$B692=""),"",SUMIFS(QuickLog!$L$2:$L$1000,QuickLog!$B$2:$B$1000,$B692,QuickLog!$Q$2:$Q$1000,$A692))</f>
        <v/>
      </c>
      <c r="D692" s="31">
        <f>Settings!$B$3</f>
        <v/>
      </c>
      <c r="E692" s="31">
        <f>IF($C692="","",MIN($C692,$D692))</f>
        <v/>
      </c>
      <c r="F692" s="40">
        <f>IF($E692="","",$E692*Settings!$B$4)</f>
        <v/>
      </c>
    </row>
    <row r="693">
      <c r="A693" s="29" t="n"/>
      <c r="B693" s="31" t="n"/>
      <c r="C693" s="31">
        <f>IF(OR($A693="",$B693=""),"",SUMIFS(QuickLog!$L$2:$L$1000,QuickLog!$B$2:$B$1000,$B693,QuickLog!$Q$2:$Q$1000,$A693))</f>
        <v/>
      </c>
      <c r="D693" s="31">
        <f>Settings!$B$3</f>
        <v/>
      </c>
      <c r="E693" s="31">
        <f>IF($C693="","",MIN($C693,$D693))</f>
        <v/>
      </c>
      <c r="F693" s="40">
        <f>IF($E693="","",$E693*Settings!$B$4)</f>
        <v/>
      </c>
    </row>
    <row r="694">
      <c r="A694" s="29" t="n"/>
      <c r="B694" s="31" t="n"/>
      <c r="C694" s="31">
        <f>IF(OR($A694="",$B694=""),"",SUMIFS(QuickLog!$L$2:$L$1000,QuickLog!$B$2:$B$1000,$B694,QuickLog!$Q$2:$Q$1000,$A694))</f>
        <v/>
      </c>
      <c r="D694" s="31">
        <f>Settings!$B$3</f>
        <v/>
      </c>
      <c r="E694" s="31">
        <f>IF($C694="","",MIN($C694,$D694))</f>
        <v/>
      </c>
      <c r="F694" s="40">
        <f>IF($E694="","",$E694*Settings!$B$4)</f>
        <v/>
      </c>
    </row>
    <row r="695">
      <c r="A695" s="29" t="n"/>
      <c r="B695" s="31" t="n"/>
      <c r="C695" s="31">
        <f>IF(OR($A695="",$B695=""),"",SUMIFS(QuickLog!$L$2:$L$1000,QuickLog!$B$2:$B$1000,$B695,QuickLog!$Q$2:$Q$1000,$A695))</f>
        <v/>
      </c>
      <c r="D695" s="31">
        <f>Settings!$B$3</f>
        <v/>
      </c>
      <c r="E695" s="31">
        <f>IF($C695="","",MIN($C695,$D695))</f>
        <v/>
      </c>
      <c r="F695" s="40">
        <f>IF($E695="","",$E695*Settings!$B$4)</f>
        <v/>
      </c>
    </row>
    <row r="696">
      <c r="A696" s="29" t="n"/>
      <c r="B696" s="31" t="n"/>
      <c r="C696" s="31">
        <f>IF(OR($A696="",$B696=""),"",SUMIFS(QuickLog!$L$2:$L$1000,QuickLog!$B$2:$B$1000,$B696,QuickLog!$Q$2:$Q$1000,$A696))</f>
        <v/>
      </c>
      <c r="D696" s="31">
        <f>Settings!$B$3</f>
        <v/>
      </c>
      <c r="E696" s="31">
        <f>IF($C696="","",MIN($C696,$D696))</f>
        <v/>
      </c>
      <c r="F696" s="40">
        <f>IF($E696="","",$E696*Settings!$B$4)</f>
        <v/>
      </c>
    </row>
    <row r="697">
      <c r="A697" s="29" t="n"/>
      <c r="B697" s="31" t="n"/>
      <c r="C697" s="31">
        <f>IF(OR($A697="",$B697=""),"",SUMIFS(QuickLog!$L$2:$L$1000,QuickLog!$B$2:$B$1000,$B697,QuickLog!$Q$2:$Q$1000,$A697))</f>
        <v/>
      </c>
      <c r="D697" s="31">
        <f>Settings!$B$3</f>
        <v/>
      </c>
      <c r="E697" s="31">
        <f>IF($C697="","",MIN($C697,$D697))</f>
        <v/>
      </c>
      <c r="F697" s="40">
        <f>IF($E697="","",$E697*Settings!$B$4)</f>
        <v/>
      </c>
    </row>
    <row r="698">
      <c r="A698" s="29" t="n"/>
      <c r="B698" s="31" t="n"/>
      <c r="C698" s="31">
        <f>IF(OR($A698="",$B698=""),"",SUMIFS(QuickLog!$L$2:$L$1000,QuickLog!$B$2:$B$1000,$B698,QuickLog!$Q$2:$Q$1000,$A698))</f>
        <v/>
      </c>
      <c r="D698" s="31">
        <f>Settings!$B$3</f>
        <v/>
      </c>
      <c r="E698" s="31">
        <f>IF($C698="","",MIN($C698,$D698))</f>
        <v/>
      </c>
      <c r="F698" s="40">
        <f>IF($E698="","",$E698*Settings!$B$4)</f>
        <v/>
      </c>
    </row>
    <row r="699">
      <c r="A699" s="29" t="n"/>
      <c r="B699" s="31" t="n"/>
      <c r="C699" s="31">
        <f>IF(OR($A699="",$B699=""),"",SUMIFS(QuickLog!$L$2:$L$1000,QuickLog!$B$2:$B$1000,$B699,QuickLog!$Q$2:$Q$1000,$A699))</f>
        <v/>
      </c>
      <c r="D699" s="31">
        <f>Settings!$B$3</f>
        <v/>
      </c>
      <c r="E699" s="31">
        <f>IF($C699="","",MIN($C699,$D699))</f>
        <v/>
      </c>
      <c r="F699" s="40">
        <f>IF($E699="","",$E699*Settings!$B$4)</f>
        <v/>
      </c>
    </row>
    <row r="700">
      <c r="A700" s="29" t="n"/>
      <c r="B700" s="31" t="n"/>
      <c r="C700" s="31">
        <f>IF(OR($A700="",$B700=""),"",SUMIFS(QuickLog!$L$2:$L$1000,QuickLog!$B$2:$B$1000,$B700,QuickLog!$Q$2:$Q$1000,$A700))</f>
        <v/>
      </c>
      <c r="D700" s="31">
        <f>Settings!$B$3</f>
        <v/>
      </c>
      <c r="E700" s="31">
        <f>IF($C700="","",MIN($C700,$D700))</f>
        <v/>
      </c>
      <c r="F700" s="40">
        <f>IF($E700="","",$E700*Settings!$B$4)</f>
        <v/>
      </c>
    </row>
    <row r="701">
      <c r="A701" s="29" t="n"/>
      <c r="B701" s="31" t="n"/>
      <c r="C701" s="31">
        <f>IF(OR($A701="",$B701=""),"",SUMIFS(QuickLog!$L$2:$L$1000,QuickLog!$B$2:$B$1000,$B701,QuickLog!$Q$2:$Q$1000,$A701))</f>
        <v/>
      </c>
      <c r="D701" s="31">
        <f>Settings!$B$3</f>
        <v/>
      </c>
      <c r="E701" s="31">
        <f>IF($C701="","",MIN($C701,$D701))</f>
        <v/>
      </c>
      <c r="F701" s="40">
        <f>IF($E701="","",$E701*Settings!$B$4)</f>
        <v/>
      </c>
    </row>
    <row r="702">
      <c r="A702" s="29" t="n"/>
      <c r="B702" s="31" t="n"/>
      <c r="C702" s="31">
        <f>IF(OR($A702="",$B702=""),"",SUMIFS(QuickLog!$L$2:$L$1000,QuickLog!$B$2:$B$1000,$B702,QuickLog!$Q$2:$Q$1000,$A702))</f>
        <v/>
      </c>
      <c r="D702" s="31">
        <f>Settings!$B$3</f>
        <v/>
      </c>
      <c r="E702" s="31">
        <f>IF($C702="","",MIN($C702,$D702))</f>
        <v/>
      </c>
      <c r="F702" s="40">
        <f>IF($E702="","",$E702*Settings!$B$4)</f>
        <v/>
      </c>
    </row>
    <row r="703">
      <c r="A703" s="29" t="n"/>
      <c r="B703" s="31" t="n"/>
      <c r="C703" s="31">
        <f>IF(OR($A703="",$B703=""),"",SUMIFS(QuickLog!$L$2:$L$1000,QuickLog!$B$2:$B$1000,$B703,QuickLog!$Q$2:$Q$1000,$A703))</f>
        <v/>
      </c>
      <c r="D703" s="31">
        <f>Settings!$B$3</f>
        <v/>
      </c>
      <c r="E703" s="31">
        <f>IF($C703="","",MIN($C703,$D703))</f>
        <v/>
      </c>
      <c r="F703" s="40">
        <f>IF($E703="","",$E703*Settings!$B$4)</f>
        <v/>
      </c>
    </row>
    <row r="704">
      <c r="A704" s="29" t="n"/>
      <c r="B704" s="31" t="n"/>
      <c r="C704" s="31">
        <f>IF(OR($A704="",$B704=""),"",SUMIFS(QuickLog!$L$2:$L$1000,QuickLog!$B$2:$B$1000,$B704,QuickLog!$Q$2:$Q$1000,$A704))</f>
        <v/>
      </c>
      <c r="D704" s="31">
        <f>Settings!$B$3</f>
        <v/>
      </c>
      <c r="E704" s="31">
        <f>IF($C704="","",MIN($C704,$D704))</f>
        <v/>
      </c>
      <c r="F704" s="40">
        <f>IF($E704="","",$E704*Settings!$B$4)</f>
        <v/>
      </c>
    </row>
    <row r="705">
      <c r="A705" s="29" t="n"/>
      <c r="B705" s="31" t="n"/>
      <c r="C705" s="31">
        <f>IF(OR($A705="",$B705=""),"",SUMIFS(QuickLog!$L$2:$L$1000,QuickLog!$B$2:$B$1000,$B705,QuickLog!$Q$2:$Q$1000,$A705))</f>
        <v/>
      </c>
      <c r="D705" s="31">
        <f>Settings!$B$3</f>
        <v/>
      </c>
      <c r="E705" s="31">
        <f>IF($C705="","",MIN($C705,$D705))</f>
        <v/>
      </c>
      <c r="F705" s="40">
        <f>IF($E705="","",$E705*Settings!$B$4)</f>
        <v/>
      </c>
    </row>
    <row r="706">
      <c r="A706" s="29" t="n"/>
      <c r="B706" s="31" t="n"/>
      <c r="C706" s="31">
        <f>IF(OR($A706="",$B706=""),"",SUMIFS(QuickLog!$L$2:$L$1000,QuickLog!$B$2:$B$1000,$B706,QuickLog!$Q$2:$Q$1000,$A706))</f>
        <v/>
      </c>
      <c r="D706" s="31">
        <f>Settings!$B$3</f>
        <v/>
      </c>
      <c r="E706" s="31">
        <f>IF($C706="","",MIN($C706,$D706))</f>
        <v/>
      </c>
      <c r="F706" s="40">
        <f>IF($E706="","",$E706*Settings!$B$4)</f>
        <v/>
      </c>
    </row>
    <row r="707">
      <c r="A707" s="29" t="n"/>
      <c r="B707" s="31" t="n"/>
      <c r="C707" s="31">
        <f>IF(OR($A707="",$B707=""),"",SUMIFS(QuickLog!$L$2:$L$1000,QuickLog!$B$2:$B$1000,$B707,QuickLog!$Q$2:$Q$1000,$A707))</f>
        <v/>
      </c>
      <c r="D707" s="31">
        <f>Settings!$B$3</f>
        <v/>
      </c>
      <c r="E707" s="31">
        <f>IF($C707="","",MIN($C707,$D707))</f>
        <v/>
      </c>
      <c r="F707" s="40">
        <f>IF($E707="","",$E707*Settings!$B$4)</f>
        <v/>
      </c>
    </row>
    <row r="708">
      <c r="A708" s="29" t="n"/>
      <c r="B708" s="31" t="n"/>
      <c r="C708" s="31">
        <f>IF(OR($A708="",$B708=""),"",SUMIFS(QuickLog!$L$2:$L$1000,QuickLog!$B$2:$B$1000,$B708,QuickLog!$Q$2:$Q$1000,$A708))</f>
        <v/>
      </c>
      <c r="D708" s="31">
        <f>Settings!$B$3</f>
        <v/>
      </c>
      <c r="E708" s="31">
        <f>IF($C708="","",MIN($C708,$D708))</f>
        <v/>
      </c>
      <c r="F708" s="40">
        <f>IF($E708="","",$E708*Settings!$B$4)</f>
        <v/>
      </c>
    </row>
    <row r="709">
      <c r="A709" s="29" t="n"/>
      <c r="B709" s="31" t="n"/>
      <c r="C709" s="31">
        <f>IF(OR($A709="",$B709=""),"",SUMIFS(QuickLog!$L$2:$L$1000,QuickLog!$B$2:$B$1000,$B709,QuickLog!$Q$2:$Q$1000,$A709))</f>
        <v/>
      </c>
      <c r="D709" s="31">
        <f>Settings!$B$3</f>
        <v/>
      </c>
      <c r="E709" s="31">
        <f>IF($C709="","",MIN($C709,$D709))</f>
        <v/>
      </c>
      <c r="F709" s="40">
        <f>IF($E709="","",$E709*Settings!$B$4)</f>
        <v/>
      </c>
    </row>
    <row r="710">
      <c r="A710" s="29" t="n"/>
      <c r="B710" s="31" t="n"/>
      <c r="C710" s="31">
        <f>IF(OR($A710="",$B710=""),"",SUMIFS(QuickLog!$L$2:$L$1000,QuickLog!$B$2:$B$1000,$B710,QuickLog!$Q$2:$Q$1000,$A710))</f>
        <v/>
      </c>
      <c r="D710" s="31">
        <f>Settings!$B$3</f>
        <v/>
      </c>
      <c r="E710" s="31">
        <f>IF($C710="","",MIN($C710,$D710))</f>
        <v/>
      </c>
      <c r="F710" s="40">
        <f>IF($E710="","",$E710*Settings!$B$4)</f>
        <v/>
      </c>
    </row>
    <row r="711">
      <c r="A711" s="29" t="n"/>
      <c r="B711" s="31" t="n"/>
      <c r="C711" s="31">
        <f>IF(OR($A711="",$B711=""),"",SUMIFS(QuickLog!$L$2:$L$1000,QuickLog!$B$2:$B$1000,$B711,QuickLog!$Q$2:$Q$1000,$A711))</f>
        <v/>
      </c>
      <c r="D711" s="31">
        <f>Settings!$B$3</f>
        <v/>
      </c>
      <c r="E711" s="31">
        <f>IF($C711="","",MIN($C711,$D711))</f>
        <v/>
      </c>
      <c r="F711" s="40">
        <f>IF($E711="","",$E711*Settings!$B$4)</f>
        <v/>
      </c>
    </row>
    <row r="712">
      <c r="A712" s="29" t="n"/>
      <c r="B712" s="31" t="n"/>
      <c r="C712" s="31">
        <f>IF(OR($A712="",$B712=""),"",SUMIFS(QuickLog!$L$2:$L$1000,QuickLog!$B$2:$B$1000,$B712,QuickLog!$Q$2:$Q$1000,$A712))</f>
        <v/>
      </c>
      <c r="D712" s="31">
        <f>Settings!$B$3</f>
        <v/>
      </c>
      <c r="E712" s="31">
        <f>IF($C712="","",MIN($C712,$D712))</f>
        <v/>
      </c>
      <c r="F712" s="40">
        <f>IF($E712="","",$E712*Settings!$B$4)</f>
        <v/>
      </c>
    </row>
    <row r="713">
      <c r="A713" s="29" t="n"/>
      <c r="B713" s="31" t="n"/>
      <c r="C713" s="31">
        <f>IF(OR($A713="",$B713=""),"",SUMIFS(QuickLog!$L$2:$L$1000,QuickLog!$B$2:$B$1000,$B713,QuickLog!$Q$2:$Q$1000,$A713))</f>
        <v/>
      </c>
      <c r="D713" s="31">
        <f>Settings!$B$3</f>
        <v/>
      </c>
      <c r="E713" s="31">
        <f>IF($C713="","",MIN($C713,$D713))</f>
        <v/>
      </c>
      <c r="F713" s="40">
        <f>IF($E713="","",$E713*Settings!$B$4)</f>
        <v/>
      </c>
    </row>
    <row r="714">
      <c r="A714" s="29" t="n"/>
      <c r="B714" s="31" t="n"/>
      <c r="C714" s="31">
        <f>IF(OR($A714="",$B714=""),"",SUMIFS(QuickLog!$L$2:$L$1000,QuickLog!$B$2:$B$1000,$B714,QuickLog!$Q$2:$Q$1000,$A714))</f>
        <v/>
      </c>
      <c r="D714" s="31">
        <f>Settings!$B$3</f>
        <v/>
      </c>
      <c r="E714" s="31">
        <f>IF($C714="","",MIN($C714,$D714))</f>
        <v/>
      </c>
      <c r="F714" s="40">
        <f>IF($E714="","",$E714*Settings!$B$4)</f>
        <v/>
      </c>
    </row>
    <row r="715">
      <c r="A715" s="29" t="n"/>
      <c r="B715" s="31" t="n"/>
      <c r="C715" s="31">
        <f>IF(OR($A715="",$B715=""),"",SUMIFS(QuickLog!$L$2:$L$1000,QuickLog!$B$2:$B$1000,$B715,QuickLog!$Q$2:$Q$1000,$A715))</f>
        <v/>
      </c>
      <c r="D715" s="31">
        <f>Settings!$B$3</f>
        <v/>
      </c>
      <c r="E715" s="31">
        <f>IF($C715="","",MIN($C715,$D715))</f>
        <v/>
      </c>
      <c r="F715" s="40">
        <f>IF($E715="","",$E715*Settings!$B$4)</f>
        <v/>
      </c>
    </row>
    <row r="716">
      <c r="A716" s="29" t="n"/>
      <c r="B716" s="31" t="n"/>
      <c r="C716" s="31">
        <f>IF(OR($A716="",$B716=""),"",SUMIFS(QuickLog!$L$2:$L$1000,QuickLog!$B$2:$B$1000,$B716,QuickLog!$Q$2:$Q$1000,$A716))</f>
        <v/>
      </c>
      <c r="D716" s="31">
        <f>Settings!$B$3</f>
        <v/>
      </c>
      <c r="E716" s="31">
        <f>IF($C716="","",MIN($C716,$D716))</f>
        <v/>
      </c>
      <c r="F716" s="40">
        <f>IF($E716="","",$E716*Settings!$B$4)</f>
        <v/>
      </c>
    </row>
    <row r="717">
      <c r="A717" s="29" t="n"/>
      <c r="B717" s="31" t="n"/>
      <c r="C717" s="31">
        <f>IF(OR($A717="",$B717=""),"",SUMIFS(QuickLog!$L$2:$L$1000,QuickLog!$B$2:$B$1000,$B717,QuickLog!$Q$2:$Q$1000,$A717))</f>
        <v/>
      </c>
      <c r="D717" s="31">
        <f>Settings!$B$3</f>
        <v/>
      </c>
      <c r="E717" s="31">
        <f>IF($C717="","",MIN($C717,$D717))</f>
        <v/>
      </c>
      <c r="F717" s="40">
        <f>IF($E717="","",$E717*Settings!$B$4)</f>
        <v/>
      </c>
    </row>
    <row r="718">
      <c r="A718" s="29" t="n"/>
      <c r="B718" s="31" t="n"/>
      <c r="C718" s="31">
        <f>IF(OR($A718="",$B718=""),"",SUMIFS(QuickLog!$L$2:$L$1000,QuickLog!$B$2:$B$1000,$B718,QuickLog!$Q$2:$Q$1000,$A718))</f>
        <v/>
      </c>
      <c r="D718" s="31">
        <f>Settings!$B$3</f>
        <v/>
      </c>
      <c r="E718" s="31">
        <f>IF($C718="","",MIN($C718,$D718))</f>
        <v/>
      </c>
      <c r="F718" s="40">
        <f>IF($E718="","",$E718*Settings!$B$4)</f>
        <v/>
      </c>
    </row>
    <row r="719">
      <c r="A719" s="29" t="n"/>
      <c r="B719" s="31" t="n"/>
      <c r="C719" s="31">
        <f>IF(OR($A719="",$B719=""),"",SUMIFS(QuickLog!$L$2:$L$1000,QuickLog!$B$2:$B$1000,$B719,QuickLog!$Q$2:$Q$1000,$A719))</f>
        <v/>
      </c>
      <c r="D719" s="31">
        <f>Settings!$B$3</f>
        <v/>
      </c>
      <c r="E719" s="31">
        <f>IF($C719="","",MIN($C719,$D719))</f>
        <v/>
      </c>
      <c r="F719" s="40">
        <f>IF($E719="","",$E719*Settings!$B$4)</f>
        <v/>
      </c>
    </row>
    <row r="720">
      <c r="A720" s="29" t="n"/>
      <c r="B720" s="31" t="n"/>
      <c r="C720" s="31">
        <f>IF(OR($A720="",$B720=""),"",SUMIFS(QuickLog!$L$2:$L$1000,QuickLog!$B$2:$B$1000,$B720,QuickLog!$Q$2:$Q$1000,$A720))</f>
        <v/>
      </c>
      <c r="D720" s="31">
        <f>Settings!$B$3</f>
        <v/>
      </c>
      <c r="E720" s="31">
        <f>IF($C720="","",MIN($C720,$D720))</f>
        <v/>
      </c>
      <c r="F720" s="40">
        <f>IF($E720="","",$E720*Settings!$B$4)</f>
        <v/>
      </c>
    </row>
    <row r="721">
      <c r="A721" s="29" t="n"/>
      <c r="B721" s="31" t="n"/>
      <c r="C721" s="31">
        <f>IF(OR($A721="",$B721=""),"",SUMIFS(QuickLog!$L$2:$L$1000,QuickLog!$B$2:$B$1000,$B721,QuickLog!$Q$2:$Q$1000,$A721))</f>
        <v/>
      </c>
      <c r="D721" s="31">
        <f>Settings!$B$3</f>
        <v/>
      </c>
      <c r="E721" s="31">
        <f>IF($C721="","",MIN($C721,$D721))</f>
        <v/>
      </c>
      <c r="F721" s="40">
        <f>IF($E721="","",$E721*Settings!$B$4)</f>
        <v/>
      </c>
    </row>
    <row r="722">
      <c r="A722" s="29" t="n"/>
      <c r="B722" s="31" t="n"/>
      <c r="C722" s="31">
        <f>IF(OR($A722="",$B722=""),"",SUMIFS(QuickLog!$L$2:$L$1000,QuickLog!$B$2:$B$1000,$B722,QuickLog!$Q$2:$Q$1000,$A722))</f>
        <v/>
      </c>
      <c r="D722" s="31">
        <f>Settings!$B$3</f>
        <v/>
      </c>
      <c r="E722" s="31">
        <f>IF($C722="","",MIN($C722,$D722))</f>
        <v/>
      </c>
      <c r="F722" s="40">
        <f>IF($E722="","",$E722*Settings!$B$4)</f>
        <v/>
      </c>
    </row>
    <row r="723">
      <c r="A723" s="29" t="n"/>
      <c r="B723" s="31" t="n"/>
      <c r="C723" s="31">
        <f>IF(OR($A723="",$B723=""),"",SUMIFS(QuickLog!$L$2:$L$1000,QuickLog!$B$2:$B$1000,$B723,QuickLog!$Q$2:$Q$1000,$A723))</f>
        <v/>
      </c>
      <c r="D723" s="31">
        <f>Settings!$B$3</f>
        <v/>
      </c>
      <c r="E723" s="31">
        <f>IF($C723="","",MIN($C723,$D723))</f>
        <v/>
      </c>
      <c r="F723" s="40">
        <f>IF($E723="","",$E723*Settings!$B$4)</f>
        <v/>
      </c>
    </row>
    <row r="724">
      <c r="A724" s="29" t="n"/>
      <c r="B724" s="31" t="n"/>
      <c r="C724" s="31">
        <f>IF(OR($A724="",$B724=""),"",SUMIFS(QuickLog!$L$2:$L$1000,QuickLog!$B$2:$B$1000,$B724,QuickLog!$Q$2:$Q$1000,$A724))</f>
        <v/>
      </c>
      <c r="D724" s="31">
        <f>Settings!$B$3</f>
        <v/>
      </c>
      <c r="E724" s="31">
        <f>IF($C724="","",MIN($C724,$D724))</f>
        <v/>
      </c>
      <c r="F724" s="40">
        <f>IF($E724="","",$E724*Settings!$B$4)</f>
        <v/>
      </c>
    </row>
    <row r="725">
      <c r="A725" s="29" t="n"/>
      <c r="B725" s="31" t="n"/>
      <c r="C725" s="31">
        <f>IF(OR($A725="",$B725=""),"",SUMIFS(QuickLog!$L$2:$L$1000,QuickLog!$B$2:$B$1000,$B725,QuickLog!$Q$2:$Q$1000,$A725))</f>
        <v/>
      </c>
      <c r="D725" s="31">
        <f>Settings!$B$3</f>
        <v/>
      </c>
      <c r="E725" s="31">
        <f>IF($C725="","",MIN($C725,$D725))</f>
        <v/>
      </c>
      <c r="F725" s="40">
        <f>IF($E725="","",$E725*Settings!$B$4)</f>
        <v/>
      </c>
    </row>
    <row r="726">
      <c r="A726" s="29" t="n"/>
      <c r="B726" s="31" t="n"/>
      <c r="C726" s="31">
        <f>IF(OR($A726="",$B726=""),"",SUMIFS(QuickLog!$L$2:$L$1000,QuickLog!$B$2:$B$1000,$B726,QuickLog!$Q$2:$Q$1000,$A726))</f>
        <v/>
      </c>
      <c r="D726" s="31">
        <f>Settings!$B$3</f>
        <v/>
      </c>
      <c r="E726" s="31">
        <f>IF($C726="","",MIN($C726,$D726))</f>
        <v/>
      </c>
      <c r="F726" s="40">
        <f>IF($E726="","",$E726*Settings!$B$4)</f>
        <v/>
      </c>
    </row>
    <row r="727">
      <c r="A727" s="29" t="n"/>
      <c r="B727" s="31" t="n"/>
      <c r="C727" s="31">
        <f>IF(OR($A727="",$B727=""),"",SUMIFS(QuickLog!$L$2:$L$1000,QuickLog!$B$2:$B$1000,$B727,QuickLog!$Q$2:$Q$1000,$A727))</f>
        <v/>
      </c>
      <c r="D727" s="31">
        <f>Settings!$B$3</f>
        <v/>
      </c>
      <c r="E727" s="31">
        <f>IF($C727="","",MIN($C727,$D727))</f>
        <v/>
      </c>
      <c r="F727" s="40">
        <f>IF($E727="","",$E727*Settings!$B$4)</f>
        <v/>
      </c>
    </row>
    <row r="728">
      <c r="A728" s="29" t="n"/>
      <c r="B728" s="31" t="n"/>
      <c r="C728" s="31">
        <f>IF(OR($A728="",$B728=""),"",SUMIFS(QuickLog!$L$2:$L$1000,QuickLog!$B$2:$B$1000,$B728,QuickLog!$Q$2:$Q$1000,$A728))</f>
        <v/>
      </c>
      <c r="D728" s="31">
        <f>Settings!$B$3</f>
        <v/>
      </c>
      <c r="E728" s="31">
        <f>IF($C728="","",MIN($C728,$D728))</f>
        <v/>
      </c>
      <c r="F728" s="40">
        <f>IF($E728="","",$E728*Settings!$B$4)</f>
        <v/>
      </c>
    </row>
    <row r="729">
      <c r="A729" s="29" t="n"/>
      <c r="B729" s="31" t="n"/>
      <c r="C729" s="31">
        <f>IF(OR($A729="",$B729=""),"",SUMIFS(QuickLog!$L$2:$L$1000,QuickLog!$B$2:$B$1000,$B729,QuickLog!$Q$2:$Q$1000,$A729))</f>
        <v/>
      </c>
      <c r="D729" s="31">
        <f>Settings!$B$3</f>
        <v/>
      </c>
      <c r="E729" s="31">
        <f>IF($C729="","",MIN($C729,$D729))</f>
        <v/>
      </c>
      <c r="F729" s="40">
        <f>IF($E729="","",$E729*Settings!$B$4)</f>
        <v/>
      </c>
    </row>
    <row r="730">
      <c r="A730" s="29" t="n"/>
      <c r="B730" s="31" t="n"/>
      <c r="C730" s="31">
        <f>IF(OR($A730="",$B730=""),"",SUMIFS(QuickLog!$L$2:$L$1000,QuickLog!$B$2:$B$1000,$B730,QuickLog!$Q$2:$Q$1000,$A730))</f>
        <v/>
      </c>
      <c r="D730" s="31">
        <f>Settings!$B$3</f>
        <v/>
      </c>
      <c r="E730" s="31">
        <f>IF($C730="","",MIN($C730,$D730))</f>
        <v/>
      </c>
      <c r="F730" s="40">
        <f>IF($E730="","",$E730*Settings!$B$4)</f>
        <v/>
      </c>
    </row>
    <row r="731">
      <c r="A731" s="29" t="n"/>
      <c r="B731" s="31" t="n"/>
      <c r="C731" s="31">
        <f>IF(OR($A731="",$B731=""),"",SUMIFS(QuickLog!$L$2:$L$1000,QuickLog!$B$2:$B$1000,$B731,QuickLog!$Q$2:$Q$1000,$A731))</f>
        <v/>
      </c>
      <c r="D731" s="31">
        <f>Settings!$B$3</f>
        <v/>
      </c>
      <c r="E731" s="31">
        <f>IF($C731="","",MIN($C731,$D731))</f>
        <v/>
      </c>
      <c r="F731" s="40">
        <f>IF($E731="","",$E731*Settings!$B$4)</f>
        <v/>
      </c>
    </row>
    <row r="732">
      <c r="A732" s="29" t="n"/>
      <c r="B732" s="31" t="n"/>
      <c r="C732" s="31">
        <f>IF(OR($A732="",$B732=""),"",SUMIFS(QuickLog!$L$2:$L$1000,QuickLog!$B$2:$B$1000,$B732,QuickLog!$Q$2:$Q$1000,$A732))</f>
        <v/>
      </c>
      <c r="D732" s="31">
        <f>Settings!$B$3</f>
        <v/>
      </c>
      <c r="E732" s="31">
        <f>IF($C732="","",MIN($C732,$D732))</f>
        <v/>
      </c>
      <c r="F732" s="40">
        <f>IF($E732="","",$E732*Settings!$B$4)</f>
        <v/>
      </c>
    </row>
    <row r="733">
      <c r="A733" s="29" t="n"/>
      <c r="B733" s="31" t="n"/>
      <c r="C733" s="31">
        <f>IF(OR($A733="",$B733=""),"",SUMIFS(QuickLog!$L$2:$L$1000,QuickLog!$B$2:$B$1000,$B733,QuickLog!$Q$2:$Q$1000,$A733))</f>
        <v/>
      </c>
      <c r="D733" s="31">
        <f>Settings!$B$3</f>
        <v/>
      </c>
      <c r="E733" s="31">
        <f>IF($C733="","",MIN($C733,$D733))</f>
        <v/>
      </c>
      <c r="F733" s="40">
        <f>IF($E733="","",$E733*Settings!$B$4)</f>
        <v/>
      </c>
    </row>
    <row r="734">
      <c r="A734" s="29" t="n"/>
      <c r="B734" s="31" t="n"/>
      <c r="C734" s="31">
        <f>IF(OR($A734="",$B734=""),"",SUMIFS(QuickLog!$L$2:$L$1000,QuickLog!$B$2:$B$1000,$B734,QuickLog!$Q$2:$Q$1000,$A734))</f>
        <v/>
      </c>
      <c r="D734" s="31">
        <f>Settings!$B$3</f>
        <v/>
      </c>
      <c r="E734" s="31">
        <f>IF($C734="","",MIN($C734,$D734))</f>
        <v/>
      </c>
      <c r="F734" s="40">
        <f>IF($E734="","",$E734*Settings!$B$4)</f>
        <v/>
      </c>
    </row>
    <row r="735">
      <c r="A735" s="29" t="n"/>
      <c r="B735" s="31" t="n"/>
      <c r="C735" s="31">
        <f>IF(OR($A735="",$B735=""),"",SUMIFS(QuickLog!$L$2:$L$1000,QuickLog!$B$2:$B$1000,$B735,QuickLog!$Q$2:$Q$1000,$A735))</f>
        <v/>
      </c>
      <c r="D735" s="31">
        <f>Settings!$B$3</f>
        <v/>
      </c>
      <c r="E735" s="31">
        <f>IF($C735="","",MIN($C735,$D735))</f>
        <v/>
      </c>
      <c r="F735" s="40">
        <f>IF($E735="","",$E735*Settings!$B$4)</f>
        <v/>
      </c>
    </row>
    <row r="736">
      <c r="A736" s="29" t="n"/>
      <c r="B736" s="31" t="n"/>
      <c r="C736" s="31">
        <f>IF(OR($A736="",$B736=""),"",SUMIFS(QuickLog!$L$2:$L$1000,QuickLog!$B$2:$B$1000,$B736,QuickLog!$Q$2:$Q$1000,$A736))</f>
        <v/>
      </c>
      <c r="D736" s="31">
        <f>Settings!$B$3</f>
        <v/>
      </c>
      <c r="E736" s="31">
        <f>IF($C736="","",MIN($C736,$D736))</f>
        <v/>
      </c>
      <c r="F736" s="40">
        <f>IF($E736="","",$E736*Settings!$B$4)</f>
        <v/>
      </c>
    </row>
    <row r="737">
      <c r="A737" s="29" t="n"/>
      <c r="B737" s="31" t="n"/>
      <c r="C737" s="31">
        <f>IF(OR($A737="",$B737=""),"",SUMIFS(QuickLog!$L$2:$L$1000,QuickLog!$B$2:$B$1000,$B737,QuickLog!$Q$2:$Q$1000,$A737))</f>
        <v/>
      </c>
      <c r="D737" s="31">
        <f>Settings!$B$3</f>
        <v/>
      </c>
      <c r="E737" s="31">
        <f>IF($C737="","",MIN($C737,$D737))</f>
        <v/>
      </c>
      <c r="F737" s="40">
        <f>IF($E737="","",$E737*Settings!$B$4)</f>
        <v/>
      </c>
    </row>
    <row r="738">
      <c r="A738" s="29" t="n"/>
      <c r="B738" s="31" t="n"/>
      <c r="C738" s="31">
        <f>IF(OR($A738="",$B738=""),"",SUMIFS(QuickLog!$L$2:$L$1000,QuickLog!$B$2:$B$1000,$B738,QuickLog!$Q$2:$Q$1000,$A738))</f>
        <v/>
      </c>
      <c r="D738" s="31">
        <f>Settings!$B$3</f>
        <v/>
      </c>
      <c r="E738" s="31">
        <f>IF($C738="","",MIN($C738,$D738))</f>
        <v/>
      </c>
      <c r="F738" s="40">
        <f>IF($E738="","",$E738*Settings!$B$4)</f>
        <v/>
      </c>
    </row>
    <row r="739">
      <c r="A739" s="29" t="n"/>
      <c r="B739" s="31" t="n"/>
      <c r="C739" s="31">
        <f>IF(OR($A739="",$B739=""),"",SUMIFS(QuickLog!$L$2:$L$1000,QuickLog!$B$2:$B$1000,$B739,QuickLog!$Q$2:$Q$1000,$A739))</f>
        <v/>
      </c>
      <c r="D739" s="31">
        <f>Settings!$B$3</f>
        <v/>
      </c>
      <c r="E739" s="31">
        <f>IF($C739="","",MIN($C739,$D739))</f>
        <v/>
      </c>
      <c r="F739" s="40">
        <f>IF($E739="","",$E739*Settings!$B$4)</f>
        <v/>
      </c>
    </row>
    <row r="740">
      <c r="A740" s="29" t="n"/>
      <c r="B740" s="31" t="n"/>
      <c r="C740" s="31">
        <f>IF(OR($A740="",$B740=""),"",SUMIFS(QuickLog!$L$2:$L$1000,QuickLog!$B$2:$B$1000,$B740,QuickLog!$Q$2:$Q$1000,$A740))</f>
        <v/>
      </c>
      <c r="D740" s="31">
        <f>Settings!$B$3</f>
        <v/>
      </c>
      <c r="E740" s="31">
        <f>IF($C740="","",MIN($C740,$D740))</f>
        <v/>
      </c>
      <c r="F740" s="40">
        <f>IF($E740="","",$E740*Settings!$B$4)</f>
        <v/>
      </c>
    </row>
    <row r="741">
      <c r="A741" s="29" t="n"/>
      <c r="B741" s="31" t="n"/>
      <c r="C741" s="31">
        <f>IF(OR($A741="",$B741=""),"",SUMIFS(QuickLog!$L$2:$L$1000,QuickLog!$B$2:$B$1000,$B741,QuickLog!$Q$2:$Q$1000,$A741))</f>
        <v/>
      </c>
      <c r="D741" s="31">
        <f>Settings!$B$3</f>
        <v/>
      </c>
      <c r="E741" s="31">
        <f>IF($C741="","",MIN($C741,$D741))</f>
        <v/>
      </c>
      <c r="F741" s="40">
        <f>IF($E741="","",$E741*Settings!$B$4)</f>
        <v/>
      </c>
    </row>
    <row r="742">
      <c r="A742" s="29" t="n"/>
      <c r="B742" s="31" t="n"/>
      <c r="C742" s="31">
        <f>IF(OR($A742="",$B742=""),"",SUMIFS(QuickLog!$L$2:$L$1000,QuickLog!$B$2:$B$1000,$B742,QuickLog!$Q$2:$Q$1000,$A742))</f>
        <v/>
      </c>
      <c r="D742" s="31">
        <f>Settings!$B$3</f>
        <v/>
      </c>
      <c r="E742" s="31">
        <f>IF($C742="","",MIN($C742,$D742))</f>
        <v/>
      </c>
      <c r="F742" s="40">
        <f>IF($E742="","",$E742*Settings!$B$4)</f>
        <v/>
      </c>
    </row>
    <row r="743">
      <c r="A743" s="29" t="n"/>
      <c r="B743" s="31" t="n"/>
      <c r="C743" s="31">
        <f>IF(OR($A743="",$B743=""),"",SUMIFS(QuickLog!$L$2:$L$1000,QuickLog!$B$2:$B$1000,$B743,QuickLog!$Q$2:$Q$1000,$A743))</f>
        <v/>
      </c>
      <c r="D743" s="31">
        <f>Settings!$B$3</f>
        <v/>
      </c>
      <c r="E743" s="31">
        <f>IF($C743="","",MIN($C743,$D743))</f>
        <v/>
      </c>
      <c r="F743" s="40">
        <f>IF($E743="","",$E743*Settings!$B$4)</f>
        <v/>
      </c>
    </row>
    <row r="744">
      <c r="A744" s="29" t="n"/>
      <c r="B744" s="31" t="n"/>
      <c r="C744" s="31">
        <f>IF(OR($A744="",$B744=""),"",SUMIFS(QuickLog!$L$2:$L$1000,QuickLog!$B$2:$B$1000,$B744,QuickLog!$Q$2:$Q$1000,$A744))</f>
        <v/>
      </c>
      <c r="D744" s="31">
        <f>Settings!$B$3</f>
        <v/>
      </c>
      <c r="E744" s="31">
        <f>IF($C744="","",MIN($C744,$D744))</f>
        <v/>
      </c>
      <c r="F744" s="40">
        <f>IF($E744="","",$E744*Settings!$B$4)</f>
        <v/>
      </c>
    </row>
    <row r="745">
      <c r="A745" s="29" t="n"/>
      <c r="B745" s="31" t="n"/>
      <c r="C745" s="31">
        <f>IF(OR($A745="",$B745=""),"",SUMIFS(QuickLog!$L$2:$L$1000,QuickLog!$B$2:$B$1000,$B745,QuickLog!$Q$2:$Q$1000,$A745))</f>
        <v/>
      </c>
      <c r="D745" s="31">
        <f>Settings!$B$3</f>
        <v/>
      </c>
      <c r="E745" s="31">
        <f>IF($C745="","",MIN($C745,$D745))</f>
        <v/>
      </c>
      <c r="F745" s="40">
        <f>IF($E745="","",$E745*Settings!$B$4)</f>
        <v/>
      </c>
    </row>
    <row r="746">
      <c r="A746" s="29" t="n"/>
      <c r="B746" s="31" t="n"/>
      <c r="C746" s="31">
        <f>IF(OR($A746="",$B746=""),"",SUMIFS(QuickLog!$L$2:$L$1000,QuickLog!$B$2:$B$1000,$B746,QuickLog!$Q$2:$Q$1000,$A746))</f>
        <v/>
      </c>
      <c r="D746" s="31">
        <f>Settings!$B$3</f>
        <v/>
      </c>
      <c r="E746" s="31">
        <f>IF($C746="","",MIN($C746,$D746))</f>
        <v/>
      </c>
      <c r="F746" s="40">
        <f>IF($E746="","",$E746*Settings!$B$4)</f>
        <v/>
      </c>
    </row>
    <row r="747">
      <c r="A747" s="29" t="n"/>
      <c r="B747" s="31" t="n"/>
      <c r="C747" s="31">
        <f>IF(OR($A747="",$B747=""),"",SUMIFS(QuickLog!$L$2:$L$1000,QuickLog!$B$2:$B$1000,$B747,QuickLog!$Q$2:$Q$1000,$A747))</f>
        <v/>
      </c>
      <c r="D747" s="31">
        <f>Settings!$B$3</f>
        <v/>
      </c>
      <c r="E747" s="31">
        <f>IF($C747="","",MIN($C747,$D747))</f>
        <v/>
      </c>
      <c r="F747" s="40">
        <f>IF($E747="","",$E747*Settings!$B$4)</f>
        <v/>
      </c>
    </row>
    <row r="748">
      <c r="A748" s="29" t="n"/>
      <c r="B748" s="31" t="n"/>
      <c r="C748" s="31">
        <f>IF(OR($A748="",$B748=""),"",SUMIFS(QuickLog!$L$2:$L$1000,QuickLog!$B$2:$B$1000,$B748,QuickLog!$Q$2:$Q$1000,$A748))</f>
        <v/>
      </c>
      <c r="D748" s="31">
        <f>Settings!$B$3</f>
        <v/>
      </c>
      <c r="E748" s="31">
        <f>IF($C748="","",MIN($C748,$D748))</f>
        <v/>
      </c>
      <c r="F748" s="40">
        <f>IF($E748="","",$E748*Settings!$B$4)</f>
        <v/>
      </c>
    </row>
    <row r="749">
      <c r="A749" s="29" t="n"/>
      <c r="B749" s="31" t="n"/>
      <c r="C749" s="31">
        <f>IF(OR($A749="",$B749=""),"",SUMIFS(QuickLog!$L$2:$L$1000,QuickLog!$B$2:$B$1000,$B749,QuickLog!$Q$2:$Q$1000,$A749))</f>
        <v/>
      </c>
      <c r="D749" s="31">
        <f>Settings!$B$3</f>
        <v/>
      </c>
      <c r="E749" s="31">
        <f>IF($C749="","",MIN($C749,$D749))</f>
        <v/>
      </c>
      <c r="F749" s="40">
        <f>IF($E749="","",$E749*Settings!$B$4)</f>
        <v/>
      </c>
    </row>
    <row r="750">
      <c r="A750" s="29" t="n"/>
      <c r="B750" s="31" t="n"/>
      <c r="C750" s="31">
        <f>IF(OR($A750="",$B750=""),"",SUMIFS(QuickLog!$L$2:$L$1000,QuickLog!$B$2:$B$1000,$B750,QuickLog!$Q$2:$Q$1000,$A750))</f>
        <v/>
      </c>
      <c r="D750" s="31">
        <f>Settings!$B$3</f>
        <v/>
      </c>
      <c r="E750" s="31">
        <f>IF($C750="","",MIN($C750,$D750))</f>
        <v/>
      </c>
      <c r="F750" s="40">
        <f>IF($E750="","",$E750*Settings!$B$4)</f>
        <v/>
      </c>
    </row>
    <row r="751">
      <c r="A751" s="29" t="n"/>
      <c r="B751" s="31" t="n"/>
      <c r="C751" s="31">
        <f>IF(OR($A751="",$B751=""),"",SUMIFS(QuickLog!$L$2:$L$1000,QuickLog!$B$2:$B$1000,$B751,QuickLog!$Q$2:$Q$1000,$A751))</f>
        <v/>
      </c>
      <c r="D751" s="31">
        <f>Settings!$B$3</f>
        <v/>
      </c>
      <c r="E751" s="31">
        <f>IF($C751="","",MIN($C751,$D751))</f>
        <v/>
      </c>
      <c r="F751" s="40">
        <f>IF($E751="","",$E751*Settings!$B$4)</f>
        <v/>
      </c>
    </row>
    <row r="752">
      <c r="A752" s="29" t="n"/>
      <c r="B752" s="31" t="n"/>
      <c r="C752" s="31">
        <f>IF(OR($A752="",$B752=""),"",SUMIFS(QuickLog!$L$2:$L$1000,QuickLog!$B$2:$B$1000,$B752,QuickLog!$Q$2:$Q$1000,$A752))</f>
        <v/>
      </c>
      <c r="D752" s="31">
        <f>Settings!$B$3</f>
        <v/>
      </c>
      <c r="E752" s="31">
        <f>IF($C752="","",MIN($C752,$D752))</f>
        <v/>
      </c>
      <c r="F752" s="40">
        <f>IF($E752="","",$E752*Settings!$B$4)</f>
        <v/>
      </c>
    </row>
    <row r="753">
      <c r="A753" s="29" t="n"/>
      <c r="B753" s="31" t="n"/>
      <c r="C753" s="31">
        <f>IF(OR($A753="",$B753=""),"",SUMIFS(QuickLog!$L$2:$L$1000,QuickLog!$B$2:$B$1000,$B753,QuickLog!$Q$2:$Q$1000,$A753))</f>
        <v/>
      </c>
      <c r="D753" s="31">
        <f>Settings!$B$3</f>
        <v/>
      </c>
      <c r="E753" s="31">
        <f>IF($C753="","",MIN($C753,$D753))</f>
        <v/>
      </c>
      <c r="F753" s="40">
        <f>IF($E753="","",$E753*Settings!$B$4)</f>
        <v/>
      </c>
    </row>
    <row r="754">
      <c r="A754" s="29" t="n"/>
      <c r="B754" s="31" t="n"/>
      <c r="C754" s="31">
        <f>IF(OR($A754="",$B754=""),"",SUMIFS(QuickLog!$L$2:$L$1000,QuickLog!$B$2:$B$1000,$B754,QuickLog!$Q$2:$Q$1000,$A754))</f>
        <v/>
      </c>
      <c r="D754" s="31">
        <f>Settings!$B$3</f>
        <v/>
      </c>
      <c r="E754" s="31">
        <f>IF($C754="","",MIN($C754,$D754))</f>
        <v/>
      </c>
      <c r="F754" s="40">
        <f>IF($E754="","",$E754*Settings!$B$4)</f>
        <v/>
      </c>
    </row>
    <row r="755">
      <c r="A755" s="29" t="n"/>
      <c r="B755" s="31" t="n"/>
      <c r="C755" s="31">
        <f>IF(OR($A755="",$B755=""),"",SUMIFS(QuickLog!$L$2:$L$1000,QuickLog!$B$2:$B$1000,$B755,QuickLog!$Q$2:$Q$1000,$A755))</f>
        <v/>
      </c>
      <c r="D755" s="31">
        <f>Settings!$B$3</f>
        <v/>
      </c>
      <c r="E755" s="31">
        <f>IF($C755="","",MIN($C755,$D755))</f>
        <v/>
      </c>
      <c r="F755" s="40">
        <f>IF($E755="","",$E755*Settings!$B$4)</f>
        <v/>
      </c>
    </row>
    <row r="756">
      <c r="A756" s="29" t="n"/>
      <c r="B756" s="31" t="n"/>
      <c r="C756" s="31">
        <f>IF(OR($A756="",$B756=""),"",SUMIFS(QuickLog!$L$2:$L$1000,QuickLog!$B$2:$B$1000,$B756,QuickLog!$Q$2:$Q$1000,$A756))</f>
        <v/>
      </c>
      <c r="D756" s="31">
        <f>Settings!$B$3</f>
        <v/>
      </c>
      <c r="E756" s="31">
        <f>IF($C756="","",MIN($C756,$D756))</f>
        <v/>
      </c>
      <c r="F756" s="40">
        <f>IF($E756="","",$E756*Settings!$B$4)</f>
        <v/>
      </c>
    </row>
    <row r="757">
      <c r="A757" s="29" t="n"/>
      <c r="B757" s="31" t="n"/>
      <c r="C757" s="31">
        <f>IF(OR($A757="",$B757=""),"",SUMIFS(QuickLog!$L$2:$L$1000,QuickLog!$B$2:$B$1000,$B757,QuickLog!$Q$2:$Q$1000,$A757))</f>
        <v/>
      </c>
      <c r="D757" s="31">
        <f>Settings!$B$3</f>
        <v/>
      </c>
      <c r="E757" s="31">
        <f>IF($C757="","",MIN($C757,$D757))</f>
        <v/>
      </c>
      <c r="F757" s="40">
        <f>IF($E757="","",$E757*Settings!$B$4)</f>
        <v/>
      </c>
    </row>
    <row r="758">
      <c r="A758" s="29" t="n"/>
      <c r="B758" s="31" t="n"/>
      <c r="C758" s="31">
        <f>IF(OR($A758="",$B758=""),"",SUMIFS(QuickLog!$L$2:$L$1000,QuickLog!$B$2:$B$1000,$B758,QuickLog!$Q$2:$Q$1000,$A758))</f>
        <v/>
      </c>
      <c r="D758" s="31">
        <f>Settings!$B$3</f>
        <v/>
      </c>
      <c r="E758" s="31">
        <f>IF($C758="","",MIN($C758,$D758))</f>
        <v/>
      </c>
      <c r="F758" s="40">
        <f>IF($E758="","",$E758*Settings!$B$4)</f>
        <v/>
      </c>
    </row>
    <row r="759">
      <c r="A759" s="29" t="n"/>
      <c r="B759" s="31" t="n"/>
      <c r="C759" s="31">
        <f>IF(OR($A759="",$B759=""),"",SUMIFS(QuickLog!$L$2:$L$1000,QuickLog!$B$2:$B$1000,$B759,QuickLog!$Q$2:$Q$1000,$A759))</f>
        <v/>
      </c>
      <c r="D759" s="31">
        <f>Settings!$B$3</f>
        <v/>
      </c>
      <c r="E759" s="31">
        <f>IF($C759="","",MIN($C759,$D759))</f>
        <v/>
      </c>
      <c r="F759" s="40">
        <f>IF($E759="","",$E759*Settings!$B$4)</f>
        <v/>
      </c>
    </row>
    <row r="760">
      <c r="A760" s="29" t="n"/>
      <c r="B760" s="31" t="n"/>
      <c r="C760" s="31">
        <f>IF(OR($A760="",$B760=""),"",SUMIFS(QuickLog!$L$2:$L$1000,QuickLog!$B$2:$B$1000,$B760,QuickLog!$Q$2:$Q$1000,$A760))</f>
        <v/>
      </c>
      <c r="D760" s="31">
        <f>Settings!$B$3</f>
        <v/>
      </c>
      <c r="E760" s="31">
        <f>IF($C760="","",MIN($C760,$D760))</f>
        <v/>
      </c>
      <c r="F760" s="40">
        <f>IF($E760="","",$E760*Settings!$B$4)</f>
        <v/>
      </c>
    </row>
    <row r="761">
      <c r="A761" s="29" t="n"/>
      <c r="B761" s="31" t="n"/>
      <c r="C761" s="31">
        <f>IF(OR($A761="",$B761=""),"",SUMIFS(QuickLog!$L$2:$L$1000,QuickLog!$B$2:$B$1000,$B761,QuickLog!$Q$2:$Q$1000,$A761))</f>
        <v/>
      </c>
      <c r="D761" s="31">
        <f>Settings!$B$3</f>
        <v/>
      </c>
      <c r="E761" s="31">
        <f>IF($C761="","",MIN($C761,$D761))</f>
        <v/>
      </c>
      <c r="F761" s="40">
        <f>IF($E761="","",$E761*Settings!$B$4)</f>
        <v/>
      </c>
    </row>
    <row r="762">
      <c r="A762" s="29" t="n"/>
      <c r="B762" s="31" t="n"/>
      <c r="C762" s="31">
        <f>IF(OR($A762="",$B762=""),"",SUMIFS(QuickLog!$L$2:$L$1000,QuickLog!$B$2:$B$1000,$B762,QuickLog!$Q$2:$Q$1000,$A762))</f>
        <v/>
      </c>
      <c r="D762" s="31">
        <f>Settings!$B$3</f>
        <v/>
      </c>
      <c r="E762" s="31">
        <f>IF($C762="","",MIN($C762,$D762))</f>
        <v/>
      </c>
      <c r="F762" s="40">
        <f>IF($E762="","",$E762*Settings!$B$4)</f>
        <v/>
      </c>
    </row>
    <row r="763">
      <c r="A763" s="29" t="n"/>
      <c r="B763" s="31" t="n"/>
      <c r="C763" s="31">
        <f>IF(OR($A763="",$B763=""),"",SUMIFS(QuickLog!$L$2:$L$1000,QuickLog!$B$2:$B$1000,$B763,QuickLog!$Q$2:$Q$1000,$A763))</f>
        <v/>
      </c>
      <c r="D763" s="31">
        <f>Settings!$B$3</f>
        <v/>
      </c>
      <c r="E763" s="31">
        <f>IF($C763="","",MIN($C763,$D763))</f>
        <v/>
      </c>
      <c r="F763" s="40">
        <f>IF($E763="","",$E763*Settings!$B$4)</f>
        <v/>
      </c>
    </row>
    <row r="764">
      <c r="A764" s="29" t="n"/>
      <c r="B764" s="31" t="n"/>
      <c r="C764" s="31">
        <f>IF(OR($A764="",$B764=""),"",SUMIFS(QuickLog!$L$2:$L$1000,QuickLog!$B$2:$B$1000,$B764,QuickLog!$Q$2:$Q$1000,$A764))</f>
        <v/>
      </c>
      <c r="D764" s="31">
        <f>Settings!$B$3</f>
        <v/>
      </c>
      <c r="E764" s="31">
        <f>IF($C764="","",MIN($C764,$D764))</f>
        <v/>
      </c>
      <c r="F764" s="40">
        <f>IF($E764="","",$E764*Settings!$B$4)</f>
        <v/>
      </c>
    </row>
    <row r="765">
      <c r="A765" s="29" t="n"/>
      <c r="B765" s="31" t="n"/>
      <c r="C765" s="31">
        <f>IF(OR($A765="",$B765=""),"",SUMIFS(QuickLog!$L$2:$L$1000,QuickLog!$B$2:$B$1000,$B765,QuickLog!$Q$2:$Q$1000,$A765))</f>
        <v/>
      </c>
      <c r="D765" s="31">
        <f>Settings!$B$3</f>
        <v/>
      </c>
      <c r="E765" s="31">
        <f>IF($C765="","",MIN($C765,$D765))</f>
        <v/>
      </c>
      <c r="F765" s="40">
        <f>IF($E765="","",$E765*Settings!$B$4)</f>
        <v/>
      </c>
    </row>
    <row r="766">
      <c r="A766" s="29" t="n"/>
      <c r="B766" s="31" t="n"/>
      <c r="C766" s="31">
        <f>IF(OR($A766="",$B766=""),"",SUMIFS(QuickLog!$L$2:$L$1000,QuickLog!$B$2:$B$1000,$B766,QuickLog!$Q$2:$Q$1000,$A766))</f>
        <v/>
      </c>
      <c r="D766" s="31">
        <f>Settings!$B$3</f>
        <v/>
      </c>
      <c r="E766" s="31">
        <f>IF($C766="","",MIN($C766,$D766))</f>
        <v/>
      </c>
      <c r="F766" s="40">
        <f>IF($E766="","",$E766*Settings!$B$4)</f>
        <v/>
      </c>
    </row>
    <row r="767">
      <c r="A767" s="29" t="n"/>
      <c r="B767" s="31" t="n"/>
      <c r="C767" s="31">
        <f>IF(OR($A767="",$B767=""),"",SUMIFS(QuickLog!$L$2:$L$1000,QuickLog!$B$2:$B$1000,$B767,QuickLog!$Q$2:$Q$1000,$A767))</f>
        <v/>
      </c>
      <c r="D767" s="31">
        <f>Settings!$B$3</f>
        <v/>
      </c>
      <c r="E767" s="31">
        <f>IF($C767="","",MIN($C767,$D767))</f>
        <v/>
      </c>
      <c r="F767" s="40">
        <f>IF($E767="","",$E767*Settings!$B$4)</f>
        <v/>
      </c>
    </row>
    <row r="768">
      <c r="A768" s="29" t="n"/>
      <c r="B768" s="31" t="n"/>
      <c r="C768" s="31">
        <f>IF(OR($A768="",$B768=""),"",SUMIFS(QuickLog!$L$2:$L$1000,QuickLog!$B$2:$B$1000,$B768,QuickLog!$Q$2:$Q$1000,$A768))</f>
        <v/>
      </c>
      <c r="D768" s="31">
        <f>Settings!$B$3</f>
        <v/>
      </c>
      <c r="E768" s="31">
        <f>IF($C768="","",MIN($C768,$D768))</f>
        <v/>
      </c>
      <c r="F768" s="40">
        <f>IF($E768="","",$E768*Settings!$B$4)</f>
        <v/>
      </c>
    </row>
    <row r="769">
      <c r="A769" s="29" t="n"/>
      <c r="B769" s="31" t="n"/>
      <c r="C769" s="31">
        <f>IF(OR($A769="",$B769=""),"",SUMIFS(QuickLog!$L$2:$L$1000,QuickLog!$B$2:$B$1000,$B769,QuickLog!$Q$2:$Q$1000,$A769))</f>
        <v/>
      </c>
      <c r="D769" s="31">
        <f>Settings!$B$3</f>
        <v/>
      </c>
      <c r="E769" s="31">
        <f>IF($C769="","",MIN($C769,$D769))</f>
        <v/>
      </c>
      <c r="F769" s="40">
        <f>IF($E769="","",$E769*Settings!$B$4)</f>
        <v/>
      </c>
    </row>
    <row r="770">
      <c r="A770" s="29" t="n"/>
      <c r="B770" s="31" t="n"/>
      <c r="C770" s="31">
        <f>IF(OR($A770="",$B770=""),"",SUMIFS(QuickLog!$L$2:$L$1000,QuickLog!$B$2:$B$1000,$B770,QuickLog!$Q$2:$Q$1000,$A770))</f>
        <v/>
      </c>
      <c r="D770" s="31">
        <f>Settings!$B$3</f>
        <v/>
      </c>
      <c r="E770" s="31">
        <f>IF($C770="","",MIN($C770,$D770))</f>
        <v/>
      </c>
      <c r="F770" s="40">
        <f>IF($E770="","",$E770*Settings!$B$4)</f>
        <v/>
      </c>
    </row>
    <row r="771">
      <c r="A771" s="29" t="n"/>
      <c r="B771" s="31" t="n"/>
      <c r="C771" s="31">
        <f>IF(OR($A771="",$B771=""),"",SUMIFS(QuickLog!$L$2:$L$1000,QuickLog!$B$2:$B$1000,$B771,QuickLog!$Q$2:$Q$1000,$A771))</f>
        <v/>
      </c>
      <c r="D771" s="31">
        <f>Settings!$B$3</f>
        <v/>
      </c>
      <c r="E771" s="31">
        <f>IF($C771="","",MIN($C771,$D771))</f>
        <v/>
      </c>
      <c r="F771" s="40">
        <f>IF($E771="","",$E771*Settings!$B$4)</f>
        <v/>
      </c>
    </row>
    <row r="772">
      <c r="A772" s="29" t="n"/>
      <c r="B772" s="31" t="n"/>
      <c r="C772" s="31">
        <f>IF(OR($A772="",$B772=""),"",SUMIFS(QuickLog!$L$2:$L$1000,QuickLog!$B$2:$B$1000,$B772,QuickLog!$Q$2:$Q$1000,$A772))</f>
        <v/>
      </c>
      <c r="D772" s="31">
        <f>Settings!$B$3</f>
        <v/>
      </c>
      <c r="E772" s="31">
        <f>IF($C772="","",MIN($C772,$D772))</f>
        <v/>
      </c>
      <c r="F772" s="40">
        <f>IF($E772="","",$E772*Settings!$B$4)</f>
        <v/>
      </c>
    </row>
    <row r="773">
      <c r="A773" s="29" t="n"/>
      <c r="B773" s="31" t="n"/>
      <c r="C773" s="31">
        <f>IF(OR($A773="",$B773=""),"",SUMIFS(QuickLog!$L$2:$L$1000,QuickLog!$B$2:$B$1000,$B773,QuickLog!$Q$2:$Q$1000,$A773))</f>
        <v/>
      </c>
      <c r="D773" s="31">
        <f>Settings!$B$3</f>
        <v/>
      </c>
      <c r="E773" s="31">
        <f>IF($C773="","",MIN($C773,$D773))</f>
        <v/>
      </c>
      <c r="F773" s="40">
        <f>IF($E773="","",$E773*Settings!$B$4)</f>
        <v/>
      </c>
    </row>
    <row r="774">
      <c r="A774" s="29" t="n"/>
      <c r="B774" s="31" t="n"/>
      <c r="C774" s="31">
        <f>IF(OR($A774="",$B774=""),"",SUMIFS(QuickLog!$L$2:$L$1000,QuickLog!$B$2:$B$1000,$B774,QuickLog!$Q$2:$Q$1000,$A774))</f>
        <v/>
      </c>
      <c r="D774" s="31">
        <f>Settings!$B$3</f>
        <v/>
      </c>
      <c r="E774" s="31">
        <f>IF($C774="","",MIN($C774,$D774))</f>
        <v/>
      </c>
      <c r="F774" s="40">
        <f>IF($E774="","",$E774*Settings!$B$4)</f>
        <v/>
      </c>
    </row>
    <row r="775">
      <c r="A775" s="29" t="n"/>
      <c r="B775" s="31" t="n"/>
      <c r="C775" s="31">
        <f>IF(OR($A775="",$B775=""),"",SUMIFS(QuickLog!$L$2:$L$1000,QuickLog!$B$2:$B$1000,$B775,QuickLog!$Q$2:$Q$1000,$A775))</f>
        <v/>
      </c>
      <c r="D775" s="31">
        <f>Settings!$B$3</f>
        <v/>
      </c>
      <c r="E775" s="31">
        <f>IF($C775="","",MIN($C775,$D775))</f>
        <v/>
      </c>
      <c r="F775" s="40">
        <f>IF($E775="","",$E775*Settings!$B$4)</f>
        <v/>
      </c>
    </row>
    <row r="776">
      <c r="A776" s="29" t="n"/>
      <c r="B776" s="31" t="n"/>
      <c r="C776" s="31">
        <f>IF(OR($A776="",$B776=""),"",SUMIFS(QuickLog!$L$2:$L$1000,QuickLog!$B$2:$B$1000,$B776,QuickLog!$Q$2:$Q$1000,$A776))</f>
        <v/>
      </c>
      <c r="D776" s="31">
        <f>Settings!$B$3</f>
        <v/>
      </c>
      <c r="E776" s="31">
        <f>IF($C776="","",MIN($C776,$D776))</f>
        <v/>
      </c>
      <c r="F776" s="40">
        <f>IF($E776="","",$E776*Settings!$B$4)</f>
        <v/>
      </c>
    </row>
    <row r="777">
      <c r="A777" s="29" t="n"/>
      <c r="B777" s="31" t="n"/>
      <c r="C777" s="31">
        <f>IF(OR($A777="",$B777=""),"",SUMIFS(QuickLog!$L$2:$L$1000,QuickLog!$B$2:$B$1000,$B777,QuickLog!$Q$2:$Q$1000,$A777))</f>
        <v/>
      </c>
      <c r="D777" s="31">
        <f>Settings!$B$3</f>
        <v/>
      </c>
      <c r="E777" s="31">
        <f>IF($C777="","",MIN($C777,$D777))</f>
        <v/>
      </c>
      <c r="F777" s="40">
        <f>IF($E777="","",$E777*Settings!$B$4)</f>
        <v/>
      </c>
    </row>
    <row r="778">
      <c r="A778" s="29" t="n"/>
      <c r="B778" s="31" t="n"/>
      <c r="C778" s="31">
        <f>IF(OR($A778="",$B778=""),"",SUMIFS(QuickLog!$L$2:$L$1000,QuickLog!$B$2:$B$1000,$B778,QuickLog!$Q$2:$Q$1000,$A778))</f>
        <v/>
      </c>
      <c r="D778" s="31">
        <f>Settings!$B$3</f>
        <v/>
      </c>
      <c r="E778" s="31">
        <f>IF($C778="","",MIN($C778,$D778))</f>
        <v/>
      </c>
      <c r="F778" s="40">
        <f>IF($E778="","",$E778*Settings!$B$4)</f>
        <v/>
      </c>
    </row>
    <row r="779">
      <c r="A779" s="29" t="n"/>
      <c r="B779" s="31" t="n"/>
      <c r="C779" s="31">
        <f>IF(OR($A779="",$B779=""),"",SUMIFS(QuickLog!$L$2:$L$1000,QuickLog!$B$2:$B$1000,$B779,QuickLog!$Q$2:$Q$1000,$A779))</f>
        <v/>
      </c>
      <c r="D779" s="31">
        <f>Settings!$B$3</f>
        <v/>
      </c>
      <c r="E779" s="31">
        <f>IF($C779="","",MIN($C779,$D779))</f>
        <v/>
      </c>
      <c r="F779" s="40">
        <f>IF($E779="","",$E779*Settings!$B$4)</f>
        <v/>
      </c>
    </row>
    <row r="780">
      <c r="A780" s="29" t="n"/>
      <c r="B780" s="31" t="n"/>
      <c r="C780" s="31">
        <f>IF(OR($A780="",$B780=""),"",SUMIFS(QuickLog!$L$2:$L$1000,QuickLog!$B$2:$B$1000,$B780,QuickLog!$Q$2:$Q$1000,$A780))</f>
        <v/>
      </c>
      <c r="D780" s="31">
        <f>Settings!$B$3</f>
        <v/>
      </c>
      <c r="E780" s="31">
        <f>IF($C780="","",MIN($C780,$D780))</f>
        <v/>
      </c>
      <c r="F780" s="40">
        <f>IF($E780="","",$E780*Settings!$B$4)</f>
        <v/>
      </c>
    </row>
    <row r="781">
      <c r="A781" s="29" t="n"/>
      <c r="B781" s="31" t="n"/>
      <c r="C781" s="31">
        <f>IF(OR($A781="",$B781=""),"",SUMIFS(QuickLog!$L$2:$L$1000,QuickLog!$B$2:$B$1000,$B781,QuickLog!$Q$2:$Q$1000,$A781))</f>
        <v/>
      </c>
      <c r="D781" s="31">
        <f>Settings!$B$3</f>
        <v/>
      </c>
      <c r="E781" s="31">
        <f>IF($C781="","",MIN($C781,$D781))</f>
        <v/>
      </c>
      <c r="F781" s="40">
        <f>IF($E781="","",$E781*Settings!$B$4)</f>
        <v/>
      </c>
    </row>
    <row r="782">
      <c r="A782" s="29" t="n"/>
      <c r="B782" s="31" t="n"/>
      <c r="C782" s="31">
        <f>IF(OR($A782="",$B782=""),"",SUMIFS(QuickLog!$L$2:$L$1000,QuickLog!$B$2:$B$1000,$B782,QuickLog!$Q$2:$Q$1000,$A782))</f>
        <v/>
      </c>
      <c r="D782" s="31">
        <f>Settings!$B$3</f>
        <v/>
      </c>
      <c r="E782" s="31">
        <f>IF($C782="","",MIN($C782,$D782))</f>
        <v/>
      </c>
      <c r="F782" s="40">
        <f>IF($E782="","",$E782*Settings!$B$4)</f>
        <v/>
      </c>
    </row>
    <row r="783">
      <c r="A783" s="29" t="n"/>
      <c r="B783" s="31" t="n"/>
      <c r="C783" s="31">
        <f>IF(OR($A783="",$B783=""),"",SUMIFS(QuickLog!$L$2:$L$1000,QuickLog!$B$2:$B$1000,$B783,QuickLog!$Q$2:$Q$1000,$A783))</f>
        <v/>
      </c>
      <c r="D783" s="31">
        <f>Settings!$B$3</f>
        <v/>
      </c>
      <c r="E783" s="31">
        <f>IF($C783="","",MIN($C783,$D783))</f>
        <v/>
      </c>
      <c r="F783" s="40">
        <f>IF($E783="","",$E783*Settings!$B$4)</f>
        <v/>
      </c>
    </row>
    <row r="784">
      <c r="A784" s="29" t="n"/>
      <c r="B784" s="31" t="n"/>
      <c r="C784" s="31">
        <f>IF(OR($A784="",$B784=""),"",SUMIFS(QuickLog!$L$2:$L$1000,QuickLog!$B$2:$B$1000,$B784,QuickLog!$Q$2:$Q$1000,$A784))</f>
        <v/>
      </c>
      <c r="D784" s="31">
        <f>Settings!$B$3</f>
        <v/>
      </c>
      <c r="E784" s="31">
        <f>IF($C784="","",MIN($C784,$D784))</f>
        <v/>
      </c>
      <c r="F784" s="40">
        <f>IF($E784="","",$E784*Settings!$B$4)</f>
        <v/>
      </c>
    </row>
    <row r="785">
      <c r="A785" s="29" t="n"/>
      <c r="B785" s="31" t="n"/>
      <c r="C785" s="31">
        <f>IF(OR($A785="",$B785=""),"",SUMIFS(QuickLog!$L$2:$L$1000,QuickLog!$B$2:$B$1000,$B785,QuickLog!$Q$2:$Q$1000,$A785))</f>
        <v/>
      </c>
      <c r="D785" s="31">
        <f>Settings!$B$3</f>
        <v/>
      </c>
      <c r="E785" s="31">
        <f>IF($C785="","",MIN($C785,$D785))</f>
        <v/>
      </c>
      <c r="F785" s="40">
        <f>IF($E785="","",$E785*Settings!$B$4)</f>
        <v/>
      </c>
    </row>
    <row r="786">
      <c r="A786" s="29" t="n"/>
      <c r="B786" s="31" t="n"/>
      <c r="C786" s="31">
        <f>IF(OR($A786="",$B786=""),"",SUMIFS(QuickLog!$L$2:$L$1000,QuickLog!$B$2:$B$1000,$B786,QuickLog!$Q$2:$Q$1000,$A786))</f>
        <v/>
      </c>
      <c r="D786" s="31">
        <f>Settings!$B$3</f>
        <v/>
      </c>
      <c r="E786" s="31">
        <f>IF($C786="","",MIN($C786,$D786))</f>
        <v/>
      </c>
      <c r="F786" s="40">
        <f>IF($E786="","",$E786*Settings!$B$4)</f>
        <v/>
      </c>
    </row>
    <row r="787">
      <c r="A787" s="29" t="n"/>
      <c r="B787" s="31" t="n"/>
      <c r="C787" s="31">
        <f>IF(OR($A787="",$B787=""),"",SUMIFS(QuickLog!$L$2:$L$1000,QuickLog!$B$2:$B$1000,$B787,QuickLog!$Q$2:$Q$1000,$A787))</f>
        <v/>
      </c>
      <c r="D787" s="31">
        <f>Settings!$B$3</f>
        <v/>
      </c>
      <c r="E787" s="31">
        <f>IF($C787="","",MIN($C787,$D787))</f>
        <v/>
      </c>
      <c r="F787" s="40">
        <f>IF($E787="","",$E787*Settings!$B$4)</f>
        <v/>
      </c>
    </row>
    <row r="788">
      <c r="A788" s="29" t="n"/>
      <c r="B788" s="31" t="n"/>
      <c r="C788" s="31">
        <f>IF(OR($A788="",$B788=""),"",SUMIFS(QuickLog!$L$2:$L$1000,QuickLog!$B$2:$B$1000,$B788,QuickLog!$Q$2:$Q$1000,$A788))</f>
        <v/>
      </c>
      <c r="D788" s="31">
        <f>Settings!$B$3</f>
        <v/>
      </c>
      <c r="E788" s="31">
        <f>IF($C788="","",MIN($C788,$D788))</f>
        <v/>
      </c>
      <c r="F788" s="40">
        <f>IF($E788="","",$E788*Settings!$B$4)</f>
        <v/>
      </c>
    </row>
    <row r="789">
      <c r="A789" s="29" t="n"/>
      <c r="B789" s="31" t="n"/>
      <c r="C789" s="31">
        <f>IF(OR($A789="",$B789=""),"",SUMIFS(QuickLog!$L$2:$L$1000,QuickLog!$B$2:$B$1000,$B789,QuickLog!$Q$2:$Q$1000,$A789))</f>
        <v/>
      </c>
      <c r="D789" s="31">
        <f>Settings!$B$3</f>
        <v/>
      </c>
      <c r="E789" s="31">
        <f>IF($C789="","",MIN($C789,$D789))</f>
        <v/>
      </c>
      <c r="F789" s="40">
        <f>IF($E789="","",$E789*Settings!$B$4)</f>
        <v/>
      </c>
    </row>
    <row r="790">
      <c r="A790" s="29" t="n"/>
      <c r="B790" s="31" t="n"/>
      <c r="C790" s="31">
        <f>IF(OR($A790="",$B790=""),"",SUMIFS(QuickLog!$L$2:$L$1000,QuickLog!$B$2:$B$1000,$B790,QuickLog!$Q$2:$Q$1000,$A790))</f>
        <v/>
      </c>
      <c r="D790" s="31">
        <f>Settings!$B$3</f>
        <v/>
      </c>
      <c r="E790" s="31">
        <f>IF($C790="","",MIN($C790,$D790))</f>
        <v/>
      </c>
      <c r="F790" s="40">
        <f>IF($E790="","",$E790*Settings!$B$4)</f>
        <v/>
      </c>
    </row>
    <row r="791">
      <c r="A791" s="29" t="n"/>
      <c r="B791" s="31" t="n"/>
      <c r="C791" s="31">
        <f>IF(OR($A791="",$B791=""),"",SUMIFS(QuickLog!$L$2:$L$1000,QuickLog!$B$2:$B$1000,$B791,QuickLog!$Q$2:$Q$1000,$A791))</f>
        <v/>
      </c>
      <c r="D791" s="31">
        <f>Settings!$B$3</f>
        <v/>
      </c>
      <c r="E791" s="31">
        <f>IF($C791="","",MIN($C791,$D791))</f>
        <v/>
      </c>
      <c r="F791" s="40">
        <f>IF($E791="","",$E791*Settings!$B$4)</f>
        <v/>
      </c>
    </row>
    <row r="792">
      <c r="A792" s="29" t="n"/>
      <c r="B792" s="31" t="n"/>
      <c r="C792" s="31">
        <f>IF(OR($A792="",$B792=""),"",SUMIFS(QuickLog!$L$2:$L$1000,QuickLog!$B$2:$B$1000,$B792,QuickLog!$Q$2:$Q$1000,$A792))</f>
        <v/>
      </c>
      <c r="D792" s="31">
        <f>Settings!$B$3</f>
        <v/>
      </c>
      <c r="E792" s="31">
        <f>IF($C792="","",MIN($C792,$D792))</f>
        <v/>
      </c>
      <c r="F792" s="40">
        <f>IF($E792="","",$E792*Settings!$B$4)</f>
        <v/>
      </c>
    </row>
    <row r="793">
      <c r="A793" s="29" t="n"/>
      <c r="B793" s="31" t="n"/>
      <c r="C793" s="31">
        <f>IF(OR($A793="",$B793=""),"",SUMIFS(QuickLog!$L$2:$L$1000,QuickLog!$B$2:$B$1000,$B793,QuickLog!$Q$2:$Q$1000,$A793))</f>
        <v/>
      </c>
      <c r="D793" s="31">
        <f>Settings!$B$3</f>
        <v/>
      </c>
      <c r="E793" s="31">
        <f>IF($C793="","",MIN($C793,$D793))</f>
        <v/>
      </c>
      <c r="F793" s="40">
        <f>IF($E793="","",$E793*Settings!$B$4)</f>
        <v/>
      </c>
    </row>
    <row r="794">
      <c r="A794" s="29" t="n"/>
      <c r="B794" s="31" t="n"/>
      <c r="C794" s="31">
        <f>IF(OR($A794="",$B794=""),"",SUMIFS(QuickLog!$L$2:$L$1000,QuickLog!$B$2:$B$1000,$B794,QuickLog!$Q$2:$Q$1000,$A794))</f>
        <v/>
      </c>
      <c r="D794" s="31">
        <f>Settings!$B$3</f>
        <v/>
      </c>
      <c r="E794" s="31">
        <f>IF($C794="","",MIN($C794,$D794))</f>
        <v/>
      </c>
      <c r="F794" s="40">
        <f>IF($E794="","",$E794*Settings!$B$4)</f>
        <v/>
      </c>
    </row>
    <row r="795">
      <c r="A795" s="29" t="n"/>
      <c r="B795" s="31" t="n"/>
      <c r="C795" s="31">
        <f>IF(OR($A795="",$B795=""),"",SUMIFS(QuickLog!$L$2:$L$1000,QuickLog!$B$2:$B$1000,$B795,QuickLog!$Q$2:$Q$1000,$A795))</f>
        <v/>
      </c>
      <c r="D795" s="31">
        <f>Settings!$B$3</f>
        <v/>
      </c>
      <c r="E795" s="31">
        <f>IF($C795="","",MIN($C795,$D795))</f>
        <v/>
      </c>
      <c r="F795" s="40">
        <f>IF($E795="","",$E795*Settings!$B$4)</f>
        <v/>
      </c>
    </row>
    <row r="796">
      <c r="A796" s="29" t="n"/>
      <c r="B796" s="31" t="n"/>
      <c r="C796" s="31">
        <f>IF(OR($A796="",$B796=""),"",SUMIFS(QuickLog!$L$2:$L$1000,QuickLog!$B$2:$B$1000,$B796,QuickLog!$Q$2:$Q$1000,$A796))</f>
        <v/>
      </c>
      <c r="D796" s="31">
        <f>Settings!$B$3</f>
        <v/>
      </c>
      <c r="E796" s="31">
        <f>IF($C796="","",MIN($C796,$D796))</f>
        <v/>
      </c>
      <c r="F796" s="40">
        <f>IF($E796="","",$E796*Settings!$B$4)</f>
        <v/>
      </c>
    </row>
    <row r="797">
      <c r="A797" s="29" t="n"/>
      <c r="B797" s="31" t="n"/>
      <c r="C797" s="31">
        <f>IF(OR($A797="",$B797=""),"",SUMIFS(QuickLog!$L$2:$L$1000,QuickLog!$B$2:$B$1000,$B797,QuickLog!$Q$2:$Q$1000,$A797))</f>
        <v/>
      </c>
      <c r="D797" s="31">
        <f>Settings!$B$3</f>
        <v/>
      </c>
      <c r="E797" s="31">
        <f>IF($C797="","",MIN($C797,$D797))</f>
        <v/>
      </c>
      <c r="F797" s="40">
        <f>IF($E797="","",$E797*Settings!$B$4)</f>
        <v/>
      </c>
    </row>
    <row r="798">
      <c r="A798" s="29" t="n"/>
      <c r="B798" s="31" t="n"/>
      <c r="C798" s="31">
        <f>IF(OR($A798="",$B798=""),"",SUMIFS(QuickLog!$L$2:$L$1000,QuickLog!$B$2:$B$1000,$B798,QuickLog!$Q$2:$Q$1000,$A798))</f>
        <v/>
      </c>
      <c r="D798" s="31">
        <f>Settings!$B$3</f>
        <v/>
      </c>
      <c r="E798" s="31">
        <f>IF($C798="","",MIN($C798,$D798))</f>
        <v/>
      </c>
      <c r="F798" s="40">
        <f>IF($E798="","",$E798*Settings!$B$4)</f>
        <v/>
      </c>
    </row>
    <row r="799">
      <c r="A799" s="29" t="n"/>
      <c r="B799" s="31" t="n"/>
      <c r="C799" s="31">
        <f>IF(OR($A799="",$B799=""),"",SUMIFS(QuickLog!$L$2:$L$1000,QuickLog!$B$2:$B$1000,$B799,QuickLog!$Q$2:$Q$1000,$A799))</f>
        <v/>
      </c>
      <c r="D799" s="31">
        <f>Settings!$B$3</f>
        <v/>
      </c>
      <c r="E799" s="31">
        <f>IF($C799="","",MIN($C799,$D799))</f>
        <v/>
      </c>
      <c r="F799" s="40">
        <f>IF($E799="","",$E799*Settings!$B$4)</f>
        <v/>
      </c>
    </row>
    <row r="800">
      <c r="A800" s="29" t="n"/>
      <c r="B800" s="31" t="n"/>
      <c r="C800" s="31">
        <f>IF(OR($A800="",$B800=""),"",SUMIFS(QuickLog!$L$2:$L$1000,QuickLog!$B$2:$B$1000,$B800,QuickLog!$Q$2:$Q$1000,$A800))</f>
        <v/>
      </c>
      <c r="D800" s="31">
        <f>Settings!$B$3</f>
        <v/>
      </c>
      <c r="E800" s="31">
        <f>IF($C800="","",MIN($C800,$D800))</f>
        <v/>
      </c>
      <c r="F800" s="40">
        <f>IF($E800="","",$E800*Settings!$B$4)</f>
        <v/>
      </c>
    </row>
    <row r="801">
      <c r="A801" s="29" t="n"/>
      <c r="B801" s="31" t="n"/>
      <c r="C801" s="31">
        <f>IF(OR($A801="",$B801=""),"",SUMIFS(QuickLog!$L$2:$L$1000,QuickLog!$B$2:$B$1000,$B801,QuickLog!$Q$2:$Q$1000,$A801))</f>
        <v/>
      </c>
      <c r="D801" s="31">
        <f>Settings!$B$3</f>
        <v/>
      </c>
      <c r="E801" s="31">
        <f>IF($C801="","",MIN($C801,$D801))</f>
        <v/>
      </c>
      <c r="F801" s="40">
        <f>IF($E801="","",$E801*Settings!$B$4)</f>
        <v/>
      </c>
    </row>
    <row r="802">
      <c r="A802" s="29" t="n"/>
      <c r="B802" s="31" t="n"/>
      <c r="C802" s="31">
        <f>IF(OR($A802="",$B802=""),"",SUMIFS(QuickLog!$L$2:$L$1000,QuickLog!$B$2:$B$1000,$B802,QuickLog!$Q$2:$Q$1000,$A802))</f>
        <v/>
      </c>
      <c r="D802" s="31">
        <f>Settings!$B$3</f>
        <v/>
      </c>
      <c r="E802" s="31">
        <f>IF($C802="","",MIN($C802,$D802))</f>
        <v/>
      </c>
      <c r="F802" s="40">
        <f>IF($E802="","",$E802*Settings!$B$4)</f>
        <v/>
      </c>
    </row>
    <row r="803">
      <c r="A803" s="29" t="n"/>
      <c r="B803" s="31" t="n"/>
      <c r="C803" s="31">
        <f>IF(OR($A803="",$B803=""),"",SUMIFS(QuickLog!$L$2:$L$1000,QuickLog!$B$2:$B$1000,$B803,QuickLog!$Q$2:$Q$1000,$A803))</f>
        <v/>
      </c>
      <c r="D803" s="31">
        <f>Settings!$B$3</f>
        <v/>
      </c>
      <c r="E803" s="31">
        <f>IF($C803="","",MIN($C803,$D803))</f>
        <v/>
      </c>
      <c r="F803" s="40">
        <f>IF($E803="","",$E803*Settings!$B$4)</f>
        <v/>
      </c>
    </row>
    <row r="804">
      <c r="A804" s="29" t="n"/>
      <c r="B804" s="31" t="n"/>
      <c r="C804" s="31">
        <f>IF(OR($A804="",$B804=""),"",SUMIFS(QuickLog!$L$2:$L$1000,QuickLog!$B$2:$B$1000,$B804,QuickLog!$Q$2:$Q$1000,$A804))</f>
        <v/>
      </c>
      <c r="D804" s="31">
        <f>Settings!$B$3</f>
        <v/>
      </c>
      <c r="E804" s="31">
        <f>IF($C804="","",MIN($C804,$D804))</f>
        <v/>
      </c>
      <c r="F804" s="40">
        <f>IF($E804="","",$E804*Settings!$B$4)</f>
        <v/>
      </c>
    </row>
    <row r="805">
      <c r="A805" s="29" t="n"/>
      <c r="B805" s="31" t="n"/>
      <c r="C805" s="31">
        <f>IF(OR($A805="",$B805=""),"",SUMIFS(QuickLog!$L$2:$L$1000,QuickLog!$B$2:$B$1000,$B805,QuickLog!$Q$2:$Q$1000,$A805))</f>
        <v/>
      </c>
      <c r="D805" s="31">
        <f>Settings!$B$3</f>
        <v/>
      </c>
      <c r="E805" s="31">
        <f>IF($C805="","",MIN($C805,$D805))</f>
        <v/>
      </c>
      <c r="F805" s="40">
        <f>IF($E805="","",$E805*Settings!$B$4)</f>
        <v/>
      </c>
    </row>
    <row r="806">
      <c r="A806" s="29" t="n"/>
      <c r="B806" s="31" t="n"/>
      <c r="C806" s="31">
        <f>IF(OR($A806="",$B806=""),"",SUMIFS(QuickLog!$L$2:$L$1000,QuickLog!$B$2:$B$1000,$B806,QuickLog!$Q$2:$Q$1000,$A806))</f>
        <v/>
      </c>
      <c r="D806" s="31">
        <f>Settings!$B$3</f>
        <v/>
      </c>
      <c r="E806" s="31">
        <f>IF($C806="","",MIN($C806,$D806))</f>
        <v/>
      </c>
      <c r="F806" s="40">
        <f>IF($E806="","",$E806*Settings!$B$4)</f>
        <v/>
      </c>
    </row>
    <row r="807">
      <c r="A807" s="29" t="n"/>
      <c r="B807" s="31" t="n"/>
      <c r="C807" s="31">
        <f>IF(OR($A807="",$B807=""),"",SUMIFS(QuickLog!$L$2:$L$1000,QuickLog!$B$2:$B$1000,$B807,QuickLog!$Q$2:$Q$1000,$A807))</f>
        <v/>
      </c>
      <c r="D807" s="31">
        <f>Settings!$B$3</f>
        <v/>
      </c>
      <c r="E807" s="31">
        <f>IF($C807="","",MIN($C807,$D807))</f>
        <v/>
      </c>
      <c r="F807" s="40">
        <f>IF($E807="","",$E807*Settings!$B$4)</f>
        <v/>
      </c>
    </row>
    <row r="808">
      <c r="A808" s="29" t="n"/>
      <c r="B808" s="31" t="n"/>
      <c r="C808" s="31">
        <f>IF(OR($A808="",$B808=""),"",SUMIFS(QuickLog!$L$2:$L$1000,QuickLog!$B$2:$B$1000,$B808,QuickLog!$Q$2:$Q$1000,$A808))</f>
        <v/>
      </c>
      <c r="D808" s="31">
        <f>Settings!$B$3</f>
        <v/>
      </c>
      <c r="E808" s="31">
        <f>IF($C808="","",MIN($C808,$D808))</f>
        <v/>
      </c>
      <c r="F808" s="40">
        <f>IF($E808="","",$E808*Settings!$B$4)</f>
        <v/>
      </c>
    </row>
    <row r="809">
      <c r="A809" s="29" t="n"/>
      <c r="B809" s="31" t="n"/>
      <c r="C809" s="31">
        <f>IF(OR($A809="",$B809=""),"",SUMIFS(QuickLog!$L$2:$L$1000,QuickLog!$B$2:$B$1000,$B809,QuickLog!$Q$2:$Q$1000,$A809))</f>
        <v/>
      </c>
      <c r="D809" s="31">
        <f>Settings!$B$3</f>
        <v/>
      </c>
      <c r="E809" s="31">
        <f>IF($C809="","",MIN($C809,$D809))</f>
        <v/>
      </c>
      <c r="F809" s="40">
        <f>IF($E809="","",$E809*Settings!$B$4)</f>
        <v/>
      </c>
    </row>
    <row r="810">
      <c r="A810" s="29" t="n"/>
      <c r="B810" s="31" t="n"/>
      <c r="C810" s="31">
        <f>IF(OR($A810="",$B810=""),"",SUMIFS(QuickLog!$L$2:$L$1000,QuickLog!$B$2:$B$1000,$B810,QuickLog!$Q$2:$Q$1000,$A810))</f>
        <v/>
      </c>
      <c r="D810" s="31">
        <f>Settings!$B$3</f>
        <v/>
      </c>
      <c r="E810" s="31">
        <f>IF($C810="","",MIN($C810,$D810))</f>
        <v/>
      </c>
      <c r="F810" s="40">
        <f>IF($E810="","",$E810*Settings!$B$4)</f>
        <v/>
      </c>
    </row>
    <row r="811">
      <c r="A811" s="29" t="n"/>
      <c r="B811" s="31" t="n"/>
      <c r="C811" s="31">
        <f>IF(OR($A811="",$B811=""),"",SUMIFS(QuickLog!$L$2:$L$1000,QuickLog!$B$2:$B$1000,$B811,QuickLog!$Q$2:$Q$1000,$A811))</f>
        <v/>
      </c>
      <c r="D811" s="31">
        <f>Settings!$B$3</f>
        <v/>
      </c>
      <c r="E811" s="31">
        <f>IF($C811="","",MIN($C811,$D811))</f>
        <v/>
      </c>
      <c r="F811" s="40">
        <f>IF($E811="","",$E811*Settings!$B$4)</f>
        <v/>
      </c>
    </row>
    <row r="812">
      <c r="A812" s="29" t="n"/>
      <c r="B812" s="31" t="n"/>
      <c r="C812" s="31">
        <f>IF(OR($A812="",$B812=""),"",SUMIFS(QuickLog!$L$2:$L$1000,QuickLog!$B$2:$B$1000,$B812,QuickLog!$Q$2:$Q$1000,$A812))</f>
        <v/>
      </c>
      <c r="D812" s="31">
        <f>Settings!$B$3</f>
        <v/>
      </c>
      <c r="E812" s="31">
        <f>IF($C812="","",MIN($C812,$D812))</f>
        <v/>
      </c>
      <c r="F812" s="40">
        <f>IF($E812="","",$E812*Settings!$B$4)</f>
        <v/>
      </c>
    </row>
    <row r="813">
      <c r="A813" s="29" t="n"/>
      <c r="B813" s="31" t="n"/>
      <c r="C813" s="31">
        <f>IF(OR($A813="",$B813=""),"",SUMIFS(QuickLog!$L$2:$L$1000,QuickLog!$B$2:$B$1000,$B813,QuickLog!$Q$2:$Q$1000,$A813))</f>
        <v/>
      </c>
      <c r="D813" s="31">
        <f>Settings!$B$3</f>
        <v/>
      </c>
      <c r="E813" s="31">
        <f>IF($C813="","",MIN($C813,$D813))</f>
        <v/>
      </c>
      <c r="F813" s="40">
        <f>IF($E813="","",$E813*Settings!$B$4)</f>
        <v/>
      </c>
    </row>
    <row r="814">
      <c r="A814" s="29" t="n"/>
      <c r="B814" s="31" t="n"/>
      <c r="C814" s="31">
        <f>IF(OR($A814="",$B814=""),"",SUMIFS(QuickLog!$L$2:$L$1000,QuickLog!$B$2:$B$1000,$B814,QuickLog!$Q$2:$Q$1000,$A814))</f>
        <v/>
      </c>
      <c r="D814" s="31">
        <f>Settings!$B$3</f>
        <v/>
      </c>
      <c r="E814" s="31">
        <f>IF($C814="","",MIN($C814,$D814))</f>
        <v/>
      </c>
      <c r="F814" s="40">
        <f>IF($E814="","",$E814*Settings!$B$4)</f>
        <v/>
      </c>
    </row>
    <row r="815">
      <c r="A815" s="29" t="n"/>
      <c r="B815" s="31" t="n"/>
      <c r="C815" s="31">
        <f>IF(OR($A815="",$B815=""),"",SUMIFS(QuickLog!$L$2:$L$1000,QuickLog!$B$2:$B$1000,$B815,QuickLog!$Q$2:$Q$1000,$A815))</f>
        <v/>
      </c>
      <c r="D815" s="31">
        <f>Settings!$B$3</f>
        <v/>
      </c>
      <c r="E815" s="31">
        <f>IF($C815="","",MIN($C815,$D815))</f>
        <v/>
      </c>
      <c r="F815" s="40">
        <f>IF($E815="","",$E815*Settings!$B$4)</f>
        <v/>
      </c>
    </row>
    <row r="816">
      <c r="A816" s="29" t="n"/>
      <c r="B816" s="31" t="n"/>
      <c r="C816" s="31">
        <f>IF(OR($A816="",$B816=""),"",SUMIFS(QuickLog!$L$2:$L$1000,QuickLog!$B$2:$B$1000,$B816,QuickLog!$Q$2:$Q$1000,$A816))</f>
        <v/>
      </c>
      <c r="D816" s="31">
        <f>Settings!$B$3</f>
        <v/>
      </c>
      <c r="E816" s="31">
        <f>IF($C816="","",MIN($C816,$D816))</f>
        <v/>
      </c>
      <c r="F816" s="40">
        <f>IF($E816="","",$E816*Settings!$B$4)</f>
        <v/>
      </c>
    </row>
    <row r="817">
      <c r="A817" s="29" t="n"/>
      <c r="B817" s="31" t="n"/>
      <c r="C817" s="31">
        <f>IF(OR($A817="",$B817=""),"",SUMIFS(QuickLog!$L$2:$L$1000,QuickLog!$B$2:$B$1000,$B817,QuickLog!$Q$2:$Q$1000,$A817))</f>
        <v/>
      </c>
      <c r="D817" s="31">
        <f>Settings!$B$3</f>
        <v/>
      </c>
      <c r="E817" s="31">
        <f>IF($C817="","",MIN($C817,$D817))</f>
        <v/>
      </c>
      <c r="F817" s="40">
        <f>IF($E817="","",$E817*Settings!$B$4)</f>
        <v/>
      </c>
    </row>
    <row r="818">
      <c r="A818" s="29" t="n"/>
      <c r="B818" s="31" t="n"/>
      <c r="C818" s="31">
        <f>IF(OR($A818="",$B818=""),"",SUMIFS(QuickLog!$L$2:$L$1000,QuickLog!$B$2:$B$1000,$B818,QuickLog!$Q$2:$Q$1000,$A818))</f>
        <v/>
      </c>
      <c r="D818" s="31">
        <f>Settings!$B$3</f>
        <v/>
      </c>
      <c r="E818" s="31">
        <f>IF($C818="","",MIN($C818,$D818))</f>
        <v/>
      </c>
      <c r="F818" s="40">
        <f>IF($E818="","",$E818*Settings!$B$4)</f>
        <v/>
      </c>
    </row>
    <row r="819">
      <c r="A819" s="29" t="n"/>
      <c r="B819" s="31" t="n"/>
      <c r="C819" s="31">
        <f>IF(OR($A819="",$B819=""),"",SUMIFS(QuickLog!$L$2:$L$1000,QuickLog!$B$2:$B$1000,$B819,QuickLog!$Q$2:$Q$1000,$A819))</f>
        <v/>
      </c>
      <c r="D819" s="31">
        <f>Settings!$B$3</f>
        <v/>
      </c>
      <c r="E819" s="31">
        <f>IF($C819="","",MIN($C819,$D819))</f>
        <v/>
      </c>
      <c r="F819" s="40">
        <f>IF($E819="","",$E819*Settings!$B$4)</f>
        <v/>
      </c>
    </row>
    <row r="820">
      <c r="A820" s="29" t="n"/>
      <c r="B820" s="31" t="n"/>
      <c r="C820" s="31">
        <f>IF(OR($A820="",$B820=""),"",SUMIFS(QuickLog!$L$2:$L$1000,QuickLog!$B$2:$B$1000,$B820,QuickLog!$Q$2:$Q$1000,$A820))</f>
        <v/>
      </c>
      <c r="D820" s="31">
        <f>Settings!$B$3</f>
        <v/>
      </c>
      <c r="E820" s="31">
        <f>IF($C820="","",MIN($C820,$D820))</f>
        <v/>
      </c>
      <c r="F820" s="40">
        <f>IF($E820="","",$E820*Settings!$B$4)</f>
        <v/>
      </c>
    </row>
    <row r="821">
      <c r="A821" s="29" t="n"/>
      <c r="B821" s="31" t="n"/>
      <c r="C821" s="31">
        <f>IF(OR($A821="",$B821=""),"",SUMIFS(QuickLog!$L$2:$L$1000,QuickLog!$B$2:$B$1000,$B821,QuickLog!$Q$2:$Q$1000,$A821))</f>
        <v/>
      </c>
      <c r="D821" s="31">
        <f>Settings!$B$3</f>
        <v/>
      </c>
      <c r="E821" s="31">
        <f>IF($C821="","",MIN($C821,$D821))</f>
        <v/>
      </c>
      <c r="F821" s="40">
        <f>IF($E821="","",$E821*Settings!$B$4)</f>
        <v/>
      </c>
    </row>
    <row r="822">
      <c r="A822" s="29" t="n"/>
      <c r="B822" s="31" t="n"/>
      <c r="C822" s="31">
        <f>IF(OR($A822="",$B822=""),"",SUMIFS(QuickLog!$L$2:$L$1000,QuickLog!$B$2:$B$1000,$B822,QuickLog!$Q$2:$Q$1000,$A822))</f>
        <v/>
      </c>
      <c r="D822" s="31">
        <f>Settings!$B$3</f>
        <v/>
      </c>
      <c r="E822" s="31">
        <f>IF($C822="","",MIN($C822,$D822))</f>
        <v/>
      </c>
      <c r="F822" s="40">
        <f>IF($E822="","",$E822*Settings!$B$4)</f>
        <v/>
      </c>
    </row>
    <row r="823">
      <c r="A823" s="29" t="n"/>
      <c r="B823" s="31" t="n"/>
      <c r="C823" s="31">
        <f>IF(OR($A823="",$B823=""),"",SUMIFS(QuickLog!$L$2:$L$1000,QuickLog!$B$2:$B$1000,$B823,QuickLog!$Q$2:$Q$1000,$A823))</f>
        <v/>
      </c>
      <c r="D823" s="31">
        <f>Settings!$B$3</f>
        <v/>
      </c>
      <c r="E823" s="31">
        <f>IF($C823="","",MIN($C823,$D823))</f>
        <v/>
      </c>
      <c r="F823" s="40">
        <f>IF($E823="","",$E823*Settings!$B$4)</f>
        <v/>
      </c>
    </row>
    <row r="824">
      <c r="A824" s="29" t="n"/>
      <c r="B824" s="31" t="n"/>
      <c r="C824" s="31">
        <f>IF(OR($A824="",$B824=""),"",SUMIFS(QuickLog!$L$2:$L$1000,QuickLog!$B$2:$B$1000,$B824,QuickLog!$Q$2:$Q$1000,$A824))</f>
        <v/>
      </c>
      <c r="D824" s="31">
        <f>Settings!$B$3</f>
        <v/>
      </c>
      <c r="E824" s="31">
        <f>IF($C824="","",MIN($C824,$D824))</f>
        <v/>
      </c>
      <c r="F824" s="40">
        <f>IF($E824="","",$E824*Settings!$B$4)</f>
        <v/>
      </c>
    </row>
    <row r="825">
      <c r="A825" s="29" t="n"/>
      <c r="B825" s="31" t="n"/>
      <c r="C825" s="31">
        <f>IF(OR($A825="",$B825=""),"",SUMIFS(QuickLog!$L$2:$L$1000,QuickLog!$B$2:$B$1000,$B825,QuickLog!$Q$2:$Q$1000,$A825))</f>
        <v/>
      </c>
      <c r="D825" s="31">
        <f>Settings!$B$3</f>
        <v/>
      </c>
      <c r="E825" s="31">
        <f>IF($C825="","",MIN($C825,$D825))</f>
        <v/>
      </c>
      <c r="F825" s="40">
        <f>IF($E825="","",$E825*Settings!$B$4)</f>
        <v/>
      </c>
    </row>
    <row r="826">
      <c r="A826" s="29" t="n"/>
      <c r="B826" s="31" t="n"/>
      <c r="C826" s="31">
        <f>IF(OR($A826="",$B826=""),"",SUMIFS(QuickLog!$L$2:$L$1000,QuickLog!$B$2:$B$1000,$B826,QuickLog!$Q$2:$Q$1000,$A826))</f>
        <v/>
      </c>
      <c r="D826" s="31">
        <f>Settings!$B$3</f>
        <v/>
      </c>
      <c r="E826" s="31">
        <f>IF($C826="","",MIN($C826,$D826))</f>
        <v/>
      </c>
      <c r="F826" s="40">
        <f>IF($E826="","",$E826*Settings!$B$4)</f>
        <v/>
      </c>
    </row>
    <row r="827">
      <c r="A827" s="29" t="n"/>
      <c r="B827" s="31" t="n"/>
      <c r="C827" s="31">
        <f>IF(OR($A827="",$B827=""),"",SUMIFS(QuickLog!$L$2:$L$1000,QuickLog!$B$2:$B$1000,$B827,QuickLog!$Q$2:$Q$1000,$A827))</f>
        <v/>
      </c>
      <c r="D827" s="31">
        <f>Settings!$B$3</f>
        <v/>
      </c>
      <c r="E827" s="31">
        <f>IF($C827="","",MIN($C827,$D827))</f>
        <v/>
      </c>
      <c r="F827" s="40">
        <f>IF($E827="","",$E827*Settings!$B$4)</f>
        <v/>
      </c>
    </row>
    <row r="828">
      <c r="A828" s="29" t="n"/>
      <c r="B828" s="31" t="n"/>
      <c r="C828" s="31">
        <f>IF(OR($A828="",$B828=""),"",SUMIFS(QuickLog!$L$2:$L$1000,QuickLog!$B$2:$B$1000,$B828,QuickLog!$Q$2:$Q$1000,$A828))</f>
        <v/>
      </c>
      <c r="D828" s="31">
        <f>Settings!$B$3</f>
        <v/>
      </c>
      <c r="E828" s="31">
        <f>IF($C828="","",MIN($C828,$D828))</f>
        <v/>
      </c>
      <c r="F828" s="40">
        <f>IF($E828="","",$E828*Settings!$B$4)</f>
        <v/>
      </c>
    </row>
    <row r="829">
      <c r="A829" s="29" t="n"/>
      <c r="B829" s="31" t="n"/>
      <c r="C829" s="31">
        <f>IF(OR($A829="",$B829=""),"",SUMIFS(QuickLog!$L$2:$L$1000,QuickLog!$B$2:$B$1000,$B829,QuickLog!$Q$2:$Q$1000,$A829))</f>
        <v/>
      </c>
      <c r="D829" s="31">
        <f>Settings!$B$3</f>
        <v/>
      </c>
      <c r="E829" s="31">
        <f>IF($C829="","",MIN($C829,$D829))</f>
        <v/>
      </c>
      <c r="F829" s="40">
        <f>IF($E829="","",$E829*Settings!$B$4)</f>
        <v/>
      </c>
    </row>
    <row r="830">
      <c r="A830" s="29" t="n"/>
      <c r="B830" s="31" t="n"/>
      <c r="C830" s="31">
        <f>IF(OR($A830="",$B830=""),"",SUMIFS(QuickLog!$L$2:$L$1000,QuickLog!$B$2:$B$1000,$B830,QuickLog!$Q$2:$Q$1000,$A830))</f>
        <v/>
      </c>
      <c r="D830" s="31">
        <f>Settings!$B$3</f>
        <v/>
      </c>
      <c r="E830" s="31">
        <f>IF($C830="","",MIN($C830,$D830))</f>
        <v/>
      </c>
      <c r="F830" s="40">
        <f>IF($E830="","",$E830*Settings!$B$4)</f>
        <v/>
      </c>
    </row>
    <row r="831">
      <c r="A831" s="29" t="n"/>
      <c r="B831" s="31" t="n"/>
      <c r="C831" s="31">
        <f>IF(OR($A831="",$B831=""),"",SUMIFS(QuickLog!$L$2:$L$1000,QuickLog!$B$2:$B$1000,$B831,QuickLog!$Q$2:$Q$1000,$A831))</f>
        <v/>
      </c>
      <c r="D831" s="31">
        <f>Settings!$B$3</f>
        <v/>
      </c>
      <c r="E831" s="31">
        <f>IF($C831="","",MIN($C831,$D831))</f>
        <v/>
      </c>
      <c r="F831" s="40">
        <f>IF($E831="","",$E831*Settings!$B$4)</f>
        <v/>
      </c>
    </row>
    <row r="832">
      <c r="A832" s="29" t="n"/>
      <c r="B832" s="31" t="n"/>
      <c r="C832" s="31">
        <f>IF(OR($A832="",$B832=""),"",SUMIFS(QuickLog!$L$2:$L$1000,QuickLog!$B$2:$B$1000,$B832,QuickLog!$Q$2:$Q$1000,$A832))</f>
        <v/>
      </c>
      <c r="D832" s="31">
        <f>Settings!$B$3</f>
        <v/>
      </c>
      <c r="E832" s="31">
        <f>IF($C832="","",MIN($C832,$D832))</f>
        <v/>
      </c>
      <c r="F832" s="40">
        <f>IF($E832="","",$E832*Settings!$B$4)</f>
        <v/>
      </c>
    </row>
    <row r="833">
      <c r="A833" s="29" t="n"/>
      <c r="B833" s="31" t="n"/>
      <c r="C833" s="31">
        <f>IF(OR($A833="",$B833=""),"",SUMIFS(QuickLog!$L$2:$L$1000,QuickLog!$B$2:$B$1000,$B833,QuickLog!$Q$2:$Q$1000,$A833))</f>
        <v/>
      </c>
      <c r="D833" s="31">
        <f>Settings!$B$3</f>
        <v/>
      </c>
      <c r="E833" s="31">
        <f>IF($C833="","",MIN($C833,$D833))</f>
        <v/>
      </c>
      <c r="F833" s="40">
        <f>IF($E833="","",$E833*Settings!$B$4)</f>
        <v/>
      </c>
    </row>
    <row r="834">
      <c r="A834" s="29" t="n"/>
      <c r="B834" s="31" t="n"/>
      <c r="C834" s="31">
        <f>IF(OR($A834="",$B834=""),"",SUMIFS(QuickLog!$L$2:$L$1000,QuickLog!$B$2:$B$1000,$B834,QuickLog!$Q$2:$Q$1000,$A834))</f>
        <v/>
      </c>
      <c r="D834" s="31">
        <f>Settings!$B$3</f>
        <v/>
      </c>
      <c r="E834" s="31">
        <f>IF($C834="","",MIN($C834,$D834))</f>
        <v/>
      </c>
      <c r="F834" s="40">
        <f>IF($E834="","",$E834*Settings!$B$4)</f>
        <v/>
      </c>
    </row>
    <row r="835">
      <c r="A835" s="29" t="n"/>
      <c r="B835" s="31" t="n"/>
      <c r="C835" s="31">
        <f>IF(OR($A835="",$B835=""),"",SUMIFS(QuickLog!$L$2:$L$1000,QuickLog!$B$2:$B$1000,$B835,QuickLog!$Q$2:$Q$1000,$A835))</f>
        <v/>
      </c>
      <c r="D835" s="31">
        <f>Settings!$B$3</f>
        <v/>
      </c>
      <c r="E835" s="31">
        <f>IF($C835="","",MIN($C835,$D835))</f>
        <v/>
      </c>
      <c r="F835" s="40">
        <f>IF($E835="","",$E835*Settings!$B$4)</f>
        <v/>
      </c>
    </row>
    <row r="836">
      <c r="A836" s="29" t="n"/>
      <c r="B836" s="31" t="n"/>
      <c r="C836" s="31">
        <f>IF(OR($A836="",$B836=""),"",SUMIFS(QuickLog!$L$2:$L$1000,QuickLog!$B$2:$B$1000,$B836,QuickLog!$Q$2:$Q$1000,$A836))</f>
        <v/>
      </c>
      <c r="D836" s="31">
        <f>Settings!$B$3</f>
        <v/>
      </c>
      <c r="E836" s="31">
        <f>IF($C836="","",MIN($C836,$D836))</f>
        <v/>
      </c>
      <c r="F836" s="40">
        <f>IF($E836="","",$E836*Settings!$B$4)</f>
        <v/>
      </c>
    </row>
    <row r="837">
      <c r="A837" s="29" t="n"/>
      <c r="B837" s="31" t="n"/>
      <c r="C837" s="31">
        <f>IF(OR($A837="",$B837=""),"",SUMIFS(QuickLog!$L$2:$L$1000,QuickLog!$B$2:$B$1000,$B837,QuickLog!$Q$2:$Q$1000,$A837))</f>
        <v/>
      </c>
      <c r="D837" s="31">
        <f>Settings!$B$3</f>
        <v/>
      </c>
      <c r="E837" s="31">
        <f>IF($C837="","",MIN($C837,$D837))</f>
        <v/>
      </c>
      <c r="F837" s="40">
        <f>IF($E837="","",$E837*Settings!$B$4)</f>
        <v/>
      </c>
    </row>
    <row r="838">
      <c r="A838" s="29" t="n"/>
      <c r="B838" s="31" t="n"/>
      <c r="C838" s="31">
        <f>IF(OR($A838="",$B838=""),"",SUMIFS(QuickLog!$L$2:$L$1000,QuickLog!$B$2:$B$1000,$B838,QuickLog!$Q$2:$Q$1000,$A838))</f>
        <v/>
      </c>
      <c r="D838" s="31">
        <f>Settings!$B$3</f>
        <v/>
      </c>
      <c r="E838" s="31">
        <f>IF($C838="","",MIN($C838,$D838))</f>
        <v/>
      </c>
      <c r="F838" s="40">
        <f>IF($E838="","",$E838*Settings!$B$4)</f>
        <v/>
      </c>
    </row>
    <row r="839">
      <c r="A839" s="29" t="n"/>
      <c r="B839" s="31" t="n"/>
      <c r="C839" s="31">
        <f>IF(OR($A839="",$B839=""),"",SUMIFS(QuickLog!$L$2:$L$1000,QuickLog!$B$2:$B$1000,$B839,QuickLog!$Q$2:$Q$1000,$A839))</f>
        <v/>
      </c>
      <c r="D839" s="31">
        <f>Settings!$B$3</f>
        <v/>
      </c>
      <c r="E839" s="31">
        <f>IF($C839="","",MIN($C839,$D839))</f>
        <v/>
      </c>
      <c r="F839" s="40">
        <f>IF($E839="","",$E839*Settings!$B$4)</f>
        <v/>
      </c>
    </row>
    <row r="840">
      <c r="A840" s="29" t="n"/>
      <c r="B840" s="31" t="n"/>
      <c r="C840" s="31">
        <f>IF(OR($A840="",$B840=""),"",SUMIFS(QuickLog!$L$2:$L$1000,QuickLog!$B$2:$B$1000,$B840,QuickLog!$Q$2:$Q$1000,$A840))</f>
        <v/>
      </c>
      <c r="D840" s="31">
        <f>Settings!$B$3</f>
        <v/>
      </c>
      <c r="E840" s="31">
        <f>IF($C840="","",MIN($C840,$D840))</f>
        <v/>
      </c>
      <c r="F840" s="40">
        <f>IF($E840="","",$E840*Settings!$B$4)</f>
        <v/>
      </c>
    </row>
    <row r="841">
      <c r="A841" s="29" t="n"/>
      <c r="B841" s="31" t="n"/>
      <c r="C841" s="31">
        <f>IF(OR($A841="",$B841=""),"",SUMIFS(QuickLog!$L$2:$L$1000,QuickLog!$B$2:$B$1000,$B841,QuickLog!$Q$2:$Q$1000,$A841))</f>
        <v/>
      </c>
      <c r="D841" s="31">
        <f>Settings!$B$3</f>
        <v/>
      </c>
      <c r="E841" s="31">
        <f>IF($C841="","",MIN($C841,$D841))</f>
        <v/>
      </c>
      <c r="F841" s="40">
        <f>IF($E841="","",$E841*Settings!$B$4)</f>
        <v/>
      </c>
    </row>
    <row r="842">
      <c r="A842" s="29" t="n"/>
      <c r="B842" s="31" t="n"/>
      <c r="C842" s="31">
        <f>IF(OR($A842="",$B842=""),"",SUMIFS(QuickLog!$L$2:$L$1000,QuickLog!$B$2:$B$1000,$B842,QuickLog!$Q$2:$Q$1000,$A842))</f>
        <v/>
      </c>
      <c r="D842" s="31">
        <f>Settings!$B$3</f>
        <v/>
      </c>
      <c r="E842" s="31">
        <f>IF($C842="","",MIN($C842,$D842))</f>
        <v/>
      </c>
      <c r="F842" s="40">
        <f>IF($E842="","",$E842*Settings!$B$4)</f>
        <v/>
      </c>
    </row>
    <row r="843">
      <c r="A843" s="29" t="n"/>
      <c r="B843" s="31" t="n"/>
      <c r="C843" s="31">
        <f>IF(OR($A843="",$B843=""),"",SUMIFS(QuickLog!$L$2:$L$1000,QuickLog!$B$2:$B$1000,$B843,QuickLog!$Q$2:$Q$1000,$A843))</f>
        <v/>
      </c>
      <c r="D843" s="31">
        <f>Settings!$B$3</f>
        <v/>
      </c>
      <c r="E843" s="31">
        <f>IF($C843="","",MIN($C843,$D843))</f>
        <v/>
      </c>
      <c r="F843" s="40">
        <f>IF($E843="","",$E843*Settings!$B$4)</f>
        <v/>
      </c>
    </row>
    <row r="844">
      <c r="A844" s="29" t="n"/>
      <c r="B844" s="31" t="n"/>
      <c r="C844" s="31">
        <f>IF(OR($A844="",$B844=""),"",SUMIFS(QuickLog!$L$2:$L$1000,QuickLog!$B$2:$B$1000,$B844,QuickLog!$Q$2:$Q$1000,$A844))</f>
        <v/>
      </c>
      <c r="D844" s="31">
        <f>Settings!$B$3</f>
        <v/>
      </c>
      <c r="E844" s="31">
        <f>IF($C844="","",MIN($C844,$D844))</f>
        <v/>
      </c>
      <c r="F844" s="40">
        <f>IF($E844="","",$E844*Settings!$B$4)</f>
        <v/>
      </c>
    </row>
    <row r="845">
      <c r="A845" s="29" t="n"/>
      <c r="B845" s="31" t="n"/>
      <c r="C845" s="31">
        <f>IF(OR($A845="",$B845=""),"",SUMIFS(QuickLog!$L$2:$L$1000,QuickLog!$B$2:$B$1000,$B845,QuickLog!$Q$2:$Q$1000,$A845))</f>
        <v/>
      </c>
      <c r="D845" s="31">
        <f>Settings!$B$3</f>
        <v/>
      </c>
      <c r="E845" s="31">
        <f>IF($C845="","",MIN($C845,$D845))</f>
        <v/>
      </c>
      <c r="F845" s="40">
        <f>IF($E845="","",$E845*Settings!$B$4)</f>
        <v/>
      </c>
    </row>
    <row r="846">
      <c r="A846" s="29" t="n"/>
      <c r="B846" s="31" t="n"/>
      <c r="C846" s="31">
        <f>IF(OR($A846="",$B846=""),"",SUMIFS(QuickLog!$L$2:$L$1000,QuickLog!$B$2:$B$1000,$B846,QuickLog!$Q$2:$Q$1000,$A846))</f>
        <v/>
      </c>
      <c r="D846" s="31">
        <f>Settings!$B$3</f>
        <v/>
      </c>
      <c r="E846" s="31">
        <f>IF($C846="","",MIN($C846,$D846))</f>
        <v/>
      </c>
      <c r="F846" s="40">
        <f>IF($E846="","",$E846*Settings!$B$4)</f>
        <v/>
      </c>
    </row>
    <row r="847">
      <c r="A847" s="29" t="n"/>
      <c r="B847" s="31" t="n"/>
      <c r="C847" s="31">
        <f>IF(OR($A847="",$B847=""),"",SUMIFS(QuickLog!$L$2:$L$1000,QuickLog!$B$2:$B$1000,$B847,QuickLog!$Q$2:$Q$1000,$A847))</f>
        <v/>
      </c>
      <c r="D847" s="31">
        <f>Settings!$B$3</f>
        <v/>
      </c>
      <c r="E847" s="31">
        <f>IF($C847="","",MIN($C847,$D847))</f>
        <v/>
      </c>
      <c r="F847" s="40">
        <f>IF($E847="","",$E847*Settings!$B$4)</f>
        <v/>
      </c>
    </row>
    <row r="848">
      <c r="A848" s="29" t="n"/>
      <c r="B848" s="31" t="n"/>
      <c r="C848" s="31">
        <f>IF(OR($A848="",$B848=""),"",SUMIFS(QuickLog!$L$2:$L$1000,QuickLog!$B$2:$B$1000,$B848,QuickLog!$Q$2:$Q$1000,$A848))</f>
        <v/>
      </c>
      <c r="D848" s="31">
        <f>Settings!$B$3</f>
        <v/>
      </c>
      <c r="E848" s="31">
        <f>IF($C848="","",MIN($C848,$D848))</f>
        <v/>
      </c>
      <c r="F848" s="40">
        <f>IF($E848="","",$E848*Settings!$B$4)</f>
        <v/>
      </c>
    </row>
    <row r="849">
      <c r="A849" s="29" t="n"/>
      <c r="B849" s="31" t="n"/>
      <c r="C849" s="31">
        <f>IF(OR($A849="",$B849=""),"",SUMIFS(QuickLog!$L$2:$L$1000,QuickLog!$B$2:$B$1000,$B849,QuickLog!$Q$2:$Q$1000,$A849))</f>
        <v/>
      </c>
      <c r="D849" s="31">
        <f>Settings!$B$3</f>
        <v/>
      </c>
      <c r="E849" s="31">
        <f>IF($C849="","",MIN($C849,$D849))</f>
        <v/>
      </c>
      <c r="F849" s="40">
        <f>IF($E849="","",$E849*Settings!$B$4)</f>
        <v/>
      </c>
    </row>
    <row r="850">
      <c r="A850" s="29" t="n"/>
      <c r="B850" s="31" t="n"/>
      <c r="C850" s="31">
        <f>IF(OR($A850="",$B850=""),"",SUMIFS(QuickLog!$L$2:$L$1000,QuickLog!$B$2:$B$1000,$B850,QuickLog!$Q$2:$Q$1000,$A850))</f>
        <v/>
      </c>
      <c r="D850" s="31">
        <f>Settings!$B$3</f>
        <v/>
      </c>
      <c r="E850" s="31">
        <f>IF($C850="","",MIN($C850,$D850))</f>
        <v/>
      </c>
      <c r="F850" s="40">
        <f>IF($E850="","",$E850*Settings!$B$4)</f>
        <v/>
      </c>
    </row>
    <row r="851">
      <c r="A851" s="29" t="n"/>
      <c r="B851" s="31" t="n"/>
      <c r="C851" s="31">
        <f>IF(OR($A851="",$B851=""),"",SUMIFS(QuickLog!$L$2:$L$1000,QuickLog!$B$2:$B$1000,$B851,QuickLog!$Q$2:$Q$1000,$A851))</f>
        <v/>
      </c>
      <c r="D851" s="31">
        <f>Settings!$B$3</f>
        <v/>
      </c>
      <c r="E851" s="31">
        <f>IF($C851="","",MIN($C851,$D851))</f>
        <v/>
      </c>
      <c r="F851" s="40">
        <f>IF($E851="","",$E851*Settings!$B$4)</f>
        <v/>
      </c>
    </row>
    <row r="852">
      <c r="A852" s="29" t="n"/>
      <c r="B852" s="31" t="n"/>
      <c r="C852" s="31">
        <f>IF(OR($A852="",$B852=""),"",SUMIFS(QuickLog!$L$2:$L$1000,QuickLog!$B$2:$B$1000,$B852,QuickLog!$Q$2:$Q$1000,$A852))</f>
        <v/>
      </c>
      <c r="D852" s="31">
        <f>Settings!$B$3</f>
        <v/>
      </c>
      <c r="E852" s="31">
        <f>IF($C852="","",MIN($C852,$D852))</f>
        <v/>
      </c>
      <c r="F852" s="40">
        <f>IF($E852="","",$E852*Settings!$B$4)</f>
        <v/>
      </c>
    </row>
    <row r="853">
      <c r="A853" s="29" t="n"/>
      <c r="B853" s="31" t="n"/>
      <c r="C853" s="31">
        <f>IF(OR($A853="",$B853=""),"",SUMIFS(QuickLog!$L$2:$L$1000,QuickLog!$B$2:$B$1000,$B853,QuickLog!$Q$2:$Q$1000,$A853))</f>
        <v/>
      </c>
      <c r="D853" s="31">
        <f>Settings!$B$3</f>
        <v/>
      </c>
      <c r="E853" s="31">
        <f>IF($C853="","",MIN($C853,$D853))</f>
        <v/>
      </c>
      <c r="F853" s="40">
        <f>IF($E853="","",$E853*Settings!$B$4)</f>
        <v/>
      </c>
    </row>
    <row r="854">
      <c r="A854" s="29" t="n"/>
      <c r="B854" s="31" t="n"/>
      <c r="C854" s="31">
        <f>IF(OR($A854="",$B854=""),"",SUMIFS(QuickLog!$L$2:$L$1000,QuickLog!$B$2:$B$1000,$B854,QuickLog!$Q$2:$Q$1000,$A854))</f>
        <v/>
      </c>
      <c r="D854" s="31">
        <f>Settings!$B$3</f>
        <v/>
      </c>
      <c r="E854" s="31">
        <f>IF($C854="","",MIN($C854,$D854))</f>
        <v/>
      </c>
      <c r="F854" s="40">
        <f>IF($E854="","",$E854*Settings!$B$4)</f>
        <v/>
      </c>
    </row>
    <row r="855">
      <c r="A855" s="29" t="n"/>
      <c r="B855" s="31" t="n"/>
      <c r="C855" s="31">
        <f>IF(OR($A855="",$B855=""),"",SUMIFS(QuickLog!$L$2:$L$1000,QuickLog!$B$2:$B$1000,$B855,QuickLog!$Q$2:$Q$1000,$A855))</f>
        <v/>
      </c>
      <c r="D855" s="31">
        <f>Settings!$B$3</f>
        <v/>
      </c>
      <c r="E855" s="31">
        <f>IF($C855="","",MIN($C855,$D855))</f>
        <v/>
      </c>
      <c r="F855" s="40">
        <f>IF($E855="","",$E855*Settings!$B$4)</f>
        <v/>
      </c>
    </row>
    <row r="856">
      <c r="A856" s="29" t="n"/>
      <c r="B856" s="31" t="n"/>
      <c r="C856" s="31">
        <f>IF(OR($A856="",$B856=""),"",SUMIFS(QuickLog!$L$2:$L$1000,QuickLog!$B$2:$B$1000,$B856,QuickLog!$Q$2:$Q$1000,$A856))</f>
        <v/>
      </c>
      <c r="D856" s="31">
        <f>Settings!$B$3</f>
        <v/>
      </c>
      <c r="E856" s="31">
        <f>IF($C856="","",MIN($C856,$D856))</f>
        <v/>
      </c>
      <c r="F856" s="40">
        <f>IF($E856="","",$E856*Settings!$B$4)</f>
        <v/>
      </c>
    </row>
    <row r="857">
      <c r="A857" s="29" t="n"/>
      <c r="B857" s="31" t="n"/>
      <c r="C857" s="31">
        <f>IF(OR($A857="",$B857=""),"",SUMIFS(QuickLog!$L$2:$L$1000,QuickLog!$B$2:$B$1000,$B857,QuickLog!$Q$2:$Q$1000,$A857))</f>
        <v/>
      </c>
      <c r="D857" s="31">
        <f>Settings!$B$3</f>
        <v/>
      </c>
      <c r="E857" s="31">
        <f>IF($C857="","",MIN($C857,$D857))</f>
        <v/>
      </c>
      <c r="F857" s="40">
        <f>IF($E857="","",$E857*Settings!$B$4)</f>
        <v/>
      </c>
    </row>
    <row r="858">
      <c r="A858" s="29" t="n"/>
      <c r="B858" s="31" t="n"/>
      <c r="C858" s="31">
        <f>IF(OR($A858="",$B858=""),"",SUMIFS(QuickLog!$L$2:$L$1000,QuickLog!$B$2:$B$1000,$B858,QuickLog!$Q$2:$Q$1000,$A858))</f>
        <v/>
      </c>
      <c r="D858" s="31">
        <f>Settings!$B$3</f>
        <v/>
      </c>
      <c r="E858" s="31">
        <f>IF($C858="","",MIN($C858,$D858))</f>
        <v/>
      </c>
      <c r="F858" s="40">
        <f>IF($E858="","",$E858*Settings!$B$4)</f>
        <v/>
      </c>
    </row>
    <row r="859">
      <c r="A859" s="29" t="n"/>
      <c r="B859" s="31" t="n"/>
      <c r="C859" s="31">
        <f>IF(OR($A859="",$B859=""),"",SUMIFS(QuickLog!$L$2:$L$1000,QuickLog!$B$2:$B$1000,$B859,QuickLog!$Q$2:$Q$1000,$A859))</f>
        <v/>
      </c>
      <c r="D859" s="31">
        <f>Settings!$B$3</f>
        <v/>
      </c>
      <c r="E859" s="31">
        <f>IF($C859="","",MIN($C859,$D859))</f>
        <v/>
      </c>
      <c r="F859" s="40">
        <f>IF($E859="","",$E859*Settings!$B$4)</f>
        <v/>
      </c>
    </row>
    <row r="860">
      <c r="A860" s="29" t="n"/>
      <c r="B860" s="31" t="n"/>
      <c r="C860" s="31">
        <f>IF(OR($A860="",$B860=""),"",SUMIFS(QuickLog!$L$2:$L$1000,QuickLog!$B$2:$B$1000,$B860,QuickLog!$Q$2:$Q$1000,$A860))</f>
        <v/>
      </c>
      <c r="D860" s="31">
        <f>Settings!$B$3</f>
        <v/>
      </c>
      <c r="E860" s="31">
        <f>IF($C860="","",MIN($C860,$D860))</f>
        <v/>
      </c>
      <c r="F860" s="40">
        <f>IF($E860="","",$E860*Settings!$B$4)</f>
        <v/>
      </c>
    </row>
    <row r="861">
      <c r="A861" s="29" t="n"/>
      <c r="B861" s="31" t="n"/>
      <c r="C861" s="31">
        <f>IF(OR($A861="",$B861=""),"",SUMIFS(QuickLog!$L$2:$L$1000,QuickLog!$B$2:$B$1000,$B861,QuickLog!$Q$2:$Q$1000,$A861))</f>
        <v/>
      </c>
      <c r="D861" s="31">
        <f>Settings!$B$3</f>
        <v/>
      </c>
      <c r="E861" s="31">
        <f>IF($C861="","",MIN($C861,$D861))</f>
        <v/>
      </c>
      <c r="F861" s="40">
        <f>IF($E861="","",$E861*Settings!$B$4)</f>
        <v/>
      </c>
    </row>
    <row r="862">
      <c r="A862" s="29" t="n"/>
      <c r="B862" s="31" t="n"/>
      <c r="C862" s="31">
        <f>IF(OR($A862="",$B862=""),"",SUMIFS(QuickLog!$L$2:$L$1000,QuickLog!$B$2:$B$1000,$B862,QuickLog!$Q$2:$Q$1000,$A862))</f>
        <v/>
      </c>
      <c r="D862" s="31">
        <f>Settings!$B$3</f>
        <v/>
      </c>
      <c r="E862" s="31">
        <f>IF($C862="","",MIN($C862,$D862))</f>
        <v/>
      </c>
      <c r="F862" s="40">
        <f>IF($E862="","",$E862*Settings!$B$4)</f>
        <v/>
      </c>
    </row>
    <row r="863">
      <c r="A863" s="29" t="n"/>
      <c r="B863" s="31" t="n"/>
      <c r="C863" s="31">
        <f>IF(OR($A863="",$B863=""),"",SUMIFS(QuickLog!$L$2:$L$1000,QuickLog!$B$2:$B$1000,$B863,QuickLog!$Q$2:$Q$1000,$A863))</f>
        <v/>
      </c>
      <c r="D863" s="31">
        <f>Settings!$B$3</f>
        <v/>
      </c>
      <c r="E863" s="31">
        <f>IF($C863="","",MIN($C863,$D863))</f>
        <v/>
      </c>
      <c r="F863" s="40">
        <f>IF($E863="","",$E863*Settings!$B$4)</f>
        <v/>
      </c>
    </row>
    <row r="864">
      <c r="A864" s="29" t="n"/>
      <c r="B864" s="31" t="n"/>
      <c r="C864" s="31">
        <f>IF(OR($A864="",$B864=""),"",SUMIFS(QuickLog!$L$2:$L$1000,QuickLog!$B$2:$B$1000,$B864,QuickLog!$Q$2:$Q$1000,$A864))</f>
        <v/>
      </c>
      <c r="D864" s="31">
        <f>Settings!$B$3</f>
        <v/>
      </c>
      <c r="E864" s="31">
        <f>IF($C864="","",MIN($C864,$D864))</f>
        <v/>
      </c>
      <c r="F864" s="40">
        <f>IF($E864="","",$E864*Settings!$B$4)</f>
        <v/>
      </c>
    </row>
    <row r="865">
      <c r="A865" s="29" t="n"/>
      <c r="B865" s="31" t="n"/>
      <c r="C865" s="31">
        <f>IF(OR($A865="",$B865=""),"",SUMIFS(QuickLog!$L$2:$L$1000,QuickLog!$B$2:$B$1000,$B865,QuickLog!$Q$2:$Q$1000,$A865))</f>
        <v/>
      </c>
      <c r="D865" s="31">
        <f>Settings!$B$3</f>
        <v/>
      </c>
      <c r="E865" s="31">
        <f>IF($C865="","",MIN($C865,$D865))</f>
        <v/>
      </c>
      <c r="F865" s="40">
        <f>IF($E865="","",$E865*Settings!$B$4)</f>
        <v/>
      </c>
    </row>
    <row r="866">
      <c r="A866" s="29" t="n"/>
      <c r="B866" s="31" t="n"/>
      <c r="C866" s="31">
        <f>IF(OR($A866="",$B866=""),"",SUMIFS(QuickLog!$L$2:$L$1000,QuickLog!$B$2:$B$1000,$B866,QuickLog!$Q$2:$Q$1000,$A866))</f>
        <v/>
      </c>
      <c r="D866" s="31">
        <f>Settings!$B$3</f>
        <v/>
      </c>
      <c r="E866" s="31">
        <f>IF($C866="","",MIN($C866,$D866))</f>
        <v/>
      </c>
      <c r="F866" s="40">
        <f>IF($E866="","",$E866*Settings!$B$4)</f>
        <v/>
      </c>
    </row>
    <row r="867">
      <c r="A867" s="29" t="n"/>
      <c r="B867" s="31" t="n"/>
      <c r="C867" s="31">
        <f>IF(OR($A867="",$B867=""),"",SUMIFS(QuickLog!$L$2:$L$1000,QuickLog!$B$2:$B$1000,$B867,QuickLog!$Q$2:$Q$1000,$A867))</f>
        <v/>
      </c>
      <c r="D867" s="31">
        <f>Settings!$B$3</f>
        <v/>
      </c>
      <c r="E867" s="31">
        <f>IF($C867="","",MIN($C867,$D867))</f>
        <v/>
      </c>
      <c r="F867" s="40">
        <f>IF($E867="","",$E867*Settings!$B$4)</f>
        <v/>
      </c>
    </row>
    <row r="868">
      <c r="A868" s="29" t="n"/>
      <c r="B868" s="31" t="n"/>
      <c r="C868" s="31">
        <f>IF(OR($A868="",$B868=""),"",SUMIFS(QuickLog!$L$2:$L$1000,QuickLog!$B$2:$B$1000,$B868,QuickLog!$Q$2:$Q$1000,$A868))</f>
        <v/>
      </c>
      <c r="D868" s="31">
        <f>Settings!$B$3</f>
        <v/>
      </c>
      <c r="E868" s="31">
        <f>IF($C868="","",MIN($C868,$D868))</f>
        <v/>
      </c>
      <c r="F868" s="40">
        <f>IF($E868="","",$E868*Settings!$B$4)</f>
        <v/>
      </c>
    </row>
    <row r="869">
      <c r="A869" s="29" t="n"/>
      <c r="B869" s="31" t="n"/>
      <c r="C869" s="31">
        <f>IF(OR($A869="",$B869=""),"",SUMIFS(QuickLog!$L$2:$L$1000,QuickLog!$B$2:$B$1000,$B869,QuickLog!$Q$2:$Q$1000,$A869))</f>
        <v/>
      </c>
      <c r="D869" s="31">
        <f>Settings!$B$3</f>
        <v/>
      </c>
      <c r="E869" s="31">
        <f>IF($C869="","",MIN($C869,$D869))</f>
        <v/>
      </c>
      <c r="F869" s="40">
        <f>IF($E869="","",$E869*Settings!$B$4)</f>
        <v/>
      </c>
    </row>
    <row r="870">
      <c r="A870" s="29" t="n"/>
      <c r="B870" s="31" t="n"/>
      <c r="C870" s="31">
        <f>IF(OR($A870="",$B870=""),"",SUMIFS(QuickLog!$L$2:$L$1000,QuickLog!$B$2:$B$1000,$B870,QuickLog!$Q$2:$Q$1000,$A870))</f>
        <v/>
      </c>
      <c r="D870" s="31">
        <f>Settings!$B$3</f>
        <v/>
      </c>
      <c r="E870" s="31">
        <f>IF($C870="","",MIN($C870,$D870))</f>
        <v/>
      </c>
      <c r="F870" s="40">
        <f>IF($E870="","",$E870*Settings!$B$4)</f>
        <v/>
      </c>
    </row>
    <row r="871">
      <c r="A871" s="29" t="n"/>
      <c r="B871" s="31" t="n"/>
      <c r="C871" s="31">
        <f>IF(OR($A871="",$B871=""),"",SUMIFS(QuickLog!$L$2:$L$1000,QuickLog!$B$2:$B$1000,$B871,QuickLog!$Q$2:$Q$1000,$A871))</f>
        <v/>
      </c>
      <c r="D871" s="31">
        <f>Settings!$B$3</f>
        <v/>
      </c>
      <c r="E871" s="31">
        <f>IF($C871="","",MIN($C871,$D871))</f>
        <v/>
      </c>
      <c r="F871" s="40">
        <f>IF($E871="","",$E871*Settings!$B$4)</f>
        <v/>
      </c>
    </row>
    <row r="872">
      <c r="A872" s="29" t="n"/>
      <c r="B872" s="31" t="n"/>
      <c r="C872" s="31">
        <f>IF(OR($A872="",$B872=""),"",SUMIFS(QuickLog!$L$2:$L$1000,QuickLog!$B$2:$B$1000,$B872,QuickLog!$Q$2:$Q$1000,$A872))</f>
        <v/>
      </c>
      <c r="D872" s="31">
        <f>Settings!$B$3</f>
        <v/>
      </c>
      <c r="E872" s="31">
        <f>IF($C872="","",MIN($C872,$D872))</f>
        <v/>
      </c>
      <c r="F872" s="40">
        <f>IF($E872="","",$E872*Settings!$B$4)</f>
        <v/>
      </c>
    </row>
    <row r="873">
      <c r="A873" s="29" t="n"/>
      <c r="B873" s="31" t="n"/>
      <c r="C873" s="31">
        <f>IF(OR($A873="",$B873=""),"",SUMIFS(QuickLog!$L$2:$L$1000,QuickLog!$B$2:$B$1000,$B873,QuickLog!$Q$2:$Q$1000,$A873))</f>
        <v/>
      </c>
      <c r="D873" s="31">
        <f>Settings!$B$3</f>
        <v/>
      </c>
      <c r="E873" s="31">
        <f>IF($C873="","",MIN($C873,$D873))</f>
        <v/>
      </c>
      <c r="F873" s="40">
        <f>IF($E873="","",$E873*Settings!$B$4)</f>
        <v/>
      </c>
    </row>
    <row r="874">
      <c r="A874" s="29" t="n"/>
      <c r="B874" s="31" t="n"/>
      <c r="C874" s="31">
        <f>IF(OR($A874="",$B874=""),"",SUMIFS(QuickLog!$L$2:$L$1000,QuickLog!$B$2:$B$1000,$B874,QuickLog!$Q$2:$Q$1000,$A874))</f>
        <v/>
      </c>
      <c r="D874" s="31">
        <f>Settings!$B$3</f>
        <v/>
      </c>
      <c r="E874" s="31">
        <f>IF($C874="","",MIN($C874,$D874))</f>
        <v/>
      </c>
      <c r="F874" s="40">
        <f>IF($E874="","",$E874*Settings!$B$4)</f>
        <v/>
      </c>
    </row>
    <row r="875">
      <c r="A875" s="29" t="n"/>
      <c r="B875" s="31" t="n"/>
      <c r="C875" s="31">
        <f>IF(OR($A875="",$B875=""),"",SUMIFS(QuickLog!$L$2:$L$1000,QuickLog!$B$2:$B$1000,$B875,QuickLog!$Q$2:$Q$1000,$A875))</f>
        <v/>
      </c>
      <c r="D875" s="31">
        <f>Settings!$B$3</f>
        <v/>
      </c>
      <c r="E875" s="31">
        <f>IF($C875="","",MIN($C875,$D875))</f>
        <v/>
      </c>
      <c r="F875" s="40">
        <f>IF($E875="","",$E875*Settings!$B$4)</f>
        <v/>
      </c>
    </row>
    <row r="876">
      <c r="A876" s="29" t="n"/>
      <c r="B876" s="31" t="n"/>
      <c r="C876" s="31">
        <f>IF(OR($A876="",$B876=""),"",SUMIFS(QuickLog!$L$2:$L$1000,QuickLog!$B$2:$B$1000,$B876,QuickLog!$Q$2:$Q$1000,$A876))</f>
        <v/>
      </c>
      <c r="D876" s="31">
        <f>Settings!$B$3</f>
        <v/>
      </c>
      <c r="E876" s="31">
        <f>IF($C876="","",MIN($C876,$D876))</f>
        <v/>
      </c>
      <c r="F876" s="40">
        <f>IF($E876="","",$E876*Settings!$B$4)</f>
        <v/>
      </c>
    </row>
    <row r="877">
      <c r="A877" s="29" t="n"/>
      <c r="B877" s="31" t="n"/>
      <c r="C877" s="31">
        <f>IF(OR($A877="",$B877=""),"",SUMIFS(QuickLog!$L$2:$L$1000,QuickLog!$B$2:$B$1000,$B877,QuickLog!$Q$2:$Q$1000,$A877))</f>
        <v/>
      </c>
      <c r="D877" s="31">
        <f>Settings!$B$3</f>
        <v/>
      </c>
      <c r="E877" s="31">
        <f>IF($C877="","",MIN($C877,$D877))</f>
        <v/>
      </c>
      <c r="F877" s="40">
        <f>IF($E877="","",$E877*Settings!$B$4)</f>
        <v/>
      </c>
    </row>
    <row r="878">
      <c r="A878" s="29" t="n"/>
      <c r="B878" s="31" t="n"/>
      <c r="C878" s="31">
        <f>IF(OR($A878="",$B878=""),"",SUMIFS(QuickLog!$L$2:$L$1000,QuickLog!$B$2:$B$1000,$B878,QuickLog!$Q$2:$Q$1000,$A878))</f>
        <v/>
      </c>
      <c r="D878" s="31">
        <f>Settings!$B$3</f>
        <v/>
      </c>
      <c r="E878" s="31">
        <f>IF($C878="","",MIN($C878,$D878))</f>
        <v/>
      </c>
      <c r="F878" s="40">
        <f>IF($E878="","",$E878*Settings!$B$4)</f>
        <v/>
      </c>
    </row>
    <row r="879">
      <c r="A879" s="29" t="n"/>
      <c r="B879" s="31" t="n"/>
      <c r="C879" s="31">
        <f>IF(OR($A879="",$B879=""),"",SUMIFS(QuickLog!$L$2:$L$1000,QuickLog!$B$2:$B$1000,$B879,QuickLog!$Q$2:$Q$1000,$A879))</f>
        <v/>
      </c>
      <c r="D879" s="31">
        <f>Settings!$B$3</f>
        <v/>
      </c>
      <c r="E879" s="31">
        <f>IF($C879="","",MIN($C879,$D879))</f>
        <v/>
      </c>
      <c r="F879" s="40">
        <f>IF($E879="","",$E879*Settings!$B$4)</f>
        <v/>
      </c>
    </row>
    <row r="880">
      <c r="A880" s="29" t="n"/>
      <c r="B880" s="31" t="n"/>
      <c r="C880" s="31">
        <f>IF(OR($A880="",$B880=""),"",SUMIFS(QuickLog!$L$2:$L$1000,QuickLog!$B$2:$B$1000,$B880,QuickLog!$Q$2:$Q$1000,$A880))</f>
        <v/>
      </c>
      <c r="D880" s="31">
        <f>Settings!$B$3</f>
        <v/>
      </c>
      <c r="E880" s="31">
        <f>IF($C880="","",MIN($C880,$D880))</f>
        <v/>
      </c>
      <c r="F880" s="40">
        <f>IF($E880="","",$E880*Settings!$B$4)</f>
        <v/>
      </c>
    </row>
    <row r="881">
      <c r="A881" s="29" t="n"/>
      <c r="B881" s="31" t="n"/>
      <c r="C881" s="31">
        <f>IF(OR($A881="",$B881=""),"",SUMIFS(QuickLog!$L$2:$L$1000,QuickLog!$B$2:$B$1000,$B881,QuickLog!$Q$2:$Q$1000,$A881))</f>
        <v/>
      </c>
      <c r="D881" s="31">
        <f>Settings!$B$3</f>
        <v/>
      </c>
      <c r="E881" s="31">
        <f>IF($C881="","",MIN($C881,$D881))</f>
        <v/>
      </c>
      <c r="F881" s="40">
        <f>IF($E881="","",$E881*Settings!$B$4)</f>
        <v/>
      </c>
    </row>
    <row r="882">
      <c r="A882" s="29" t="n"/>
      <c r="B882" s="31" t="n"/>
      <c r="C882" s="31">
        <f>IF(OR($A882="",$B882=""),"",SUMIFS(QuickLog!$L$2:$L$1000,QuickLog!$B$2:$B$1000,$B882,QuickLog!$Q$2:$Q$1000,$A882))</f>
        <v/>
      </c>
      <c r="D882" s="31">
        <f>Settings!$B$3</f>
        <v/>
      </c>
      <c r="E882" s="31">
        <f>IF($C882="","",MIN($C882,$D882))</f>
        <v/>
      </c>
      <c r="F882" s="40">
        <f>IF($E882="","",$E882*Settings!$B$4)</f>
        <v/>
      </c>
    </row>
    <row r="883">
      <c r="A883" s="29" t="n"/>
      <c r="B883" s="31" t="n"/>
      <c r="C883" s="31">
        <f>IF(OR($A883="",$B883=""),"",SUMIFS(QuickLog!$L$2:$L$1000,QuickLog!$B$2:$B$1000,$B883,QuickLog!$Q$2:$Q$1000,$A883))</f>
        <v/>
      </c>
      <c r="D883" s="31">
        <f>Settings!$B$3</f>
        <v/>
      </c>
      <c r="E883" s="31">
        <f>IF($C883="","",MIN($C883,$D883))</f>
        <v/>
      </c>
      <c r="F883" s="40">
        <f>IF($E883="","",$E883*Settings!$B$4)</f>
        <v/>
      </c>
    </row>
    <row r="884">
      <c r="A884" s="29" t="n"/>
      <c r="B884" s="31" t="n"/>
      <c r="C884" s="31">
        <f>IF(OR($A884="",$B884=""),"",SUMIFS(QuickLog!$L$2:$L$1000,QuickLog!$B$2:$B$1000,$B884,QuickLog!$Q$2:$Q$1000,$A884))</f>
        <v/>
      </c>
      <c r="D884" s="31">
        <f>Settings!$B$3</f>
        <v/>
      </c>
      <c r="E884" s="31">
        <f>IF($C884="","",MIN($C884,$D884))</f>
        <v/>
      </c>
      <c r="F884" s="40">
        <f>IF($E884="","",$E884*Settings!$B$4)</f>
        <v/>
      </c>
    </row>
    <row r="885">
      <c r="A885" s="29" t="n"/>
      <c r="B885" s="31" t="n"/>
      <c r="C885" s="31">
        <f>IF(OR($A885="",$B885=""),"",SUMIFS(QuickLog!$L$2:$L$1000,QuickLog!$B$2:$B$1000,$B885,QuickLog!$Q$2:$Q$1000,$A885))</f>
        <v/>
      </c>
      <c r="D885" s="31">
        <f>Settings!$B$3</f>
        <v/>
      </c>
      <c r="E885" s="31">
        <f>IF($C885="","",MIN($C885,$D885))</f>
        <v/>
      </c>
      <c r="F885" s="40">
        <f>IF($E885="","",$E885*Settings!$B$4)</f>
        <v/>
      </c>
    </row>
    <row r="886">
      <c r="A886" s="29" t="n"/>
      <c r="B886" s="31" t="n"/>
      <c r="C886" s="31">
        <f>IF(OR($A886="",$B886=""),"",SUMIFS(QuickLog!$L$2:$L$1000,QuickLog!$B$2:$B$1000,$B886,QuickLog!$Q$2:$Q$1000,$A886))</f>
        <v/>
      </c>
      <c r="D886" s="31">
        <f>Settings!$B$3</f>
        <v/>
      </c>
      <c r="E886" s="31">
        <f>IF($C886="","",MIN($C886,$D886))</f>
        <v/>
      </c>
      <c r="F886" s="40">
        <f>IF($E886="","",$E886*Settings!$B$4)</f>
        <v/>
      </c>
    </row>
    <row r="887">
      <c r="A887" s="29" t="n"/>
      <c r="B887" s="31" t="n"/>
      <c r="C887" s="31">
        <f>IF(OR($A887="",$B887=""),"",SUMIFS(QuickLog!$L$2:$L$1000,QuickLog!$B$2:$B$1000,$B887,QuickLog!$Q$2:$Q$1000,$A887))</f>
        <v/>
      </c>
      <c r="D887" s="31">
        <f>Settings!$B$3</f>
        <v/>
      </c>
      <c r="E887" s="31">
        <f>IF($C887="","",MIN($C887,$D887))</f>
        <v/>
      </c>
      <c r="F887" s="40">
        <f>IF($E887="","",$E887*Settings!$B$4)</f>
        <v/>
      </c>
    </row>
    <row r="888">
      <c r="A888" s="29" t="n"/>
      <c r="B888" s="31" t="n"/>
      <c r="C888" s="31">
        <f>IF(OR($A888="",$B888=""),"",SUMIFS(QuickLog!$L$2:$L$1000,QuickLog!$B$2:$B$1000,$B888,QuickLog!$Q$2:$Q$1000,$A888))</f>
        <v/>
      </c>
      <c r="D888" s="31">
        <f>Settings!$B$3</f>
        <v/>
      </c>
      <c r="E888" s="31">
        <f>IF($C888="","",MIN($C888,$D888))</f>
        <v/>
      </c>
      <c r="F888" s="40">
        <f>IF($E888="","",$E888*Settings!$B$4)</f>
        <v/>
      </c>
    </row>
    <row r="889">
      <c r="A889" s="29" t="n"/>
      <c r="B889" s="31" t="n"/>
      <c r="C889" s="31">
        <f>IF(OR($A889="",$B889=""),"",SUMIFS(QuickLog!$L$2:$L$1000,QuickLog!$B$2:$B$1000,$B889,QuickLog!$Q$2:$Q$1000,$A889))</f>
        <v/>
      </c>
      <c r="D889" s="31">
        <f>Settings!$B$3</f>
        <v/>
      </c>
      <c r="E889" s="31">
        <f>IF($C889="","",MIN($C889,$D889))</f>
        <v/>
      </c>
      <c r="F889" s="40">
        <f>IF($E889="","",$E889*Settings!$B$4)</f>
        <v/>
      </c>
    </row>
    <row r="890">
      <c r="A890" s="29" t="n"/>
      <c r="B890" s="31" t="n"/>
      <c r="C890" s="31">
        <f>IF(OR($A890="",$B890=""),"",SUMIFS(QuickLog!$L$2:$L$1000,QuickLog!$B$2:$B$1000,$B890,QuickLog!$Q$2:$Q$1000,$A890))</f>
        <v/>
      </c>
      <c r="D890" s="31">
        <f>Settings!$B$3</f>
        <v/>
      </c>
      <c r="E890" s="31">
        <f>IF($C890="","",MIN($C890,$D890))</f>
        <v/>
      </c>
      <c r="F890" s="40">
        <f>IF($E890="","",$E890*Settings!$B$4)</f>
        <v/>
      </c>
    </row>
    <row r="891">
      <c r="A891" s="29" t="n"/>
      <c r="B891" s="31" t="n"/>
      <c r="C891" s="31">
        <f>IF(OR($A891="",$B891=""),"",SUMIFS(QuickLog!$L$2:$L$1000,QuickLog!$B$2:$B$1000,$B891,QuickLog!$Q$2:$Q$1000,$A891))</f>
        <v/>
      </c>
      <c r="D891" s="31">
        <f>Settings!$B$3</f>
        <v/>
      </c>
      <c r="E891" s="31">
        <f>IF($C891="","",MIN($C891,$D891))</f>
        <v/>
      </c>
      <c r="F891" s="40">
        <f>IF($E891="","",$E891*Settings!$B$4)</f>
        <v/>
      </c>
    </row>
    <row r="892">
      <c r="A892" s="29" t="n"/>
      <c r="B892" s="31" t="n"/>
      <c r="C892" s="31">
        <f>IF(OR($A892="",$B892=""),"",SUMIFS(QuickLog!$L$2:$L$1000,QuickLog!$B$2:$B$1000,$B892,QuickLog!$Q$2:$Q$1000,$A892))</f>
        <v/>
      </c>
      <c r="D892" s="31">
        <f>Settings!$B$3</f>
        <v/>
      </c>
      <c r="E892" s="31">
        <f>IF($C892="","",MIN($C892,$D892))</f>
        <v/>
      </c>
      <c r="F892" s="40">
        <f>IF($E892="","",$E892*Settings!$B$4)</f>
        <v/>
      </c>
    </row>
    <row r="893">
      <c r="A893" s="29" t="n"/>
      <c r="B893" s="31" t="n"/>
      <c r="C893" s="31">
        <f>IF(OR($A893="",$B893=""),"",SUMIFS(QuickLog!$L$2:$L$1000,QuickLog!$B$2:$B$1000,$B893,QuickLog!$Q$2:$Q$1000,$A893))</f>
        <v/>
      </c>
      <c r="D893" s="31">
        <f>Settings!$B$3</f>
        <v/>
      </c>
      <c r="E893" s="31">
        <f>IF($C893="","",MIN($C893,$D893))</f>
        <v/>
      </c>
      <c r="F893" s="40">
        <f>IF($E893="","",$E893*Settings!$B$4)</f>
        <v/>
      </c>
    </row>
    <row r="894">
      <c r="A894" s="29" t="n"/>
      <c r="B894" s="31" t="n"/>
      <c r="C894" s="31">
        <f>IF(OR($A894="",$B894=""),"",SUMIFS(QuickLog!$L$2:$L$1000,QuickLog!$B$2:$B$1000,$B894,QuickLog!$Q$2:$Q$1000,$A894))</f>
        <v/>
      </c>
      <c r="D894" s="31">
        <f>Settings!$B$3</f>
        <v/>
      </c>
      <c r="E894" s="31">
        <f>IF($C894="","",MIN($C894,$D894))</f>
        <v/>
      </c>
      <c r="F894" s="40">
        <f>IF($E894="","",$E894*Settings!$B$4)</f>
        <v/>
      </c>
    </row>
    <row r="895">
      <c r="A895" s="29" t="n"/>
      <c r="B895" s="31" t="n"/>
      <c r="C895" s="31">
        <f>IF(OR($A895="",$B895=""),"",SUMIFS(QuickLog!$L$2:$L$1000,QuickLog!$B$2:$B$1000,$B895,QuickLog!$Q$2:$Q$1000,$A895))</f>
        <v/>
      </c>
      <c r="D895" s="31">
        <f>Settings!$B$3</f>
        <v/>
      </c>
      <c r="E895" s="31">
        <f>IF($C895="","",MIN($C895,$D895))</f>
        <v/>
      </c>
      <c r="F895" s="40">
        <f>IF($E895="","",$E895*Settings!$B$4)</f>
        <v/>
      </c>
    </row>
    <row r="896">
      <c r="A896" s="29" t="n"/>
      <c r="B896" s="31" t="n"/>
      <c r="C896" s="31">
        <f>IF(OR($A896="",$B896=""),"",SUMIFS(QuickLog!$L$2:$L$1000,QuickLog!$B$2:$B$1000,$B896,QuickLog!$Q$2:$Q$1000,$A896))</f>
        <v/>
      </c>
      <c r="D896" s="31">
        <f>Settings!$B$3</f>
        <v/>
      </c>
      <c r="E896" s="31">
        <f>IF($C896="","",MIN($C896,$D896))</f>
        <v/>
      </c>
      <c r="F896" s="40">
        <f>IF($E896="","",$E896*Settings!$B$4)</f>
        <v/>
      </c>
    </row>
    <row r="897">
      <c r="A897" s="29" t="n"/>
      <c r="B897" s="31" t="n"/>
      <c r="C897" s="31">
        <f>IF(OR($A897="",$B897=""),"",SUMIFS(QuickLog!$L$2:$L$1000,QuickLog!$B$2:$B$1000,$B897,QuickLog!$Q$2:$Q$1000,$A897))</f>
        <v/>
      </c>
      <c r="D897" s="31">
        <f>Settings!$B$3</f>
        <v/>
      </c>
      <c r="E897" s="31">
        <f>IF($C897="","",MIN($C897,$D897))</f>
        <v/>
      </c>
      <c r="F897" s="40">
        <f>IF($E897="","",$E897*Settings!$B$4)</f>
        <v/>
      </c>
    </row>
    <row r="898">
      <c r="A898" s="29" t="n"/>
      <c r="B898" s="31" t="n"/>
      <c r="C898" s="31">
        <f>IF(OR($A898="",$B898=""),"",SUMIFS(QuickLog!$L$2:$L$1000,QuickLog!$B$2:$B$1000,$B898,QuickLog!$Q$2:$Q$1000,$A898))</f>
        <v/>
      </c>
      <c r="D898" s="31">
        <f>Settings!$B$3</f>
        <v/>
      </c>
      <c r="E898" s="31">
        <f>IF($C898="","",MIN($C898,$D898))</f>
        <v/>
      </c>
      <c r="F898" s="40">
        <f>IF($E898="","",$E898*Settings!$B$4)</f>
        <v/>
      </c>
    </row>
    <row r="899">
      <c r="A899" s="29" t="n"/>
      <c r="B899" s="31" t="n"/>
      <c r="C899" s="31">
        <f>IF(OR($A899="",$B899=""),"",SUMIFS(QuickLog!$L$2:$L$1000,QuickLog!$B$2:$B$1000,$B899,QuickLog!$Q$2:$Q$1000,$A899))</f>
        <v/>
      </c>
      <c r="D899" s="31">
        <f>Settings!$B$3</f>
        <v/>
      </c>
      <c r="E899" s="31">
        <f>IF($C899="","",MIN($C899,$D899))</f>
        <v/>
      </c>
      <c r="F899" s="40">
        <f>IF($E899="","",$E899*Settings!$B$4)</f>
        <v/>
      </c>
    </row>
    <row r="900">
      <c r="A900" s="29" t="n"/>
      <c r="B900" s="31" t="n"/>
      <c r="C900" s="31">
        <f>IF(OR($A900="",$B900=""),"",SUMIFS(QuickLog!$L$2:$L$1000,QuickLog!$B$2:$B$1000,$B900,QuickLog!$Q$2:$Q$1000,$A900))</f>
        <v/>
      </c>
      <c r="D900" s="31">
        <f>Settings!$B$3</f>
        <v/>
      </c>
      <c r="E900" s="31">
        <f>IF($C900="","",MIN($C900,$D900))</f>
        <v/>
      </c>
      <c r="F900" s="40">
        <f>IF($E900="","",$E900*Settings!$B$4)</f>
        <v/>
      </c>
    </row>
    <row r="901">
      <c r="A901" s="29" t="n"/>
      <c r="B901" s="31" t="n"/>
      <c r="C901" s="31">
        <f>IF(OR($A901="",$B901=""),"",SUMIFS(QuickLog!$L$2:$L$1000,QuickLog!$B$2:$B$1000,$B901,QuickLog!$Q$2:$Q$1000,$A901))</f>
        <v/>
      </c>
      <c r="D901" s="31">
        <f>Settings!$B$3</f>
        <v/>
      </c>
      <c r="E901" s="31">
        <f>IF($C901="","",MIN($C901,$D901))</f>
        <v/>
      </c>
      <c r="F901" s="40">
        <f>IF($E901="","",$E901*Settings!$B$4)</f>
        <v/>
      </c>
    </row>
    <row r="902">
      <c r="A902" s="29" t="n"/>
      <c r="B902" s="31" t="n"/>
      <c r="C902" s="31">
        <f>IF(OR($A902="",$B902=""),"",SUMIFS(QuickLog!$L$2:$L$1000,QuickLog!$B$2:$B$1000,$B902,QuickLog!$Q$2:$Q$1000,$A902))</f>
        <v/>
      </c>
      <c r="D902" s="31">
        <f>Settings!$B$3</f>
        <v/>
      </c>
      <c r="E902" s="31">
        <f>IF($C902="","",MIN($C902,$D902))</f>
        <v/>
      </c>
      <c r="F902" s="40">
        <f>IF($E902="","",$E902*Settings!$B$4)</f>
        <v/>
      </c>
    </row>
    <row r="903">
      <c r="A903" s="29" t="n"/>
      <c r="B903" s="31" t="n"/>
      <c r="C903" s="31">
        <f>IF(OR($A903="",$B903=""),"",SUMIFS(QuickLog!$L$2:$L$1000,QuickLog!$B$2:$B$1000,$B903,QuickLog!$Q$2:$Q$1000,$A903))</f>
        <v/>
      </c>
      <c r="D903" s="31">
        <f>Settings!$B$3</f>
        <v/>
      </c>
      <c r="E903" s="31">
        <f>IF($C903="","",MIN($C903,$D903))</f>
        <v/>
      </c>
      <c r="F903" s="40">
        <f>IF($E903="","",$E903*Settings!$B$4)</f>
        <v/>
      </c>
    </row>
    <row r="904">
      <c r="A904" s="29" t="n"/>
      <c r="B904" s="31" t="n"/>
      <c r="C904" s="31">
        <f>IF(OR($A904="",$B904=""),"",SUMIFS(QuickLog!$L$2:$L$1000,QuickLog!$B$2:$B$1000,$B904,QuickLog!$Q$2:$Q$1000,$A904))</f>
        <v/>
      </c>
      <c r="D904" s="31">
        <f>Settings!$B$3</f>
        <v/>
      </c>
      <c r="E904" s="31">
        <f>IF($C904="","",MIN($C904,$D904))</f>
        <v/>
      </c>
      <c r="F904" s="40">
        <f>IF($E904="","",$E904*Settings!$B$4)</f>
        <v/>
      </c>
    </row>
    <row r="905">
      <c r="A905" s="29" t="n"/>
      <c r="B905" s="31" t="n"/>
      <c r="C905" s="31">
        <f>IF(OR($A905="",$B905=""),"",SUMIFS(QuickLog!$L$2:$L$1000,QuickLog!$B$2:$B$1000,$B905,QuickLog!$Q$2:$Q$1000,$A905))</f>
        <v/>
      </c>
      <c r="D905" s="31">
        <f>Settings!$B$3</f>
        <v/>
      </c>
      <c r="E905" s="31">
        <f>IF($C905="","",MIN($C905,$D905))</f>
        <v/>
      </c>
      <c r="F905" s="40">
        <f>IF($E905="","",$E905*Settings!$B$4)</f>
        <v/>
      </c>
    </row>
    <row r="906">
      <c r="A906" s="29" t="n"/>
      <c r="B906" s="31" t="n"/>
      <c r="C906" s="31">
        <f>IF(OR($A906="",$B906=""),"",SUMIFS(QuickLog!$L$2:$L$1000,QuickLog!$B$2:$B$1000,$B906,QuickLog!$Q$2:$Q$1000,$A906))</f>
        <v/>
      </c>
      <c r="D906" s="31">
        <f>Settings!$B$3</f>
        <v/>
      </c>
      <c r="E906" s="31">
        <f>IF($C906="","",MIN($C906,$D906))</f>
        <v/>
      </c>
      <c r="F906" s="40">
        <f>IF($E906="","",$E906*Settings!$B$4)</f>
        <v/>
      </c>
    </row>
    <row r="907">
      <c r="A907" s="29" t="n"/>
      <c r="B907" s="31" t="n"/>
      <c r="C907" s="31">
        <f>IF(OR($A907="",$B907=""),"",SUMIFS(QuickLog!$L$2:$L$1000,QuickLog!$B$2:$B$1000,$B907,QuickLog!$Q$2:$Q$1000,$A907))</f>
        <v/>
      </c>
      <c r="D907" s="31">
        <f>Settings!$B$3</f>
        <v/>
      </c>
      <c r="E907" s="31">
        <f>IF($C907="","",MIN($C907,$D907))</f>
        <v/>
      </c>
      <c r="F907" s="40">
        <f>IF($E907="","",$E907*Settings!$B$4)</f>
        <v/>
      </c>
    </row>
    <row r="908">
      <c r="A908" s="29" t="n"/>
      <c r="B908" s="31" t="n"/>
      <c r="C908" s="31">
        <f>IF(OR($A908="",$B908=""),"",SUMIFS(QuickLog!$L$2:$L$1000,QuickLog!$B$2:$B$1000,$B908,QuickLog!$Q$2:$Q$1000,$A908))</f>
        <v/>
      </c>
      <c r="D908" s="31">
        <f>Settings!$B$3</f>
        <v/>
      </c>
      <c r="E908" s="31">
        <f>IF($C908="","",MIN($C908,$D908))</f>
        <v/>
      </c>
      <c r="F908" s="40">
        <f>IF($E908="","",$E908*Settings!$B$4)</f>
        <v/>
      </c>
    </row>
    <row r="909">
      <c r="A909" s="29" t="n"/>
      <c r="B909" s="31" t="n"/>
      <c r="C909" s="31">
        <f>IF(OR($A909="",$B909=""),"",SUMIFS(QuickLog!$L$2:$L$1000,QuickLog!$B$2:$B$1000,$B909,QuickLog!$Q$2:$Q$1000,$A909))</f>
        <v/>
      </c>
      <c r="D909" s="31">
        <f>Settings!$B$3</f>
        <v/>
      </c>
      <c r="E909" s="31">
        <f>IF($C909="","",MIN($C909,$D909))</f>
        <v/>
      </c>
      <c r="F909" s="40">
        <f>IF($E909="","",$E909*Settings!$B$4)</f>
        <v/>
      </c>
    </row>
    <row r="910">
      <c r="A910" s="29" t="n"/>
      <c r="B910" s="31" t="n"/>
      <c r="C910" s="31">
        <f>IF(OR($A910="",$B910=""),"",SUMIFS(QuickLog!$L$2:$L$1000,QuickLog!$B$2:$B$1000,$B910,QuickLog!$Q$2:$Q$1000,$A910))</f>
        <v/>
      </c>
      <c r="D910" s="31">
        <f>Settings!$B$3</f>
        <v/>
      </c>
      <c r="E910" s="31">
        <f>IF($C910="","",MIN($C910,$D910))</f>
        <v/>
      </c>
      <c r="F910" s="40">
        <f>IF($E910="","",$E910*Settings!$B$4)</f>
        <v/>
      </c>
    </row>
    <row r="911">
      <c r="A911" s="29" t="n"/>
      <c r="B911" s="31" t="n"/>
      <c r="C911" s="31">
        <f>IF(OR($A911="",$B911=""),"",SUMIFS(QuickLog!$L$2:$L$1000,QuickLog!$B$2:$B$1000,$B911,QuickLog!$Q$2:$Q$1000,$A911))</f>
        <v/>
      </c>
      <c r="D911" s="31">
        <f>Settings!$B$3</f>
        <v/>
      </c>
      <c r="E911" s="31">
        <f>IF($C911="","",MIN($C911,$D911))</f>
        <v/>
      </c>
      <c r="F911" s="40">
        <f>IF($E911="","",$E911*Settings!$B$4)</f>
        <v/>
      </c>
    </row>
    <row r="912">
      <c r="A912" s="29" t="n"/>
      <c r="B912" s="31" t="n"/>
      <c r="C912" s="31">
        <f>IF(OR($A912="",$B912=""),"",SUMIFS(QuickLog!$L$2:$L$1000,QuickLog!$B$2:$B$1000,$B912,QuickLog!$Q$2:$Q$1000,$A912))</f>
        <v/>
      </c>
      <c r="D912" s="31">
        <f>Settings!$B$3</f>
        <v/>
      </c>
      <c r="E912" s="31">
        <f>IF($C912="","",MIN($C912,$D912))</f>
        <v/>
      </c>
      <c r="F912" s="40">
        <f>IF($E912="","",$E912*Settings!$B$4)</f>
        <v/>
      </c>
    </row>
    <row r="913">
      <c r="A913" s="29" t="n"/>
      <c r="B913" s="31" t="n"/>
      <c r="C913" s="31">
        <f>IF(OR($A913="",$B913=""),"",SUMIFS(QuickLog!$L$2:$L$1000,QuickLog!$B$2:$B$1000,$B913,QuickLog!$Q$2:$Q$1000,$A913))</f>
        <v/>
      </c>
      <c r="D913" s="31">
        <f>Settings!$B$3</f>
        <v/>
      </c>
      <c r="E913" s="31">
        <f>IF($C913="","",MIN($C913,$D913))</f>
        <v/>
      </c>
      <c r="F913" s="40">
        <f>IF($E913="","",$E913*Settings!$B$4)</f>
        <v/>
      </c>
    </row>
    <row r="914">
      <c r="A914" s="29" t="n"/>
      <c r="B914" s="31" t="n"/>
      <c r="C914" s="31">
        <f>IF(OR($A914="",$B914=""),"",SUMIFS(QuickLog!$L$2:$L$1000,QuickLog!$B$2:$B$1000,$B914,QuickLog!$Q$2:$Q$1000,$A914))</f>
        <v/>
      </c>
      <c r="D914" s="31">
        <f>Settings!$B$3</f>
        <v/>
      </c>
      <c r="E914" s="31">
        <f>IF($C914="","",MIN($C914,$D914))</f>
        <v/>
      </c>
      <c r="F914" s="40">
        <f>IF($E914="","",$E914*Settings!$B$4)</f>
        <v/>
      </c>
    </row>
    <row r="915">
      <c r="A915" s="29" t="n"/>
      <c r="B915" s="31" t="n"/>
      <c r="C915" s="31">
        <f>IF(OR($A915="",$B915=""),"",SUMIFS(QuickLog!$L$2:$L$1000,QuickLog!$B$2:$B$1000,$B915,QuickLog!$Q$2:$Q$1000,$A915))</f>
        <v/>
      </c>
      <c r="D915" s="31">
        <f>Settings!$B$3</f>
        <v/>
      </c>
      <c r="E915" s="31">
        <f>IF($C915="","",MIN($C915,$D915))</f>
        <v/>
      </c>
      <c r="F915" s="40">
        <f>IF($E915="","",$E915*Settings!$B$4)</f>
        <v/>
      </c>
    </row>
    <row r="916">
      <c r="A916" s="29" t="n"/>
      <c r="B916" s="31" t="n"/>
      <c r="C916" s="31">
        <f>IF(OR($A916="",$B916=""),"",SUMIFS(QuickLog!$L$2:$L$1000,QuickLog!$B$2:$B$1000,$B916,QuickLog!$Q$2:$Q$1000,$A916))</f>
        <v/>
      </c>
      <c r="D916" s="31">
        <f>Settings!$B$3</f>
        <v/>
      </c>
      <c r="E916" s="31">
        <f>IF($C916="","",MIN($C916,$D916))</f>
        <v/>
      </c>
      <c r="F916" s="40">
        <f>IF($E916="","",$E916*Settings!$B$4)</f>
        <v/>
      </c>
    </row>
    <row r="917">
      <c r="A917" s="29" t="n"/>
      <c r="B917" s="31" t="n"/>
      <c r="C917" s="31">
        <f>IF(OR($A917="",$B917=""),"",SUMIFS(QuickLog!$L$2:$L$1000,QuickLog!$B$2:$B$1000,$B917,QuickLog!$Q$2:$Q$1000,$A917))</f>
        <v/>
      </c>
      <c r="D917" s="31">
        <f>Settings!$B$3</f>
        <v/>
      </c>
      <c r="E917" s="31">
        <f>IF($C917="","",MIN($C917,$D917))</f>
        <v/>
      </c>
      <c r="F917" s="40">
        <f>IF($E917="","",$E917*Settings!$B$4)</f>
        <v/>
      </c>
    </row>
    <row r="918">
      <c r="A918" s="29" t="n"/>
      <c r="B918" s="31" t="n"/>
      <c r="C918" s="31">
        <f>IF(OR($A918="",$B918=""),"",SUMIFS(QuickLog!$L$2:$L$1000,QuickLog!$B$2:$B$1000,$B918,QuickLog!$Q$2:$Q$1000,$A918))</f>
        <v/>
      </c>
      <c r="D918" s="31">
        <f>Settings!$B$3</f>
        <v/>
      </c>
      <c r="E918" s="31">
        <f>IF($C918="","",MIN($C918,$D918))</f>
        <v/>
      </c>
      <c r="F918" s="40">
        <f>IF($E918="","",$E918*Settings!$B$4)</f>
        <v/>
      </c>
    </row>
    <row r="919">
      <c r="A919" s="29" t="n"/>
      <c r="B919" s="31" t="n"/>
      <c r="C919" s="31">
        <f>IF(OR($A919="",$B919=""),"",SUMIFS(QuickLog!$L$2:$L$1000,QuickLog!$B$2:$B$1000,$B919,QuickLog!$Q$2:$Q$1000,$A919))</f>
        <v/>
      </c>
      <c r="D919" s="31">
        <f>Settings!$B$3</f>
        <v/>
      </c>
      <c r="E919" s="31">
        <f>IF($C919="","",MIN($C919,$D919))</f>
        <v/>
      </c>
      <c r="F919" s="40">
        <f>IF($E919="","",$E919*Settings!$B$4)</f>
        <v/>
      </c>
    </row>
    <row r="920">
      <c r="A920" s="29" t="n"/>
      <c r="B920" s="31" t="n"/>
      <c r="C920" s="31">
        <f>IF(OR($A920="",$B920=""),"",SUMIFS(QuickLog!$L$2:$L$1000,QuickLog!$B$2:$B$1000,$B920,QuickLog!$Q$2:$Q$1000,$A920))</f>
        <v/>
      </c>
      <c r="D920" s="31">
        <f>Settings!$B$3</f>
        <v/>
      </c>
      <c r="E920" s="31">
        <f>IF($C920="","",MIN($C920,$D920))</f>
        <v/>
      </c>
      <c r="F920" s="40">
        <f>IF($E920="","",$E920*Settings!$B$4)</f>
        <v/>
      </c>
    </row>
    <row r="921">
      <c r="A921" s="29" t="n"/>
      <c r="B921" s="31" t="n"/>
      <c r="C921" s="31">
        <f>IF(OR($A921="",$B921=""),"",SUMIFS(QuickLog!$L$2:$L$1000,QuickLog!$B$2:$B$1000,$B921,QuickLog!$Q$2:$Q$1000,$A921))</f>
        <v/>
      </c>
      <c r="D921" s="31">
        <f>Settings!$B$3</f>
        <v/>
      </c>
      <c r="E921" s="31">
        <f>IF($C921="","",MIN($C921,$D921))</f>
        <v/>
      </c>
      <c r="F921" s="40">
        <f>IF($E921="","",$E921*Settings!$B$4)</f>
        <v/>
      </c>
    </row>
    <row r="922">
      <c r="A922" s="29" t="n"/>
      <c r="B922" s="31" t="n"/>
      <c r="C922" s="31">
        <f>IF(OR($A922="",$B922=""),"",SUMIFS(QuickLog!$L$2:$L$1000,QuickLog!$B$2:$B$1000,$B922,QuickLog!$Q$2:$Q$1000,$A922))</f>
        <v/>
      </c>
      <c r="D922" s="31">
        <f>Settings!$B$3</f>
        <v/>
      </c>
      <c r="E922" s="31">
        <f>IF($C922="","",MIN($C922,$D922))</f>
        <v/>
      </c>
      <c r="F922" s="40">
        <f>IF($E922="","",$E922*Settings!$B$4)</f>
        <v/>
      </c>
    </row>
    <row r="923">
      <c r="A923" s="29" t="n"/>
      <c r="B923" s="31" t="n"/>
      <c r="C923" s="31">
        <f>IF(OR($A923="",$B923=""),"",SUMIFS(QuickLog!$L$2:$L$1000,QuickLog!$B$2:$B$1000,$B923,QuickLog!$Q$2:$Q$1000,$A923))</f>
        <v/>
      </c>
      <c r="D923" s="31">
        <f>Settings!$B$3</f>
        <v/>
      </c>
      <c r="E923" s="31">
        <f>IF($C923="","",MIN($C923,$D923))</f>
        <v/>
      </c>
      <c r="F923" s="40">
        <f>IF($E923="","",$E923*Settings!$B$4)</f>
        <v/>
      </c>
    </row>
    <row r="924">
      <c r="A924" s="29" t="n"/>
      <c r="B924" s="31" t="n"/>
      <c r="C924" s="31">
        <f>IF(OR($A924="",$B924=""),"",SUMIFS(QuickLog!$L$2:$L$1000,QuickLog!$B$2:$B$1000,$B924,QuickLog!$Q$2:$Q$1000,$A924))</f>
        <v/>
      </c>
      <c r="D924" s="31">
        <f>Settings!$B$3</f>
        <v/>
      </c>
      <c r="E924" s="31">
        <f>IF($C924="","",MIN($C924,$D924))</f>
        <v/>
      </c>
      <c r="F924" s="40">
        <f>IF($E924="","",$E924*Settings!$B$4)</f>
        <v/>
      </c>
    </row>
    <row r="925">
      <c r="A925" s="29" t="n"/>
      <c r="B925" s="31" t="n"/>
      <c r="C925" s="31">
        <f>IF(OR($A925="",$B925=""),"",SUMIFS(QuickLog!$L$2:$L$1000,QuickLog!$B$2:$B$1000,$B925,QuickLog!$Q$2:$Q$1000,$A925))</f>
        <v/>
      </c>
      <c r="D925" s="31">
        <f>Settings!$B$3</f>
        <v/>
      </c>
      <c r="E925" s="31">
        <f>IF($C925="","",MIN($C925,$D925))</f>
        <v/>
      </c>
      <c r="F925" s="40">
        <f>IF($E925="","",$E925*Settings!$B$4)</f>
        <v/>
      </c>
    </row>
    <row r="926">
      <c r="A926" s="29" t="n"/>
      <c r="B926" s="31" t="n"/>
      <c r="C926" s="31">
        <f>IF(OR($A926="",$B926=""),"",SUMIFS(QuickLog!$L$2:$L$1000,QuickLog!$B$2:$B$1000,$B926,QuickLog!$Q$2:$Q$1000,$A926))</f>
        <v/>
      </c>
      <c r="D926" s="31">
        <f>Settings!$B$3</f>
        <v/>
      </c>
      <c r="E926" s="31">
        <f>IF($C926="","",MIN($C926,$D926))</f>
        <v/>
      </c>
      <c r="F926" s="40">
        <f>IF($E926="","",$E926*Settings!$B$4)</f>
        <v/>
      </c>
    </row>
    <row r="927">
      <c r="A927" s="29" t="n"/>
      <c r="B927" s="31" t="n"/>
      <c r="C927" s="31">
        <f>IF(OR($A927="",$B927=""),"",SUMIFS(QuickLog!$L$2:$L$1000,QuickLog!$B$2:$B$1000,$B927,QuickLog!$Q$2:$Q$1000,$A927))</f>
        <v/>
      </c>
      <c r="D927" s="31">
        <f>Settings!$B$3</f>
        <v/>
      </c>
      <c r="E927" s="31">
        <f>IF($C927="","",MIN($C927,$D927))</f>
        <v/>
      </c>
      <c r="F927" s="40">
        <f>IF($E927="","",$E927*Settings!$B$4)</f>
        <v/>
      </c>
    </row>
    <row r="928">
      <c r="A928" s="29" t="n"/>
      <c r="B928" s="31" t="n"/>
      <c r="C928" s="31">
        <f>IF(OR($A928="",$B928=""),"",SUMIFS(QuickLog!$L$2:$L$1000,QuickLog!$B$2:$B$1000,$B928,QuickLog!$Q$2:$Q$1000,$A928))</f>
        <v/>
      </c>
      <c r="D928" s="31">
        <f>Settings!$B$3</f>
        <v/>
      </c>
      <c r="E928" s="31">
        <f>IF($C928="","",MIN($C928,$D928))</f>
        <v/>
      </c>
      <c r="F928" s="40">
        <f>IF($E928="","",$E928*Settings!$B$4)</f>
        <v/>
      </c>
    </row>
    <row r="929">
      <c r="A929" s="29" t="n"/>
      <c r="B929" s="31" t="n"/>
      <c r="C929" s="31">
        <f>IF(OR($A929="",$B929=""),"",SUMIFS(QuickLog!$L$2:$L$1000,QuickLog!$B$2:$B$1000,$B929,QuickLog!$Q$2:$Q$1000,$A929))</f>
        <v/>
      </c>
      <c r="D929" s="31">
        <f>Settings!$B$3</f>
        <v/>
      </c>
      <c r="E929" s="31">
        <f>IF($C929="","",MIN($C929,$D929))</f>
        <v/>
      </c>
      <c r="F929" s="40">
        <f>IF($E929="","",$E929*Settings!$B$4)</f>
        <v/>
      </c>
    </row>
    <row r="930">
      <c r="A930" s="29" t="n"/>
      <c r="B930" s="31" t="n"/>
      <c r="C930" s="31">
        <f>IF(OR($A930="",$B930=""),"",SUMIFS(QuickLog!$L$2:$L$1000,QuickLog!$B$2:$B$1000,$B930,QuickLog!$Q$2:$Q$1000,$A930))</f>
        <v/>
      </c>
      <c r="D930" s="31">
        <f>Settings!$B$3</f>
        <v/>
      </c>
      <c r="E930" s="31">
        <f>IF($C930="","",MIN($C930,$D930))</f>
        <v/>
      </c>
      <c r="F930" s="40">
        <f>IF($E930="","",$E930*Settings!$B$4)</f>
        <v/>
      </c>
    </row>
    <row r="931">
      <c r="A931" s="29" t="n"/>
      <c r="B931" s="31" t="n"/>
      <c r="C931" s="31">
        <f>IF(OR($A931="",$B931=""),"",SUMIFS(QuickLog!$L$2:$L$1000,QuickLog!$B$2:$B$1000,$B931,QuickLog!$Q$2:$Q$1000,$A931))</f>
        <v/>
      </c>
      <c r="D931" s="31">
        <f>Settings!$B$3</f>
        <v/>
      </c>
      <c r="E931" s="31">
        <f>IF($C931="","",MIN($C931,$D931))</f>
        <v/>
      </c>
      <c r="F931" s="40">
        <f>IF($E931="","",$E931*Settings!$B$4)</f>
        <v/>
      </c>
    </row>
    <row r="932">
      <c r="A932" s="29" t="n"/>
      <c r="B932" s="31" t="n"/>
      <c r="C932" s="31">
        <f>IF(OR($A932="",$B932=""),"",SUMIFS(QuickLog!$L$2:$L$1000,QuickLog!$B$2:$B$1000,$B932,QuickLog!$Q$2:$Q$1000,$A932))</f>
        <v/>
      </c>
      <c r="D932" s="31">
        <f>Settings!$B$3</f>
        <v/>
      </c>
      <c r="E932" s="31">
        <f>IF($C932="","",MIN($C932,$D932))</f>
        <v/>
      </c>
      <c r="F932" s="40">
        <f>IF($E932="","",$E932*Settings!$B$4)</f>
        <v/>
      </c>
    </row>
    <row r="933">
      <c r="A933" s="29" t="n"/>
      <c r="B933" s="31" t="n"/>
      <c r="C933" s="31">
        <f>IF(OR($A933="",$B933=""),"",SUMIFS(QuickLog!$L$2:$L$1000,QuickLog!$B$2:$B$1000,$B933,QuickLog!$Q$2:$Q$1000,$A933))</f>
        <v/>
      </c>
      <c r="D933" s="31">
        <f>Settings!$B$3</f>
        <v/>
      </c>
      <c r="E933" s="31">
        <f>IF($C933="","",MIN($C933,$D933))</f>
        <v/>
      </c>
      <c r="F933" s="40">
        <f>IF($E933="","",$E933*Settings!$B$4)</f>
        <v/>
      </c>
    </row>
    <row r="934">
      <c r="A934" s="29" t="n"/>
      <c r="B934" s="31" t="n"/>
      <c r="C934" s="31">
        <f>IF(OR($A934="",$B934=""),"",SUMIFS(QuickLog!$L$2:$L$1000,QuickLog!$B$2:$B$1000,$B934,QuickLog!$Q$2:$Q$1000,$A934))</f>
        <v/>
      </c>
      <c r="D934" s="31">
        <f>Settings!$B$3</f>
        <v/>
      </c>
      <c r="E934" s="31">
        <f>IF($C934="","",MIN($C934,$D934))</f>
        <v/>
      </c>
      <c r="F934" s="40">
        <f>IF($E934="","",$E934*Settings!$B$4)</f>
        <v/>
      </c>
    </row>
    <row r="935">
      <c r="A935" s="29" t="n"/>
      <c r="B935" s="31" t="n"/>
      <c r="C935" s="31">
        <f>IF(OR($A935="",$B935=""),"",SUMIFS(QuickLog!$L$2:$L$1000,QuickLog!$B$2:$B$1000,$B935,QuickLog!$Q$2:$Q$1000,$A935))</f>
        <v/>
      </c>
      <c r="D935" s="31">
        <f>Settings!$B$3</f>
        <v/>
      </c>
      <c r="E935" s="31">
        <f>IF($C935="","",MIN($C935,$D935))</f>
        <v/>
      </c>
      <c r="F935" s="40">
        <f>IF($E935="","",$E935*Settings!$B$4)</f>
        <v/>
      </c>
    </row>
    <row r="936">
      <c r="A936" s="29" t="n"/>
      <c r="B936" s="31" t="n"/>
      <c r="C936" s="31">
        <f>IF(OR($A936="",$B936=""),"",SUMIFS(QuickLog!$L$2:$L$1000,QuickLog!$B$2:$B$1000,$B936,QuickLog!$Q$2:$Q$1000,$A936))</f>
        <v/>
      </c>
      <c r="D936" s="31">
        <f>Settings!$B$3</f>
        <v/>
      </c>
      <c r="E936" s="31">
        <f>IF($C936="","",MIN($C936,$D936))</f>
        <v/>
      </c>
      <c r="F936" s="40">
        <f>IF($E936="","",$E936*Settings!$B$4)</f>
        <v/>
      </c>
    </row>
    <row r="937">
      <c r="A937" s="29" t="n"/>
      <c r="B937" s="31" t="n"/>
      <c r="C937" s="31">
        <f>IF(OR($A937="",$B937=""),"",SUMIFS(QuickLog!$L$2:$L$1000,QuickLog!$B$2:$B$1000,$B937,QuickLog!$Q$2:$Q$1000,$A937))</f>
        <v/>
      </c>
      <c r="D937" s="31">
        <f>Settings!$B$3</f>
        <v/>
      </c>
      <c r="E937" s="31">
        <f>IF($C937="","",MIN($C937,$D937))</f>
        <v/>
      </c>
      <c r="F937" s="40">
        <f>IF($E937="","",$E937*Settings!$B$4)</f>
        <v/>
      </c>
    </row>
    <row r="938">
      <c r="A938" s="29" t="n"/>
      <c r="B938" s="31" t="n"/>
      <c r="C938" s="31">
        <f>IF(OR($A938="",$B938=""),"",SUMIFS(QuickLog!$L$2:$L$1000,QuickLog!$B$2:$B$1000,$B938,QuickLog!$Q$2:$Q$1000,$A938))</f>
        <v/>
      </c>
      <c r="D938" s="31">
        <f>Settings!$B$3</f>
        <v/>
      </c>
      <c r="E938" s="31">
        <f>IF($C938="","",MIN($C938,$D938))</f>
        <v/>
      </c>
      <c r="F938" s="40">
        <f>IF($E938="","",$E938*Settings!$B$4)</f>
        <v/>
      </c>
    </row>
    <row r="939">
      <c r="A939" s="29" t="n"/>
      <c r="B939" s="31" t="n"/>
      <c r="C939" s="31">
        <f>IF(OR($A939="",$B939=""),"",SUMIFS(QuickLog!$L$2:$L$1000,QuickLog!$B$2:$B$1000,$B939,QuickLog!$Q$2:$Q$1000,$A939))</f>
        <v/>
      </c>
      <c r="D939" s="31">
        <f>Settings!$B$3</f>
        <v/>
      </c>
      <c r="E939" s="31">
        <f>IF($C939="","",MIN($C939,$D939))</f>
        <v/>
      </c>
      <c r="F939" s="40">
        <f>IF($E939="","",$E939*Settings!$B$4)</f>
        <v/>
      </c>
    </row>
    <row r="940">
      <c r="A940" s="29" t="n"/>
      <c r="B940" s="31" t="n"/>
      <c r="C940" s="31">
        <f>IF(OR($A940="",$B940=""),"",SUMIFS(QuickLog!$L$2:$L$1000,QuickLog!$B$2:$B$1000,$B940,QuickLog!$Q$2:$Q$1000,$A940))</f>
        <v/>
      </c>
      <c r="D940" s="31">
        <f>Settings!$B$3</f>
        <v/>
      </c>
      <c r="E940" s="31">
        <f>IF($C940="","",MIN($C940,$D940))</f>
        <v/>
      </c>
      <c r="F940" s="40">
        <f>IF($E940="","",$E940*Settings!$B$4)</f>
        <v/>
      </c>
    </row>
    <row r="941">
      <c r="A941" s="29" t="n"/>
      <c r="B941" s="31" t="n"/>
      <c r="C941" s="31">
        <f>IF(OR($A941="",$B941=""),"",SUMIFS(QuickLog!$L$2:$L$1000,QuickLog!$B$2:$B$1000,$B941,QuickLog!$Q$2:$Q$1000,$A941))</f>
        <v/>
      </c>
      <c r="D941" s="31">
        <f>Settings!$B$3</f>
        <v/>
      </c>
      <c r="E941" s="31">
        <f>IF($C941="","",MIN($C941,$D941))</f>
        <v/>
      </c>
      <c r="F941" s="40">
        <f>IF($E941="","",$E941*Settings!$B$4)</f>
        <v/>
      </c>
    </row>
    <row r="942">
      <c r="A942" s="29" t="n"/>
      <c r="B942" s="31" t="n"/>
      <c r="C942" s="31">
        <f>IF(OR($A942="",$B942=""),"",SUMIFS(QuickLog!$L$2:$L$1000,QuickLog!$B$2:$B$1000,$B942,QuickLog!$Q$2:$Q$1000,$A942))</f>
        <v/>
      </c>
      <c r="D942" s="31">
        <f>Settings!$B$3</f>
        <v/>
      </c>
      <c r="E942" s="31">
        <f>IF($C942="","",MIN($C942,$D942))</f>
        <v/>
      </c>
      <c r="F942" s="40">
        <f>IF($E942="","",$E942*Settings!$B$4)</f>
        <v/>
      </c>
    </row>
    <row r="943">
      <c r="A943" s="29" t="n"/>
      <c r="B943" s="31" t="n"/>
      <c r="C943" s="31">
        <f>IF(OR($A943="",$B943=""),"",SUMIFS(QuickLog!$L$2:$L$1000,QuickLog!$B$2:$B$1000,$B943,QuickLog!$Q$2:$Q$1000,$A943))</f>
        <v/>
      </c>
      <c r="D943" s="31">
        <f>Settings!$B$3</f>
        <v/>
      </c>
      <c r="E943" s="31">
        <f>IF($C943="","",MIN($C943,$D943))</f>
        <v/>
      </c>
      <c r="F943" s="40">
        <f>IF($E943="","",$E943*Settings!$B$4)</f>
        <v/>
      </c>
    </row>
    <row r="944">
      <c r="A944" s="29" t="n"/>
      <c r="B944" s="31" t="n"/>
      <c r="C944" s="31">
        <f>IF(OR($A944="",$B944=""),"",SUMIFS(QuickLog!$L$2:$L$1000,QuickLog!$B$2:$B$1000,$B944,QuickLog!$Q$2:$Q$1000,$A944))</f>
        <v/>
      </c>
      <c r="D944" s="31">
        <f>Settings!$B$3</f>
        <v/>
      </c>
      <c r="E944" s="31">
        <f>IF($C944="","",MIN($C944,$D944))</f>
        <v/>
      </c>
      <c r="F944" s="40">
        <f>IF($E944="","",$E944*Settings!$B$4)</f>
        <v/>
      </c>
    </row>
    <row r="945">
      <c r="A945" s="29" t="n"/>
      <c r="B945" s="31" t="n"/>
      <c r="C945" s="31">
        <f>IF(OR($A945="",$B945=""),"",SUMIFS(QuickLog!$L$2:$L$1000,QuickLog!$B$2:$B$1000,$B945,QuickLog!$Q$2:$Q$1000,$A945))</f>
        <v/>
      </c>
      <c r="D945" s="31">
        <f>Settings!$B$3</f>
        <v/>
      </c>
      <c r="E945" s="31">
        <f>IF($C945="","",MIN($C945,$D945))</f>
        <v/>
      </c>
      <c r="F945" s="40">
        <f>IF($E945="","",$E945*Settings!$B$4)</f>
        <v/>
      </c>
    </row>
    <row r="946">
      <c r="A946" s="29" t="n"/>
      <c r="B946" s="31" t="n"/>
      <c r="C946" s="31">
        <f>IF(OR($A946="",$B946=""),"",SUMIFS(QuickLog!$L$2:$L$1000,QuickLog!$B$2:$B$1000,$B946,QuickLog!$Q$2:$Q$1000,$A946))</f>
        <v/>
      </c>
      <c r="D946" s="31">
        <f>Settings!$B$3</f>
        <v/>
      </c>
      <c r="E946" s="31">
        <f>IF($C946="","",MIN($C946,$D946))</f>
        <v/>
      </c>
      <c r="F946" s="40">
        <f>IF($E946="","",$E946*Settings!$B$4)</f>
        <v/>
      </c>
    </row>
    <row r="947">
      <c r="A947" s="29" t="n"/>
      <c r="B947" s="31" t="n"/>
      <c r="C947" s="31">
        <f>IF(OR($A947="",$B947=""),"",SUMIFS(QuickLog!$L$2:$L$1000,QuickLog!$B$2:$B$1000,$B947,QuickLog!$Q$2:$Q$1000,$A947))</f>
        <v/>
      </c>
      <c r="D947" s="31">
        <f>Settings!$B$3</f>
        <v/>
      </c>
      <c r="E947" s="31">
        <f>IF($C947="","",MIN($C947,$D947))</f>
        <v/>
      </c>
      <c r="F947" s="40">
        <f>IF($E947="","",$E947*Settings!$B$4)</f>
        <v/>
      </c>
    </row>
    <row r="948">
      <c r="A948" s="29" t="n"/>
      <c r="B948" s="31" t="n"/>
      <c r="C948" s="31">
        <f>IF(OR($A948="",$B948=""),"",SUMIFS(QuickLog!$L$2:$L$1000,QuickLog!$B$2:$B$1000,$B948,QuickLog!$Q$2:$Q$1000,$A948))</f>
        <v/>
      </c>
      <c r="D948" s="31">
        <f>Settings!$B$3</f>
        <v/>
      </c>
      <c r="E948" s="31">
        <f>IF($C948="","",MIN($C948,$D948))</f>
        <v/>
      </c>
      <c r="F948" s="40">
        <f>IF($E948="","",$E948*Settings!$B$4)</f>
        <v/>
      </c>
    </row>
    <row r="949">
      <c r="A949" s="29" t="n"/>
      <c r="B949" s="31" t="n"/>
      <c r="C949" s="31">
        <f>IF(OR($A949="",$B949=""),"",SUMIFS(QuickLog!$L$2:$L$1000,QuickLog!$B$2:$B$1000,$B949,QuickLog!$Q$2:$Q$1000,$A949))</f>
        <v/>
      </c>
      <c r="D949" s="31">
        <f>Settings!$B$3</f>
        <v/>
      </c>
      <c r="E949" s="31">
        <f>IF($C949="","",MIN($C949,$D949))</f>
        <v/>
      </c>
      <c r="F949" s="40">
        <f>IF($E949="","",$E949*Settings!$B$4)</f>
        <v/>
      </c>
    </row>
    <row r="950">
      <c r="A950" s="29" t="n"/>
      <c r="B950" s="31" t="n"/>
      <c r="C950" s="31">
        <f>IF(OR($A950="",$B950=""),"",SUMIFS(QuickLog!$L$2:$L$1000,QuickLog!$B$2:$B$1000,$B950,QuickLog!$Q$2:$Q$1000,$A950))</f>
        <v/>
      </c>
      <c r="D950" s="31">
        <f>Settings!$B$3</f>
        <v/>
      </c>
      <c r="E950" s="31">
        <f>IF($C950="","",MIN($C950,$D950))</f>
        <v/>
      </c>
      <c r="F950" s="40">
        <f>IF($E950="","",$E950*Settings!$B$4)</f>
        <v/>
      </c>
    </row>
    <row r="951">
      <c r="A951" s="29" t="n"/>
      <c r="B951" s="31" t="n"/>
      <c r="C951" s="31">
        <f>IF(OR($A951="",$B951=""),"",SUMIFS(QuickLog!$L$2:$L$1000,QuickLog!$B$2:$B$1000,$B951,QuickLog!$Q$2:$Q$1000,$A951))</f>
        <v/>
      </c>
      <c r="D951" s="31">
        <f>Settings!$B$3</f>
        <v/>
      </c>
      <c r="E951" s="31">
        <f>IF($C951="","",MIN($C951,$D951))</f>
        <v/>
      </c>
      <c r="F951" s="40">
        <f>IF($E951="","",$E951*Settings!$B$4)</f>
        <v/>
      </c>
    </row>
    <row r="952">
      <c r="A952" s="29" t="n"/>
      <c r="B952" s="31" t="n"/>
      <c r="C952" s="31">
        <f>IF(OR($A952="",$B952=""),"",SUMIFS(QuickLog!$L$2:$L$1000,QuickLog!$B$2:$B$1000,$B952,QuickLog!$Q$2:$Q$1000,$A952))</f>
        <v/>
      </c>
      <c r="D952" s="31">
        <f>Settings!$B$3</f>
        <v/>
      </c>
      <c r="E952" s="31">
        <f>IF($C952="","",MIN($C952,$D952))</f>
        <v/>
      </c>
      <c r="F952" s="40">
        <f>IF($E952="","",$E952*Settings!$B$4)</f>
        <v/>
      </c>
    </row>
    <row r="953">
      <c r="A953" s="29" t="n"/>
      <c r="B953" s="31" t="n"/>
      <c r="C953" s="31">
        <f>IF(OR($A953="",$B953=""),"",SUMIFS(QuickLog!$L$2:$L$1000,QuickLog!$B$2:$B$1000,$B953,QuickLog!$Q$2:$Q$1000,$A953))</f>
        <v/>
      </c>
      <c r="D953" s="31">
        <f>Settings!$B$3</f>
        <v/>
      </c>
      <c r="E953" s="31">
        <f>IF($C953="","",MIN($C953,$D953))</f>
        <v/>
      </c>
      <c r="F953" s="40">
        <f>IF($E953="","",$E953*Settings!$B$4)</f>
        <v/>
      </c>
    </row>
    <row r="954">
      <c r="A954" s="29" t="n"/>
      <c r="B954" s="31" t="n"/>
      <c r="C954" s="31">
        <f>IF(OR($A954="",$B954=""),"",SUMIFS(QuickLog!$L$2:$L$1000,QuickLog!$B$2:$B$1000,$B954,QuickLog!$Q$2:$Q$1000,$A954))</f>
        <v/>
      </c>
      <c r="D954" s="31">
        <f>Settings!$B$3</f>
        <v/>
      </c>
      <c r="E954" s="31">
        <f>IF($C954="","",MIN($C954,$D954))</f>
        <v/>
      </c>
      <c r="F954" s="40">
        <f>IF($E954="","",$E954*Settings!$B$4)</f>
        <v/>
      </c>
    </row>
    <row r="955">
      <c r="A955" s="29" t="n"/>
      <c r="B955" s="31" t="n"/>
      <c r="C955" s="31">
        <f>IF(OR($A955="",$B955=""),"",SUMIFS(QuickLog!$L$2:$L$1000,QuickLog!$B$2:$B$1000,$B955,QuickLog!$Q$2:$Q$1000,$A955))</f>
        <v/>
      </c>
      <c r="D955" s="31">
        <f>Settings!$B$3</f>
        <v/>
      </c>
      <c r="E955" s="31">
        <f>IF($C955="","",MIN($C955,$D955))</f>
        <v/>
      </c>
      <c r="F955" s="40">
        <f>IF($E955="","",$E955*Settings!$B$4)</f>
        <v/>
      </c>
    </row>
    <row r="956">
      <c r="A956" s="29" t="n"/>
      <c r="B956" s="31" t="n"/>
      <c r="C956" s="31">
        <f>IF(OR($A956="",$B956=""),"",SUMIFS(QuickLog!$L$2:$L$1000,QuickLog!$B$2:$B$1000,$B956,QuickLog!$Q$2:$Q$1000,$A956))</f>
        <v/>
      </c>
      <c r="D956" s="31">
        <f>Settings!$B$3</f>
        <v/>
      </c>
      <c r="E956" s="31">
        <f>IF($C956="","",MIN($C956,$D956))</f>
        <v/>
      </c>
      <c r="F956" s="40">
        <f>IF($E956="","",$E956*Settings!$B$4)</f>
        <v/>
      </c>
    </row>
    <row r="957">
      <c r="A957" s="29" t="n"/>
      <c r="B957" s="31" t="n"/>
      <c r="C957" s="31">
        <f>IF(OR($A957="",$B957=""),"",SUMIFS(QuickLog!$L$2:$L$1000,QuickLog!$B$2:$B$1000,$B957,QuickLog!$Q$2:$Q$1000,$A957))</f>
        <v/>
      </c>
      <c r="D957" s="31">
        <f>Settings!$B$3</f>
        <v/>
      </c>
      <c r="E957" s="31">
        <f>IF($C957="","",MIN($C957,$D957))</f>
        <v/>
      </c>
      <c r="F957" s="40">
        <f>IF($E957="","",$E957*Settings!$B$4)</f>
        <v/>
      </c>
    </row>
    <row r="958">
      <c r="A958" s="29" t="n"/>
      <c r="B958" s="31" t="n"/>
      <c r="C958" s="31">
        <f>IF(OR($A958="",$B958=""),"",SUMIFS(QuickLog!$L$2:$L$1000,QuickLog!$B$2:$B$1000,$B958,QuickLog!$Q$2:$Q$1000,$A958))</f>
        <v/>
      </c>
      <c r="D958" s="31">
        <f>Settings!$B$3</f>
        <v/>
      </c>
      <c r="E958" s="31">
        <f>IF($C958="","",MIN($C958,$D958))</f>
        <v/>
      </c>
      <c r="F958" s="40">
        <f>IF($E958="","",$E958*Settings!$B$4)</f>
        <v/>
      </c>
    </row>
    <row r="959">
      <c r="A959" s="29" t="n"/>
      <c r="B959" s="31" t="n"/>
      <c r="C959" s="31">
        <f>IF(OR($A959="",$B959=""),"",SUMIFS(QuickLog!$L$2:$L$1000,QuickLog!$B$2:$B$1000,$B959,QuickLog!$Q$2:$Q$1000,$A959))</f>
        <v/>
      </c>
      <c r="D959" s="31">
        <f>Settings!$B$3</f>
        <v/>
      </c>
      <c r="E959" s="31">
        <f>IF($C959="","",MIN($C959,$D959))</f>
        <v/>
      </c>
      <c r="F959" s="40">
        <f>IF($E959="","",$E959*Settings!$B$4)</f>
        <v/>
      </c>
    </row>
    <row r="960">
      <c r="A960" s="29" t="n"/>
      <c r="B960" s="31" t="n"/>
      <c r="C960" s="31">
        <f>IF(OR($A960="",$B960=""),"",SUMIFS(QuickLog!$L$2:$L$1000,QuickLog!$B$2:$B$1000,$B960,QuickLog!$Q$2:$Q$1000,$A960))</f>
        <v/>
      </c>
      <c r="D960" s="31">
        <f>Settings!$B$3</f>
        <v/>
      </c>
      <c r="E960" s="31">
        <f>IF($C960="","",MIN($C960,$D960))</f>
        <v/>
      </c>
      <c r="F960" s="40">
        <f>IF($E960="","",$E960*Settings!$B$4)</f>
        <v/>
      </c>
    </row>
    <row r="961">
      <c r="A961" s="29" t="n"/>
      <c r="B961" s="31" t="n"/>
      <c r="C961" s="31">
        <f>IF(OR($A961="",$B961=""),"",SUMIFS(QuickLog!$L$2:$L$1000,QuickLog!$B$2:$B$1000,$B961,QuickLog!$Q$2:$Q$1000,$A961))</f>
        <v/>
      </c>
      <c r="D961" s="31">
        <f>Settings!$B$3</f>
        <v/>
      </c>
      <c r="E961" s="31">
        <f>IF($C961="","",MIN($C961,$D961))</f>
        <v/>
      </c>
      <c r="F961" s="40">
        <f>IF($E961="","",$E961*Settings!$B$4)</f>
        <v/>
      </c>
    </row>
    <row r="962">
      <c r="A962" s="29" t="n"/>
      <c r="B962" s="31" t="n"/>
      <c r="C962" s="31">
        <f>IF(OR($A962="",$B962=""),"",SUMIFS(QuickLog!$L$2:$L$1000,QuickLog!$B$2:$B$1000,$B962,QuickLog!$Q$2:$Q$1000,$A962))</f>
        <v/>
      </c>
      <c r="D962" s="31">
        <f>Settings!$B$3</f>
        <v/>
      </c>
      <c r="E962" s="31">
        <f>IF($C962="","",MIN($C962,$D962))</f>
        <v/>
      </c>
      <c r="F962" s="40">
        <f>IF($E962="","",$E962*Settings!$B$4)</f>
        <v/>
      </c>
    </row>
    <row r="963">
      <c r="A963" s="29" t="n"/>
      <c r="B963" s="31" t="n"/>
      <c r="C963" s="31">
        <f>IF(OR($A963="",$B963=""),"",SUMIFS(QuickLog!$L$2:$L$1000,QuickLog!$B$2:$B$1000,$B963,QuickLog!$Q$2:$Q$1000,$A963))</f>
        <v/>
      </c>
      <c r="D963" s="31">
        <f>Settings!$B$3</f>
        <v/>
      </c>
      <c r="E963" s="31">
        <f>IF($C963="","",MIN($C963,$D963))</f>
        <v/>
      </c>
      <c r="F963" s="40">
        <f>IF($E963="","",$E963*Settings!$B$4)</f>
        <v/>
      </c>
    </row>
    <row r="964">
      <c r="A964" s="29" t="n"/>
      <c r="B964" s="31" t="n"/>
      <c r="C964" s="31">
        <f>IF(OR($A964="",$B964=""),"",SUMIFS(QuickLog!$L$2:$L$1000,QuickLog!$B$2:$B$1000,$B964,QuickLog!$Q$2:$Q$1000,$A964))</f>
        <v/>
      </c>
      <c r="D964" s="31">
        <f>Settings!$B$3</f>
        <v/>
      </c>
      <c r="E964" s="31">
        <f>IF($C964="","",MIN($C964,$D964))</f>
        <v/>
      </c>
      <c r="F964" s="40">
        <f>IF($E964="","",$E964*Settings!$B$4)</f>
        <v/>
      </c>
    </row>
    <row r="965">
      <c r="A965" s="29" t="n"/>
      <c r="B965" s="31" t="n"/>
      <c r="C965" s="31">
        <f>IF(OR($A965="",$B965=""),"",SUMIFS(QuickLog!$L$2:$L$1000,QuickLog!$B$2:$B$1000,$B965,QuickLog!$Q$2:$Q$1000,$A965))</f>
        <v/>
      </c>
      <c r="D965" s="31">
        <f>Settings!$B$3</f>
        <v/>
      </c>
      <c r="E965" s="31">
        <f>IF($C965="","",MIN($C965,$D965))</f>
        <v/>
      </c>
      <c r="F965" s="40">
        <f>IF($E965="","",$E965*Settings!$B$4)</f>
        <v/>
      </c>
    </row>
    <row r="966">
      <c r="A966" s="29" t="n"/>
      <c r="B966" s="31" t="n"/>
      <c r="C966" s="31">
        <f>IF(OR($A966="",$B966=""),"",SUMIFS(QuickLog!$L$2:$L$1000,QuickLog!$B$2:$B$1000,$B966,QuickLog!$Q$2:$Q$1000,$A966))</f>
        <v/>
      </c>
      <c r="D966" s="31">
        <f>Settings!$B$3</f>
        <v/>
      </c>
      <c r="E966" s="31">
        <f>IF($C966="","",MIN($C966,$D966))</f>
        <v/>
      </c>
      <c r="F966" s="40">
        <f>IF($E966="","",$E966*Settings!$B$4)</f>
        <v/>
      </c>
    </row>
    <row r="967">
      <c r="A967" s="29" t="n"/>
      <c r="B967" s="31" t="n"/>
      <c r="C967" s="31">
        <f>IF(OR($A967="",$B967=""),"",SUMIFS(QuickLog!$L$2:$L$1000,QuickLog!$B$2:$B$1000,$B967,QuickLog!$Q$2:$Q$1000,$A967))</f>
        <v/>
      </c>
      <c r="D967" s="31">
        <f>Settings!$B$3</f>
        <v/>
      </c>
      <c r="E967" s="31">
        <f>IF($C967="","",MIN($C967,$D967))</f>
        <v/>
      </c>
      <c r="F967" s="40">
        <f>IF($E967="","",$E967*Settings!$B$4)</f>
        <v/>
      </c>
    </row>
    <row r="968">
      <c r="A968" s="29" t="n"/>
      <c r="B968" s="31" t="n"/>
      <c r="C968" s="31">
        <f>IF(OR($A968="",$B968=""),"",SUMIFS(QuickLog!$L$2:$L$1000,QuickLog!$B$2:$B$1000,$B968,QuickLog!$Q$2:$Q$1000,$A968))</f>
        <v/>
      </c>
      <c r="D968" s="31">
        <f>Settings!$B$3</f>
        <v/>
      </c>
      <c r="E968" s="31">
        <f>IF($C968="","",MIN($C968,$D968))</f>
        <v/>
      </c>
      <c r="F968" s="40">
        <f>IF($E968="","",$E968*Settings!$B$4)</f>
        <v/>
      </c>
    </row>
    <row r="969">
      <c r="A969" s="29" t="n"/>
      <c r="B969" s="31" t="n"/>
      <c r="C969" s="31">
        <f>IF(OR($A969="",$B969=""),"",SUMIFS(QuickLog!$L$2:$L$1000,QuickLog!$B$2:$B$1000,$B969,QuickLog!$Q$2:$Q$1000,$A969))</f>
        <v/>
      </c>
      <c r="D969" s="31">
        <f>Settings!$B$3</f>
        <v/>
      </c>
      <c r="E969" s="31">
        <f>IF($C969="","",MIN($C969,$D969))</f>
        <v/>
      </c>
      <c r="F969" s="40">
        <f>IF($E969="","",$E969*Settings!$B$4)</f>
        <v/>
      </c>
    </row>
    <row r="970">
      <c r="A970" s="29" t="n"/>
      <c r="B970" s="31" t="n"/>
      <c r="C970" s="31">
        <f>IF(OR($A970="",$B970=""),"",SUMIFS(QuickLog!$L$2:$L$1000,QuickLog!$B$2:$B$1000,$B970,QuickLog!$Q$2:$Q$1000,$A970))</f>
        <v/>
      </c>
      <c r="D970" s="31">
        <f>Settings!$B$3</f>
        <v/>
      </c>
      <c r="E970" s="31">
        <f>IF($C970="","",MIN($C970,$D970))</f>
        <v/>
      </c>
      <c r="F970" s="40">
        <f>IF($E970="","",$E970*Settings!$B$4)</f>
        <v/>
      </c>
    </row>
    <row r="971">
      <c r="A971" s="29" t="n"/>
      <c r="B971" s="31" t="n"/>
      <c r="C971" s="31">
        <f>IF(OR($A971="",$B971=""),"",SUMIFS(QuickLog!$L$2:$L$1000,QuickLog!$B$2:$B$1000,$B971,QuickLog!$Q$2:$Q$1000,$A971))</f>
        <v/>
      </c>
      <c r="D971" s="31">
        <f>Settings!$B$3</f>
        <v/>
      </c>
      <c r="E971" s="31">
        <f>IF($C971="","",MIN($C971,$D971))</f>
        <v/>
      </c>
      <c r="F971" s="40">
        <f>IF($E971="","",$E971*Settings!$B$4)</f>
        <v/>
      </c>
    </row>
    <row r="972">
      <c r="A972" s="29" t="n"/>
      <c r="B972" s="31" t="n"/>
      <c r="C972" s="31">
        <f>IF(OR($A972="",$B972=""),"",SUMIFS(QuickLog!$L$2:$L$1000,QuickLog!$B$2:$B$1000,$B972,QuickLog!$Q$2:$Q$1000,$A972))</f>
        <v/>
      </c>
      <c r="D972" s="31">
        <f>Settings!$B$3</f>
        <v/>
      </c>
      <c r="E972" s="31">
        <f>IF($C972="","",MIN($C972,$D972))</f>
        <v/>
      </c>
      <c r="F972" s="40">
        <f>IF($E972="","",$E972*Settings!$B$4)</f>
        <v/>
      </c>
    </row>
    <row r="973">
      <c r="A973" s="29" t="n"/>
      <c r="B973" s="31" t="n"/>
      <c r="C973" s="31">
        <f>IF(OR($A973="",$B973=""),"",SUMIFS(QuickLog!$L$2:$L$1000,QuickLog!$B$2:$B$1000,$B973,QuickLog!$Q$2:$Q$1000,$A973))</f>
        <v/>
      </c>
      <c r="D973" s="31">
        <f>Settings!$B$3</f>
        <v/>
      </c>
      <c r="E973" s="31">
        <f>IF($C973="","",MIN($C973,$D973))</f>
        <v/>
      </c>
      <c r="F973" s="40">
        <f>IF($E973="","",$E973*Settings!$B$4)</f>
        <v/>
      </c>
    </row>
    <row r="974">
      <c r="A974" s="29" t="n"/>
      <c r="B974" s="31" t="n"/>
      <c r="C974" s="31">
        <f>IF(OR($A974="",$B974=""),"",SUMIFS(QuickLog!$L$2:$L$1000,QuickLog!$B$2:$B$1000,$B974,QuickLog!$Q$2:$Q$1000,$A974))</f>
        <v/>
      </c>
      <c r="D974" s="31">
        <f>Settings!$B$3</f>
        <v/>
      </c>
      <c r="E974" s="31">
        <f>IF($C974="","",MIN($C974,$D974))</f>
        <v/>
      </c>
      <c r="F974" s="40">
        <f>IF($E974="","",$E974*Settings!$B$4)</f>
        <v/>
      </c>
    </row>
    <row r="975">
      <c r="A975" s="29" t="n"/>
      <c r="B975" s="31" t="n"/>
      <c r="C975" s="31">
        <f>IF(OR($A975="",$B975=""),"",SUMIFS(QuickLog!$L$2:$L$1000,QuickLog!$B$2:$B$1000,$B975,QuickLog!$Q$2:$Q$1000,$A975))</f>
        <v/>
      </c>
      <c r="D975" s="31">
        <f>Settings!$B$3</f>
        <v/>
      </c>
      <c r="E975" s="31">
        <f>IF($C975="","",MIN($C975,$D975))</f>
        <v/>
      </c>
      <c r="F975" s="40">
        <f>IF($E975="","",$E975*Settings!$B$4)</f>
        <v/>
      </c>
    </row>
    <row r="976">
      <c r="A976" s="29" t="n"/>
      <c r="B976" s="31" t="n"/>
      <c r="C976" s="31">
        <f>IF(OR($A976="",$B976=""),"",SUMIFS(QuickLog!$L$2:$L$1000,QuickLog!$B$2:$B$1000,$B976,QuickLog!$Q$2:$Q$1000,$A976))</f>
        <v/>
      </c>
      <c r="D976" s="31">
        <f>Settings!$B$3</f>
        <v/>
      </c>
      <c r="E976" s="31">
        <f>IF($C976="","",MIN($C976,$D976))</f>
        <v/>
      </c>
      <c r="F976" s="40">
        <f>IF($E976="","",$E976*Settings!$B$4)</f>
        <v/>
      </c>
    </row>
    <row r="977">
      <c r="A977" s="29" t="n"/>
      <c r="B977" s="31" t="n"/>
      <c r="C977" s="31">
        <f>IF(OR($A977="",$B977=""),"",SUMIFS(QuickLog!$L$2:$L$1000,QuickLog!$B$2:$B$1000,$B977,QuickLog!$Q$2:$Q$1000,$A977))</f>
        <v/>
      </c>
      <c r="D977" s="31">
        <f>Settings!$B$3</f>
        <v/>
      </c>
      <c r="E977" s="31">
        <f>IF($C977="","",MIN($C977,$D977))</f>
        <v/>
      </c>
      <c r="F977" s="40">
        <f>IF($E977="","",$E977*Settings!$B$4)</f>
        <v/>
      </c>
    </row>
    <row r="978">
      <c r="A978" s="29" t="n"/>
      <c r="B978" s="31" t="n"/>
      <c r="C978" s="31">
        <f>IF(OR($A978="",$B978=""),"",SUMIFS(QuickLog!$L$2:$L$1000,QuickLog!$B$2:$B$1000,$B978,QuickLog!$Q$2:$Q$1000,$A978))</f>
        <v/>
      </c>
      <c r="D978" s="31">
        <f>Settings!$B$3</f>
        <v/>
      </c>
      <c r="E978" s="31">
        <f>IF($C978="","",MIN($C978,$D978))</f>
        <v/>
      </c>
      <c r="F978" s="40">
        <f>IF($E978="","",$E978*Settings!$B$4)</f>
        <v/>
      </c>
    </row>
    <row r="979">
      <c r="A979" s="29" t="n"/>
      <c r="B979" s="31" t="n"/>
      <c r="C979" s="31">
        <f>IF(OR($A979="",$B979=""),"",SUMIFS(QuickLog!$L$2:$L$1000,QuickLog!$B$2:$B$1000,$B979,QuickLog!$Q$2:$Q$1000,$A979))</f>
        <v/>
      </c>
      <c r="D979" s="31">
        <f>Settings!$B$3</f>
        <v/>
      </c>
      <c r="E979" s="31">
        <f>IF($C979="","",MIN($C979,$D979))</f>
        <v/>
      </c>
      <c r="F979" s="40">
        <f>IF($E979="","",$E979*Settings!$B$4)</f>
        <v/>
      </c>
    </row>
    <row r="980">
      <c r="A980" s="29" t="n"/>
      <c r="B980" s="31" t="n"/>
      <c r="C980" s="31">
        <f>IF(OR($A980="",$B980=""),"",SUMIFS(QuickLog!$L$2:$L$1000,QuickLog!$B$2:$B$1000,$B980,QuickLog!$Q$2:$Q$1000,$A980))</f>
        <v/>
      </c>
      <c r="D980" s="31">
        <f>Settings!$B$3</f>
        <v/>
      </c>
      <c r="E980" s="31">
        <f>IF($C980="","",MIN($C980,$D980))</f>
        <v/>
      </c>
      <c r="F980" s="40">
        <f>IF($E980="","",$E980*Settings!$B$4)</f>
        <v/>
      </c>
    </row>
    <row r="981">
      <c r="A981" s="29" t="n"/>
      <c r="B981" s="31" t="n"/>
      <c r="C981" s="31">
        <f>IF(OR($A981="",$B981=""),"",SUMIFS(QuickLog!$L$2:$L$1000,QuickLog!$B$2:$B$1000,$B981,QuickLog!$Q$2:$Q$1000,$A981))</f>
        <v/>
      </c>
      <c r="D981" s="31">
        <f>Settings!$B$3</f>
        <v/>
      </c>
      <c r="E981" s="31">
        <f>IF($C981="","",MIN($C981,$D981))</f>
        <v/>
      </c>
      <c r="F981" s="40">
        <f>IF($E981="","",$E981*Settings!$B$4)</f>
        <v/>
      </c>
    </row>
    <row r="982">
      <c r="A982" s="29" t="n"/>
      <c r="B982" s="31" t="n"/>
      <c r="C982" s="31">
        <f>IF(OR($A982="",$B982=""),"",SUMIFS(QuickLog!$L$2:$L$1000,QuickLog!$B$2:$B$1000,$B982,QuickLog!$Q$2:$Q$1000,$A982))</f>
        <v/>
      </c>
      <c r="D982" s="31">
        <f>Settings!$B$3</f>
        <v/>
      </c>
      <c r="E982" s="31">
        <f>IF($C982="","",MIN($C982,$D982))</f>
        <v/>
      </c>
      <c r="F982" s="40">
        <f>IF($E982="","",$E982*Settings!$B$4)</f>
        <v/>
      </c>
    </row>
    <row r="983">
      <c r="A983" s="29" t="n"/>
      <c r="B983" s="31" t="n"/>
      <c r="C983" s="31">
        <f>IF(OR($A983="",$B983=""),"",SUMIFS(QuickLog!$L$2:$L$1000,QuickLog!$B$2:$B$1000,$B983,QuickLog!$Q$2:$Q$1000,$A983))</f>
        <v/>
      </c>
      <c r="D983" s="31">
        <f>Settings!$B$3</f>
        <v/>
      </c>
      <c r="E983" s="31">
        <f>IF($C983="","",MIN($C983,$D983))</f>
        <v/>
      </c>
      <c r="F983" s="40">
        <f>IF($E983="","",$E983*Settings!$B$4)</f>
        <v/>
      </c>
    </row>
    <row r="984">
      <c r="A984" s="29" t="n"/>
      <c r="B984" s="31" t="n"/>
      <c r="C984" s="31">
        <f>IF(OR($A984="",$B984=""),"",SUMIFS(QuickLog!$L$2:$L$1000,QuickLog!$B$2:$B$1000,$B984,QuickLog!$Q$2:$Q$1000,$A984))</f>
        <v/>
      </c>
      <c r="D984" s="31">
        <f>Settings!$B$3</f>
        <v/>
      </c>
      <c r="E984" s="31">
        <f>IF($C984="","",MIN($C984,$D984))</f>
        <v/>
      </c>
      <c r="F984" s="40">
        <f>IF($E984="","",$E984*Settings!$B$4)</f>
        <v/>
      </c>
    </row>
    <row r="985">
      <c r="A985" s="29" t="n"/>
      <c r="B985" s="31" t="n"/>
      <c r="C985" s="31">
        <f>IF(OR($A985="",$B985=""),"",SUMIFS(QuickLog!$L$2:$L$1000,QuickLog!$B$2:$B$1000,$B985,QuickLog!$Q$2:$Q$1000,$A985))</f>
        <v/>
      </c>
      <c r="D985" s="31">
        <f>Settings!$B$3</f>
        <v/>
      </c>
      <c r="E985" s="31">
        <f>IF($C985="","",MIN($C985,$D985))</f>
        <v/>
      </c>
      <c r="F985" s="40">
        <f>IF($E985="","",$E985*Settings!$B$4)</f>
        <v/>
      </c>
    </row>
    <row r="986">
      <c r="A986" s="29" t="n"/>
      <c r="B986" s="31" t="n"/>
      <c r="C986" s="31">
        <f>IF(OR($A986="",$B986=""),"",SUMIFS(QuickLog!$L$2:$L$1000,QuickLog!$B$2:$B$1000,$B986,QuickLog!$Q$2:$Q$1000,$A986))</f>
        <v/>
      </c>
      <c r="D986" s="31">
        <f>Settings!$B$3</f>
        <v/>
      </c>
      <c r="E986" s="31">
        <f>IF($C986="","",MIN($C986,$D986))</f>
        <v/>
      </c>
      <c r="F986" s="40">
        <f>IF($E986="","",$E986*Settings!$B$4)</f>
        <v/>
      </c>
    </row>
    <row r="987">
      <c r="A987" s="29" t="n"/>
      <c r="B987" s="31" t="n"/>
      <c r="C987" s="31">
        <f>IF(OR($A987="",$B987=""),"",SUMIFS(QuickLog!$L$2:$L$1000,QuickLog!$B$2:$B$1000,$B987,QuickLog!$Q$2:$Q$1000,$A987))</f>
        <v/>
      </c>
      <c r="D987" s="31">
        <f>Settings!$B$3</f>
        <v/>
      </c>
      <c r="E987" s="31">
        <f>IF($C987="","",MIN($C987,$D987))</f>
        <v/>
      </c>
      <c r="F987" s="40">
        <f>IF($E987="","",$E987*Settings!$B$4)</f>
        <v/>
      </c>
    </row>
    <row r="988">
      <c r="A988" s="29" t="n"/>
      <c r="B988" s="31" t="n"/>
      <c r="C988" s="31">
        <f>IF(OR($A988="",$B988=""),"",SUMIFS(QuickLog!$L$2:$L$1000,QuickLog!$B$2:$B$1000,$B988,QuickLog!$Q$2:$Q$1000,$A988))</f>
        <v/>
      </c>
      <c r="D988" s="31">
        <f>Settings!$B$3</f>
        <v/>
      </c>
      <c r="E988" s="31">
        <f>IF($C988="","",MIN($C988,$D988))</f>
        <v/>
      </c>
      <c r="F988" s="40">
        <f>IF($E988="","",$E988*Settings!$B$4)</f>
        <v/>
      </c>
    </row>
    <row r="989">
      <c r="A989" s="29" t="n"/>
      <c r="B989" s="31" t="n"/>
      <c r="C989" s="31">
        <f>IF(OR($A989="",$B989=""),"",SUMIFS(QuickLog!$L$2:$L$1000,QuickLog!$B$2:$B$1000,$B989,QuickLog!$Q$2:$Q$1000,$A989))</f>
        <v/>
      </c>
      <c r="D989" s="31">
        <f>Settings!$B$3</f>
        <v/>
      </c>
      <c r="E989" s="31">
        <f>IF($C989="","",MIN($C989,$D989))</f>
        <v/>
      </c>
      <c r="F989" s="40">
        <f>IF($E989="","",$E989*Settings!$B$4)</f>
        <v/>
      </c>
    </row>
    <row r="990">
      <c r="A990" s="29" t="n"/>
      <c r="B990" s="31" t="n"/>
      <c r="C990" s="31">
        <f>IF(OR($A990="",$B990=""),"",SUMIFS(QuickLog!$L$2:$L$1000,QuickLog!$B$2:$B$1000,$B990,QuickLog!$Q$2:$Q$1000,$A990))</f>
        <v/>
      </c>
      <c r="D990" s="31">
        <f>Settings!$B$3</f>
        <v/>
      </c>
      <c r="E990" s="31">
        <f>IF($C990="","",MIN($C990,$D990))</f>
        <v/>
      </c>
      <c r="F990" s="40">
        <f>IF($E990="","",$E990*Settings!$B$4)</f>
        <v/>
      </c>
    </row>
    <row r="991">
      <c r="A991" s="29" t="n"/>
      <c r="B991" s="31" t="n"/>
      <c r="C991" s="31">
        <f>IF(OR($A991="",$B991=""),"",SUMIFS(QuickLog!$L$2:$L$1000,QuickLog!$B$2:$B$1000,$B991,QuickLog!$Q$2:$Q$1000,$A991))</f>
        <v/>
      </c>
      <c r="D991" s="31">
        <f>Settings!$B$3</f>
        <v/>
      </c>
      <c r="E991" s="31">
        <f>IF($C991="","",MIN($C991,$D991))</f>
        <v/>
      </c>
      <c r="F991" s="40">
        <f>IF($E991="","",$E991*Settings!$B$4)</f>
        <v/>
      </c>
    </row>
    <row r="992">
      <c r="A992" s="29" t="n"/>
      <c r="B992" s="31" t="n"/>
      <c r="C992" s="31">
        <f>IF(OR($A992="",$B992=""),"",SUMIFS(QuickLog!$L$2:$L$1000,QuickLog!$B$2:$B$1000,$B992,QuickLog!$Q$2:$Q$1000,$A992))</f>
        <v/>
      </c>
      <c r="D992" s="31">
        <f>Settings!$B$3</f>
        <v/>
      </c>
      <c r="E992" s="31">
        <f>IF($C992="","",MIN($C992,$D992))</f>
        <v/>
      </c>
      <c r="F992" s="40">
        <f>IF($E992="","",$E992*Settings!$B$4)</f>
        <v/>
      </c>
    </row>
    <row r="993">
      <c r="A993" s="29" t="n"/>
      <c r="B993" s="31" t="n"/>
      <c r="C993" s="31">
        <f>IF(OR($A993="",$B993=""),"",SUMIFS(QuickLog!$L$2:$L$1000,QuickLog!$B$2:$B$1000,$B993,QuickLog!$Q$2:$Q$1000,$A993))</f>
        <v/>
      </c>
      <c r="D993" s="31">
        <f>Settings!$B$3</f>
        <v/>
      </c>
      <c r="E993" s="31">
        <f>IF($C993="","",MIN($C993,$D993))</f>
        <v/>
      </c>
      <c r="F993" s="40">
        <f>IF($E993="","",$E993*Settings!$B$4)</f>
        <v/>
      </c>
    </row>
    <row r="994">
      <c r="A994" s="29" t="n"/>
      <c r="B994" s="31" t="n"/>
      <c r="C994" s="31">
        <f>IF(OR($A994="",$B994=""),"",SUMIFS(QuickLog!$L$2:$L$1000,QuickLog!$B$2:$B$1000,$B994,QuickLog!$Q$2:$Q$1000,$A994))</f>
        <v/>
      </c>
      <c r="D994" s="31">
        <f>Settings!$B$3</f>
        <v/>
      </c>
      <c r="E994" s="31">
        <f>IF($C994="","",MIN($C994,$D994))</f>
        <v/>
      </c>
      <c r="F994" s="40">
        <f>IF($E994="","",$E994*Settings!$B$4)</f>
        <v/>
      </c>
    </row>
    <row r="995">
      <c r="A995" s="29" t="n"/>
      <c r="B995" s="31" t="n"/>
      <c r="C995" s="31">
        <f>IF(OR($A995="",$B995=""),"",SUMIFS(QuickLog!$L$2:$L$1000,QuickLog!$B$2:$B$1000,$B995,QuickLog!$Q$2:$Q$1000,$A995))</f>
        <v/>
      </c>
      <c r="D995" s="31">
        <f>Settings!$B$3</f>
        <v/>
      </c>
      <c r="E995" s="31">
        <f>IF($C995="","",MIN($C995,$D995))</f>
        <v/>
      </c>
      <c r="F995" s="40">
        <f>IF($E995="","",$E995*Settings!$B$4)</f>
        <v/>
      </c>
    </row>
    <row r="996">
      <c r="A996" s="29" t="n"/>
      <c r="B996" s="31" t="n"/>
      <c r="C996" s="31">
        <f>IF(OR($A996="",$B996=""),"",SUMIFS(QuickLog!$L$2:$L$1000,QuickLog!$B$2:$B$1000,$B996,QuickLog!$Q$2:$Q$1000,$A996))</f>
        <v/>
      </c>
      <c r="D996" s="31">
        <f>Settings!$B$3</f>
        <v/>
      </c>
      <c r="E996" s="31">
        <f>IF($C996="","",MIN($C996,$D996))</f>
        <v/>
      </c>
      <c r="F996" s="40">
        <f>IF($E996="","",$E996*Settings!$B$4)</f>
        <v/>
      </c>
    </row>
    <row r="997">
      <c r="A997" s="29" t="n"/>
      <c r="B997" s="31" t="n"/>
      <c r="C997" s="31">
        <f>IF(OR($A997="",$B997=""),"",SUMIFS(QuickLog!$L$2:$L$1000,QuickLog!$B$2:$B$1000,$B997,QuickLog!$Q$2:$Q$1000,$A997))</f>
        <v/>
      </c>
      <c r="D997" s="31">
        <f>Settings!$B$3</f>
        <v/>
      </c>
      <c r="E997" s="31">
        <f>IF($C997="","",MIN($C997,$D997))</f>
        <v/>
      </c>
      <c r="F997" s="40">
        <f>IF($E997="","",$E997*Settings!$B$4)</f>
        <v/>
      </c>
    </row>
    <row r="998">
      <c r="A998" s="29" t="n"/>
      <c r="B998" s="31" t="n"/>
      <c r="C998" s="31">
        <f>IF(OR($A998="",$B998=""),"",SUMIFS(QuickLog!$L$2:$L$1000,QuickLog!$B$2:$B$1000,$B998,QuickLog!$Q$2:$Q$1000,$A998))</f>
        <v/>
      </c>
      <c r="D998" s="31">
        <f>Settings!$B$3</f>
        <v/>
      </c>
      <c r="E998" s="31">
        <f>IF($C998="","",MIN($C998,$D998))</f>
        <v/>
      </c>
      <c r="F998" s="40">
        <f>IF($E998="","",$E998*Settings!$B$4)</f>
        <v/>
      </c>
    </row>
    <row r="999">
      <c r="A999" s="29" t="n"/>
      <c r="B999" s="31" t="n"/>
      <c r="C999" s="31">
        <f>IF(OR($A999="",$B999=""),"",SUMIFS(QuickLog!$L$2:$L$1000,QuickLog!$B$2:$B$1000,$B999,QuickLog!$Q$2:$Q$1000,$A999))</f>
        <v/>
      </c>
      <c r="D999" s="31">
        <f>Settings!$B$3</f>
        <v/>
      </c>
      <c r="E999" s="31">
        <f>IF($C999="","",MIN($C999,$D999))</f>
        <v/>
      </c>
      <c r="F999" s="40">
        <f>IF($E999="","",$E999*Settings!$B$4)</f>
        <v/>
      </c>
    </row>
    <row r="1000">
      <c r="A1000" s="33" t="n"/>
      <c r="B1000" s="34" t="n"/>
      <c r="C1000" s="34">
        <f>IF(OR($A1000="",$B1000=""),"",SUMIFS(QuickLog!$L$2:$L$1000,QuickLog!$B$2:$B$1000,$B1000,QuickLog!$Q$2:$Q$1000,$A1000))</f>
        <v/>
      </c>
      <c r="D1000" s="34">
        <f>Settings!$B$3</f>
        <v/>
      </c>
      <c r="E1000" s="34">
        <f>IF($C1000="","",MIN($C1000,$D1000))</f>
        <v/>
      </c>
      <c r="F1000" s="41">
        <f>IF($E1000="","",$E1000*Settings!$B$4)</f>
        <v/>
      </c>
    </row>
  </sheetData>
  <pageMargins left="0.75" right="0.75" top="1" bottom="1" header="0.5" footer="0.5"/>
</worksheet>
</file>

<file path=xl/worksheets/sheet5.xml><?xml version="1.0" encoding="utf-8"?>
<worksheet xmlns="http://schemas.openxmlformats.org/spreadsheetml/2006/main">
  <sheetPr>
    <tabColor rgb="FFFF9900"/>
    <outlinePr summaryBelow="0" summaryRight="0"/>
    <pageSetUpPr/>
  </sheetPr>
  <dimension ref="A1:P1000"/>
  <sheetViews>
    <sheetView workbookViewId="0">
      <pane ySplit="1" topLeftCell="A2" activePane="bottomLeft" state="frozen"/>
      <selection pane="bottomLeft" activeCell="A1" sqref="A1"/>
    </sheetView>
  </sheetViews>
  <sheetFormatPr baseColWidth="8" defaultColWidth="12.63" defaultRowHeight="15.75" customHeight="1"/>
  <cols>
    <col width="14" customWidth="1" style="64" min="1" max="1"/>
    <col width="14" customWidth="1" style="64" min="2" max="2"/>
    <col width="14" customWidth="1" style="64" min="3" max="3"/>
    <col width="15.25" customWidth="1" style="64" min="4" max="4"/>
    <col width="14" customWidth="1" style="64" min="5" max="5"/>
    <col width="24.13" customWidth="1" style="64" min="6" max="6"/>
    <col width="18.38" customWidth="1" style="64" min="7" max="7"/>
    <col width="14.63" customWidth="1" style="64" min="8" max="8"/>
    <col width="14" customWidth="1" style="64" min="9" max="9"/>
    <col width="14" customWidth="1" style="64" min="10" max="11"/>
    <col width="14" customWidth="1" style="64" min="11" max="11"/>
    <col width="14" customWidth="1" style="64" min="12" max="12"/>
    <col width="14" customWidth="1" style="64" min="13" max="13"/>
    <col width="14" customWidth="1" style="64" min="14" max="14"/>
    <col width="14" customWidth="1" style="64" min="15" max="15"/>
    <col width="14" customWidth="1" style="64" min="16" max="16"/>
  </cols>
  <sheetData>
    <row r="1">
      <c r="A1" s="42" t="inlineStr">
        <is>
          <t>MemberID</t>
        </is>
      </c>
      <c r="B1" s="43" t="inlineStr">
        <is>
          <t>TotalXP</t>
        </is>
      </c>
      <c r="C1" s="43" t="inlineStr">
        <is>
          <t>Level</t>
        </is>
      </c>
      <c r="D1" s="43" t="inlineStr">
        <is>
          <t>NextLevelXP</t>
        </is>
      </c>
      <c r="E1" s="43" t="inlineStr">
        <is>
          <t>XPtoNext</t>
        </is>
      </c>
      <c r="F1" s="43" t="inlineStr">
        <is>
          <t>CoinsEarnedCounted</t>
        </is>
      </c>
      <c r="G1" s="43" t="inlineStr">
        <is>
          <t>CoinsRedeemed</t>
        </is>
      </c>
      <c r="H1" s="43" t="inlineStr">
        <is>
          <t>CoinBalance</t>
        </is>
      </c>
      <c r="I1" s="43" t="inlineStr">
        <is>
          <t>SeedXP</t>
        </is>
      </c>
      <c r="J1" s="44" t="n"/>
      <c r="K1" s="56" t="n"/>
      <c r="L1" s="56" t="n"/>
      <c r="M1" s="56" t="n"/>
      <c r="N1" s="56" t="n"/>
      <c r="O1" s="56" t="n"/>
      <c r="P1" s="56" t="n"/>
    </row>
    <row r="2">
      <c r="A2" s="45">
        <f>IF(Members!$A2="","",Members!$A2)</f>
        <v/>
      </c>
      <c r="B2" s="27">
        <f>IF($A2="","",$I2+SUMIF(WeeklySummary!$B$2:$B$1000,$A2,WeeklySummary!$G$2:$G$1000))</f>
        <v/>
      </c>
      <c r="C2" s="27">
        <f>IF($B2="","",MIN(100,INT(SQRT($B2))))</f>
        <v/>
      </c>
      <c r="D2" s="27">
        <f>IF($C2="","",($C2+1)^2)</f>
        <v/>
      </c>
      <c r="E2" s="27">
        <f>IF($D2="","",$D2-$B2)</f>
        <v/>
      </c>
      <c r="F2" s="27">
        <f>IF($A2="","",SUMIF(MonthlySummary!$B$2:$B$1000,$A2,MonthlySummary!$E$2:$E$1000))</f>
        <v/>
      </c>
      <c r="G2" s="27" t="n">
        <v>0</v>
      </c>
      <c r="H2" s="27">
        <f>IF($A2="","",$F2-IF($G2="",0,$G2))</f>
        <v/>
      </c>
      <c r="I2" s="27">
        <f>IF($A2="","",IFERROR(XLOOKUP($A2,SeedPlacement!$A$2:$A$1000,SeedPlacement!$N$2:$N$1000),0))</f>
        <v/>
      </c>
      <c r="J2" s="59" t="n"/>
    </row>
    <row r="3">
      <c r="A3" s="46">
        <f>IF(Members!$A3="","",Members!$A3)</f>
        <v/>
      </c>
      <c r="B3" s="31">
        <f>IF($A3="","",$I3+SUMIF(WeeklySummary!$B$2:$B$1000,$A3,WeeklySummary!$G$2:$G$1000))</f>
        <v/>
      </c>
      <c r="C3" s="31">
        <f>IF($B3="","",MIN(100,INT(SQRT($B3))))</f>
        <v/>
      </c>
      <c r="D3" s="31">
        <f>IF($C3="","",($C3+1)^2)</f>
        <v/>
      </c>
      <c r="E3" s="31">
        <f>IF($D3="","",$D3-$B3)</f>
        <v/>
      </c>
      <c r="F3" s="31">
        <f>IF($A3="","",SUMIF(MonthlySummary!$B$2:$B$1000,$A3,MonthlySummary!$E$2:$E$1000))</f>
        <v/>
      </c>
      <c r="G3" s="31" t="n">
        <v>0</v>
      </c>
      <c r="H3" s="31">
        <f>IF($A3="","",$F3-IF($G3="",0,$G3))</f>
        <v/>
      </c>
      <c r="I3" s="31">
        <f>IF($A3="","",IFERROR(XLOOKUP($A3,SeedPlacement!$A$2:$A$1000,SeedPlacement!$N$2:$N$1000),0))</f>
        <v/>
      </c>
      <c r="J3" s="59" t="n"/>
    </row>
    <row r="4">
      <c r="A4" s="31">
        <f>IF(Members!$A4="","",Members!$A4)</f>
        <v/>
      </c>
      <c r="B4" s="31">
        <f>IF($A4="","",$I4+SUMIF(WeeklySummary!$B$2:$B$1000,$A4,WeeklySummary!$G$2:$G$1000))</f>
        <v/>
      </c>
      <c r="C4" s="31">
        <f>IF($B4="","",MIN(100,INT(SQRT($B4))))</f>
        <v/>
      </c>
      <c r="D4" s="31">
        <f>IF($C4="","",($C4+1)^2)</f>
        <v/>
      </c>
      <c r="E4" s="31">
        <f>IF($D4="","",$D4-$B4)</f>
        <v/>
      </c>
      <c r="F4" s="31">
        <f>IF($A4="","",SUMIF(MonthlySummary!$B$2:$B$1000,$A4,MonthlySummary!$E$2:$E$1000))</f>
        <v/>
      </c>
      <c r="G4" s="31" t="n">
        <v>0</v>
      </c>
      <c r="H4" s="31">
        <f>IF($A4="","",$F4-IF($G4="",0,$G4))</f>
        <v/>
      </c>
      <c r="I4" s="31">
        <f>IF($A4="","",IFERROR(XLOOKUP($A4,SeedPlacement!$A$2:$A$1000,SeedPlacement!$N$2:$N$1000),0))</f>
        <v/>
      </c>
      <c r="J4" s="59" t="n"/>
    </row>
    <row r="5">
      <c r="A5" s="31">
        <f>IF(Members!$A5="","",Members!$A5)</f>
        <v/>
      </c>
      <c r="B5" s="31">
        <f>IF($A5="","",$I5+SUMIF(WeeklySummary!$B$2:$B$1000,$A5,WeeklySummary!$G$2:$G$1000))</f>
        <v/>
      </c>
      <c r="C5" s="31">
        <f>IF($B5="","",MIN(100,INT(SQRT($B5))))</f>
        <v/>
      </c>
      <c r="D5" s="31">
        <f>IF($C5="","",($C5+1)^2)</f>
        <v/>
      </c>
      <c r="E5" s="31">
        <f>IF($D5="","",$D5-$B5)</f>
        <v/>
      </c>
      <c r="F5" s="31">
        <f>IF($A5="","",SUMIF(MonthlySummary!$B$2:$B$1000,$A5,MonthlySummary!$E$2:$E$1000))</f>
        <v/>
      </c>
      <c r="G5" s="31" t="n">
        <v>0</v>
      </c>
      <c r="H5" s="31">
        <f>IF($A5="","",$F5-IF($G5="",0,$G5))</f>
        <v/>
      </c>
      <c r="I5" s="31">
        <f>IF($A5="","",IFERROR(XLOOKUP($A5,SeedPlacement!$A$2:$A$1000,SeedPlacement!$N$2:$N$1000),0))</f>
        <v/>
      </c>
      <c r="J5" s="59" t="n"/>
    </row>
    <row r="6">
      <c r="A6" s="31">
        <f>IF(Members!$A6="","",Members!$A6)</f>
        <v/>
      </c>
      <c r="B6" s="31">
        <f>IF($A6="","",$I6+SUMIF(WeeklySummary!$B$2:$B$1000,$A6,WeeklySummary!$G$2:$G$1000))</f>
        <v/>
      </c>
      <c r="C6" s="31">
        <f>IF($B6="","",MIN(100,INT(SQRT($B6))))</f>
        <v/>
      </c>
      <c r="D6" s="31">
        <f>IF($C6="","",($C6+1)^2)</f>
        <v/>
      </c>
      <c r="E6" s="31">
        <f>IF($D6="","",$D6-$B6)</f>
        <v/>
      </c>
      <c r="F6" s="31">
        <f>IF($A6="","",SUMIF(MonthlySummary!$B$2:$B$1000,$A6,MonthlySummary!$E$2:$E$1000))</f>
        <v/>
      </c>
      <c r="G6" s="31" t="n">
        <v>0</v>
      </c>
      <c r="H6" s="31">
        <f>IF($A6="","",$F6-IF($G6="",0,$G6))</f>
        <v/>
      </c>
      <c r="I6" s="31">
        <f>IF($A6="","",IFERROR(XLOOKUP($A6,SeedPlacement!$A$2:$A$1000,SeedPlacement!$N$2:$N$1000),0))</f>
        <v/>
      </c>
      <c r="J6" s="59" t="n"/>
    </row>
    <row r="7">
      <c r="A7" s="31">
        <f>IF(Members!$A7="","",Members!$A7)</f>
        <v/>
      </c>
      <c r="B7" s="31">
        <f>IF($A7="","",$I7+SUMIF(WeeklySummary!$B$2:$B$1000,$A7,WeeklySummary!$G$2:$G$1000))</f>
        <v/>
      </c>
      <c r="C7" s="31">
        <f>IF($B7="","",MIN(100,INT(SQRT($B7))))</f>
        <v/>
      </c>
      <c r="D7" s="31">
        <f>IF($C7="","",($C7+1)^2)</f>
        <v/>
      </c>
      <c r="E7" s="31">
        <f>IF($D7="","",$D7-$B7)</f>
        <v/>
      </c>
      <c r="F7" s="31">
        <f>IF($A7="","",SUMIF(MonthlySummary!$B$2:$B$1000,$A7,MonthlySummary!$E$2:$E$1000))</f>
        <v/>
      </c>
      <c r="G7" s="31" t="n">
        <v>0</v>
      </c>
      <c r="H7" s="31">
        <f>IF($A7="","",$F7-IF($G7="",0,$G7))</f>
        <v/>
      </c>
      <c r="I7" s="31">
        <f>IF($A7="","",IFERROR(XLOOKUP($A7,SeedPlacement!$A$2:$A$1000,SeedPlacement!$N$2:$N$1000),0))</f>
        <v/>
      </c>
      <c r="J7" s="59" t="n"/>
    </row>
    <row r="8">
      <c r="A8" s="31">
        <f>IF(Members!$A8="","",Members!$A8)</f>
        <v/>
      </c>
      <c r="B8" s="31">
        <f>IF($A8="","",$I8+SUMIF(WeeklySummary!$B$2:$B$1000,$A8,WeeklySummary!$G$2:$G$1000))</f>
        <v/>
      </c>
      <c r="C8" s="31">
        <f>IF($B8="","",MIN(100,INT(SQRT($B8))))</f>
        <v/>
      </c>
      <c r="D8" s="31">
        <f>IF($C8="","",($C8+1)^2)</f>
        <v/>
      </c>
      <c r="E8" s="31">
        <f>IF($D8="","",$D8-$B8)</f>
        <v/>
      </c>
      <c r="F8" s="31">
        <f>IF($A8="","",SUMIF(MonthlySummary!$B$2:$B$1000,$A8,MonthlySummary!$E$2:$E$1000))</f>
        <v/>
      </c>
      <c r="G8" s="31" t="n">
        <v>0</v>
      </c>
      <c r="H8" s="31">
        <f>IF($A8="","",$F8-IF($G8="",0,$G8))</f>
        <v/>
      </c>
      <c r="I8" s="31">
        <f>IF($A8="","",IFERROR(XLOOKUP($A8,SeedPlacement!$A$2:$A$1000,SeedPlacement!$N$2:$N$1000),0))</f>
        <v/>
      </c>
      <c r="J8" s="59" t="n"/>
    </row>
    <row r="9">
      <c r="A9" s="31">
        <f>IF(Members!$A9="","",Members!$A9)</f>
        <v/>
      </c>
      <c r="B9" s="31">
        <f>IF($A9="","",$I9+SUMIF(WeeklySummary!$B$2:$B$1000,$A9,WeeklySummary!$G$2:$G$1000))</f>
        <v/>
      </c>
      <c r="C9" s="31">
        <f>IF($B9="","",MIN(100,INT(SQRT($B9))))</f>
        <v/>
      </c>
      <c r="D9" s="31">
        <f>IF($C9="","",($C9+1)^2)</f>
        <v/>
      </c>
      <c r="E9" s="31">
        <f>IF($D9="","",$D9-$B9)</f>
        <v/>
      </c>
      <c r="F9" s="31">
        <f>IF($A9="","",SUMIF(MonthlySummary!$B$2:$B$1000,$A9,MonthlySummary!$E$2:$E$1000))</f>
        <v/>
      </c>
      <c r="G9" s="31" t="n">
        <v>0</v>
      </c>
      <c r="H9" s="31">
        <f>IF($A9="","",$F9-IF($G9="",0,$G9))</f>
        <v/>
      </c>
      <c r="I9" s="31">
        <f>IF($A9="","",IFERROR(XLOOKUP($A9,SeedPlacement!$A$2:$A$1000,SeedPlacement!$N$2:$N$1000),0))</f>
        <v/>
      </c>
      <c r="J9" s="59" t="n"/>
    </row>
    <row r="10">
      <c r="A10" s="31">
        <f>IF(Members!$A10="","",Members!$A10)</f>
        <v/>
      </c>
      <c r="B10" s="31">
        <f>IF($A10="","",$I10+SUMIF(WeeklySummary!$B$2:$B$1000,$A10,WeeklySummary!$G$2:$G$1000))</f>
        <v/>
      </c>
      <c r="C10" s="31">
        <f>IF($B10="","",MIN(100,INT(SQRT($B10))))</f>
        <v/>
      </c>
      <c r="D10" s="31">
        <f>IF($C10="","",($C10+1)^2)</f>
        <v/>
      </c>
      <c r="E10" s="31">
        <f>IF($D10="","",$D10-$B10)</f>
        <v/>
      </c>
      <c r="F10" s="31">
        <f>IF($A10="","",SUMIF(MonthlySummary!$B$2:$B$1000,$A10,MonthlySummary!$E$2:$E$1000))</f>
        <v/>
      </c>
      <c r="G10" s="31" t="n">
        <v>0</v>
      </c>
      <c r="H10" s="31">
        <f>IF($A10="","",$F10-IF($G10="",0,$G10))</f>
        <v/>
      </c>
      <c r="I10" s="31">
        <f>IF($A10="","",IFERROR(XLOOKUP($A10,SeedPlacement!$A$2:$A$1000,SeedPlacement!$N$2:$N$1000),0))</f>
        <v/>
      </c>
      <c r="J10" s="59" t="n"/>
    </row>
    <row r="11">
      <c r="A11" s="31">
        <f>IF(Members!$A11="","",Members!$A11)</f>
        <v/>
      </c>
      <c r="B11" s="31">
        <f>IF($A11="","",$I11+SUMIF(WeeklySummary!$B$2:$B$1000,$A11,WeeklySummary!$G$2:$G$1000))</f>
        <v/>
      </c>
      <c r="C11" s="31">
        <f>IF($B11="","",MIN(100,INT(SQRT($B11))))</f>
        <v/>
      </c>
      <c r="D11" s="31">
        <f>IF($C11="","",($C11+1)^2)</f>
        <v/>
      </c>
      <c r="E11" s="31">
        <f>IF($D11="","",$D11-$B11)</f>
        <v/>
      </c>
      <c r="F11" s="31">
        <f>IF($A11="","",SUMIF(MonthlySummary!$B$2:$B$1000,$A11,MonthlySummary!$E$2:$E$1000))</f>
        <v/>
      </c>
      <c r="G11" s="31" t="n">
        <v>0</v>
      </c>
      <c r="H11" s="31">
        <f>IF($A11="","",$F11-IF($G11="",0,$G11))</f>
        <v/>
      </c>
      <c r="I11" s="31">
        <f>IF($A11="","",IFERROR(XLOOKUP($A11,SeedPlacement!$A$2:$A$1000,SeedPlacement!$N$2:$N$1000),0))</f>
        <v/>
      </c>
      <c r="J11" s="59" t="n"/>
    </row>
    <row r="12">
      <c r="A12" s="31">
        <f>IF(Members!$A12="","",Members!$A12)</f>
        <v/>
      </c>
      <c r="B12" s="31">
        <f>IF($A12="","",$I12+SUMIF(WeeklySummary!$B$2:$B$1000,$A12,WeeklySummary!$G$2:$G$1000))</f>
        <v/>
      </c>
      <c r="C12" s="31">
        <f>IF($B12="","",MIN(100,INT(SQRT($B12))))</f>
        <v/>
      </c>
      <c r="D12" s="31">
        <f>IF($C12="","",($C12+1)^2)</f>
        <v/>
      </c>
      <c r="E12" s="31">
        <f>IF($D12="","",$D12-$B12)</f>
        <v/>
      </c>
      <c r="F12" s="31">
        <f>IF($A12="","",SUMIF(MonthlySummary!$B$2:$B$1000,$A12,MonthlySummary!$E$2:$E$1000))</f>
        <v/>
      </c>
      <c r="G12" s="31" t="n">
        <v>0</v>
      </c>
      <c r="H12" s="31">
        <f>IF($A12="","",$F12-IF($G12="",0,$G12))</f>
        <v/>
      </c>
      <c r="I12" s="31">
        <f>IF($A12="","",IFERROR(XLOOKUP($A12,SeedPlacement!$A$2:$A$1000,SeedPlacement!$N$2:$N$1000),0))</f>
        <v/>
      </c>
      <c r="J12" s="59" t="n"/>
    </row>
    <row r="13">
      <c r="A13" s="31">
        <f>IF(Members!$A13="","",Members!$A13)</f>
        <v/>
      </c>
      <c r="B13" s="31">
        <f>IF($A13="","",$I13+SUMIF(WeeklySummary!$B$2:$B$1000,$A13,WeeklySummary!$G$2:$G$1000))</f>
        <v/>
      </c>
      <c r="C13" s="31">
        <f>IF($B13="","",MIN(100,INT(SQRT($B13))))</f>
        <v/>
      </c>
      <c r="D13" s="31">
        <f>IF($C13="","",($C13+1)^2)</f>
        <v/>
      </c>
      <c r="E13" s="31">
        <f>IF($D13="","",$D13-$B13)</f>
        <v/>
      </c>
      <c r="F13" s="31">
        <f>IF($A13="","",SUMIF(MonthlySummary!$B$2:$B$1000,$A13,MonthlySummary!$E$2:$E$1000))</f>
        <v/>
      </c>
      <c r="G13" s="31" t="n">
        <v>0</v>
      </c>
      <c r="H13" s="31">
        <f>IF($A13="","",$F13-IF($G13="",0,$G13))</f>
        <v/>
      </c>
      <c r="I13" s="31">
        <f>IF($A13="","",IFERROR(XLOOKUP($A13,SeedPlacement!$A$2:$A$1000,SeedPlacement!$N$2:$N$1000),0))</f>
        <v/>
      </c>
      <c r="J13" s="59" t="n"/>
    </row>
    <row r="14">
      <c r="A14" s="31">
        <f>IF(Members!$A14="","",Members!$A14)</f>
        <v/>
      </c>
      <c r="B14" s="31">
        <f>IF($A14="","",$I14+SUMIF(WeeklySummary!$B$2:$B$1000,$A14,WeeklySummary!$G$2:$G$1000))</f>
        <v/>
      </c>
      <c r="C14" s="31">
        <f>IF($B14="","",MIN(100,INT(SQRT($B14))))</f>
        <v/>
      </c>
      <c r="D14" s="31">
        <f>IF($C14="","",($C14+1)^2)</f>
        <v/>
      </c>
      <c r="E14" s="31">
        <f>IF($D14="","",$D14-$B14)</f>
        <v/>
      </c>
      <c r="F14" s="31">
        <f>IF($A14="","",SUMIF(MonthlySummary!$B$2:$B$1000,$A14,MonthlySummary!$E$2:$E$1000))</f>
        <v/>
      </c>
      <c r="G14" s="31" t="n">
        <v>0</v>
      </c>
      <c r="H14" s="31">
        <f>IF($A14="","",$F14-IF($G14="",0,$G14))</f>
        <v/>
      </c>
      <c r="I14" s="31">
        <f>IF($A14="","",IFERROR(XLOOKUP($A14,SeedPlacement!$A$2:$A$1000,SeedPlacement!$N$2:$N$1000),0))</f>
        <v/>
      </c>
      <c r="J14" s="59" t="n"/>
    </row>
    <row r="15">
      <c r="A15" s="31">
        <f>IF(Members!$A15="","",Members!$A15)</f>
        <v/>
      </c>
      <c r="B15" s="31">
        <f>IF($A15="","",$I15+SUMIF(WeeklySummary!$B$2:$B$1000,$A15,WeeklySummary!$G$2:$G$1000))</f>
        <v/>
      </c>
      <c r="C15" s="31">
        <f>IF($B15="","",MIN(100,INT(SQRT($B15))))</f>
        <v/>
      </c>
      <c r="D15" s="31">
        <f>IF($C15="","",($C15+1)^2)</f>
        <v/>
      </c>
      <c r="E15" s="31">
        <f>IF($D15="","",$D15-$B15)</f>
        <v/>
      </c>
      <c r="F15" s="31">
        <f>IF($A15="","",SUMIF(MonthlySummary!$B$2:$B$1000,$A15,MonthlySummary!$E$2:$E$1000))</f>
        <v/>
      </c>
      <c r="G15" s="31" t="n">
        <v>0</v>
      </c>
      <c r="H15" s="31">
        <f>IF($A15="","",$F15-IF($G15="",0,$G15))</f>
        <v/>
      </c>
      <c r="I15" s="31">
        <f>IF($A15="","",IFERROR(XLOOKUP($A15,SeedPlacement!$A$2:$A$1000,SeedPlacement!$N$2:$N$1000),0))</f>
        <v/>
      </c>
      <c r="J15" s="59" t="n"/>
    </row>
    <row r="16">
      <c r="A16" s="31">
        <f>IF(Members!$A16="","",Members!$A16)</f>
        <v/>
      </c>
      <c r="B16" s="31">
        <f>IF($A16="","",$I16+SUMIF(WeeklySummary!$B$2:$B$1000,$A16,WeeklySummary!$G$2:$G$1000))</f>
        <v/>
      </c>
      <c r="C16" s="31">
        <f>IF($B16="","",MIN(100,INT(SQRT($B16))))</f>
        <v/>
      </c>
      <c r="D16" s="31">
        <f>IF($C16="","",($C16+1)^2)</f>
        <v/>
      </c>
      <c r="E16" s="31">
        <f>IF($D16="","",$D16-$B16)</f>
        <v/>
      </c>
      <c r="F16" s="31">
        <f>IF($A16="","",SUMIF(MonthlySummary!$B$2:$B$1000,$A16,MonthlySummary!$E$2:$E$1000))</f>
        <v/>
      </c>
      <c r="G16" s="31" t="n">
        <v>0</v>
      </c>
      <c r="H16" s="31">
        <f>IF($A16="","",$F16-IF($G16="",0,$G16))</f>
        <v/>
      </c>
      <c r="I16" s="31">
        <f>IF($A16="","",IFERROR(XLOOKUP($A16,SeedPlacement!$A$2:$A$1000,SeedPlacement!$N$2:$N$1000),0))</f>
        <v/>
      </c>
      <c r="J16" s="59" t="n"/>
    </row>
    <row r="17">
      <c r="A17" s="31">
        <f>IF(Members!$A17="","",Members!$A17)</f>
        <v/>
      </c>
      <c r="B17" s="31">
        <f>IF($A17="","",$I17+SUMIF(WeeklySummary!$B$2:$B$1000,$A17,WeeklySummary!$G$2:$G$1000))</f>
        <v/>
      </c>
      <c r="C17" s="31">
        <f>IF($B17="","",MIN(100,INT(SQRT($B17))))</f>
        <v/>
      </c>
      <c r="D17" s="31">
        <f>IF($C17="","",($C17+1)^2)</f>
        <v/>
      </c>
      <c r="E17" s="31">
        <f>IF($D17="","",$D17-$B17)</f>
        <v/>
      </c>
      <c r="F17" s="31">
        <f>IF($A17="","",SUMIF(MonthlySummary!$B$2:$B$1000,$A17,MonthlySummary!$E$2:$E$1000))</f>
        <v/>
      </c>
      <c r="G17" s="31" t="n">
        <v>0</v>
      </c>
      <c r="H17" s="31">
        <f>IF($A17="","",$F17-IF($G17="",0,$G17))</f>
        <v/>
      </c>
      <c r="I17" s="31">
        <f>IF($A17="","",IFERROR(XLOOKUP($A17,SeedPlacement!$A$2:$A$1000,SeedPlacement!$N$2:$N$1000),0))</f>
        <v/>
      </c>
      <c r="J17" s="59" t="n"/>
    </row>
    <row r="18">
      <c r="A18" s="31">
        <f>IF(Members!$A18="","",Members!$A18)</f>
        <v/>
      </c>
      <c r="B18" s="31">
        <f>IF($A18="","",$I18+SUMIF(WeeklySummary!$B$2:$B$1000,$A18,WeeklySummary!$G$2:$G$1000))</f>
        <v/>
      </c>
      <c r="C18" s="31">
        <f>IF($B18="","",MIN(100,INT(SQRT($B18))))</f>
        <v/>
      </c>
      <c r="D18" s="31">
        <f>IF($C18="","",($C18+1)^2)</f>
        <v/>
      </c>
      <c r="E18" s="31">
        <f>IF($D18="","",$D18-$B18)</f>
        <v/>
      </c>
      <c r="F18" s="31">
        <f>IF($A18="","",SUMIF(MonthlySummary!$B$2:$B$1000,$A18,MonthlySummary!$E$2:$E$1000))</f>
        <v/>
      </c>
      <c r="G18" s="31" t="n">
        <v>0</v>
      </c>
      <c r="H18" s="31">
        <f>IF($A18="","",$F18-IF($G18="",0,$G18))</f>
        <v/>
      </c>
      <c r="I18" s="31">
        <f>IF($A18="","",IFERROR(XLOOKUP($A18,SeedPlacement!$A$2:$A$1000,SeedPlacement!$N$2:$N$1000),0))</f>
        <v/>
      </c>
      <c r="J18" s="59" t="n"/>
    </row>
    <row r="19">
      <c r="A19" s="31">
        <f>IF(Members!$A19="","",Members!$A19)</f>
        <v/>
      </c>
      <c r="B19" s="31">
        <f>IF($A19="","",$I19+SUMIF(WeeklySummary!$B$2:$B$1000,$A19,WeeklySummary!$G$2:$G$1000))</f>
        <v/>
      </c>
      <c r="C19" s="31">
        <f>IF($B19="","",MIN(100,INT(SQRT($B19))))</f>
        <v/>
      </c>
      <c r="D19" s="31">
        <f>IF($C19="","",($C19+1)^2)</f>
        <v/>
      </c>
      <c r="E19" s="31">
        <f>IF($D19="","",$D19-$B19)</f>
        <v/>
      </c>
      <c r="F19" s="31">
        <f>IF($A19="","",SUMIF(MonthlySummary!$B$2:$B$1000,$A19,MonthlySummary!$E$2:$E$1000))</f>
        <v/>
      </c>
      <c r="G19" s="31" t="n">
        <v>0</v>
      </c>
      <c r="H19" s="31">
        <f>IF($A19="","",$F19-IF($G19="",0,$G19))</f>
        <v/>
      </c>
      <c r="I19" s="31">
        <f>IF($A19="","",IFERROR(XLOOKUP($A19,SeedPlacement!$A$2:$A$1000,SeedPlacement!$N$2:$N$1000),0))</f>
        <v/>
      </c>
      <c r="J19" s="59" t="n"/>
    </row>
    <row r="20">
      <c r="A20" s="31">
        <f>IF(Members!$A20="","",Members!$A20)</f>
        <v/>
      </c>
      <c r="B20" s="31">
        <f>IF($A20="","",$I20+SUMIF(WeeklySummary!$B$2:$B$1000,$A20,WeeklySummary!$G$2:$G$1000))</f>
        <v/>
      </c>
      <c r="C20" s="31">
        <f>IF($B20="","",MIN(100,INT(SQRT($B20))))</f>
        <v/>
      </c>
      <c r="D20" s="31">
        <f>IF($C20="","",($C20+1)^2)</f>
        <v/>
      </c>
      <c r="E20" s="31">
        <f>IF($D20="","",$D20-$B20)</f>
        <v/>
      </c>
      <c r="F20" s="31">
        <f>IF($A20="","",SUMIF(MonthlySummary!$B$2:$B$1000,$A20,MonthlySummary!$E$2:$E$1000))</f>
        <v/>
      </c>
      <c r="G20" s="31" t="n">
        <v>0</v>
      </c>
      <c r="H20" s="31">
        <f>IF($A20="","",$F20-IF($G20="",0,$G20))</f>
        <v/>
      </c>
      <c r="I20" s="31">
        <f>IF($A20="","",IFERROR(XLOOKUP($A20,SeedPlacement!$A$2:$A$1000,SeedPlacement!$N$2:$N$1000),0))</f>
        <v/>
      </c>
      <c r="J20" s="59" t="n"/>
    </row>
    <row r="21">
      <c r="A21" s="31">
        <f>IF(Members!$A21="","",Members!$A21)</f>
        <v/>
      </c>
      <c r="B21" s="31">
        <f>IF($A21="","",$I21+SUMIF(WeeklySummary!$B$2:$B$1000,$A21,WeeklySummary!$G$2:$G$1000))</f>
        <v/>
      </c>
      <c r="C21" s="31">
        <f>IF($B21="","",MIN(100,INT(SQRT($B21))))</f>
        <v/>
      </c>
      <c r="D21" s="31">
        <f>IF($C21="","",($C21+1)^2)</f>
        <v/>
      </c>
      <c r="E21" s="31">
        <f>IF($D21="","",$D21-$B21)</f>
        <v/>
      </c>
      <c r="F21" s="31">
        <f>IF($A21="","",SUMIF(MonthlySummary!$B$2:$B$1000,$A21,MonthlySummary!$E$2:$E$1000))</f>
        <v/>
      </c>
      <c r="G21" s="31" t="n">
        <v>0</v>
      </c>
      <c r="H21" s="31">
        <f>IF($A21="","",$F21-IF($G21="",0,$G21))</f>
        <v/>
      </c>
      <c r="I21" s="31">
        <f>IF($A21="","",IFERROR(XLOOKUP($A21,SeedPlacement!$A$2:$A$1000,SeedPlacement!$N$2:$N$1000),0))</f>
        <v/>
      </c>
      <c r="J21" s="59" t="n"/>
    </row>
    <row r="22">
      <c r="A22" s="31">
        <f>IF(Members!$A22="","",Members!$A22)</f>
        <v/>
      </c>
      <c r="B22" s="31">
        <f>IF($A22="","",$I22+SUMIF(WeeklySummary!$B$2:$B$1000,$A22,WeeklySummary!$G$2:$G$1000))</f>
        <v/>
      </c>
      <c r="C22" s="31">
        <f>IF($B22="","",MIN(100,INT(SQRT($B22))))</f>
        <v/>
      </c>
      <c r="D22" s="31">
        <f>IF($C22="","",($C22+1)^2)</f>
        <v/>
      </c>
      <c r="E22" s="31">
        <f>IF($D22="","",$D22-$B22)</f>
        <v/>
      </c>
      <c r="F22" s="31">
        <f>IF($A22="","",SUMIF(MonthlySummary!$B$2:$B$1000,$A22,MonthlySummary!$E$2:$E$1000))</f>
        <v/>
      </c>
      <c r="G22" s="31" t="n">
        <v>0</v>
      </c>
      <c r="H22" s="31">
        <f>IF($A22="","",$F22-IF($G22="",0,$G22))</f>
        <v/>
      </c>
      <c r="I22" s="31">
        <f>IF($A22="","",IFERROR(XLOOKUP($A22,SeedPlacement!$A$2:$A$1000,SeedPlacement!$N$2:$N$1000),0))</f>
        <v/>
      </c>
      <c r="J22" s="59" t="n"/>
    </row>
    <row r="23">
      <c r="A23" s="31">
        <f>IF(Members!$A23="","",Members!$A23)</f>
        <v/>
      </c>
      <c r="B23" s="31">
        <f>IF($A23="","",$I23+SUMIF(WeeklySummary!$B$2:$B$1000,$A23,WeeklySummary!$G$2:$G$1000))</f>
        <v/>
      </c>
      <c r="C23" s="31">
        <f>IF($B23="","",MIN(100,INT(SQRT($B23))))</f>
        <v/>
      </c>
      <c r="D23" s="31">
        <f>IF($C23="","",($C23+1)^2)</f>
        <v/>
      </c>
      <c r="E23" s="31">
        <f>IF($D23="","",$D23-$B23)</f>
        <v/>
      </c>
      <c r="F23" s="31">
        <f>IF($A23="","",SUMIF(MonthlySummary!$B$2:$B$1000,$A23,MonthlySummary!$E$2:$E$1000))</f>
        <v/>
      </c>
      <c r="G23" s="31" t="n">
        <v>0</v>
      </c>
      <c r="H23" s="31">
        <f>IF($A23="","",$F23-IF($G23="",0,$G23))</f>
        <v/>
      </c>
      <c r="I23" s="31">
        <f>IF($A23="","",IFERROR(XLOOKUP($A23,SeedPlacement!$A$2:$A$1000,SeedPlacement!$N$2:$N$1000),0))</f>
        <v/>
      </c>
      <c r="J23" s="59" t="n"/>
    </row>
    <row r="24">
      <c r="A24" s="31">
        <f>IF(Members!$A24="","",Members!$A24)</f>
        <v/>
      </c>
      <c r="B24" s="31">
        <f>IF($A24="","",$I24+SUMIF(WeeklySummary!$B$2:$B$1000,$A24,WeeklySummary!$G$2:$G$1000))</f>
        <v/>
      </c>
      <c r="C24" s="31">
        <f>IF($B24="","",MIN(100,INT(SQRT($B24))))</f>
        <v/>
      </c>
      <c r="D24" s="31">
        <f>IF($C24="","",($C24+1)^2)</f>
        <v/>
      </c>
      <c r="E24" s="31">
        <f>IF($D24="","",$D24-$B24)</f>
        <v/>
      </c>
      <c r="F24" s="31">
        <f>IF($A24="","",SUMIF(MonthlySummary!$B$2:$B$1000,$A24,MonthlySummary!$E$2:$E$1000))</f>
        <v/>
      </c>
      <c r="G24" s="31" t="n">
        <v>0</v>
      </c>
      <c r="H24" s="31">
        <f>IF($A24="","",$F24-IF($G24="",0,$G24))</f>
        <v/>
      </c>
      <c r="I24" s="31">
        <f>IF($A24="","",IFERROR(XLOOKUP($A24,SeedPlacement!$A$2:$A$1000,SeedPlacement!$N$2:$N$1000),0))</f>
        <v/>
      </c>
      <c r="J24" s="59" t="n"/>
    </row>
    <row r="25">
      <c r="A25" s="31">
        <f>IF(Members!$A25="","",Members!$A25)</f>
        <v/>
      </c>
      <c r="B25" s="31">
        <f>IF($A25="","",$I25+SUMIF(WeeklySummary!$B$2:$B$1000,$A25,WeeklySummary!$G$2:$G$1000))</f>
        <v/>
      </c>
      <c r="C25" s="31">
        <f>IF($B25="","",MIN(100,INT(SQRT($B25))))</f>
        <v/>
      </c>
      <c r="D25" s="31">
        <f>IF($C25="","",($C25+1)^2)</f>
        <v/>
      </c>
      <c r="E25" s="31">
        <f>IF($D25="","",$D25-$B25)</f>
        <v/>
      </c>
      <c r="F25" s="31">
        <f>IF($A25="","",SUMIF(MonthlySummary!$B$2:$B$1000,$A25,MonthlySummary!$E$2:$E$1000))</f>
        <v/>
      </c>
      <c r="G25" s="31" t="n">
        <v>0</v>
      </c>
      <c r="H25" s="31">
        <f>IF($A25="","",$F25-IF($G25="",0,$G25))</f>
        <v/>
      </c>
      <c r="I25" s="31">
        <f>IF($A25="","",IFERROR(XLOOKUP($A25,SeedPlacement!$A$2:$A$1000,SeedPlacement!$N$2:$N$1000),0))</f>
        <v/>
      </c>
      <c r="J25" s="59" t="n"/>
    </row>
    <row r="26">
      <c r="A26" s="31">
        <f>IF(Members!$A26="","",Members!$A26)</f>
        <v/>
      </c>
      <c r="B26" s="31">
        <f>IF($A26="","",$I26+SUMIF(WeeklySummary!$B$2:$B$1000,$A26,WeeklySummary!$G$2:$G$1000))</f>
        <v/>
      </c>
      <c r="C26" s="31">
        <f>IF($B26="","",MIN(100,INT(SQRT($B26))))</f>
        <v/>
      </c>
      <c r="D26" s="31">
        <f>IF($C26="","",($C26+1)^2)</f>
        <v/>
      </c>
      <c r="E26" s="31">
        <f>IF($D26="","",$D26-$B26)</f>
        <v/>
      </c>
      <c r="F26" s="31">
        <f>IF($A26="","",SUMIF(MonthlySummary!$B$2:$B$1000,$A26,MonthlySummary!$E$2:$E$1000))</f>
        <v/>
      </c>
      <c r="G26" s="31" t="n">
        <v>0</v>
      </c>
      <c r="H26" s="31">
        <f>IF($A26="","",$F26-IF($G26="",0,$G26))</f>
        <v/>
      </c>
      <c r="I26" s="31">
        <f>IF($A26="","",IFERROR(XLOOKUP($A26,SeedPlacement!$A$2:$A$1000,SeedPlacement!$N$2:$N$1000),0))</f>
        <v/>
      </c>
      <c r="J26" s="59" t="n"/>
    </row>
    <row r="27">
      <c r="A27" s="31">
        <f>IF(Members!$A27="","",Members!$A27)</f>
        <v/>
      </c>
      <c r="B27" s="31">
        <f>IF($A27="","",$I27+SUMIF(WeeklySummary!$B$2:$B$1000,$A27,WeeklySummary!$G$2:$G$1000))</f>
        <v/>
      </c>
      <c r="C27" s="31">
        <f>IF($B27="","",MIN(100,INT(SQRT($B27))))</f>
        <v/>
      </c>
      <c r="D27" s="31">
        <f>IF($C27="","",($C27+1)^2)</f>
        <v/>
      </c>
      <c r="E27" s="31">
        <f>IF($D27="","",$D27-$B27)</f>
        <v/>
      </c>
      <c r="F27" s="31">
        <f>IF($A27="","",SUMIF(MonthlySummary!$B$2:$B$1000,$A27,MonthlySummary!$E$2:$E$1000))</f>
        <v/>
      </c>
      <c r="G27" s="31" t="n">
        <v>0</v>
      </c>
      <c r="H27" s="31">
        <f>IF($A27="","",$F27-IF($G27="",0,$G27))</f>
        <v/>
      </c>
      <c r="I27" s="31">
        <f>IF($A27="","",IFERROR(XLOOKUP($A27,SeedPlacement!$A$2:$A$1000,SeedPlacement!$N$2:$N$1000),0))</f>
        <v/>
      </c>
      <c r="J27" s="59" t="n"/>
    </row>
    <row r="28">
      <c r="A28" s="31">
        <f>IF(Members!$A28="","",Members!$A28)</f>
        <v/>
      </c>
      <c r="B28" s="31">
        <f>IF($A28="","",$I28+SUMIF(WeeklySummary!$B$2:$B$1000,$A28,WeeklySummary!$G$2:$G$1000))</f>
        <v/>
      </c>
      <c r="C28" s="31">
        <f>IF($B28="","",MIN(100,INT(SQRT($B28))))</f>
        <v/>
      </c>
      <c r="D28" s="31">
        <f>IF($C28="","",($C28+1)^2)</f>
        <v/>
      </c>
      <c r="E28" s="31">
        <f>IF($D28="","",$D28-$B28)</f>
        <v/>
      </c>
      <c r="F28" s="31">
        <f>IF($A28="","",SUMIF(MonthlySummary!$B$2:$B$1000,$A28,MonthlySummary!$E$2:$E$1000))</f>
        <v/>
      </c>
      <c r="G28" s="31" t="n">
        <v>0</v>
      </c>
      <c r="H28" s="31">
        <f>IF($A28="","",$F28-IF($G28="",0,$G28))</f>
        <v/>
      </c>
      <c r="I28" s="31">
        <f>IF($A28="","",IFERROR(XLOOKUP($A28,SeedPlacement!$A$2:$A$1000,SeedPlacement!$N$2:$N$1000),0))</f>
        <v/>
      </c>
      <c r="J28" s="59" t="n"/>
    </row>
    <row r="29">
      <c r="A29" s="31">
        <f>IF(Members!$A29="","",Members!$A29)</f>
        <v/>
      </c>
      <c r="B29" s="31">
        <f>IF($A29="","",$I29+SUMIF(WeeklySummary!$B$2:$B$1000,$A29,WeeklySummary!$G$2:$G$1000))</f>
        <v/>
      </c>
      <c r="C29" s="31">
        <f>IF($B29="","",MIN(100,INT(SQRT($B29))))</f>
        <v/>
      </c>
      <c r="D29" s="31">
        <f>IF($C29="","",($C29+1)^2)</f>
        <v/>
      </c>
      <c r="E29" s="31">
        <f>IF($D29="","",$D29-$B29)</f>
        <v/>
      </c>
      <c r="F29" s="31">
        <f>IF($A29="","",SUMIF(MonthlySummary!$B$2:$B$1000,$A29,MonthlySummary!$E$2:$E$1000))</f>
        <v/>
      </c>
      <c r="G29" s="31" t="n">
        <v>0</v>
      </c>
      <c r="H29" s="31">
        <f>IF($A29="","",$F29-IF($G29="",0,$G29))</f>
        <v/>
      </c>
      <c r="I29" s="31">
        <f>IF($A29="","",IFERROR(XLOOKUP($A29,SeedPlacement!$A$2:$A$1000,SeedPlacement!$N$2:$N$1000),0))</f>
        <v/>
      </c>
      <c r="J29" s="59" t="n"/>
    </row>
    <row r="30">
      <c r="A30" s="31">
        <f>IF(Members!$A30="","",Members!$A30)</f>
        <v/>
      </c>
      <c r="B30" s="31">
        <f>IF($A30="","",$I30+SUMIF(WeeklySummary!$B$2:$B$1000,$A30,WeeklySummary!$G$2:$G$1000))</f>
        <v/>
      </c>
      <c r="C30" s="31">
        <f>IF($B30="","",MIN(100,INT(SQRT($B30))))</f>
        <v/>
      </c>
      <c r="D30" s="31">
        <f>IF($C30="","",($C30+1)^2)</f>
        <v/>
      </c>
      <c r="E30" s="31">
        <f>IF($D30="","",$D30-$B30)</f>
        <v/>
      </c>
      <c r="F30" s="31">
        <f>IF($A30="","",SUMIF(MonthlySummary!$B$2:$B$1000,$A30,MonthlySummary!$E$2:$E$1000))</f>
        <v/>
      </c>
      <c r="G30" s="31" t="n">
        <v>0</v>
      </c>
      <c r="H30" s="31">
        <f>IF($A30="","",$F30-IF($G30="",0,$G30))</f>
        <v/>
      </c>
      <c r="I30" s="31">
        <f>IF($A30="","",IFERROR(XLOOKUP($A30,SeedPlacement!$A$2:$A$1000,SeedPlacement!$N$2:$N$1000),0))</f>
        <v/>
      </c>
      <c r="J30" s="59" t="n"/>
    </row>
    <row r="31">
      <c r="A31" s="31">
        <f>IF(Members!$A31="","",Members!$A31)</f>
        <v/>
      </c>
      <c r="B31" s="31">
        <f>IF($A31="","",$I31+SUMIF(WeeklySummary!$B$2:$B$1000,$A31,WeeklySummary!$G$2:$G$1000))</f>
        <v/>
      </c>
      <c r="C31" s="31">
        <f>IF($B31="","",MIN(100,INT(SQRT($B31))))</f>
        <v/>
      </c>
      <c r="D31" s="31">
        <f>IF($C31="","",($C31+1)^2)</f>
        <v/>
      </c>
      <c r="E31" s="31">
        <f>IF($D31="","",$D31-$B31)</f>
        <v/>
      </c>
      <c r="F31" s="31">
        <f>IF($A31="","",SUMIF(MonthlySummary!$B$2:$B$1000,$A31,MonthlySummary!$E$2:$E$1000))</f>
        <v/>
      </c>
      <c r="G31" s="31" t="n">
        <v>0</v>
      </c>
      <c r="H31" s="31">
        <f>IF($A31="","",$F31-IF($G31="",0,$G31))</f>
        <v/>
      </c>
      <c r="I31" s="31">
        <f>IF($A31="","",IFERROR(XLOOKUP($A31,SeedPlacement!$A$2:$A$1000,SeedPlacement!$N$2:$N$1000),0))</f>
        <v/>
      </c>
      <c r="J31" s="59" t="n"/>
    </row>
    <row r="32">
      <c r="A32" s="31">
        <f>IF(Members!$A32="","",Members!$A32)</f>
        <v/>
      </c>
      <c r="B32" s="31">
        <f>IF($A32="","",$I32+SUMIF(WeeklySummary!$B$2:$B$1000,$A32,WeeklySummary!$G$2:$G$1000))</f>
        <v/>
      </c>
      <c r="C32" s="31">
        <f>IF($B32="","",MIN(100,INT(SQRT($B32))))</f>
        <v/>
      </c>
      <c r="D32" s="31">
        <f>IF($C32="","",($C32+1)^2)</f>
        <v/>
      </c>
      <c r="E32" s="31">
        <f>IF($D32="","",$D32-$B32)</f>
        <v/>
      </c>
      <c r="F32" s="31">
        <f>IF($A32="","",SUMIF(MonthlySummary!$B$2:$B$1000,$A32,MonthlySummary!$E$2:$E$1000))</f>
        <v/>
      </c>
      <c r="G32" s="31" t="n">
        <v>0</v>
      </c>
      <c r="H32" s="31">
        <f>IF($A32="","",$F32-IF($G32="",0,$G32))</f>
        <v/>
      </c>
      <c r="I32" s="31">
        <f>IF($A32="","",IFERROR(XLOOKUP($A32,SeedPlacement!$A$2:$A$1000,SeedPlacement!$N$2:$N$1000),0))</f>
        <v/>
      </c>
      <c r="J32" s="59" t="n"/>
    </row>
    <row r="33">
      <c r="A33" s="31">
        <f>IF(Members!$A33="","",Members!$A33)</f>
        <v/>
      </c>
      <c r="B33" s="31">
        <f>IF($A33="","",$I33+SUMIF(WeeklySummary!$B$2:$B$1000,$A33,WeeklySummary!$G$2:$G$1000))</f>
        <v/>
      </c>
      <c r="C33" s="31">
        <f>IF($B33="","",MIN(100,INT(SQRT($B33))))</f>
        <v/>
      </c>
      <c r="D33" s="31">
        <f>IF($C33="","",($C33+1)^2)</f>
        <v/>
      </c>
      <c r="E33" s="31">
        <f>IF($D33="","",$D33-$B33)</f>
        <v/>
      </c>
      <c r="F33" s="31">
        <f>IF($A33="","",SUMIF(MonthlySummary!$B$2:$B$1000,$A33,MonthlySummary!$E$2:$E$1000))</f>
        <v/>
      </c>
      <c r="G33" s="31" t="n">
        <v>0</v>
      </c>
      <c r="H33" s="31">
        <f>IF($A33="","",$F33-IF($G33="",0,$G33))</f>
        <v/>
      </c>
      <c r="I33" s="31">
        <f>IF($A33="","",IFERROR(XLOOKUP($A33,SeedPlacement!$A$2:$A$1000,SeedPlacement!$N$2:$N$1000),0))</f>
        <v/>
      </c>
      <c r="J33" s="59" t="n"/>
    </row>
    <row r="34">
      <c r="A34" s="31">
        <f>IF(Members!$A34="","",Members!$A34)</f>
        <v/>
      </c>
      <c r="B34" s="31">
        <f>IF($A34="","",$I34+SUMIF(WeeklySummary!$B$2:$B$1000,$A34,WeeklySummary!$G$2:$G$1000))</f>
        <v/>
      </c>
      <c r="C34" s="31">
        <f>IF($B34="","",MIN(100,INT(SQRT($B34))))</f>
        <v/>
      </c>
      <c r="D34" s="31">
        <f>IF($C34="","",($C34+1)^2)</f>
        <v/>
      </c>
      <c r="E34" s="31">
        <f>IF($D34="","",$D34-$B34)</f>
        <v/>
      </c>
      <c r="F34" s="31">
        <f>IF($A34="","",SUMIF(MonthlySummary!$B$2:$B$1000,$A34,MonthlySummary!$E$2:$E$1000))</f>
        <v/>
      </c>
      <c r="G34" s="31" t="n">
        <v>0</v>
      </c>
      <c r="H34" s="31">
        <f>IF($A34="","",$F34-IF($G34="",0,$G34))</f>
        <v/>
      </c>
      <c r="I34" s="31">
        <f>IF($A34="","",IFERROR(XLOOKUP($A34,SeedPlacement!$A$2:$A$1000,SeedPlacement!$N$2:$N$1000),0))</f>
        <v/>
      </c>
      <c r="J34" s="59" t="n"/>
    </row>
    <row r="35">
      <c r="A35" s="31">
        <f>IF(Members!$A35="","",Members!$A35)</f>
        <v/>
      </c>
      <c r="B35" s="31">
        <f>IF($A35="","",$I35+SUMIF(WeeklySummary!$B$2:$B$1000,$A35,WeeklySummary!$G$2:$G$1000))</f>
        <v/>
      </c>
      <c r="C35" s="31">
        <f>IF($B35="","",MIN(100,INT(SQRT($B35))))</f>
        <v/>
      </c>
      <c r="D35" s="31">
        <f>IF($C35="","",($C35+1)^2)</f>
        <v/>
      </c>
      <c r="E35" s="31">
        <f>IF($D35="","",$D35-$B35)</f>
        <v/>
      </c>
      <c r="F35" s="31">
        <f>IF($A35="","",SUMIF(MonthlySummary!$B$2:$B$1000,$A35,MonthlySummary!$E$2:$E$1000))</f>
        <v/>
      </c>
      <c r="G35" s="31" t="n">
        <v>0</v>
      </c>
      <c r="H35" s="31">
        <f>IF($A35="","",$F35-IF($G35="",0,$G35))</f>
        <v/>
      </c>
      <c r="I35" s="31">
        <f>IF($A35="","",IFERROR(XLOOKUP($A35,SeedPlacement!$A$2:$A$1000,SeedPlacement!$N$2:$N$1000),0))</f>
        <v/>
      </c>
      <c r="J35" s="59" t="n"/>
    </row>
    <row r="36">
      <c r="A36" s="31">
        <f>IF(Members!$A36="","",Members!$A36)</f>
        <v/>
      </c>
      <c r="B36" s="31">
        <f>IF($A36="","",$I36+SUMIF(WeeklySummary!$B$2:$B$1000,$A36,WeeklySummary!$G$2:$G$1000))</f>
        <v/>
      </c>
      <c r="C36" s="31">
        <f>IF($B36="","",MIN(100,INT(SQRT($B36))))</f>
        <v/>
      </c>
      <c r="D36" s="31">
        <f>IF($C36="","",($C36+1)^2)</f>
        <v/>
      </c>
      <c r="E36" s="31">
        <f>IF($D36="","",$D36-$B36)</f>
        <v/>
      </c>
      <c r="F36" s="31">
        <f>IF($A36="","",SUMIF(MonthlySummary!$B$2:$B$1000,$A36,MonthlySummary!$E$2:$E$1000))</f>
        <v/>
      </c>
      <c r="G36" s="31" t="n">
        <v>0</v>
      </c>
      <c r="H36" s="31">
        <f>IF($A36="","",$F36-IF($G36="",0,$G36))</f>
        <v/>
      </c>
      <c r="I36" s="31">
        <f>IF($A36="","",IFERROR(XLOOKUP($A36,SeedPlacement!$A$2:$A$1000,SeedPlacement!$N$2:$N$1000),0))</f>
        <v/>
      </c>
      <c r="J36" s="59" t="n"/>
    </row>
    <row r="37">
      <c r="A37" s="31">
        <f>IF(Members!$A37="","",Members!$A37)</f>
        <v/>
      </c>
      <c r="B37" s="31">
        <f>IF($A37="","",$I37+SUMIF(WeeklySummary!$B$2:$B$1000,$A37,WeeklySummary!$G$2:$G$1000))</f>
        <v/>
      </c>
      <c r="C37" s="31">
        <f>IF($B37="","",MIN(100,INT(SQRT($B37))))</f>
        <v/>
      </c>
      <c r="D37" s="31">
        <f>IF($C37="","",($C37+1)^2)</f>
        <v/>
      </c>
      <c r="E37" s="31">
        <f>IF($D37="","",$D37-$B37)</f>
        <v/>
      </c>
      <c r="F37" s="31">
        <f>IF($A37="","",SUMIF(MonthlySummary!$B$2:$B$1000,$A37,MonthlySummary!$E$2:$E$1000))</f>
        <v/>
      </c>
      <c r="G37" s="31" t="n">
        <v>0</v>
      </c>
      <c r="H37" s="31">
        <f>IF($A37="","",$F37-IF($G37="",0,$G37))</f>
        <v/>
      </c>
      <c r="I37" s="31">
        <f>IF($A37="","",IFERROR(XLOOKUP($A37,SeedPlacement!$A$2:$A$1000,SeedPlacement!$N$2:$N$1000),0))</f>
        <v/>
      </c>
      <c r="J37" s="59" t="n"/>
    </row>
    <row r="38">
      <c r="A38" s="31">
        <f>IF(Members!$A38="","",Members!$A38)</f>
        <v/>
      </c>
      <c r="B38" s="31">
        <f>IF($A38="","",$I38+SUMIF(WeeklySummary!$B$2:$B$1000,$A38,WeeklySummary!$G$2:$G$1000))</f>
        <v/>
      </c>
      <c r="C38" s="31">
        <f>IF($B38="","",MIN(100,INT(SQRT($B38))))</f>
        <v/>
      </c>
      <c r="D38" s="31">
        <f>IF($C38="","",($C38+1)^2)</f>
        <v/>
      </c>
      <c r="E38" s="31">
        <f>IF($D38="","",$D38-$B38)</f>
        <v/>
      </c>
      <c r="F38" s="31">
        <f>IF($A38="","",SUMIF(MonthlySummary!$B$2:$B$1000,$A38,MonthlySummary!$E$2:$E$1000))</f>
        <v/>
      </c>
      <c r="G38" s="31" t="n">
        <v>0</v>
      </c>
      <c r="H38" s="31">
        <f>IF($A38="","",$F38-IF($G38="",0,$G38))</f>
        <v/>
      </c>
      <c r="I38" s="31">
        <f>IF($A38="","",IFERROR(XLOOKUP($A38,SeedPlacement!$A$2:$A$1000,SeedPlacement!$N$2:$N$1000),0))</f>
        <v/>
      </c>
      <c r="J38" s="59" t="n"/>
    </row>
    <row r="39">
      <c r="A39" s="31">
        <f>IF(Members!$A39="","",Members!$A39)</f>
        <v/>
      </c>
      <c r="B39" s="31">
        <f>IF($A39="","",$I39+SUMIF(WeeklySummary!$B$2:$B$1000,$A39,WeeklySummary!$G$2:$G$1000))</f>
        <v/>
      </c>
      <c r="C39" s="31">
        <f>IF($B39="","",MIN(100,INT(SQRT($B39))))</f>
        <v/>
      </c>
      <c r="D39" s="31">
        <f>IF($C39="","",($C39+1)^2)</f>
        <v/>
      </c>
      <c r="E39" s="31">
        <f>IF($D39="","",$D39-$B39)</f>
        <v/>
      </c>
      <c r="F39" s="31">
        <f>IF($A39="","",SUMIF(MonthlySummary!$B$2:$B$1000,$A39,MonthlySummary!$E$2:$E$1000))</f>
        <v/>
      </c>
      <c r="G39" s="31" t="n">
        <v>0</v>
      </c>
      <c r="H39" s="31">
        <f>IF($A39="","",$F39-IF($G39="",0,$G39))</f>
        <v/>
      </c>
      <c r="I39" s="31">
        <f>IF($A39="","",IFERROR(XLOOKUP($A39,SeedPlacement!$A$2:$A$1000,SeedPlacement!$N$2:$N$1000),0))</f>
        <v/>
      </c>
      <c r="J39" s="59" t="n"/>
    </row>
    <row r="40">
      <c r="A40" s="31">
        <f>IF(Members!$A40="","",Members!$A40)</f>
        <v/>
      </c>
      <c r="B40" s="31">
        <f>IF($A40="","",$I40+SUMIF(WeeklySummary!$B$2:$B$1000,$A40,WeeklySummary!$G$2:$G$1000))</f>
        <v/>
      </c>
      <c r="C40" s="31">
        <f>IF($B40="","",MIN(100,INT(SQRT($B40))))</f>
        <v/>
      </c>
      <c r="D40" s="31">
        <f>IF($C40="","",($C40+1)^2)</f>
        <v/>
      </c>
      <c r="E40" s="31">
        <f>IF($D40="","",$D40-$B40)</f>
        <v/>
      </c>
      <c r="F40" s="31">
        <f>IF($A40="","",SUMIF(MonthlySummary!$B$2:$B$1000,$A40,MonthlySummary!$E$2:$E$1000))</f>
        <v/>
      </c>
      <c r="G40" s="31" t="n">
        <v>0</v>
      </c>
      <c r="H40" s="31">
        <f>IF($A40="","",$F40-IF($G40="",0,$G40))</f>
        <v/>
      </c>
      <c r="I40" s="31">
        <f>IF($A40="","",IFERROR(XLOOKUP($A40,SeedPlacement!$A$2:$A$1000,SeedPlacement!$N$2:$N$1000),0))</f>
        <v/>
      </c>
      <c r="J40" s="59" t="n"/>
    </row>
    <row r="41">
      <c r="A41" s="31">
        <f>IF(Members!$A41="","",Members!$A41)</f>
        <v/>
      </c>
      <c r="B41" s="31">
        <f>IF($A41="","",$I41+SUMIF(WeeklySummary!$B$2:$B$1000,$A41,WeeklySummary!$G$2:$G$1000))</f>
        <v/>
      </c>
      <c r="C41" s="31">
        <f>IF($B41="","",MIN(100,INT(SQRT($B41))))</f>
        <v/>
      </c>
      <c r="D41" s="31">
        <f>IF($C41="","",($C41+1)^2)</f>
        <v/>
      </c>
      <c r="E41" s="31">
        <f>IF($D41="","",$D41-$B41)</f>
        <v/>
      </c>
      <c r="F41" s="31">
        <f>IF($A41="","",SUMIF(MonthlySummary!$B$2:$B$1000,$A41,MonthlySummary!$E$2:$E$1000))</f>
        <v/>
      </c>
      <c r="G41" s="31" t="n">
        <v>0</v>
      </c>
      <c r="H41" s="31">
        <f>IF($A41="","",$F41-IF($G41="",0,$G41))</f>
        <v/>
      </c>
      <c r="I41" s="31">
        <f>IF($A41="","",IFERROR(XLOOKUP($A41,SeedPlacement!$A$2:$A$1000,SeedPlacement!$N$2:$N$1000),0))</f>
        <v/>
      </c>
      <c r="J41" s="59" t="n"/>
    </row>
    <row r="42">
      <c r="A42" s="31">
        <f>IF(Members!$A42="","",Members!$A42)</f>
        <v/>
      </c>
      <c r="B42" s="31">
        <f>IF($A42="","",$I42+SUMIF(WeeklySummary!$B$2:$B$1000,$A42,WeeklySummary!$G$2:$G$1000))</f>
        <v/>
      </c>
      <c r="C42" s="31">
        <f>IF($B42="","",MIN(100,INT(SQRT($B42))))</f>
        <v/>
      </c>
      <c r="D42" s="31">
        <f>IF($C42="","",($C42+1)^2)</f>
        <v/>
      </c>
      <c r="E42" s="31">
        <f>IF($D42="","",$D42-$B42)</f>
        <v/>
      </c>
      <c r="F42" s="31">
        <f>IF($A42="","",SUMIF(MonthlySummary!$B$2:$B$1000,$A42,MonthlySummary!$E$2:$E$1000))</f>
        <v/>
      </c>
      <c r="G42" s="31" t="n">
        <v>0</v>
      </c>
      <c r="H42" s="31">
        <f>IF($A42="","",$F42-IF($G42="",0,$G42))</f>
        <v/>
      </c>
      <c r="I42" s="31">
        <f>IF($A42="","",IFERROR(XLOOKUP($A42,SeedPlacement!$A$2:$A$1000,SeedPlacement!$N$2:$N$1000),0))</f>
        <v/>
      </c>
      <c r="J42" s="59" t="n"/>
    </row>
    <row r="43">
      <c r="A43" s="31">
        <f>IF(Members!$A43="","",Members!$A43)</f>
        <v/>
      </c>
      <c r="B43" s="31">
        <f>IF($A43="","",$I43+SUMIF(WeeklySummary!$B$2:$B$1000,$A43,WeeklySummary!$G$2:$G$1000))</f>
        <v/>
      </c>
      <c r="C43" s="31">
        <f>IF($B43="","",MIN(100,INT(SQRT($B43))))</f>
        <v/>
      </c>
      <c r="D43" s="31">
        <f>IF($C43="","",($C43+1)^2)</f>
        <v/>
      </c>
      <c r="E43" s="31">
        <f>IF($D43="","",$D43-$B43)</f>
        <v/>
      </c>
      <c r="F43" s="31">
        <f>IF($A43="","",SUMIF(MonthlySummary!$B$2:$B$1000,$A43,MonthlySummary!$E$2:$E$1000))</f>
        <v/>
      </c>
      <c r="G43" s="31" t="n">
        <v>0</v>
      </c>
      <c r="H43" s="31">
        <f>IF($A43="","",$F43-IF($G43="",0,$G43))</f>
        <v/>
      </c>
      <c r="I43" s="31">
        <f>IF($A43="","",IFERROR(XLOOKUP($A43,SeedPlacement!$A$2:$A$1000,SeedPlacement!$N$2:$N$1000),0))</f>
        <v/>
      </c>
      <c r="J43" s="59" t="n"/>
    </row>
    <row r="44">
      <c r="A44" s="31">
        <f>IF(Members!$A44="","",Members!$A44)</f>
        <v/>
      </c>
      <c r="B44" s="31">
        <f>IF($A44="","",$I44+SUMIF(WeeklySummary!$B$2:$B$1000,$A44,WeeklySummary!$G$2:$G$1000))</f>
        <v/>
      </c>
      <c r="C44" s="31">
        <f>IF($B44="","",MIN(100,INT(SQRT($B44))))</f>
        <v/>
      </c>
      <c r="D44" s="31">
        <f>IF($C44="","",($C44+1)^2)</f>
        <v/>
      </c>
      <c r="E44" s="31">
        <f>IF($D44="","",$D44-$B44)</f>
        <v/>
      </c>
      <c r="F44" s="31">
        <f>IF($A44="","",SUMIF(MonthlySummary!$B$2:$B$1000,$A44,MonthlySummary!$E$2:$E$1000))</f>
        <v/>
      </c>
      <c r="G44" s="31" t="n">
        <v>0</v>
      </c>
      <c r="H44" s="31">
        <f>IF($A44="","",$F44-IF($G44="",0,$G44))</f>
        <v/>
      </c>
      <c r="I44" s="31">
        <f>IF($A44="","",IFERROR(XLOOKUP($A44,SeedPlacement!$A$2:$A$1000,SeedPlacement!$N$2:$N$1000),0))</f>
        <v/>
      </c>
      <c r="J44" s="59" t="n"/>
    </row>
    <row r="45">
      <c r="A45" s="31">
        <f>IF(Members!$A45="","",Members!$A45)</f>
        <v/>
      </c>
      <c r="B45" s="31">
        <f>IF($A45="","",$I45+SUMIF(WeeklySummary!$B$2:$B$1000,$A45,WeeklySummary!$G$2:$G$1000))</f>
        <v/>
      </c>
      <c r="C45" s="31">
        <f>IF($B45="","",MIN(100,INT(SQRT($B45))))</f>
        <v/>
      </c>
      <c r="D45" s="31">
        <f>IF($C45="","",($C45+1)^2)</f>
        <v/>
      </c>
      <c r="E45" s="31">
        <f>IF($D45="","",$D45-$B45)</f>
        <v/>
      </c>
      <c r="F45" s="31">
        <f>IF($A45="","",SUMIF(MonthlySummary!$B$2:$B$1000,$A45,MonthlySummary!$E$2:$E$1000))</f>
        <v/>
      </c>
      <c r="G45" s="31" t="n">
        <v>0</v>
      </c>
      <c r="H45" s="31">
        <f>IF($A45="","",$F45-IF($G45="",0,$G45))</f>
        <v/>
      </c>
      <c r="I45" s="31">
        <f>IF($A45="","",IFERROR(XLOOKUP($A45,SeedPlacement!$A$2:$A$1000,SeedPlacement!$N$2:$N$1000),0))</f>
        <v/>
      </c>
      <c r="J45" s="59" t="n"/>
    </row>
    <row r="46">
      <c r="A46" s="31">
        <f>IF(Members!$A46="","",Members!$A46)</f>
        <v/>
      </c>
      <c r="B46" s="31">
        <f>IF($A46="","",$I46+SUMIF(WeeklySummary!$B$2:$B$1000,$A46,WeeklySummary!$G$2:$G$1000))</f>
        <v/>
      </c>
      <c r="C46" s="31">
        <f>IF($B46="","",MIN(100,INT(SQRT($B46))))</f>
        <v/>
      </c>
      <c r="D46" s="31">
        <f>IF($C46="","",($C46+1)^2)</f>
        <v/>
      </c>
      <c r="E46" s="31">
        <f>IF($D46="","",$D46-$B46)</f>
        <v/>
      </c>
      <c r="F46" s="31">
        <f>IF($A46="","",SUMIF(MonthlySummary!$B$2:$B$1000,$A46,MonthlySummary!$E$2:$E$1000))</f>
        <v/>
      </c>
      <c r="G46" s="31" t="n">
        <v>0</v>
      </c>
      <c r="H46" s="31">
        <f>IF($A46="","",$F46-IF($G46="",0,$G46))</f>
        <v/>
      </c>
      <c r="I46" s="31">
        <f>IF($A46="","",IFERROR(XLOOKUP($A46,SeedPlacement!$A$2:$A$1000,SeedPlacement!$N$2:$N$1000),0))</f>
        <v/>
      </c>
      <c r="J46" s="59" t="n"/>
    </row>
    <row r="47">
      <c r="A47" s="31">
        <f>IF(Members!$A47="","",Members!$A47)</f>
        <v/>
      </c>
      <c r="B47" s="31">
        <f>IF($A47="","",$I47+SUMIF(WeeklySummary!$B$2:$B$1000,$A47,WeeklySummary!$G$2:$G$1000))</f>
        <v/>
      </c>
      <c r="C47" s="31">
        <f>IF($B47="","",MIN(100,INT(SQRT($B47))))</f>
        <v/>
      </c>
      <c r="D47" s="31">
        <f>IF($C47="","",($C47+1)^2)</f>
        <v/>
      </c>
      <c r="E47" s="31">
        <f>IF($D47="","",$D47-$B47)</f>
        <v/>
      </c>
      <c r="F47" s="31">
        <f>IF($A47="","",SUMIF(MonthlySummary!$B$2:$B$1000,$A47,MonthlySummary!$E$2:$E$1000))</f>
        <v/>
      </c>
      <c r="G47" s="31" t="n">
        <v>0</v>
      </c>
      <c r="H47" s="31">
        <f>IF($A47="","",$F47-IF($G47="",0,$G47))</f>
        <v/>
      </c>
      <c r="I47" s="31">
        <f>IF($A47="","",IFERROR(XLOOKUP($A47,SeedPlacement!$A$2:$A$1000,SeedPlacement!$N$2:$N$1000),0))</f>
        <v/>
      </c>
      <c r="J47" s="59" t="n"/>
    </row>
    <row r="48">
      <c r="A48" s="31">
        <f>IF(Members!$A48="","",Members!$A48)</f>
        <v/>
      </c>
      <c r="B48" s="31">
        <f>IF($A48="","",$I48+SUMIF(WeeklySummary!$B$2:$B$1000,$A48,WeeklySummary!$G$2:$G$1000))</f>
        <v/>
      </c>
      <c r="C48" s="31">
        <f>IF($B48="","",MIN(100,INT(SQRT($B48))))</f>
        <v/>
      </c>
      <c r="D48" s="31">
        <f>IF($C48="","",($C48+1)^2)</f>
        <v/>
      </c>
      <c r="E48" s="31">
        <f>IF($D48="","",$D48-$B48)</f>
        <v/>
      </c>
      <c r="F48" s="31">
        <f>IF($A48="","",SUMIF(MonthlySummary!$B$2:$B$1000,$A48,MonthlySummary!$E$2:$E$1000))</f>
        <v/>
      </c>
      <c r="G48" s="31" t="n">
        <v>0</v>
      </c>
      <c r="H48" s="31">
        <f>IF($A48="","",$F48-IF($G48="",0,$G48))</f>
        <v/>
      </c>
      <c r="I48" s="31">
        <f>IF($A48="","",IFERROR(XLOOKUP($A48,SeedPlacement!$A$2:$A$1000,SeedPlacement!$N$2:$N$1000),0))</f>
        <v/>
      </c>
      <c r="J48" s="59" t="n"/>
    </row>
    <row r="49">
      <c r="A49" s="31">
        <f>IF(Members!$A49="","",Members!$A49)</f>
        <v/>
      </c>
      <c r="B49" s="31">
        <f>IF($A49="","",$I49+SUMIF(WeeklySummary!$B$2:$B$1000,$A49,WeeklySummary!$G$2:$G$1000))</f>
        <v/>
      </c>
      <c r="C49" s="31">
        <f>IF($B49="","",MIN(100,INT(SQRT($B49))))</f>
        <v/>
      </c>
      <c r="D49" s="31">
        <f>IF($C49="","",($C49+1)^2)</f>
        <v/>
      </c>
      <c r="E49" s="31">
        <f>IF($D49="","",$D49-$B49)</f>
        <v/>
      </c>
      <c r="F49" s="31">
        <f>IF($A49="","",SUMIF(MonthlySummary!$B$2:$B$1000,$A49,MonthlySummary!$E$2:$E$1000))</f>
        <v/>
      </c>
      <c r="G49" s="31" t="n">
        <v>0</v>
      </c>
      <c r="H49" s="31">
        <f>IF($A49="","",$F49-IF($G49="",0,$G49))</f>
        <v/>
      </c>
      <c r="I49" s="31">
        <f>IF($A49="","",IFERROR(XLOOKUP($A49,SeedPlacement!$A$2:$A$1000,SeedPlacement!$N$2:$N$1000),0))</f>
        <v/>
      </c>
      <c r="J49" s="59" t="n"/>
    </row>
    <row r="50">
      <c r="A50" s="31">
        <f>IF(Members!$A50="","",Members!$A50)</f>
        <v/>
      </c>
      <c r="B50" s="31">
        <f>IF($A50="","",$I50+SUMIF(WeeklySummary!$B$2:$B$1000,$A50,WeeklySummary!$G$2:$G$1000))</f>
        <v/>
      </c>
      <c r="C50" s="31">
        <f>IF($B50="","",MIN(100,INT(SQRT($B50))))</f>
        <v/>
      </c>
      <c r="D50" s="31">
        <f>IF($C50="","",($C50+1)^2)</f>
        <v/>
      </c>
      <c r="E50" s="31">
        <f>IF($D50="","",$D50-$B50)</f>
        <v/>
      </c>
      <c r="F50" s="31">
        <f>IF($A50="","",SUMIF(MonthlySummary!$B$2:$B$1000,$A50,MonthlySummary!$E$2:$E$1000))</f>
        <v/>
      </c>
      <c r="G50" s="31" t="n">
        <v>0</v>
      </c>
      <c r="H50" s="31">
        <f>IF($A50="","",$F50-IF($G50="",0,$G50))</f>
        <v/>
      </c>
      <c r="I50" s="31">
        <f>IF($A50="","",IFERROR(XLOOKUP($A50,SeedPlacement!$A$2:$A$1000,SeedPlacement!$N$2:$N$1000),0))</f>
        <v/>
      </c>
      <c r="J50" s="59" t="n"/>
    </row>
    <row r="51">
      <c r="A51" s="31">
        <f>IF(Members!$A51="","",Members!$A51)</f>
        <v/>
      </c>
      <c r="B51" s="31">
        <f>IF($A51="","",$I51+SUMIF(WeeklySummary!$B$2:$B$1000,$A51,WeeklySummary!$G$2:$G$1000))</f>
        <v/>
      </c>
      <c r="C51" s="31">
        <f>IF($B51="","",MIN(100,INT(SQRT($B51))))</f>
        <v/>
      </c>
      <c r="D51" s="31">
        <f>IF($C51="","",($C51+1)^2)</f>
        <v/>
      </c>
      <c r="E51" s="31">
        <f>IF($D51="","",$D51-$B51)</f>
        <v/>
      </c>
      <c r="F51" s="31">
        <f>IF($A51="","",SUMIF(MonthlySummary!$B$2:$B$1000,$A51,MonthlySummary!$E$2:$E$1000))</f>
        <v/>
      </c>
      <c r="G51" s="31" t="n">
        <v>0</v>
      </c>
      <c r="H51" s="31">
        <f>IF($A51="","",$F51-IF($G51="",0,$G51))</f>
        <v/>
      </c>
      <c r="I51" s="31">
        <f>IF($A51="","",IFERROR(XLOOKUP($A51,SeedPlacement!$A$2:$A$1000,SeedPlacement!$N$2:$N$1000),0))</f>
        <v/>
      </c>
      <c r="J51" s="59" t="n"/>
    </row>
    <row r="52">
      <c r="A52" s="31">
        <f>IF(Members!$A52="","",Members!$A52)</f>
        <v/>
      </c>
      <c r="B52" s="31">
        <f>IF($A52="","",$I52+SUMIF(WeeklySummary!$B$2:$B$1000,$A52,WeeklySummary!$G$2:$G$1000))</f>
        <v/>
      </c>
      <c r="C52" s="31">
        <f>IF($B52="","",MIN(100,INT(SQRT($B52))))</f>
        <v/>
      </c>
      <c r="D52" s="31">
        <f>IF($C52="","",($C52+1)^2)</f>
        <v/>
      </c>
      <c r="E52" s="31">
        <f>IF($D52="","",$D52-$B52)</f>
        <v/>
      </c>
      <c r="F52" s="31">
        <f>IF($A52="","",SUMIF(MonthlySummary!$B$2:$B$1000,$A52,MonthlySummary!$E$2:$E$1000))</f>
        <v/>
      </c>
      <c r="G52" s="31" t="n">
        <v>0</v>
      </c>
      <c r="H52" s="31">
        <f>IF($A52="","",$F52-IF($G52="",0,$G52))</f>
        <v/>
      </c>
      <c r="I52" s="31">
        <f>IF($A52="","",IFERROR(XLOOKUP($A52,SeedPlacement!$A$2:$A$1000,SeedPlacement!$N$2:$N$1000),0))</f>
        <v/>
      </c>
      <c r="J52" s="59" t="n"/>
    </row>
    <row r="53">
      <c r="A53" s="31">
        <f>IF(Members!$A53="","",Members!$A53)</f>
        <v/>
      </c>
      <c r="B53" s="31">
        <f>IF($A53="","",$I53+SUMIF(WeeklySummary!$B$2:$B$1000,$A53,WeeklySummary!$G$2:$G$1000))</f>
        <v/>
      </c>
      <c r="C53" s="31">
        <f>IF($B53="","",MIN(100,INT(SQRT($B53))))</f>
        <v/>
      </c>
      <c r="D53" s="31">
        <f>IF($C53="","",($C53+1)^2)</f>
        <v/>
      </c>
      <c r="E53" s="31">
        <f>IF($D53="","",$D53-$B53)</f>
        <v/>
      </c>
      <c r="F53" s="31">
        <f>IF($A53="","",SUMIF(MonthlySummary!$B$2:$B$1000,$A53,MonthlySummary!$E$2:$E$1000))</f>
        <v/>
      </c>
      <c r="G53" s="31" t="n">
        <v>0</v>
      </c>
      <c r="H53" s="31">
        <f>IF($A53="","",$F53-IF($G53="",0,$G53))</f>
        <v/>
      </c>
      <c r="I53" s="31">
        <f>IF($A53="","",IFERROR(XLOOKUP($A53,SeedPlacement!$A$2:$A$1000,SeedPlacement!$N$2:$N$1000),0))</f>
        <v/>
      </c>
      <c r="J53" s="59" t="n"/>
    </row>
    <row r="54">
      <c r="A54" s="31">
        <f>IF(Members!$A54="","",Members!$A54)</f>
        <v/>
      </c>
      <c r="B54" s="31">
        <f>IF($A54="","",$I54+SUMIF(WeeklySummary!$B$2:$B$1000,$A54,WeeklySummary!$G$2:$G$1000))</f>
        <v/>
      </c>
      <c r="C54" s="31">
        <f>IF($B54="","",MIN(100,INT(SQRT($B54))))</f>
        <v/>
      </c>
      <c r="D54" s="31">
        <f>IF($C54="","",($C54+1)^2)</f>
        <v/>
      </c>
      <c r="E54" s="31">
        <f>IF($D54="","",$D54-$B54)</f>
        <v/>
      </c>
      <c r="F54" s="31">
        <f>IF($A54="","",SUMIF(MonthlySummary!$B$2:$B$1000,$A54,MonthlySummary!$E$2:$E$1000))</f>
        <v/>
      </c>
      <c r="G54" s="31" t="n">
        <v>0</v>
      </c>
      <c r="H54" s="31">
        <f>IF($A54="","",$F54-IF($G54="",0,$G54))</f>
        <v/>
      </c>
      <c r="I54" s="31">
        <f>IF($A54="","",IFERROR(XLOOKUP($A54,SeedPlacement!$A$2:$A$1000,SeedPlacement!$N$2:$N$1000),0))</f>
        <v/>
      </c>
      <c r="J54" s="59" t="n"/>
    </row>
    <row r="55">
      <c r="A55" s="31">
        <f>IF(Members!$A55="","",Members!$A55)</f>
        <v/>
      </c>
      <c r="B55" s="31">
        <f>IF($A55="","",$I55+SUMIF(WeeklySummary!$B$2:$B$1000,$A55,WeeklySummary!$G$2:$G$1000))</f>
        <v/>
      </c>
      <c r="C55" s="31">
        <f>IF($B55="","",MIN(100,INT(SQRT($B55))))</f>
        <v/>
      </c>
      <c r="D55" s="31">
        <f>IF($C55="","",($C55+1)^2)</f>
        <v/>
      </c>
      <c r="E55" s="31">
        <f>IF($D55="","",$D55-$B55)</f>
        <v/>
      </c>
      <c r="F55" s="31">
        <f>IF($A55="","",SUMIF(MonthlySummary!$B$2:$B$1000,$A55,MonthlySummary!$E$2:$E$1000))</f>
        <v/>
      </c>
      <c r="G55" s="31" t="n">
        <v>0</v>
      </c>
      <c r="H55" s="31">
        <f>IF($A55="","",$F55-IF($G55="",0,$G55))</f>
        <v/>
      </c>
      <c r="I55" s="31">
        <f>IF($A55="","",IFERROR(XLOOKUP($A55,SeedPlacement!$A$2:$A$1000,SeedPlacement!$N$2:$N$1000),0))</f>
        <v/>
      </c>
      <c r="J55" s="59" t="n"/>
    </row>
    <row r="56">
      <c r="A56" s="31">
        <f>IF(Members!$A56="","",Members!$A56)</f>
        <v/>
      </c>
      <c r="B56" s="31">
        <f>IF($A56="","",$I56+SUMIF(WeeklySummary!$B$2:$B$1000,$A56,WeeklySummary!$G$2:$G$1000))</f>
        <v/>
      </c>
      <c r="C56" s="31">
        <f>IF($B56="","",MIN(100,INT(SQRT($B56))))</f>
        <v/>
      </c>
      <c r="D56" s="31">
        <f>IF($C56="","",($C56+1)^2)</f>
        <v/>
      </c>
      <c r="E56" s="31">
        <f>IF($D56="","",$D56-$B56)</f>
        <v/>
      </c>
      <c r="F56" s="31">
        <f>IF($A56="","",SUMIF(MonthlySummary!$B$2:$B$1000,$A56,MonthlySummary!$E$2:$E$1000))</f>
        <v/>
      </c>
      <c r="G56" s="31" t="n">
        <v>0</v>
      </c>
      <c r="H56" s="31">
        <f>IF($A56="","",$F56-IF($G56="",0,$G56))</f>
        <v/>
      </c>
      <c r="I56" s="31">
        <f>IF($A56="","",IFERROR(XLOOKUP($A56,SeedPlacement!$A$2:$A$1000,SeedPlacement!$N$2:$N$1000),0))</f>
        <v/>
      </c>
      <c r="J56" s="59" t="n"/>
    </row>
    <row r="57">
      <c r="A57" s="31">
        <f>IF(Members!$A57="","",Members!$A57)</f>
        <v/>
      </c>
      <c r="B57" s="31">
        <f>IF($A57="","",$I57+SUMIF(WeeklySummary!$B$2:$B$1000,$A57,WeeklySummary!$G$2:$G$1000))</f>
        <v/>
      </c>
      <c r="C57" s="31">
        <f>IF($B57="","",MIN(100,INT(SQRT($B57))))</f>
        <v/>
      </c>
      <c r="D57" s="31">
        <f>IF($C57="","",($C57+1)^2)</f>
        <v/>
      </c>
      <c r="E57" s="31">
        <f>IF($D57="","",$D57-$B57)</f>
        <v/>
      </c>
      <c r="F57" s="31">
        <f>IF($A57="","",SUMIF(MonthlySummary!$B$2:$B$1000,$A57,MonthlySummary!$E$2:$E$1000))</f>
        <v/>
      </c>
      <c r="G57" s="31" t="n">
        <v>0</v>
      </c>
      <c r="H57" s="31">
        <f>IF($A57="","",$F57-IF($G57="",0,$G57))</f>
        <v/>
      </c>
      <c r="I57" s="31">
        <f>IF($A57="","",IFERROR(XLOOKUP($A57,SeedPlacement!$A$2:$A$1000,SeedPlacement!$N$2:$N$1000),0))</f>
        <v/>
      </c>
      <c r="J57" s="59" t="n"/>
    </row>
    <row r="58">
      <c r="A58" s="31">
        <f>IF(Members!$A58="","",Members!$A58)</f>
        <v/>
      </c>
      <c r="B58" s="31">
        <f>IF($A58="","",$I58+SUMIF(WeeklySummary!$B$2:$B$1000,$A58,WeeklySummary!$G$2:$G$1000))</f>
        <v/>
      </c>
      <c r="C58" s="31">
        <f>IF($B58="","",MIN(100,INT(SQRT($B58))))</f>
        <v/>
      </c>
      <c r="D58" s="31">
        <f>IF($C58="","",($C58+1)^2)</f>
        <v/>
      </c>
      <c r="E58" s="31">
        <f>IF($D58="","",$D58-$B58)</f>
        <v/>
      </c>
      <c r="F58" s="31">
        <f>IF($A58="","",SUMIF(MonthlySummary!$B$2:$B$1000,$A58,MonthlySummary!$E$2:$E$1000))</f>
        <v/>
      </c>
      <c r="G58" s="31" t="n">
        <v>0</v>
      </c>
      <c r="H58" s="31">
        <f>IF($A58="","",$F58-IF($G58="",0,$G58))</f>
        <v/>
      </c>
      <c r="I58" s="31">
        <f>IF($A58="","",IFERROR(XLOOKUP($A58,SeedPlacement!$A$2:$A$1000,SeedPlacement!$N$2:$N$1000),0))</f>
        <v/>
      </c>
      <c r="J58" s="59" t="n"/>
    </row>
    <row r="59">
      <c r="A59" s="31">
        <f>IF(Members!$A59="","",Members!$A59)</f>
        <v/>
      </c>
      <c r="B59" s="31">
        <f>IF($A59="","",$I59+SUMIF(WeeklySummary!$B$2:$B$1000,$A59,WeeklySummary!$G$2:$G$1000))</f>
        <v/>
      </c>
      <c r="C59" s="31">
        <f>IF($B59="","",MIN(100,INT(SQRT($B59))))</f>
        <v/>
      </c>
      <c r="D59" s="31">
        <f>IF($C59="","",($C59+1)^2)</f>
        <v/>
      </c>
      <c r="E59" s="31">
        <f>IF($D59="","",$D59-$B59)</f>
        <v/>
      </c>
      <c r="F59" s="31">
        <f>IF($A59="","",SUMIF(MonthlySummary!$B$2:$B$1000,$A59,MonthlySummary!$E$2:$E$1000))</f>
        <v/>
      </c>
      <c r="G59" s="31" t="n">
        <v>0</v>
      </c>
      <c r="H59" s="31">
        <f>IF($A59="","",$F59-IF($G59="",0,$G59))</f>
        <v/>
      </c>
      <c r="I59" s="31">
        <f>IF($A59="","",IFERROR(XLOOKUP($A59,SeedPlacement!$A$2:$A$1000,SeedPlacement!$N$2:$N$1000),0))</f>
        <v/>
      </c>
      <c r="J59" s="59" t="n"/>
    </row>
    <row r="60">
      <c r="A60" s="31">
        <f>IF(Members!$A60="","",Members!$A60)</f>
        <v/>
      </c>
      <c r="B60" s="31">
        <f>IF($A60="","",$I60+SUMIF(WeeklySummary!$B$2:$B$1000,$A60,WeeklySummary!$G$2:$G$1000))</f>
        <v/>
      </c>
      <c r="C60" s="31">
        <f>IF($B60="","",MIN(100,INT(SQRT($B60))))</f>
        <v/>
      </c>
      <c r="D60" s="31">
        <f>IF($C60="","",($C60+1)^2)</f>
        <v/>
      </c>
      <c r="E60" s="31">
        <f>IF($D60="","",$D60-$B60)</f>
        <v/>
      </c>
      <c r="F60" s="31">
        <f>IF($A60="","",SUMIF(MonthlySummary!$B$2:$B$1000,$A60,MonthlySummary!$E$2:$E$1000))</f>
        <v/>
      </c>
      <c r="G60" s="31" t="n">
        <v>0</v>
      </c>
      <c r="H60" s="31">
        <f>IF($A60="","",$F60-IF($G60="",0,$G60))</f>
        <v/>
      </c>
      <c r="I60" s="31">
        <f>IF($A60="","",IFERROR(XLOOKUP($A60,SeedPlacement!$A$2:$A$1000,SeedPlacement!$N$2:$N$1000),0))</f>
        <v/>
      </c>
      <c r="J60" s="59" t="n"/>
    </row>
    <row r="61">
      <c r="A61" s="31">
        <f>IF(Members!$A61="","",Members!$A61)</f>
        <v/>
      </c>
      <c r="B61" s="31">
        <f>IF($A61="","",$I61+SUMIF(WeeklySummary!$B$2:$B$1000,$A61,WeeklySummary!$G$2:$G$1000))</f>
        <v/>
      </c>
      <c r="C61" s="31">
        <f>IF($B61="","",MIN(100,INT(SQRT($B61))))</f>
        <v/>
      </c>
      <c r="D61" s="31">
        <f>IF($C61="","",($C61+1)^2)</f>
        <v/>
      </c>
      <c r="E61" s="31">
        <f>IF($D61="","",$D61-$B61)</f>
        <v/>
      </c>
      <c r="F61" s="31">
        <f>IF($A61="","",SUMIF(MonthlySummary!$B$2:$B$1000,$A61,MonthlySummary!$E$2:$E$1000))</f>
        <v/>
      </c>
      <c r="G61" s="31" t="n">
        <v>0</v>
      </c>
      <c r="H61" s="31">
        <f>IF($A61="","",$F61-IF($G61="",0,$G61))</f>
        <v/>
      </c>
      <c r="I61" s="31">
        <f>IF($A61="","",IFERROR(XLOOKUP($A61,SeedPlacement!$A$2:$A$1000,SeedPlacement!$N$2:$N$1000),0))</f>
        <v/>
      </c>
      <c r="J61" s="59" t="n"/>
    </row>
    <row r="62">
      <c r="A62" s="31">
        <f>IF(Members!$A62="","",Members!$A62)</f>
        <v/>
      </c>
      <c r="B62" s="31">
        <f>IF($A62="","",$I62+SUMIF(WeeklySummary!$B$2:$B$1000,$A62,WeeklySummary!$G$2:$G$1000))</f>
        <v/>
      </c>
      <c r="C62" s="31">
        <f>IF($B62="","",MIN(100,INT(SQRT($B62))))</f>
        <v/>
      </c>
      <c r="D62" s="31">
        <f>IF($C62="","",($C62+1)^2)</f>
        <v/>
      </c>
      <c r="E62" s="31">
        <f>IF($D62="","",$D62-$B62)</f>
        <v/>
      </c>
      <c r="F62" s="31">
        <f>IF($A62="","",SUMIF(MonthlySummary!$B$2:$B$1000,$A62,MonthlySummary!$E$2:$E$1000))</f>
        <v/>
      </c>
      <c r="G62" s="31" t="n">
        <v>0</v>
      </c>
      <c r="H62" s="31">
        <f>IF($A62="","",$F62-IF($G62="",0,$G62))</f>
        <v/>
      </c>
      <c r="I62" s="31">
        <f>IF($A62="","",IFERROR(XLOOKUP($A62,SeedPlacement!$A$2:$A$1000,SeedPlacement!$N$2:$N$1000),0))</f>
        <v/>
      </c>
      <c r="J62" s="59" t="n"/>
    </row>
    <row r="63">
      <c r="A63" s="31">
        <f>IF(Members!$A63="","",Members!$A63)</f>
        <v/>
      </c>
      <c r="B63" s="31">
        <f>IF($A63="","",$I63+SUMIF(WeeklySummary!$B$2:$B$1000,$A63,WeeklySummary!$G$2:$G$1000))</f>
        <v/>
      </c>
      <c r="C63" s="31">
        <f>IF($B63="","",MIN(100,INT(SQRT($B63))))</f>
        <v/>
      </c>
      <c r="D63" s="31">
        <f>IF($C63="","",($C63+1)^2)</f>
        <v/>
      </c>
      <c r="E63" s="31">
        <f>IF($D63="","",$D63-$B63)</f>
        <v/>
      </c>
      <c r="F63" s="31">
        <f>IF($A63="","",SUMIF(MonthlySummary!$B$2:$B$1000,$A63,MonthlySummary!$E$2:$E$1000))</f>
        <v/>
      </c>
      <c r="G63" s="31" t="n">
        <v>0</v>
      </c>
      <c r="H63" s="31">
        <f>IF($A63="","",$F63-IF($G63="",0,$G63))</f>
        <v/>
      </c>
      <c r="I63" s="31">
        <f>IF($A63="","",IFERROR(XLOOKUP($A63,SeedPlacement!$A$2:$A$1000,SeedPlacement!$N$2:$N$1000),0))</f>
        <v/>
      </c>
      <c r="J63" s="59" t="n"/>
    </row>
    <row r="64">
      <c r="A64" s="31">
        <f>IF(Members!$A64="","",Members!$A64)</f>
        <v/>
      </c>
      <c r="B64" s="31">
        <f>IF($A64="","",$I64+SUMIF(WeeklySummary!$B$2:$B$1000,$A64,WeeklySummary!$G$2:$G$1000))</f>
        <v/>
      </c>
      <c r="C64" s="31">
        <f>IF($B64="","",MIN(100,INT(SQRT($B64))))</f>
        <v/>
      </c>
      <c r="D64" s="31">
        <f>IF($C64="","",($C64+1)^2)</f>
        <v/>
      </c>
      <c r="E64" s="31">
        <f>IF($D64="","",$D64-$B64)</f>
        <v/>
      </c>
      <c r="F64" s="31">
        <f>IF($A64="","",SUMIF(MonthlySummary!$B$2:$B$1000,$A64,MonthlySummary!$E$2:$E$1000))</f>
        <v/>
      </c>
      <c r="G64" s="31" t="n">
        <v>0</v>
      </c>
      <c r="H64" s="31">
        <f>IF($A64="","",$F64-IF($G64="",0,$G64))</f>
        <v/>
      </c>
      <c r="I64" s="31">
        <f>IF($A64="","",IFERROR(XLOOKUP($A64,SeedPlacement!$A$2:$A$1000,SeedPlacement!$N$2:$N$1000),0))</f>
        <v/>
      </c>
      <c r="J64" s="59" t="n"/>
    </row>
    <row r="65">
      <c r="A65" s="31">
        <f>IF(Members!$A65="","",Members!$A65)</f>
        <v/>
      </c>
      <c r="B65" s="31">
        <f>IF($A65="","",$I65+SUMIF(WeeklySummary!$B$2:$B$1000,$A65,WeeklySummary!$G$2:$G$1000))</f>
        <v/>
      </c>
      <c r="C65" s="31">
        <f>IF($B65="","",MIN(100,INT(SQRT($B65))))</f>
        <v/>
      </c>
      <c r="D65" s="31">
        <f>IF($C65="","",($C65+1)^2)</f>
        <v/>
      </c>
      <c r="E65" s="31">
        <f>IF($D65="","",$D65-$B65)</f>
        <v/>
      </c>
      <c r="F65" s="31">
        <f>IF($A65="","",SUMIF(MonthlySummary!$B$2:$B$1000,$A65,MonthlySummary!$E$2:$E$1000))</f>
        <v/>
      </c>
      <c r="G65" s="31" t="n">
        <v>0</v>
      </c>
      <c r="H65" s="31">
        <f>IF($A65="","",$F65-IF($G65="",0,$G65))</f>
        <v/>
      </c>
      <c r="I65" s="31">
        <f>IF($A65="","",IFERROR(XLOOKUP($A65,SeedPlacement!$A$2:$A$1000,SeedPlacement!$N$2:$N$1000),0))</f>
        <v/>
      </c>
      <c r="J65" s="59" t="n"/>
    </row>
    <row r="66">
      <c r="A66" s="31">
        <f>IF(Members!$A66="","",Members!$A66)</f>
        <v/>
      </c>
      <c r="B66" s="31">
        <f>IF($A66="","",$I66+SUMIF(WeeklySummary!$B$2:$B$1000,$A66,WeeklySummary!$G$2:$G$1000))</f>
        <v/>
      </c>
      <c r="C66" s="31">
        <f>IF($B66="","",MIN(100,INT(SQRT($B66))))</f>
        <v/>
      </c>
      <c r="D66" s="31">
        <f>IF($C66="","",($C66+1)^2)</f>
        <v/>
      </c>
      <c r="E66" s="31">
        <f>IF($D66="","",$D66-$B66)</f>
        <v/>
      </c>
      <c r="F66" s="31">
        <f>IF($A66="","",SUMIF(MonthlySummary!$B$2:$B$1000,$A66,MonthlySummary!$E$2:$E$1000))</f>
        <v/>
      </c>
      <c r="G66" s="31" t="n">
        <v>0</v>
      </c>
      <c r="H66" s="31">
        <f>IF($A66="","",$F66-IF($G66="",0,$G66))</f>
        <v/>
      </c>
      <c r="I66" s="31">
        <f>IF($A66="","",IFERROR(XLOOKUP($A66,SeedPlacement!$A$2:$A$1000,SeedPlacement!$N$2:$N$1000),0))</f>
        <v/>
      </c>
      <c r="J66" s="59" t="n"/>
    </row>
    <row r="67">
      <c r="A67" s="31">
        <f>IF(Members!$A67="","",Members!$A67)</f>
        <v/>
      </c>
      <c r="B67" s="31">
        <f>IF($A67="","",$I67+SUMIF(WeeklySummary!$B$2:$B$1000,$A67,WeeklySummary!$G$2:$G$1000))</f>
        <v/>
      </c>
      <c r="C67" s="31">
        <f>IF($B67="","",MIN(100,INT(SQRT($B67))))</f>
        <v/>
      </c>
      <c r="D67" s="31">
        <f>IF($C67="","",($C67+1)^2)</f>
        <v/>
      </c>
      <c r="E67" s="31">
        <f>IF($D67="","",$D67-$B67)</f>
        <v/>
      </c>
      <c r="F67" s="31">
        <f>IF($A67="","",SUMIF(MonthlySummary!$B$2:$B$1000,$A67,MonthlySummary!$E$2:$E$1000))</f>
        <v/>
      </c>
      <c r="G67" s="31" t="n">
        <v>0</v>
      </c>
      <c r="H67" s="31">
        <f>IF($A67="","",$F67-IF($G67="",0,$G67))</f>
        <v/>
      </c>
      <c r="I67" s="31">
        <f>IF($A67="","",IFERROR(XLOOKUP($A67,SeedPlacement!$A$2:$A$1000,SeedPlacement!$N$2:$N$1000),0))</f>
        <v/>
      </c>
      <c r="J67" s="59" t="n"/>
    </row>
    <row r="68">
      <c r="A68" s="31">
        <f>IF(Members!$A68="","",Members!$A68)</f>
        <v/>
      </c>
      <c r="B68" s="31">
        <f>IF($A68="","",$I68+SUMIF(WeeklySummary!$B$2:$B$1000,$A68,WeeklySummary!$G$2:$G$1000))</f>
        <v/>
      </c>
      <c r="C68" s="31">
        <f>IF($B68="","",MIN(100,INT(SQRT($B68))))</f>
        <v/>
      </c>
      <c r="D68" s="31">
        <f>IF($C68="","",($C68+1)^2)</f>
        <v/>
      </c>
      <c r="E68" s="31">
        <f>IF($D68="","",$D68-$B68)</f>
        <v/>
      </c>
      <c r="F68" s="31">
        <f>IF($A68="","",SUMIF(MonthlySummary!$B$2:$B$1000,$A68,MonthlySummary!$E$2:$E$1000))</f>
        <v/>
      </c>
      <c r="G68" s="31" t="n">
        <v>0</v>
      </c>
      <c r="H68" s="31">
        <f>IF($A68="","",$F68-IF($G68="",0,$G68))</f>
        <v/>
      </c>
      <c r="I68" s="31">
        <f>IF($A68="","",IFERROR(XLOOKUP($A68,SeedPlacement!$A$2:$A$1000,SeedPlacement!$N$2:$N$1000),0))</f>
        <v/>
      </c>
      <c r="J68" s="59" t="n"/>
    </row>
    <row r="69">
      <c r="A69" s="31">
        <f>IF(Members!$A69="","",Members!$A69)</f>
        <v/>
      </c>
      <c r="B69" s="31">
        <f>IF($A69="","",$I69+SUMIF(WeeklySummary!$B$2:$B$1000,$A69,WeeklySummary!$G$2:$G$1000))</f>
        <v/>
      </c>
      <c r="C69" s="31">
        <f>IF($B69="","",MIN(100,INT(SQRT($B69))))</f>
        <v/>
      </c>
      <c r="D69" s="31">
        <f>IF($C69="","",($C69+1)^2)</f>
        <v/>
      </c>
      <c r="E69" s="31">
        <f>IF($D69="","",$D69-$B69)</f>
        <v/>
      </c>
      <c r="F69" s="31">
        <f>IF($A69="","",SUMIF(MonthlySummary!$B$2:$B$1000,$A69,MonthlySummary!$E$2:$E$1000))</f>
        <v/>
      </c>
      <c r="G69" s="31" t="n">
        <v>0</v>
      </c>
      <c r="H69" s="31">
        <f>IF($A69="","",$F69-IF($G69="",0,$G69))</f>
        <v/>
      </c>
      <c r="I69" s="31">
        <f>IF($A69="","",IFERROR(XLOOKUP($A69,SeedPlacement!$A$2:$A$1000,SeedPlacement!$N$2:$N$1000),0))</f>
        <v/>
      </c>
      <c r="J69" s="59" t="n"/>
    </row>
    <row r="70">
      <c r="A70" s="31">
        <f>IF(Members!$A70="","",Members!$A70)</f>
        <v/>
      </c>
      <c r="B70" s="31">
        <f>IF($A70="","",$I70+SUMIF(WeeklySummary!$B$2:$B$1000,$A70,WeeklySummary!$G$2:$G$1000))</f>
        <v/>
      </c>
      <c r="C70" s="31">
        <f>IF($B70="","",MIN(100,INT(SQRT($B70))))</f>
        <v/>
      </c>
      <c r="D70" s="31">
        <f>IF($C70="","",($C70+1)^2)</f>
        <v/>
      </c>
      <c r="E70" s="31">
        <f>IF($D70="","",$D70-$B70)</f>
        <v/>
      </c>
      <c r="F70" s="31">
        <f>IF($A70="","",SUMIF(MonthlySummary!$B$2:$B$1000,$A70,MonthlySummary!$E$2:$E$1000))</f>
        <v/>
      </c>
      <c r="G70" s="31" t="n">
        <v>0</v>
      </c>
      <c r="H70" s="31">
        <f>IF($A70="","",$F70-IF($G70="",0,$G70))</f>
        <v/>
      </c>
      <c r="I70" s="31">
        <f>IF($A70="","",IFERROR(XLOOKUP($A70,SeedPlacement!$A$2:$A$1000,SeedPlacement!$N$2:$N$1000),0))</f>
        <v/>
      </c>
      <c r="J70" s="59" t="n"/>
    </row>
    <row r="71">
      <c r="A71" s="31">
        <f>IF(Members!$A71="","",Members!$A71)</f>
        <v/>
      </c>
      <c r="B71" s="31">
        <f>IF($A71="","",$I71+SUMIF(WeeklySummary!$B$2:$B$1000,$A71,WeeklySummary!$G$2:$G$1000))</f>
        <v/>
      </c>
      <c r="C71" s="31">
        <f>IF($B71="","",MIN(100,INT(SQRT($B71))))</f>
        <v/>
      </c>
      <c r="D71" s="31">
        <f>IF($C71="","",($C71+1)^2)</f>
        <v/>
      </c>
      <c r="E71" s="31">
        <f>IF($D71="","",$D71-$B71)</f>
        <v/>
      </c>
      <c r="F71" s="31">
        <f>IF($A71="","",SUMIF(MonthlySummary!$B$2:$B$1000,$A71,MonthlySummary!$E$2:$E$1000))</f>
        <v/>
      </c>
      <c r="G71" s="31" t="n">
        <v>0</v>
      </c>
      <c r="H71" s="31">
        <f>IF($A71="","",$F71-IF($G71="",0,$G71))</f>
        <v/>
      </c>
      <c r="I71" s="31">
        <f>IF($A71="","",IFERROR(XLOOKUP($A71,SeedPlacement!$A$2:$A$1000,SeedPlacement!$N$2:$N$1000),0))</f>
        <v/>
      </c>
      <c r="J71" s="59" t="n"/>
    </row>
    <row r="72">
      <c r="A72" s="31">
        <f>IF(Members!$A72="","",Members!$A72)</f>
        <v/>
      </c>
      <c r="B72" s="31">
        <f>IF($A72="","",$I72+SUMIF(WeeklySummary!$B$2:$B$1000,$A72,WeeklySummary!$G$2:$G$1000))</f>
        <v/>
      </c>
      <c r="C72" s="31">
        <f>IF($B72="","",MIN(100,INT(SQRT($B72))))</f>
        <v/>
      </c>
      <c r="D72" s="31">
        <f>IF($C72="","",($C72+1)^2)</f>
        <v/>
      </c>
      <c r="E72" s="31">
        <f>IF($D72="","",$D72-$B72)</f>
        <v/>
      </c>
      <c r="F72" s="31">
        <f>IF($A72="","",SUMIF(MonthlySummary!$B$2:$B$1000,$A72,MonthlySummary!$E$2:$E$1000))</f>
        <v/>
      </c>
      <c r="G72" s="31" t="n">
        <v>0</v>
      </c>
      <c r="H72" s="31">
        <f>IF($A72="","",$F72-IF($G72="",0,$G72))</f>
        <v/>
      </c>
      <c r="I72" s="31">
        <f>IF($A72="","",IFERROR(XLOOKUP($A72,SeedPlacement!$A$2:$A$1000,SeedPlacement!$N$2:$N$1000),0))</f>
        <v/>
      </c>
      <c r="J72" s="59" t="n"/>
    </row>
    <row r="73">
      <c r="A73" s="31">
        <f>IF(Members!$A73="","",Members!$A73)</f>
        <v/>
      </c>
      <c r="B73" s="31">
        <f>IF($A73="","",$I73+SUMIF(WeeklySummary!$B$2:$B$1000,$A73,WeeklySummary!$G$2:$G$1000))</f>
        <v/>
      </c>
      <c r="C73" s="31">
        <f>IF($B73="","",MIN(100,INT(SQRT($B73))))</f>
        <v/>
      </c>
      <c r="D73" s="31">
        <f>IF($C73="","",($C73+1)^2)</f>
        <v/>
      </c>
      <c r="E73" s="31">
        <f>IF($D73="","",$D73-$B73)</f>
        <v/>
      </c>
      <c r="F73" s="31">
        <f>IF($A73="","",SUMIF(MonthlySummary!$B$2:$B$1000,$A73,MonthlySummary!$E$2:$E$1000))</f>
        <v/>
      </c>
      <c r="G73" s="31" t="n">
        <v>0</v>
      </c>
      <c r="H73" s="31">
        <f>IF($A73="","",$F73-IF($G73="",0,$G73))</f>
        <v/>
      </c>
      <c r="I73" s="31">
        <f>IF($A73="","",IFERROR(XLOOKUP($A73,SeedPlacement!$A$2:$A$1000,SeedPlacement!$N$2:$N$1000),0))</f>
        <v/>
      </c>
      <c r="J73" s="59" t="n"/>
    </row>
    <row r="74">
      <c r="A74" s="31">
        <f>IF(Members!$A74="","",Members!$A74)</f>
        <v/>
      </c>
      <c r="B74" s="31">
        <f>IF($A74="","",$I74+SUMIF(WeeklySummary!$B$2:$B$1000,$A74,WeeklySummary!$G$2:$G$1000))</f>
        <v/>
      </c>
      <c r="C74" s="31">
        <f>IF($B74="","",MIN(100,INT(SQRT($B74))))</f>
        <v/>
      </c>
      <c r="D74" s="31">
        <f>IF($C74="","",($C74+1)^2)</f>
        <v/>
      </c>
      <c r="E74" s="31">
        <f>IF($D74="","",$D74-$B74)</f>
        <v/>
      </c>
      <c r="F74" s="31">
        <f>IF($A74="","",SUMIF(MonthlySummary!$B$2:$B$1000,$A74,MonthlySummary!$E$2:$E$1000))</f>
        <v/>
      </c>
      <c r="G74" s="31" t="n">
        <v>0</v>
      </c>
      <c r="H74" s="31">
        <f>IF($A74="","",$F74-IF($G74="",0,$G74))</f>
        <v/>
      </c>
      <c r="I74" s="31">
        <f>IF($A74="","",IFERROR(XLOOKUP($A74,SeedPlacement!$A$2:$A$1000,SeedPlacement!$N$2:$N$1000),0))</f>
        <v/>
      </c>
      <c r="J74" s="59" t="n"/>
    </row>
    <row r="75">
      <c r="A75" s="31">
        <f>IF(Members!$A75="","",Members!$A75)</f>
        <v/>
      </c>
      <c r="B75" s="31">
        <f>IF($A75="","",$I75+SUMIF(WeeklySummary!$B$2:$B$1000,$A75,WeeklySummary!$G$2:$G$1000))</f>
        <v/>
      </c>
      <c r="C75" s="31">
        <f>IF($B75="","",MIN(100,INT(SQRT($B75))))</f>
        <v/>
      </c>
      <c r="D75" s="31">
        <f>IF($C75="","",($C75+1)^2)</f>
        <v/>
      </c>
      <c r="E75" s="31">
        <f>IF($D75="","",$D75-$B75)</f>
        <v/>
      </c>
      <c r="F75" s="31">
        <f>IF($A75="","",SUMIF(MonthlySummary!$B$2:$B$1000,$A75,MonthlySummary!$E$2:$E$1000))</f>
        <v/>
      </c>
      <c r="G75" s="31" t="n">
        <v>0</v>
      </c>
      <c r="H75" s="31">
        <f>IF($A75="","",$F75-IF($G75="",0,$G75))</f>
        <v/>
      </c>
      <c r="I75" s="31">
        <f>IF($A75="","",IFERROR(XLOOKUP($A75,SeedPlacement!$A$2:$A$1000,SeedPlacement!$N$2:$N$1000),0))</f>
        <v/>
      </c>
      <c r="J75" s="59" t="n"/>
    </row>
    <row r="76">
      <c r="A76" s="31">
        <f>IF(Members!$A76="","",Members!$A76)</f>
        <v/>
      </c>
      <c r="B76" s="31">
        <f>IF($A76="","",$I76+SUMIF(WeeklySummary!$B$2:$B$1000,$A76,WeeklySummary!$G$2:$G$1000))</f>
        <v/>
      </c>
      <c r="C76" s="31">
        <f>IF($B76="","",MIN(100,INT(SQRT($B76))))</f>
        <v/>
      </c>
      <c r="D76" s="31">
        <f>IF($C76="","",($C76+1)^2)</f>
        <v/>
      </c>
      <c r="E76" s="31">
        <f>IF($D76="","",$D76-$B76)</f>
        <v/>
      </c>
      <c r="F76" s="31">
        <f>IF($A76="","",SUMIF(MonthlySummary!$B$2:$B$1000,$A76,MonthlySummary!$E$2:$E$1000))</f>
        <v/>
      </c>
      <c r="G76" s="31" t="n">
        <v>0</v>
      </c>
      <c r="H76" s="31">
        <f>IF($A76="","",$F76-IF($G76="",0,$G76))</f>
        <v/>
      </c>
      <c r="I76" s="31">
        <f>IF($A76="","",IFERROR(XLOOKUP($A76,SeedPlacement!$A$2:$A$1000,SeedPlacement!$N$2:$N$1000),0))</f>
        <v/>
      </c>
      <c r="J76" s="59" t="n"/>
    </row>
    <row r="77">
      <c r="A77" s="31">
        <f>IF(Members!$A77="","",Members!$A77)</f>
        <v/>
      </c>
      <c r="B77" s="31">
        <f>IF($A77="","",$I77+SUMIF(WeeklySummary!$B$2:$B$1000,$A77,WeeklySummary!$G$2:$G$1000))</f>
        <v/>
      </c>
      <c r="C77" s="31">
        <f>IF($B77="","",MIN(100,INT(SQRT($B77))))</f>
        <v/>
      </c>
      <c r="D77" s="31">
        <f>IF($C77="","",($C77+1)^2)</f>
        <v/>
      </c>
      <c r="E77" s="31">
        <f>IF($D77="","",$D77-$B77)</f>
        <v/>
      </c>
      <c r="F77" s="31">
        <f>IF($A77="","",SUMIF(MonthlySummary!$B$2:$B$1000,$A77,MonthlySummary!$E$2:$E$1000))</f>
        <v/>
      </c>
      <c r="G77" s="31" t="n">
        <v>0</v>
      </c>
      <c r="H77" s="31">
        <f>IF($A77="","",$F77-IF($G77="",0,$G77))</f>
        <v/>
      </c>
      <c r="I77" s="31">
        <f>IF($A77="","",IFERROR(XLOOKUP($A77,SeedPlacement!$A$2:$A$1000,SeedPlacement!$N$2:$N$1000),0))</f>
        <v/>
      </c>
      <c r="J77" s="59" t="n"/>
    </row>
    <row r="78">
      <c r="A78" s="31">
        <f>IF(Members!$A78="","",Members!$A78)</f>
        <v/>
      </c>
      <c r="B78" s="31">
        <f>IF($A78="","",$I78+SUMIF(WeeklySummary!$B$2:$B$1000,$A78,WeeklySummary!$G$2:$G$1000))</f>
        <v/>
      </c>
      <c r="C78" s="31">
        <f>IF($B78="","",MIN(100,INT(SQRT($B78))))</f>
        <v/>
      </c>
      <c r="D78" s="31">
        <f>IF($C78="","",($C78+1)^2)</f>
        <v/>
      </c>
      <c r="E78" s="31">
        <f>IF($D78="","",$D78-$B78)</f>
        <v/>
      </c>
      <c r="F78" s="31">
        <f>IF($A78="","",SUMIF(MonthlySummary!$B$2:$B$1000,$A78,MonthlySummary!$E$2:$E$1000))</f>
        <v/>
      </c>
      <c r="G78" s="31" t="n">
        <v>0</v>
      </c>
      <c r="H78" s="31">
        <f>IF($A78="","",$F78-IF($G78="",0,$G78))</f>
        <v/>
      </c>
      <c r="I78" s="31">
        <f>IF($A78="","",IFERROR(XLOOKUP($A78,SeedPlacement!$A$2:$A$1000,SeedPlacement!$N$2:$N$1000),0))</f>
        <v/>
      </c>
      <c r="J78" s="59" t="n"/>
    </row>
    <row r="79">
      <c r="A79" s="31">
        <f>IF(Members!$A79="","",Members!$A79)</f>
        <v/>
      </c>
      <c r="B79" s="31">
        <f>IF($A79="","",$I79+SUMIF(WeeklySummary!$B$2:$B$1000,$A79,WeeklySummary!$G$2:$G$1000))</f>
        <v/>
      </c>
      <c r="C79" s="31">
        <f>IF($B79="","",MIN(100,INT(SQRT($B79))))</f>
        <v/>
      </c>
      <c r="D79" s="31">
        <f>IF($C79="","",($C79+1)^2)</f>
        <v/>
      </c>
      <c r="E79" s="31">
        <f>IF($D79="","",$D79-$B79)</f>
        <v/>
      </c>
      <c r="F79" s="31">
        <f>IF($A79="","",SUMIF(MonthlySummary!$B$2:$B$1000,$A79,MonthlySummary!$E$2:$E$1000))</f>
        <v/>
      </c>
      <c r="G79" s="31" t="n">
        <v>0</v>
      </c>
      <c r="H79" s="31">
        <f>IF($A79="","",$F79-IF($G79="",0,$G79))</f>
        <v/>
      </c>
      <c r="I79" s="31">
        <f>IF($A79="","",IFERROR(XLOOKUP($A79,SeedPlacement!$A$2:$A$1000,SeedPlacement!$N$2:$N$1000),0))</f>
        <v/>
      </c>
      <c r="J79" s="59" t="n"/>
    </row>
    <row r="80">
      <c r="A80" s="31">
        <f>IF(Members!$A80="","",Members!$A80)</f>
        <v/>
      </c>
      <c r="B80" s="31">
        <f>IF($A80="","",$I80+SUMIF(WeeklySummary!$B$2:$B$1000,$A80,WeeklySummary!$G$2:$G$1000))</f>
        <v/>
      </c>
      <c r="C80" s="31">
        <f>IF($B80="","",MIN(100,INT(SQRT($B80))))</f>
        <v/>
      </c>
      <c r="D80" s="31">
        <f>IF($C80="","",($C80+1)^2)</f>
        <v/>
      </c>
      <c r="E80" s="31">
        <f>IF($D80="","",$D80-$B80)</f>
        <v/>
      </c>
      <c r="F80" s="31">
        <f>IF($A80="","",SUMIF(MonthlySummary!$B$2:$B$1000,$A80,MonthlySummary!$E$2:$E$1000))</f>
        <v/>
      </c>
      <c r="G80" s="31" t="n">
        <v>0</v>
      </c>
      <c r="H80" s="31">
        <f>IF($A80="","",$F80-IF($G80="",0,$G80))</f>
        <v/>
      </c>
      <c r="I80" s="31">
        <f>IF($A80="","",IFERROR(XLOOKUP($A80,SeedPlacement!$A$2:$A$1000,SeedPlacement!$N$2:$N$1000),0))</f>
        <v/>
      </c>
      <c r="J80" s="59" t="n"/>
    </row>
    <row r="81">
      <c r="A81" s="31">
        <f>IF(Members!$A81="","",Members!$A81)</f>
        <v/>
      </c>
      <c r="B81" s="31">
        <f>IF($A81="","",$I81+SUMIF(WeeklySummary!$B$2:$B$1000,$A81,WeeklySummary!$G$2:$G$1000))</f>
        <v/>
      </c>
      <c r="C81" s="31">
        <f>IF($B81="","",MIN(100,INT(SQRT($B81))))</f>
        <v/>
      </c>
      <c r="D81" s="31">
        <f>IF($C81="","",($C81+1)^2)</f>
        <v/>
      </c>
      <c r="E81" s="31">
        <f>IF($D81="","",$D81-$B81)</f>
        <v/>
      </c>
      <c r="F81" s="31">
        <f>IF($A81="","",SUMIF(MonthlySummary!$B$2:$B$1000,$A81,MonthlySummary!$E$2:$E$1000))</f>
        <v/>
      </c>
      <c r="G81" s="31" t="n">
        <v>0</v>
      </c>
      <c r="H81" s="31">
        <f>IF($A81="","",$F81-IF($G81="",0,$G81))</f>
        <v/>
      </c>
      <c r="I81" s="31">
        <f>IF($A81="","",IFERROR(XLOOKUP($A81,SeedPlacement!$A$2:$A$1000,SeedPlacement!$N$2:$N$1000),0))</f>
        <v/>
      </c>
      <c r="J81" s="59" t="n"/>
    </row>
    <row r="82">
      <c r="A82" s="31">
        <f>IF(Members!$A82="","",Members!$A82)</f>
        <v/>
      </c>
      <c r="B82" s="31">
        <f>IF($A82="","",$I82+SUMIF(WeeklySummary!$B$2:$B$1000,$A82,WeeklySummary!$G$2:$G$1000))</f>
        <v/>
      </c>
      <c r="C82" s="31">
        <f>IF($B82="","",MIN(100,INT(SQRT($B82))))</f>
        <v/>
      </c>
      <c r="D82" s="31">
        <f>IF($C82="","",($C82+1)^2)</f>
        <v/>
      </c>
      <c r="E82" s="31">
        <f>IF($D82="","",$D82-$B82)</f>
        <v/>
      </c>
      <c r="F82" s="31">
        <f>IF($A82="","",SUMIF(MonthlySummary!$B$2:$B$1000,$A82,MonthlySummary!$E$2:$E$1000))</f>
        <v/>
      </c>
      <c r="G82" s="31" t="n">
        <v>0</v>
      </c>
      <c r="H82" s="31">
        <f>IF($A82="","",$F82-IF($G82="",0,$G82))</f>
        <v/>
      </c>
      <c r="I82" s="31">
        <f>IF($A82="","",IFERROR(XLOOKUP($A82,SeedPlacement!$A$2:$A$1000,SeedPlacement!$N$2:$N$1000),0))</f>
        <v/>
      </c>
      <c r="J82" s="59" t="n"/>
    </row>
    <row r="83">
      <c r="A83" s="31">
        <f>IF(Members!$A83="","",Members!$A83)</f>
        <v/>
      </c>
      <c r="B83" s="31">
        <f>IF($A83="","",$I83+SUMIF(WeeklySummary!$B$2:$B$1000,$A83,WeeklySummary!$G$2:$G$1000))</f>
        <v/>
      </c>
      <c r="C83" s="31">
        <f>IF($B83="","",MIN(100,INT(SQRT($B83))))</f>
        <v/>
      </c>
      <c r="D83" s="31">
        <f>IF($C83="","",($C83+1)^2)</f>
        <v/>
      </c>
      <c r="E83" s="31">
        <f>IF($D83="","",$D83-$B83)</f>
        <v/>
      </c>
      <c r="F83" s="31">
        <f>IF($A83="","",SUMIF(MonthlySummary!$B$2:$B$1000,$A83,MonthlySummary!$E$2:$E$1000))</f>
        <v/>
      </c>
      <c r="G83" s="31" t="n">
        <v>0</v>
      </c>
      <c r="H83" s="31">
        <f>IF($A83="","",$F83-IF($G83="",0,$G83))</f>
        <v/>
      </c>
      <c r="I83" s="31">
        <f>IF($A83="","",IFERROR(XLOOKUP($A83,SeedPlacement!$A$2:$A$1000,SeedPlacement!$N$2:$N$1000),0))</f>
        <v/>
      </c>
      <c r="J83" s="59" t="n"/>
    </row>
    <row r="84">
      <c r="A84" s="31">
        <f>IF(Members!$A84="","",Members!$A84)</f>
        <v/>
      </c>
      <c r="B84" s="31">
        <f>IF($A84="","",$I84+SUMIF(WeeklySummary!$B$2:$B$1000,$A84,WeeklySummary!$G$2:$G$1000))</f>
        <v/>
      </c>
      <c r="C84" s="31">
        <f>IF($B84="","",MIN(100,INT(SQRT($B84))))</f>
        <v/>
      </c>
      <c r="D84" s="31">
        <f>IF($C84="","",($C84+1)^2)</f>
        <v/>
      </c>
      <c r="E84" s="31">
        <f>IF($D84="","",$D84-$B84)</f>
        <v/>
      </c>
      <c r="F84" s="31">
        <f>IF($A84="","",SUMIF(MonthlySummary!$B$2:$B$1000,$A84,MonthlySummary!$E$2:$E$1000))</f>
        <v/>
      </c>
      <c r="G84" s="31" t="n">
        <v>0</v>
      </c>
      <c r="H84" s="31">
        <f>IF($A84="","",$F84-IF($G84="",0,$G84))</f>
        <v/>
      </c>
      <c r="I84" s="31">
        <f>IF($A84="","",IFERROR(XLOOKUP($A84,SeedPlacement!$A$2:$A$1000,SeedPlacement!$N$2:$N$1000),0))</f>
        <v/>
      </c>
      <c r="J84" s="59" t="n"/>
    </row>
    <row r="85">
      <c r="A85" s="31">
        <f>IF(Members!$A85="","",Members!$A85)</f>
        <v/>
      </c>
      <c r="B85" s="31">
        <f>IF($A85="","",$I85+SUMIF(WeeklySummary!$B$2:$B$1000,$A85,WeeklySummary!$G$2:$G$1000))</f>
        <v/>
      </c>
      <c r="C85" s="31">
        <f>IF($B85="","",MIN(100,INT(SQRT($B85))))</f>
        <v/>
      </c>
      <c r="D85" s="31">
        <f>IF($C85="","",($C85+1)^2)</f>
        <v/>
      </c>
      <c r="E85" s="31">
        <f>IF($D85="","",$D85-$B85)</f>
        <v/>
      </c>
      <c r="F85" s="31">
        <f>IF($A85="","",SUMIF(MonthlySummary!$B$2:$B$1000,$A85,MonthlySummary!$E$2:$E$1000))</f>
        <v/>
      </c>
      <c r="G85" s="31" t="n">
        <v>0</v>
      </c>
      <c r="H85" s="31">
        <f>IF($A85="","",$F85-IF($G85="",0,$G85))</f>
        <v/>
      </c>
      <c r="I85" s="31">
        <f>IF($A85="","",IFERROR(XLOOKUP($A85,SeedPlacement!$A$2:$A$1000,SeedPlacement!$N$2:$N$1000),0))</f>
        <v/>
      </c>
      <c r="J85" s="59" t="n"/>
    </row>
    <row r="86">
      <c r="A86" s="31">
        <f>IF(Members!$A86="","",Members!$A86)</f>
        <v/>
      </c>
      <c r="B86" s="31">
        <f>IF($A86="","",$I86+SUMIF(WeeklySummary!$B$2:$B$1000,$A86,WeeklySummary!$G$2:$G$1000))</f>
        <v/>
      </c>
      <c r="C86" s="31">
        <f>IF($B86="","",MIN(100,INT(SQRT($B86))))</f>
        <v/>
      </c>
      <c r="D86" s="31">
        <f>IF($C86="","",($C86+1)^2)</f>
        <v/>
      </c>
      <c r="E86" s="31">
        <f>IF($D86="","",$D86-$B86)</f>
        <v/>
      </c>
      <c r="F86" s="31">
        <f>IF($A86="","",SUMIF(MonthlySummary!$B$2:$B$1000,$A86,MonthlySummary!$E$2:$E$1000))</f>
        <v/>
      </c>
      <c r="G86" s="31" t="n">
        <v>0</v>
      </c>
      <c r="H86" s="31">
        <f>IF($A86="","",$F86-IF($G86="",0,$G86))</f>
        <v/>
      </c>
      <c r="I86" s="31">
        <f>IF($A86="","",IFERROR(XLOOKUP($A86,SeedPlacement!$A$2:$A$1000,SeedPlacement!$N$2:$N$1000),0))</f>
        <v/>
      </c>
      <c r="J86" s="59" t="n"/>
    </row>
    <row r="87">
      <c r="A87" s="31">
        <f>IF(Members!$A87="","",Members!$A87)</f>
        <v/>
      </c>
      <c r="B87" s="31">
        <f>IF($A87="","",$I87+SUMIF(WeeklySummary!$B$2:$B$1000,$A87,WeeklySummary!$G$2:$G$1000))</f>
        <v/>
      </c>
      <c r="C87" s="31">
        <f>IF($B87="","",MIN(100,INT(SQRT($B87))))</f>
        <v/>
      </c>
      <c r="D87" s="31">
        <f>IF($C87="","",($C87+1)^2)</f>
        <v/>
      </c>
      <c r="E87" s="31">
        <f>IF($D87="","",$D87-$B87)</f>
        <v/>
      </c>
      <c r="F87" s="31">
        <f>IF($A87="","",SUMIF(MonthlySummary!$B$2:$B$1000,$A87,MonthlySummary!$E$2:$E$1000))</f>
        <v/>
      </c>
      <c r="G87" s="31" t="n">
        <v>0</v>
      </c>
      <c r="H87" s="31">
        <f>IF($A87="","",$F87-IF($G87="",0,$G87))</f>
        <v/>
      </c>
      <c r="I87" s="31">
        <f>IF($A87="","",IFERROR(XLOOKUP($A87,SeedPlacement!$A$2:$A$1000,SeedPlacement!$N$2:$N$1000),0))</f>
        <v/>
      </c>
      <c r="J87" s="59" t="n"/>
    </row>
    <row r="88">
      <c r="A88" s="31">
        <f>IF(Members!$A88="","",Members!$A88)</f>
        <v/>
      </c>
      <c r="B88" s="31">
        <f>IF($A88="","",$I88+SUMIF(WeeklySummary!$B$2:$B$1000,$A88,WeeklySummary!$G$2:$G$1000))</f>
        <v/>
      </c>
      <c r="C88" s="31">
        <f>IF($B88="","",MIN(100,INT(SQRT($B88))))</f>
        <v/>
      </c>
      <c r="D88" s="31">
        <f>IF($C88="","",($C88+1)^2)</f>
        <v/>
      </c>
      <c r="E88" s="31">
        <f>IF($D88="","",$D88-$B88)</f>
        <v/>
      </c>
      <c r="F88" s="31">
        <f>IF($A88="","",SUMIF(MonthlySummary!$B$2:$B$1000,$A88,MonthlySummary!$E$2:$E$1000))</f>
        <v/>
      </c>
      <c r="G88" s="31" t="n">
        <v>0</v>
      </c>
      <c r="H88" s="31">
        <f>IF($A88="","",$F88-IF($G88="",0,$G88))</f>
        <v/>
      </c>
      <c r="I88" s="31">
        <f>IF($A88="","",IFERROR(XLOOKUP($A88,SeedPlacement!$A$2:$A$1000,SeedPlacement!$N$2:$N$1000),0))</f>
        <v/>
      </c>
      <c r="J88" s="59" t="n"/>
    </row>
    <row r="89">
      <c r="A89" s="31">
        <f>IF(Members!$A89="","",Members!$A89)</f>
        <v/>
      </c>
      <c r="B89" s="31">
        <f>IF($A89="","",$I89+SUMIF(WeeklySummary!$B$2:$B$1000,$A89,WeeklySummary!$G$2:$G$1000))</f>
        <v/>
      </c>
      <c r="C89" s="31">
        <f>IF($B89="","",MIN(100,INT(SQRT($B89))))</f>
        <v/>
      </c>
      <c r="D89" s="31">
        <f>IF($C89="","",($C89+1)^2)</f>
        <v/>
      </c>
      <c r="E89" s="31">
        <f>IF($D89="","",$D89-$B89)</f>
        <v/>
      </c>
      <c r="F89" s="31">
        <f>IF($A89="","",SUMIF(MonthlySummary!$B$2:$B$1000,$A89,MonthlySummary!$E$2:$E$1000))</f>
        <v/>
      </c>
      <c r="G89" s="31" t="n">
        <v>0</v>
      </c>
      <c r="H89" s="31">
        <f>IF($A89="","",$F89-IF($G89="",0,$G89))</f>
        <v/>
      </c>
      <c r="I89" s="31">
        <f>IF($A89="","",IFERROR(XLOOKUP($A89,SeedPlacement!$A$2:$A$1000,SeedPlacement!$N$2:$N$1000),0))</f>
        <v/>
      </c>
      <c r="J89" s="59" t="n"/>
    </row>
    <row r="90">
      <c r="A90" s="31">
        <f>IF(Members!$A90="","",Members!$A90)</f>
        <v/>
      </c>
      <c r="B90" s="31">
        <f>IF($A90="","",$I90+SUMIF(WeeklySummary!$B$2:$B$1000,$A90,WeeklySummary!$G$2:$G$1000))</f>
        <v/>
      </c>
      <c r="C90" s="31">
        <f>IF($B90="","",MIN(100,INT(SQRT($B90))))</f>
        <v/>
      </c>
      <c r="D90" s="31">
        <f>IF($C90="","",($C90+1)^2)</f>
        <v/>
      </c>
      <c r="E90" s="31">
        <f>IF($D90="","",$D90-$B90)</f>
        <v/>
      </c>
      <c r="F90" s="31">
        <f>IF($A90="","",SUMIF(MonthlySummary!$B$2:$B$1000,$A90,MonthlySummary!$E$2:$E$1000))</f>
        <v/>
      </c>
      <c r="G90" s="31" t="n">
        <v>0</v>
      </c>
      <c r="H90" s="31">
        <f>IF($A90="","",$F90-IF($G90="",0,$G90))</f>
        <v/>
      </c>
      <c r="I90" s="31">
        <f>IF($A90="","",IFERROR(XLOOKUP($A90,SeedPlacement!$A$2:$A$1000,SeedPlacement!$N$2:$N$1000),0))</f>
        <v/>
      </c>
      <c r="J90" s="59" t="n"/>
    </row>
    <row r="91">
      <c r="A91" s="31">
        <f>IF(Members!$A91="","",Members!$A91)</f>
        <v/>
      </c>
      <c r="B91" s="31">
        <f>IF($A91="","",$I91+SUMIF(WeeklySummary!$B$2:$B$1000,$A91,WeeklySummary!$G$2:$G$1000))</f>
        <v/>
      </c>
      <c r="C91" s="31">
        <f>IF($B91="","",MIN(100,INT(SQRT($B91))))</f>
        <v/>
      </c>
      <c r="D91" s="31">
        <f>IF($C91="","",($C91+1)^2)</f>
        <v/>
      </c>
      <c r="E91" s="31">
        <f>IF($D91="","",$D91-$B91)</f>
        <v/>
      </c>
      <c r="F91" s="31">
        <f>IF($A91="","",SUMIF(MonthlySummary!$B$2:$B$1000,$A91,MonthlySummary!$E$2:$E$1000))</f>
        <v/>
      </c>
      <c r="G91" s="31" t="n">
        <v>0</v>
      </c>
      <c r="H91" s="31">
        <f>IF($A91="","",$F91-IF($G91="",0,$G91))</f>
        <v/>
      </c>
      <c r="I91" s="31">
        <f>IF($A91="","",IFERROR(XLOOKUP($A91,SeedPlacement!$A$2:$A$1000,SeedPlacement!$N$2:$N$1000),0))</f>
        <v/>
      </c>
      <c r="J91" s="59" t="n"/>
    </row>
    <row r="92">
      <c r="A92" s="31">
        <f>IF(Members!$A92="","",Members!$A92)</f>
        <v/>
      </c>
      <c r="B92" s="31">
        <f>IF($A92="","",$I92+SUMIF(WeeklySummary!$B$2:$B$1000,$A92,WeeklySummary!$G$2:$G$1000))</f>
        <v/>
      </c>
      <c r="C92" s="31">
        <f>IF($B92="","",MIN(100,INT(SQRT($B92))))</f>
        <v/>
      </c>
      <c r="D92" s="31">
        <f>IF($C92="","",($C92+1)^2)</f>
        <v/>
      </c>
      <c r="E92" s="31">
        <f>IF($D92="","",$D92-$B92)</f>
        <v/>
      </c>
      <c r="F92" s="31">
        <f>IF($A92="","",SUMIF(MonthlySummary!$B$2:$B$1000,$A92,MonthlySummary!$E$2:$E$1000))</f>
        <v/>
      </c>
      <c r="G92" s="31" t="n">
        <v>0</v>
      </c>
      <c r="H92" s="31">
        <f>IF($A92="","",$F92-IF($G92="",0,$G92))</f>
        <v/>
      </c>
      <c r="I92" s="31">
        <f>IF($A92="","",IFERROR(XLOOKUP($A92,SeedPlacement!$A$2:$A$1000,SeedPlacement!$N$2:$N$1000),0))</f>
        <v/>
      </c>
      <c r="J92" s="59" t="n"/>
    </row>
    <row r="93">
      <c r="A93" s="31">
        <f>IF(Members!$A93="","",Members!$A93)</f>
        <v/>
      </c>
      <c r="B93" s="31">
        <f>IF($A93="","",$I93+SUMIF(WeeklySummary!$B$2:$B$1000,$A93,WeeklySummary!$G$2:$G$1000))</f>
        <v/>
      </c>
      <c r="C93" s="31">
        <f>IF($B93="","",MIN(100,INT(SQRT($B93))))</f>
        <v/>
      </c>
      <c r="D93" s="31">
        <f>IF($C93="","",($C93+1)^2)</f>
        <v/>
      </c>
      <c r="E93" s="31">
        <f>IF($D93="","",$D93-$B93)</f>
        <v/>
      </c>
      <c r="F93" s="31">
        <f>IF($A93="","",SUMIF(MonthlySummary!$B$2:$B$1000,$A93,MonthlySummary!$E$2:$E$1000))</f>
        <v/>
      </c>
      <c r="G93" s="31" t="n">
        <v>0</v>
      </c>
      <c r="H93" s="31">
        <f>IF($A93="","",$F93-IF($G93="",0,$G93))</f>
        <v/>
      </c>
      <c r="I93" s="31">
        <f>IF($A93="","",IFERROR(XLOOKUP($A93,SeedPlacement!$A$2:$A$1000,SeedPlacement!$N$2:$N$1000),0))</f>
        <v/>
      </c>
      <c r="J93" s="59" t="n"/>
    </row>
    <row r="94">
      <c r="A94" s="31">
        <f>IF(Members!$A94="","",Members!$A94)</f>
        <v/>
      </c>
      <c r="B94" s="31">
        <f>IF($A94="","",$I94+SUMIF(WeeklySummary!$B$2:$B$1000,$A94,WeeklySummary!$G$2:$G$1000))</f>
        <v/>
      </c>
      <c r="C94" s="31">
        <f>IF($B94="","",MIN(100,INT(SQRT($B94))))</f>
        <v/>
      </c>
      <c r="D94" s="31">
        <f>IF($C94="","",($C94+1)^2)</f>
        <v/>
      </c>
      <c r="E94" s="31">
        <f>IF($D94="","",$D94-$B94)</f>
        <v/>
      </c>
      <c r="F94" s="31">
        <f>IF($A94="","",SUMIF(MonthlySummary!$B$2:$B$1000,$A94,MonthlySummary!$E$2:$E$1000))</f>
        <v/>
      </c>
      <c r="G94" s="31" t="n">
        <v>0</v>
      </c>
      <c r="H94" s="31">
        <f>IF($A94="","",$F94-IF($G94="",0,$G94))</f>
        <v/>
      </c>
      <c r="I94" s="31">
        <f>IF($A94="","",IFERROR(XLOOKUP($A94,SeedPlacement!$A$2:$A$1000,SeedPlacement!$N$2:$N$1000),0))</f>
        <v/>
      </c>
      <c r="J94" s="59" t="n"/>
    </row>
    <row r="95">
      <c r="A95" s="31">
        <f>IF(Members!$A95="","",Members!$A95)</f>
        <v/>
      </c>
      <c r="B95" s="31">
        <f>IF($A95="","",$I95+SUMIF(WeeklySummary!$B$2:$B$1000,$A95,WeeklySummary!$G$2:$G$1000))</f>
        <v/>
      </c>
      <c r="C95" s="31">
        <f>IF($B95="","",MIN(100,INT(SQRT($B95))))</f>
        <v/>
      </c>
      <c r="D95" s="31">
        <f>IF($C95="","",($C95+1)^2)</f>
        <v/>
      </c>
      <c r="E95" s="31">
        <f>IF($D95="","",$D95-$B95)</f>
        <v/>
      </c>
      <c r="F95" s="31">
        <f>IF($A95="","",SUMIF(MonthlySummary!$B$2:$B$1000,$A95,MonthlySummary!$E$2:$E$1000))</f>
        <v/>
      </c>
      <c r="G95" s="31" t="n">
        <v>0</v>
      </c>
      <c r="H95" s="31">
        <f>IF($A95="","",$F95-IF($G95="",0,$G95))</f>
        <v/>
      </c>
      <c r="I95" s="31">
        <f>IF($A95="","",IFERROR(XLOOKUP($A95,SeedPlacement!$A$2:$A$1000,SeedPlacement!$N$2:$N$1000),0))</f>
        <v/>
      </c>
      <c r="J95" s="59" t="n"/>
    </row>
    <row r="96">
      <c r="A96" s="31">
        <f>IF(Members!$A96="","",Members!$A96)</f>
        <v/>
      </c>
      <c r="B96" s="31">
        <f>IF($A96="","",$I96+SUMIF(WeeklySummary!$B$2:$B$1000,$A96,WeeklySummary!$G$2:$G$1000))</f>
        <v/>
      </c>
      <c r="C96" s="31">
        <f>IF($B96="","",MIN(100,INT(SQRT($B96))))</f>
        <v/>
      </c>
      <c r="D96" s="31">
        <f>IF($C96="","",($C96+1)^2)</f>
        <v/>
      </c>
      <c r="E96" s="31">
        <f>IF($D96="","",$D96-$B96)</f>
        <v/>
      </c>
      <c r="F96" s="31">
        <f>IF($A96="","",SUMIF(MonthlySummary!$B$2:$B$1000,$A96,MonthlySummary!$E$2:$E$1000))</f>
        <v/>
      </c>
      <c r="G96" s="31" t="n">
        <v>0</v>
      </c>
      <c r="H96" s="31">
        <f>IF($A96="","",$F96-IF($G96="",0,$G96))</f>
        <v/>
      </c>
      <c r="I96" s="31">
        <f>IF($A96="","",IFERROR(XLOOKUP($A96,SeedPlacement!$A$2:$A$1000,SeedPlacement!$N$2:$N$1000),0))</f>
        <v/>
      </c>
      <c r="J96" s="59" t="n"/>
    </row>
    <row r="97">
      <c r="A97" s="31">
        <f>IF(Members!$A97="","",Members!$A97)</f>
        <v/>
      </c>
      <c r="B97" s="31">
        <f>IF($A97="","",$I97+SUMIF(WeeklySummary!$B$2:$B$1000,$A97,WeeklySummary!$G$2:$G$1000))</f>
        <v/>
      </c>
      <c r="C97" s="31">
        <f>IF($B97="","",MIN(100,INT(SQRT($B97))))</f>
        <v/>
      </c>
      <c r="D97" s="31">
        <f>IF($C97="","",($C97+1)^2)</f>
        <v/>
      </c>
      <c r="E97" s="31">
        <f>IF($D97="","",$D97-$B97)</f>
        <v/>
      </c>
      <c r="F97" s="31">
        <f>IF($A97="","",SUMIF(MonthlySummary!$B$2:$B$1000,$A97,MonthlySummary!$E$2:$E$1000))</f>
        <v/>
      </c>
      <c r="G97" s="31" t="n">
        <v>0</v>
      </c>
      <c r="H97" s="31">
        <f>IF($A97="","",$F97-IF($G97="",0,$G97))</f>
        <v/>
      </c>
      <c r="I97" s="31">
        <f>IF($A97="","",IFERROR(XLOOKUP($A97,SeedPlacement!$A$2:$A$1000,SeedPlacement!$N$2:$N$1000),0))</f>
        <v/>
      </c>
      <c r="J97" s="59" t="n"/>
    </row>
    <row r="98">
      <c r="A98" s="31">
        <f>IF(Members!$A98="","",Members!$A98)</f>
        <v/>
      </c>
      <c r="B98" s="31">
        <f>IF($A98="","",$I98+SUMIF(WeeklySummary!$B$2:$B$1000,$A98,WeeklySummary!$G$2:$G$1000))</f>
        <v/>
      </c>
      <c r="C98" s="31">
        <f>IF($B98="","",MIN(100,INT(SQRT($B98))))</f>
        <v/>
      </c>
      <c r="D98" s="31">
        <f>IF($C98="","",($C98+1)^2)</f>
        <v/>
      </c>
      <c r="E98" s="31">
        <f>IF($D98="","",$D98-$B98)</f>
        <v/>
      </c>
      <c r="F98" s="31">
        <f>IF($A98="","",SUMIF(MonthlySummary!$B$2:$B$1000,$A98,MonthlySummary!$E$2:$E$1000))</f>
        <v/>
      </c>
      <c r="G98" s="31" t="n">
        <v>0</v>
      </c>
      <c r="H98" s="31">
        <f>IF($A98="","",$F98-IF($G98="",0,$G98))</f>
        <v/>
      </c>
      <c r="I98" s="31">
        <f>IF($A98="","",IFERROR(XLOOKUP($A98,SeedPlacement!$A$2:$A$1000,SeedPlacement!$N$2:$N$1000),0))</f>
        <v/>
      </c>
      <c r="J98" s="59" t="n"/>
    </row>
    <row r="99">
      <c r="A99" s="31">
        <f>IF(Members!$A99="","",Members!$A99)</f>
        <v/>
      </c>
      <c r="B99" s="31">
        <f>IF($A99="","",$I99+SUMIF(WeeklySummary!$B$2:$B$1000,$A99,WeeklySummary!$G$2:$G$1000))</f>
        <v/>
      </c>
      <c r="C99" s="31">
        <f>IF($B99="","",MIN(100,INT(SQRT($B99))))</f>
        <v/>
      </c>
      <c r="D99" s="31">
        <f>IF($C99="","",($C99+1)^2)</f>
        <v/>
      </c>
      <c r="E99" s="31">
        <f>IF($D99="","",$D99-$B99)</f>
        <v/>
      </c>
      <c r="F99" s="31">
        <f>IF($A99="","",SUMIF(MonthlySummary!$B$2:$B$1000,$A99,MonthlySummary!$E$2:$E$1000))</f>
        <v/>
      </c>
      <c r="G99" s="31" t="n">
        <v>0</v>
      </c>
      <c r="H99" s="31">
        <f>IF($A99="","",$F99-IF($G99="",0,$G99))</f>
        <v/>
      </c>
      <c r="I99" s="31">
        <f>IF($A99="","",IFERROR(XLOOKUP($A99,SeedPlacement!$A$2:$A$1000,SeedPlacement!$N$2:$N$1000),0))</f>
        <v/>
      </c>
      <c r="J99" s="59" t="n"/>
    </row>
    <row r="100">
      <c r="A100" s="31">
        <f>IF(Members!$A100="","",Members!$A100)</f>
        <v/>
      </c>
      <c r="B100" s="31">
        <f>IF($A100="","",$I100+SUMIF(WeeklySummary!$B$2:$B$1000,$A100,WeeklySummary!$G$2:$G$1000))</f>
        <v/>
      </c>
      <c r="C100" s="31">
        <f>IF($B100="","",MIN(100,INT(SQRT($B100))))</f>
        <v/>
      </c>
      <c r="D100" s="31">
        <f>IF($C100="","",($C100+1)^2)</f>
        <v/>
      </c>
      <c r="E100" s="31">
        <f>IF($D100="","",$D100-$B100)</f>
        <v/>
      </c>
      <c r="F100" s="31">
        <f>IF($A100="","",SUMIF(MonthlySummary!$B$2:$B$1000,$A100,MonthlySummary!$E$2:$E$1000))</f>
        <v/>
      </c>
      <c r="G100" s="31" t="n">
        <v>0</v>
      </c>
      <c r="H100" s="31">
        <f>IF($A100="","",$F100-IF($G100="",0,$G100))</f>
        <v/>
      </c>
      <c r="I100" s="31">
        <f>IF($A100="","",IFERROR(XLOOKUP($A100,SeedPlacement!$A$2:$A$1000,SeedPlacement!$N$2:$N$1000),0))</f>
        <v/>
      </c>
      <c r="J100" s="59" t="n"/>
    </row>
    <row r="101">
      <c r="A101" s="31">
        <f>IF(Members!$A101="","",Members!$A101)</f>
        <v/>
      </c>
      <c r="B101" s="31">
        <f>IF($A101="","",$I101+SUMIF(WeeklySummary!$B$2:$B$1000,$A101,WeeklySummary!$G$2:$G$1000))</f>
        <v/>
      </c>
      <c r="C101" s="31">
        <f>IF($B101="","",MIN(100,INT(SQRT($B101))))</f>
        <v/>
      </c>
      <c r="D101" s="31">
        <f>IF($C101="","",($C101+1)^2)</f>
        <v/>
      </c>
      <c r="E101" s="31">
        <f>IF($D101="","",$D101-$B101)</f>
        <v/>
      </c>
      <c r="F101" s="31">
        <f>IF($A101="","",SUMIF(MonthlySummary!$B$2:$B$1000,$A101,MonthlySummary!$E$2:$E$1000))</f>
        <v/>
      </c>
      <c r="G101" s="31" t="n">
        <v>0</v>
      </c>
      <c r="H101" s="31">
        <f>IF($A101="","",$F101-IF($G101="",0,$G101))</f>
        <v/>
      </c>
      <c r="I101" s="31">
        <f>IF($A101="","",IFERROR(XLOOKUP($A101,SeedPlacement!$A$2:$A$1000,SeedPlacement!$N$2:$N$1000),0))</f>
        <v/>
      </c>
      <c r="J101" s="59" t="n"/>
    </row>
    <row r="102">
      <c r="A102" s="31">
        <f>IF(Members!$A102="","",Members!$A102)</f>
        <v/>
      </c>
      <c r="B102" s="31">
        <f>IF($A102="","",$I102+SUMIF(WeeklySummary!$B$2:$B$1000,$A102,WeeklySummary!$G$2:$G$1000))</f>
        <v/>
      </c>
      <c r="C102" s="31">
        <f>IF($B102="","",MIN(100,INT(SQRT($B102))))</f>
        <v/>
      </c>
      <c r="D102" s="31">
        <f>IF($C102="","",($C102+1)^2)</f>
        <v/>
      </c>
      <c r="E102" s="31">
        <f>IF($D102="","",$D102-$B102)</f>
        <v/>
      </c>
      <c r="F102" s="31">
        <f>IF($A102="","",SUMIF(MonthlySummary!$B$2:$B$1000,$A102,MonthlySummary!$E$2:$E$1000))</f>
        <v/>
      </c>
      <c r="G102" s="31" t="n">
        <v>0</v>
      </c>
      <c r="H102" s="31">
        <f>IF($A102="","",$F102-IF($G102="",0,$G102))</f>
        <v/>
      </c>
      <c r="I102" s="31">
        <f>IF($A102="","",IFERROR(XLOOKUP($A102,SeedPlacement!$A$2:$A$1000,SeedPlacement!$N$2:$N$1000),0))</f>
        <v/>
      </c>
      <c r="J102" s="59" t="n"/>
    </row>
    <row r="103">
      <c r="A103" s="31">
        <f>IF(Members!$A103="","",Members!$A103)</f>
        <v/>
      </c>
      <c r="B103" s="31">
        <f>IF($A103="","",$I103+SUMIF(WeeklySummary!$B$2:$B$1000,$A103,WeeklySummary!$G$2:$G$1000))</f>
        <v/>
      </c>
      <c r="C103" s="31">
        <f>IF($B103="","",MIN(100,INT(SQRT($B103))))</f>
        <v/>
      </c>
      <c r="D103" s="31">
        <f>IF($C103="","",($C103+1)^2)</f>
        <v/>
      </c>
      <c r="E103" s="31">
        <f>IF($D103="","",$D103-$B103)</f>
        <v/>
      </c>
      <c r="F103" s="31">
        <f>IF($A103="","",SUMIF(MonthlySummary!$B$2:$B$1000,$A103,MonthlySummary!$E$2:$E$1000))</f>
        <v/>
      </c>
      <c r="G103" s="31" t="n">
        <v>0</v>
      </c>
      <c r="H103" s="31">
        <f>IF($A103="","",$F103-IF($G103="",0,$G103))</f>
        <v/>
      </c>
      <c r="I103" s="31">
        <f>IF($A103="","",IFERROR(XLOOKUP($A103,SeedPlacement!$A$2:$A$1000,SeedPlacement!$N$2:$N$1000),0))</f>
        <v/>
      </c>
      <c r="J103" s="59" t="n"/>
    </row>
    <row r="104">
      <c r="A104" s="31">
        <f>IF(Members!$A104="","",Members!$A104)</f>
        <v/>
      </c>
      <c r="B104" s="31">
        <f>IF($A104="","",$I104+SUMIF(WeeklySummary!$B$2:$B$1000,$A104,WeeklySummary!$G$2:$G$1000))</f>
        <v/>
      </c>
      <c r="C104" s="31">
        <f>IF($B104="","",MIN(100,INT(SQRT($B104))))</f>
        <v/>
      </c>
      <c r="D104" s="31">
        <f>IF($C104="","",($C104+1)^2)</f>
        <v/>
      </c>
      <c r="E104" s="31">
        <f>IF($D104="","",$D104-$B104)</f>
        <v/>
      </c>
      <c r="F104" s="31">
        <f>IF($A104="","",SUMIF(MonthlySummary!$B$2:$B$1000,$A104,MonthlySummary!$E$2:$E$1000))</f>
        <v/>
      </c>
      <c r="G104" s="31" t="n">
        <v>0</v>
      </c>
      <c r="H104" s="31">
        <f>IF($A104="","",$F104-IF($G104="",0,$G104))</f>
        <v/>
      </c>
      <c r="I104" s="31">
        <f>IF($A104="","",IFERROR(XLOOKUP($A104,SeedPlacement!$A$2:$A$1000,SeedPlacement!$N$2:$N$1000),0))</f>
        <v/>
      </c>
      <c r="J104" s="59" t="n"/>
    </row>
    <row r="105">
      <c r="A105" s="31">
        <f>IF(Members!$A105="","",Members!$A105)</f>
        <v/>
      </c>
      <c r="B105" s="31">
        <f>IF($A105="","",$I105+SUMIF(WeeklySummary!$B$2:$B$1000,$A105,WeeklySummary!$G$2:$G$1000))</f>
        <v/>
      </c>
      <c r="C105" s="31">
        <f>IF($B105="","",MIN(100,INT(SQRT($B105))))</f>
        <v/>
      </c>
      <c r="D105" s="31">
        <f>IF($C105="","",($C105+1)^2)</f>
        <v/>
      </c>
      <c r="E105" s="31">
        <f>IF($D105="","",$D105-$B105)</f>
        <v/>
      </c>
      <c r="F105" s="31">
        <f>IF($A105="","",SUMIF(MonthlySummary!$B$2:$B$1000,$A105,MonthlySummary!$E$2:$E$1000))</f>
        <v/>
      </c>
      <c r="G105" s="31" t="n">
        <v>0</v>
      </c>
      <c r="H105" s="31">
        <f>IF($A105="","",$F105-IF($G105="",0,$G105))</f>
        <v/>
      </c>
      <c r="I105" s="31">
        <f>IF($A105="","",IFERROR(XLOOKUP($A105,SeedPlacement!$A$2:$A$1000,SeedPlacement!$N$2:$N$1000),0))</f>
        <v/>
      </c>
      <c r="J105" s="59" t="n"/>
    </row>
    <row r="106">
      <c r="A106" s="31">
        <f>IF(Members!$A106="","",Members!$A106)</f>
        <v/>
      </c>
      <c r="B106" s="31">
        <f>IF($A106="","",$I106+SUMIF(WeeklySummary!$B$2:$B$1000,$A106,WeeklySummary!$G$2:$G$1000))</f>
        <v/>
      </c>
      <c r="C106" s="31">
        <f>IF($B106="","",MIN(100,INT(SQRT($B106))))</f>
        <v/>
      </c>
      <c r="D106" s="31">
        <f>IF($C106="","",($C106+1)^2)</f>
        <v/>
      </c>
      <c r="E106" s="31">
        <f>IF($D106="","",$D106-$B106)</f>
        <v/>
      </c>
      <c r="F106" s="31">
        <f>IF($A106="","",SUMIF(MonthlySummary!$B$2:$B$1000,$A106,MonthlySummary!$E$2:$E$1000))</f>
        <v/>
      </c>
      <c r="G106" s="31" t="n">
        <v>0</v>
      </c>
      <c r="H106" s="31">
        <f>IF($A106="","",$F106-IF($G106="",0,$G106))</f>
        <v/>
      </c>
      <c r="I106" s="31">
        <f>IF($A106="","",IFERROR(XLOOKUP($A106,SeedPlacement!$A$2:$A$1000,SeedPlacement!$N$2:$N$1000),0))</f>
        <v/>
      </c>
      <c r="J106" s="59" t="n"/>
    </row>
    <row r="107">
      <c r="A107" s="31">
        <f>IF(Members!$A107="","",Members!$A107)</f>
        <v/>
      </c>
      <c r="B107" s="31">
        <f>IF($A107="","",$I107+SUMIF(WeeklySummary!$B$2:$B$1000,$A107,WeeklySummary!$G$2:$G$1000))</f>
        <v/>
      </c>
      <c r="C107" s="31">
        <f>IF($B107="","",MIN(100,INT(SQRT($B107))))</f>
        <v/>
      </c>
      <c r="D107" s="31">
        <f>IF($C107="","",($C107+1)^2)</f>
        <v/>
      </c>
      <c r="E107" s="31">
        <f>IF($D107="","",$D107-$B107)</f>
        <v/>
      </c>
      <c r="F107" s="31">
        <f>IF($A107="","",SUMIF(MonthlySummary!$B$2:$B$1000,$A107,MonthlySummary!$E$2:$E$1000))</f>
        <v/>
      </c>
      <c r="G107" s="31" t="n">
        <v>0</v>
      </c>
      <c r="H107" s="31">
        <f>IF($A107="","",$F107-IF($G107="",0,$G107))</f>
        <v/>
      </c>
      <c r="I107" s="31">
        <f>IF($A107="","",IFERROR(XLOOKUP($A107,SeedPlacement!$A$2:$A$1000,SeedPlacement!$N$2:$N$1000),0))</f>
        <v/>
      </c>
      <c r="J107" s="59" t="n"/>
    </row>
    <row r="108">
      <c r="A108" s="31">
        <f>IF(Members!$A108="","",Members!$A108)</f>
        <v/>
      </c>
      <c r="B108" s="31">
        <f>IF($A108="","",$I108+SUMIF(WeeklySummary!$B$2:$B$1000,$A108,WeeklySummary!$G$2:$G$1000))</f>
        <v/>
      </c>
      <c r="C108" s="31">
        <f>IF($B108="","",MIN(100,INT(SQRT($B108))))</f>
        <v/>
      </c>
      <c r="D108" s="31">
        <f>IF($C108="","",($C108+1)^2)</f>
        <v/>
      </c>
      <c r="E108" s="31">
        <f>IF($D108="","",$D108-$B108)</f>
        <v/>
      </c>
      <c r="F108" s="31">
        <f>IF($A108="","",SUMIF(MonthlySummary!$B$2:$B$1000,$A108,MonthlySummary!$E$2:$E$1000))</f>
        <v/>
      </c>
      <c r="G108" s="31" t="n">
        <v>0</v>
      </c>
      <c r="H108" s="31">
        <f>IF($A108="","",$F108-IF($G108="",0,$G108))</f>
        <v/>
      </c>
      <c r="I108" s="31">
        <f>IF($A108="","",IFERROR(XLOOKUP($A108,SeedPlacement!$A$2:$A$1000,SeedPlacement!$N$2:$N$1000),0))</f>
        <v/>
      </c>
      <c r="J108" s="59" t="n"/>
    </row>
    <row r="109">
      <c r="A109" s="31">
        <f>IF(Members!$A109="","",Members!$A109)</f>
        <v/>
      </c>
      <c r="B109" s="31">
        <f>IF($A109="","",$I109+SUMIF(WeeklySummary!$B$2:$B$1000,$A109,WeeklySummary!$G$2:$G$1000))</f>
        <v/>
      </c>
      <c r="C109" s="31">
        <f>IF($B109="","",MIN(100,INT(SQRT($B109))))</f>
        <v/>
      </c>
      <c r="D109" s="31">
        <f>IF($C109="","",($C109+1)^2)</f>
        <v/>
      </c>
      <c r="E109" s="31">
        <f>IF($D109="","",$D109-$B109)</f>
        <v/>
      </c>
      <c r="F109" s="31">
        <f>IF($A109="","",SUMIF(MonthlySummary!$B$2:$B$1000,$A109,MonthlySummary!$E$2:$E$1000))</f>
        <v/>
      </c>
      <c r="G109" s="31" t="n">
        <v>0</v>
      </c>
      <c r="H109" s="31">
        <f>IF($A109="","",$F109-IF($G109="",0,$G109))</f>
        <v/>
      </c>
      <c r="I109" s="31">
        <f>IF($A109="","",IFERROR(XLOOKUP($A109,SeedPlacement!$A$2:$A$1000,SeedPlacement!$N$2:$N$1000),0))</f>
        <v/>
      </c>
      <c r="J109" s="59" t="n"/>
    </row>
    <row r="110">
      <c r="A110" s="31">
        <f>IF(Members!$A110="","",Members!$A110)</f>
        <v/>
      </c>
      <c r="B110" s="31">
        <f>IF($A110="","",$I110+SUMIF(WeeklySummary!$B$2:$B$1000,$A110,WeeklySummary!$G$2:$G$1000))</f>
        <v/>
      </c>
      <c r="C110" s="31">
        <f>IF($B110="","",MIN(100,INT(SQRT($B110))))</f>
        <v/>
      </c>
      <c r="D110" s="31">
        <f>IF($C110="","",($C110+1)^2)</f>
        <v/>
      </c>
      <c r="E110" s="31">
        <f>IF($D110="","",$D110-$B110)</f>
        <v/>
      </c>
      <c r="F110" s="31">
        <f>IF($A110="","",SUMIF(MonthlySummary!$B$2:$B$1000,$A110,MonthlySummary!$E$2:$E$1000))</f>
        <v/>
      </c>
      <c r="G110" s="31" t="n">
        <v>0</v>
      </c>
      <c r="H110" s="31">
        <f>IF($A110="","",$F110-IF($G110="",0,$G110))</f>
        <v/>
      </c>
      <c r="I110" s="31">
        <f>IF($A110="","",IFERROR(XLOOKUP($A110,SeedPlacement!$A$2:$A$1000,SeedPlacement!$N$2:$N$1000),0))</f>
        <v/>
      </c>
      <c r="J110" s="59" t="n"/>
    </row>
    <row r="111">
      <c r="A111" s="31">
        <f>IF(Members!$A111="","",Members!$A111)</f>
        <v/>
      </c>
      <c r="B111" s="31">
        <f>IF($A111="","",$I111+SUMIF(WeeklySummary!$B$2:$B$1000,$A111,WeeklySummary!$G$2:$G$1000))</f>
        <v/>
      </c>
      <c r="C111" s="31">
        <f>IF($B111="","",MIN(100,INT(SQRT($B111))))</f>
        <v/>
      </c>
      <c r="D111" s="31">
        <f>IF($C111="","",($C111+1)^2)</f>
        <v/>
      </c>
      <c r="E111" s="31">
        <f>IF($D111="","",$D111-$B111)</f>
        <v/>
      </c>
      <c r="F111" s="31">
        <f>IF($A111="","",SUMIF(MonthlySummary!$B$2:$B$1000,$A111,MonthlySummary!$E$2:$E$1000))</f>
        <v/>
      </c>
      <c r="G111" s="31" t="n">
        <v>0</v>
      </c>
      <c r="H111" s="31">
        <f>IF($A111="","",$F111-IF($G111="",0,$G111))</f>
        <v/>
      </c>
      <c r="I111" s="31">
        <f>IF($A111="","",IFERROR(XLOOKUP($A111,SeedPlacement!$A$2:$A$1000,SeedPlacement!$N$2:$N$1000),0))</f>
        <v/>
      </c>
      <c r="J111" s="59" t="n"/>
    </row>
    <row r="112">
      <c r="A112" s="31">
        <f>IF(Members!$A112="","",Members!$A112)</f>
        <v/>
      </c>
      <c r="B112" s="31">
        <f>IF($A112="","",$I112+SUMIF(WeeklySummary!$B$2:$B$1000,$A112,WeeklySummary!$G$2:$G$1000))</f>
        <v/>
      </c>
      <c r="C112" s="31">
        <f>IF($B112="","",MIN(100,INT(SQRT($B112))))</f>
        <v/>
      </c>
      <c r="D112" s="31">
        <f>IF($C112="","",($C112+1)^2)</f>
        <v/>
      </c>
      <c r="E112" s="31">
        <f>IF($D112="","",$D112-$B112)</f>
        <v/>
      </c>
      <c r="F112" s="31">
        <f>IF($A112="","",SUMIF(MonthlySummary!$B$2:$B$1000,$A112,MonthlySummary!$E$2:$E$1000))</f>
        <v/>
      </c>
      <c r="G112" s="31" t="n">
        <v>0</v>
      </c>
      <c r="H112" s="31">
        <f>IF($A112="","",$F112-IF($G112="",0,$G112))</f>
        <v/>
      </c>
      <c r="I112" s="31">
        <f>IF($A112="","",IFERROR(XLOOKUP($A112,SeedPlacement!$A$2:$A$1000,SeedPlacement!$N$2:$N$1000),0))</f>
        <v/>
      </c>
      <c r="J112" s="59" t="n"/>
    </row>
    <row r="113">
      <c r="A113" s="31">
        <f>IF(Members!$A113="","",Members!$A113)</f>
        <v/>
      </c>
      <c r="B113" s="31">
        <f>IF($A113="","",$I113+SUMIF(WeeklySummary!$B$2:$B$1000,$A113,WeeklySummary!$G$2:$G$1000))</f>
        <v/>
      </c>
      <c r="C113" s="31">
        <f>IF($B113="","",MIN(100,INT(SQRT($B113))))</f>
        <v/>
      </c>
      <c r="D113" s="31">
        <f>IF($C113="","",($C113+1)^2)</f>
        <v/>
      </c>
      <c r="E113" s="31">
        <f>IF($D113="","",$D113-$B113)</f>
        <v/>
      </c>
      <c r="F113" s="31">
        <f>IF($A113="","",SUMIF(MonthlySummary!$B$2:$B$1000,$A113,MonthlySummary!$E$2:$E$1000))</f>
        <v/>
      </c>
      <c r="G113" s="31" t="n">
        <v>0</v>
      </c>
      <c r="H113" s="31">
        <f>IF($A113="","",$F113-IF($G113="",0,$G113))</f>
        <v/>
      </c>
      <c r="I113" s="31">
        <f>IF($A113="","",IFERROR(XLOOKUP($A113,SeedPlacement!$A$2:$A$1000,SeedPlacement!$N$2:$N$1000),0))</f>
        <v/>
      </c>
      <c r="J113" s="59" t="n"/>
    </row>
    <row r="114">
      <c r="A114" s="31">
        <f>IF(Members!$A114="","",Members!$A114)</f>
        <v/>
      </c>
      <c r="B114" s="31">
        <f>IF($A114="","",$I114+SUMIF(WeeklySummary!$B$2:$B$1000,$A114,WeeklySummary!$G$2:$G$1000))</f>
        <v/>
      </c>
      <c r="C114" s="31">
        <f>IF($B114="","",MIN(100,INT(SQRT($B114))))</f>
        <v/>
      </c>
      <c r="D114" s="31">
        <f>IF($C114="","",($C114+1)^2)</f>
        <v/>
      </c>
      <c r="E114" s="31">
        <f>IF($D114="","",$D114-$B114)</f>
        <v/>
      </c>
      <c r="F114" s="31">
        <f>IF($A114="","",SUMIF(MonthlySummary!$B$2:$B$1000,$A114,MonthlySummary!$E$2:$E$1000))</f>
        <v/>
      </c>
      <c r="G114" s="31" t="n">
        <v>0</v>
      </c>
      <c r="H114" s="31">
        <f>IF($A114="","",$F114-IF($G114="",0,$G114))</f>
        <v/>
      </c>
      <c r="I114" s="31">
        <f>IF($A114="","",IFERROR(XLOOKUP($A114,SeedPlacement!$A$2:$A$1000,SeedPlacement!$N$2:$N$1000),0))</f>
        <v/>
      </c>
      <c r="J114" s="59" t="n"/>
    </row>
    <row r="115">
      <c r="A115" s="31">
        <f>IF(Members!$A115="","",Members!$A115)</f>
        <v/>
      </c>
      <c r="B115" s="31">
        <f>IF($A115="","",$I115+SUMIF(WeeklySummary!$B$2:$B$1000,$A115,WeeklySummary!$G$2:$G$1000))</f>
        <v/>
      </c>
      <c r="C115" s="31">
        <f>IF($B115="","",MIN(100,INT(SQRT($B115))))</f>
        <v/>
      </c>
      <c r="D115" s="31">
        <f>IF($C115="","",($C115+1)^2)</f>
        <v/>
      </c>
      <c r="E115" s="31">
        <f>IF($D115="","",$D115-$B115)</f>
        <v/>
      </c>
      <c r="F115" s="31">
        <f>IF($A115="","",SUMIF(MonthlySummary!$B$2:$B$1000,$A115,MonthlySummary!$E$2:$E$1000))</f>
        <v/>
      </c>
      <c r="G115" s="31" t="n">
        <v>0</v>
      </c>
      <c r="H115" s="31">
        <f>IF($A115="","",$F115-IF($G115="",0,$G115))</f>
        <v/>
      </c>
      <c r="I115" s="31">
        <f>IF($A115="","",IFERROR(XLOOKUP($A115,SeedPlacement!$A$2:$A$1000,SeedPlacement!$N$2:$N$1000),0))</f>
        <v/>
      </c>
      <c r="J115" s="59" t="n"/>
    </row>
    <row r="116">
      <c r="A116" s="31">
        <f>IF(Members!$A116="","",Members!$A116)</f>
        <v/>
      </c>
      <c r="B116" s="31">
        <f>IF($A116="","",$I116+SUMIF(WeeklySummary!$B$2:$B$1000,$A116,WeeklySummary!$G$2:$G$1000))</f>
        <v/>
      </c>
      <c r="C116" s="31">
        <f>IF($B116="","",MIN(100,INT(SQRT($B116))))</f>
        <v/>
      </c>
      <c r="D116" s="31">
        <f>IF($C116="","",($C116+1)^2)</f>
        <v/>
      </c>
      <c r="E116" s="31">
        <f>IF($D116="","",$D116-$B116)</f>
        <v/>
      </c>
      <c r="F116" s="31">
        <f>IF($A116="","",SUMIF(MonthlySummary!$B$2:$B$1000,$A116,MonthlySummary!$E$2:$E$1000))</f>
        <v/>
      </c>
      <c r="G116" s="31" t="n">
        <v>0</v>
      </c>
      <c r="H116" s="31">
        <f>IF($A116="","",$F116-IF($G116="",0,$G116))</f>
        <v/>
      </c>
      <c r="I116" s="31">
        <f>IF($A116="","",IFERROR(XLOOKUP($A116,SeedPlacement!$A$2:$A$1000,SeedPlacement!$N$2:$N$1000),0))</f>
        <v/>
      </c>
      <c r="J116" s="59" t="n"/>
    </row>
    <row r="117">
      <c r="A117" s="31">
        <f>IF(Members!$A117="","",Members!$A117)</f>
        <v/>
      </c>
      <c r="B117" s="31">
        <f>IF($A117="","",$I117+SUMIF(WeeklySummary!$B$2:$B$1000,$A117,WeeklySummary!$G$2:$G$1000))</f>
        <v/>
      </c>
      <c r="C117" s="31">
        <f>IF($B117="","",MIN(100,INT(SQRT($B117))))</f>
        <v/>
      </c>
      <c r="D117" s="31">
        <f>IF($C117="","",($C117+1)^2)</f>
        <v/>
      </c>
      <c r="E117" s="31">
        <f>IF($D117="","",$D117-$B117)</f>
        <v/>
      </c>
      <c r="F117" s="31">
        <f>IF($A117="","",SUMIF(MonthlySummary!$B$2:$B$1000,$A117,MonthlySummary!$E$2:$E$1000))</f>
        <v/>
      </c>
      <c r="G117" s="31" t="n">
        <v>0</v>
      </c>
      <c r="H117" s="31">
        <f>IF($A117="","",$F117-IF($G117="",0,$G117))</f>
        <v/>
      </c>
      <c r="I117" s="31">
        <f>IF($A117="","",IFERROR(XLOOKUP($A117,SeedPlacement!$A$2:$A$1000,SeedPlacement!$N$2:$N$1000),0))</f>
        <v/>
      </c>
      <c r="J117" s="59" t="n"/>
    </row>
    <row r="118">
      <c r="A118" s="31">
        <f>IF(Members!$A118="","",Members!$A118)</f>
        <v/>
      </c>
      <c r="B118" s="31">
        <f>IF($A118="","",$I118+SUMIF(WeeklySummary!$B$2:$B$1000,$A118,WeeklySummary!$G$2:$G$1000))</f>
        <v/>
      </c>
      <c r="C118" s="31">
        <f>IF($B118="","",MIN(100,INT(SQRT($B118))))</f>
        <v/>
      </c>
      <c r="D118" s="31">
        <f>IF($C118="","",($C118+1)^2)</f>
        <v/>
      </c>
      <c r="E118" s="31">
        <f>IF($D118="","",$D118-$B118)</f>
        <v/>
      </c>
      <c r="F118" s="31">
        <f>IF($A118="","",SUMIF(MonthlySummary!$B$2:$B$1000,$A118,MonthlySummary!$E$2:$E$1000))</f>
        <v/>
      </c>
      <c r="G118" s="31" t="n">
        <v>0</v>
      </c>
      <c r="H118" s="31">
        <f>IF($A118="","",$F118-IF($G118="",0,$G118))</f>
        <v/>
      </c>
      <c r="I118" s="31">
        <f>IF($A118="","",IFERROR(XLOOKUP($A118,SeedPlacement!$A$2:$A$1000,SeedPlacement!$N$2:$N$1000),0))</f>
        <v/>
      </c>
      <c r="J118" s="59" t="n"/>
    </row>
    <row r="119">
      <c r="A119" s="31">
        <f>IF(Members!$A119="","",Members!$A119)</f>
        <v/>
      </c>
      <c r="B119" s="31">
        <f>IF($A119="","",$I119+SUMIF(WeeklySummary!$B$2:$B$1000,$A119,WeeklySummary!$G$2:$G$1000))</f>
        <v/>
      </c>
      <c r="C119" s="31">
        <f>IF($B119="","",MIN(100,INT(SQRT($B119))))</f>
        <v/>
      </c>
      <c r="D119" s="31">
        <f>IF($C119="","",($C119+1)^2)</f>
        <v/>
      </c>
      <c r="E119" s="31">
        <f>IF($D119="","",$D119-$B119)</f>
        <v/>
      </c>
      <c r="F119" s="31">
        <f>IF($A119="","",SUMIF(MonthlySummary!$B$2:$B$1000,$A119,MonthlySummary!$E$2:$E$1000))</f>
        <v/>
      </c>
      <c r="G119" s="31" t="n">
        <v>0</v>
      </c>
      <c r="H119" s="31">
        <f>IF($A119="","",$F119-IF($G119="",0,$G119))</f>
        <v/>
      </c>
      <c r="I119" s="31">
        <f>IF($A119="","",IFERROR(XLOOKUP($A119,SeedPlacement!$A$2:$A$1000,SeedPlacement!$N$2:$N$1000),0))</f>
        <v/>
      </c>
      <c r="J119" s="59" t="n"/>
    </row>
    <row r="120">
      <c r="A120" s="31">
        <f>IF(Members!$A120="","",Members!$A120)</f>
        <v/>
      </c>
      <c r="B120" s="31">
        <f>IF($A120="","",$I120+SUMIF(WeeklySummary!$B$2:$B$1000,$A120,WeeklySummary!$G$2:$G$1000))</f>
        <v/>
      </c>
      <c r="C120" s="31">
        <f>IF($B120="","",MIN(100,INT(SQRT($B120))))</f>
        <v/>
      </c>
      <c r="D120" s="31">
        <f>IF($C120="","",($C120+1)^2)</f>
        <v/>
      </c>
      <c r="E120" s="31">
        <f>IF($D120="","",$D120-$B120)</f>
        <v/>
      </c>
      <c r="F120" s="31">
        <f>IF($A120="","",SUMIF(MonthlySummary!$B$2:$B$1000,$A120,MonthlySummary!$E$2:$E$1000))</f>
        <v/>
      </c>
      <c r="G120" s="31" t="n">
        <v>0</v>
      </c>
      <c r="H120" s="31">
        <f>IF($A120="","",$F120-IF($G120="",0,$G120))</f>
        <v/>
      </c>
      <c r="I120" s="31">
        <f>IF($A120="","",IFERROR(XLOOKUP($A120,SeedPlacement!$A$2:$A$1000,SeedPlacement!$N$2:$N$1000),0))</f>
        <v/>
      </c>
      <c r="J120" s="59" t="n"/>
    </row>
    <row r="121">
      <c r="A121" s="31">
        <f>IF(Members!$A121="","",Members!$A121)</f>
        <v/>
      </c>
      <c r="B121" s="31">
        <f>IF($A121="","",$I121+SUMIF(WeeklySummary!$B$2:$B$1000,$A121,WeeklySummary!$G$2:$G$1000))</f>
        <v/>
      </c>
      <c r="C121" s="31">
        <f>IF($B121="","",MIN(100,INT(SQRT($B121))))</f>
        <v/>
      </c>
      <c r="D121" s="31">
        <f>IF($C121="","",($C121+1)^2)</f>
        <v/>
      </c>
      <c r="E121" s="31">
        <f>IF($D121="","",$D121-$B121)</f>
        <v/>
      </c>
      <c r="F121" s="31">
        <f>IF($A121="","",SUMIF(MonthlySummary!$B$2:$B$1000,$A121,MonthlySummary!$E$2:$E$1000))</f>
        <v/>
      </c>
      <c r="G121" s="31" t="n">
        <v>0</v>
      </c>
      <c r="H121" s="31">
        <f>IF($A121="","",$F121-IF($G121="",0,$G121))</f>
        <v/>
      </c>
      <c r="I121" s="31">
        <f>IF($A121="","",IFERROR(XLOOKUP($A121,SeedPlacement!$A$2:$A$1000,SeedPlacement!$N$2:$N$1000),0))</f>
        <v/>
      </c>
      <c r="J121" s="59" t="n"/>
    </row>
    <row r="122">
      <c r="A122" s="31">
        <f>IF(Members!$A122="","",Members!$A122)</f>
        <v/>
      </c>
      <c r="B122" s="31">
        <f>IF($A122="","",$I122+SUMIF(WeeklySummary!$B$2:$B$1000,$A122,WeeklySummary!$G$2:$G$1000))</f>
        <v/>
      </c>
      <c r="C122" s="31">
        <f>IF($B122="","",MIN(100,INT(SQRT($B122))))</f>
        <v/>
      </c>
      <c r="D122" s="31">
        <f>IF($C122="","",($C122+1)^2)</f>
        <v/>
      </c>
      <c r="E122" s="31">
        <f>IF($D122="","",$D122-$B122)</f>
        <v/>
      </c>
      <c r="F122" s="31">
        <f>IF($A122="","",SUMIF(MonthlySummary!$B$2:$B$1000,$A122,MonthlySummary!$E$2:$E$1000))</f>
        <v/>
      </c>
      <c r="G122" s="31" t="n">
        <v>0</v>
      </c>
      <c r="H122" s="31">
        <f>IF($A122="","",$F122-IF($G122="",0,$G122))</f>
        <v/>
      </c>
      <c r="I122" s="31">
        <f>IF($A122="","",IFERROR(XLOOKUP($A122,SeedPlacement!$A$2:$A$1000,SeedPlacement!$N$2:$N$1000),0))</f>
        <v/>
      </c>
      <c r="J122" s="59" t="n"/>
    </row>
    <row r="123">
      <c r="A123" s="31">
        <f>IF(Members!$A123="","",Members!$A123)</f>
        <v/>
      </c>
      <c r="B123" s="31">
        <f>IF($A123="","",$I123+SUMIF(WeeklySummary!$B$2:$B$1000,$A123,WeeklySummary!$G$2:$G$1000))</f>
        <v/>
      </c>
      <c r="C123" s="31">
        <f>IF($B123="","",MIN(100,INT(SQRT($B123))))</f>
        <v/>
      </c>
      <c r="D123" s="31">
        <f>IF($C123="","",($C123+1)^2)</f>
        <v/>
      </c>
      <c r="E123" s="31">
        <f>IF($D123="","",$D123-$B123)</f>
        <v/>
      </c>
      <c r="F123" s="31">
        <f>IF($A123="","",SUMIF(MonthlySummary!$B$2:$B$1000,$A123,MonthlySummary!$E$2:$E$1000))</f>
        <v/>
      </c>
      <c r="G123" s="31" t="n">
        <v>0</v>
      </c>
      <c r="H123" s="31">
        <f>IF($A123="","",$F123-IF($G123="",0,$G123))</f>
        <v/>
      </c>
      <c r="I123" s="31">
        <f>IF($A123="","",IFERROR(XLOOKUP($A123,SeedPlacement!$A$2:$A$1000,SeedPlacement!$N$2:$N$1000),0))</f>
        <v/>
      </c>
      <c r="J123" s="59" t="n"/>
    </row>
    <row r="124">
      <c r="A124" s="31">
        <f>IF(Members!$A124="","",Members!$A124)</f>
        <v/>
      </c>
      <c r="B124" s="31">
        <f>IF($A124="","",$I124+SUMIF(WeeklySummary!$B$2:$B$1000,$A124,WeeklySummary!$G$2:$G$1000))</f>
        <v/>
      </c>
      <c r="C124" s="31">
        <f>IF($B124="","",MIN(100,INT(SQRT($B124))))</f>
        <v/>
      </c>
      <c r="D124" s="31">
        <f>IF($C124="","",($C124+1)^2)</f>
        <v/>
      </c>
      <c r="E124" s="31">
        <f>IF($D124="","",$D124-$B124)</f>
        <v/>
      </c>
      <c r="F124" s="31">
        <f>IF($A124="","",SUMIF(MonthlySummary!$B$2:$B$1000,$A124,MonthlySummary!$E$2:$E$1000))</f>
        <v/>
      </c>
      <c r="G124" s="31" t="n">
        <v>0</v>
      </c>
      <c r="H124" s="31">
        <f>IF($A124="","",$F124-IF($G124="",0,$G124))</f>
        <v/>
      </c>
      <c r="I124" s="31">
        <f>IF($A124="","",IFERROR(XLOOKUP($A124,SeedPlacement!$A$2:$A$1000,SeedPlacement!$N$2:$N$1000),0))</f>
        <v/>
      </c>
      <c r="J124" s="59" t="n"/>
    </row>
    <row r="125">
      <c r="A125" s="31">
        <f>IF(Members!$A125="","",Members!$A125)</f>
        <v/>
      </c>
      <c r="B125" s="31">
        <f>IF($A125="","",$I125+SUMIF(WeeklySummary!$B$2:$B$1000,$A125,WeeklySummary!$G$2:$G$1000))</f>
        <v/>
      </c>
      <c r="C125" s="31">
        <f>IF($B125="","",MIN(100,INT(SQRT($B125))))</f>
        <v/>
      </c>
      <c r="D125" s="31">
        <f>IF($C125="","",($C125+1)^2)</f>
        <v/>
      </c>
      <c r="E125" s="31">
        <f>IF($D125="","",$D125-$B125)</f>
        <v/>
      </c>
      <c r="F125" s="31">
        <f>IF($A125="","",SUMIF(MonthlySummary!$B$2:$B$1000,$A125,MonthlySummary!$E$2:$E$1000))</f>
        <v/>
      </c>
      <c r="G125" s="31" t="n">
        <v>0</v>
      </c>
      <c r="H125" s="31">
        <f>IF($A125="","",$F125-IF($G125="",0,$G125))</f>
        <v/>
      </c>
      <c r="I125" s="31">
        <f>IF($A125="","",IFERROR(XLOOKUP($A125,SeedPlacement!$A$2:$A$1000,SeedPlacement!$N$2:$N$1000),0))</f>
        <v/>
      </c>
      <c r="J125" s="59" t="n"/>
    </row>
    <row r="126">
      <c r="A126" s="31">
        <f>IF(Members!$A126="","",Members!$A126)</f>
        <v/>
      </c>
      <c r="B126" s="31">
        <f>IF($A126="","",$I126+SUMIF(WeeklySummary!$B$2:$B$1000,$A126,WeeklySummary!$G$2:$G$1000))</f>
        <v/>
      </c>
      <c r="C126" s="31">
        <f>IF($B126="","",MIN(100,INT(SQRT($B126))))</f>
        <v/>
      </c>
      <c r="D126" s="31">
        <f>IF($C126="","",($C126+1)^2)</f>
        <v/>
      </c>
      <c r="E126" s="31">
        <f>IF($D126="","",$D126-$B126)</f>
        <v/>
      </c>
      <c r="F126" s="31">
        <f>IF($A126="","",SUMIF(MonthlySummary!$B$2:$B$1000,$A126,MonthlySummary!$E$2:$E$1000))</f>
        <v/>
      </c>
      <c r="G126" s="31" t="n">
        <v>0</v>
      </c>
      <c r="H126" s="31">
        <f>IF($A126="","",$F126-IF($G126="",0,$G126))</f>
        <v/>
      </c>
      <c r="I126" s="31">
        <f>IF($A126="","",IFERROR(XLOOKUP($A126,SeedPlacement!$A$2:$A$1000,SeedPlacement!$N$2:$N$1000),0))</f>
        <v/>
      </c>
      <c r="J126" s="59" t="n"/>
    </row>
    <row r="127">
      <c r="A127" s="31">
        <f>IF(Members!$A127="","",Members!$A127)</f>
        <v/>
      </c>
      <c r="B127" s="31">
        <f>IF($A127="","",$I127+SUMIF(WeeklySummary!$B$2:$B$1000,$A127,WeeklySummary!$G$2:$G$1000))</f>
        <v/>
      </c>
      <c r="C127" s="31">
        <f>IF($B127="","",MIN(100,INT(SQRT($B127))))</f>
        <v/>
      </c>
      <c r="D127" s="31">
        <f>IF($C127="","",($C127+1)^2)</f>
        <v/>
      </c>
      <c r="E127" s="31">
        <f>IF($D127="","",$D127-$B127)</f>
        <v/>
      </c>
      <c r="F127" s="31">
        <f>IF($A127="","",SUMIF(MonthlySummary!$B$2:$B$1000,$A127,MonthlySummary!$E$2:$E$1000))</f>
        <v/>
      </c>
      <c r="G127" s="31" t="n">
        <v>0</v>
      </c>
      <c r="H127" s="31">
        <f>IF($A127="","",$F127-IF($G127="",0,$G127))</f>
        <v/>
      </c>
      <c r="I127" s="31">
        <f>IF($A127="","",IFERROR(XLOOKUP($A127,SeedPlacement!$A$2:$A$1000,SeedPlacement!$N$2:$N$1000),0))</f>
        <v/>
      </c>
      <c r="J127" s="59" t="n"/>
    </row>
    <row r="128">
      <c r="A128" s="31">
        <f>IF(Members!$A128="","",Members!$A128)</f>
        <v/>
      </c>
      <c r="B128" s="31">
        <f>IF($A128="","",$I128+SUMIF(WeeklySummary!$B$2:$B$1000,$A128,WeeklySummary!$G$2:$G$1000))</f>
        <v/>
      </c>
      <c r="C128" s="31">
        <f>IF($B128="","",MIN(100,INT(SQRT($B128))))</f>
        <v/>
      </c>
      <c r="D128" s="31">
        <f>IF($C128="","",($C128+1)^2)</f>
        <v/>
      </c>
      <c r="E128" s="31">
        <f>IF($D128="","",$D128-$B128)</f>
        <v/>
      </c>
      <c r="F128" s="31">
        <f>IF($A128="","",SUMIF(MonthlySummary!$B$2:$B$1000,$A128,MonthlySummary!$E$2:$E$1000))</f>
        <v/>
      </c>
      <c r="G128" s="31" t="n">
        <v>0</v>
      </c>
      <c r="H128" s="31">
        <f>IF($A128="","",$F128-IF($G128="",0,$G128))</f>
        <v/>
      </c>
      <c r="I128" s="31">
        <f>IF($A128="","",IFERROR(XLOOKUP($A128,SeedPlacement!$A$2:$A$1000,SeedPlacement!$N$2:$N$1000),0))</f>
        <v/>
      </c>
      <c r="J128" s="59" t="n"/>
    </row>
    <row r="129">
      <c r="A129" s="31">
        <f>IF(Members!$A129="","",Members!$A129)</f>
        <v/>
      </c>
      <c r="B129" s="31">
        <f>IF($A129="","",$I129+SUMIF(WeeklySummary!$B$2:$B$1000,$A129,WeeklySummary!$G$2:$G$1000))</f>
        <v/>
      </c>
      <c r="C129" s="31">
        <f>IF($B129="","",MIN(100,INT(SQRT($B129))))</f>
        <v/>
      </c>
      <c r="D129" s="31">
        <f>IF($C129="","",($C129+1)^2)</f>
        <v/>
      </c>
      <c r="E129" s="31">
        <f>IF($D129="","",$D129-$B129)</f>
        <v/>
      </c>
      <c r="F129" s="31">
        <f>IF($A129="","",SUMIF(MonthlySummary!$B$2:$B$1000,$A129,MonthlySummary!$E$2:$E$1000))</f>
        <v/>
      </c>
      <c r="G129" s="31" t="n">
        <v>0</v>
      </c>
      <c r="H129" s="31">
        <f>IF($A129="","",$F129-IF($G129="",0,$G129))</f>
        <v/>
      </c>
      <c r="I129" s="31">
        <f>IF($A129="","",IFERROR(XLOOKUP($A129,SeedPlacement!$A$2:$A$1000,SeedPlacement!$N$2:$N$1000),0))</f>
        <v/>
      </c>
      <c r="J129" s="59" t="n"/>
    </row>
    <row r="130">
      <c r="A130" s="31">
        <f>IF(Members!$A130="","",Members!$A130)</f>
        <v/>
      </c>
      <c r="B130" s="31">
        <f>IF($A130="","",$I130+SUMIF(WeeklySummary!$B$2:$B$1000,$A130,WeeklySummary!$G$2:$G$1000))</f>
        <v/>
      </c>
      <c r="C130" s="31">
        <f>IF($B130="","",MIN(100,INT(SQRT($B130))))</f>
        <v/>
      </c>
      <c r="D130" s="31">
        <f>IF($C130="","",($C130+1)^2)</f>
        <v/>
      </c>
      <c r="E130" s="31">
        <f>IF($D130="","",$D130-$B130)</f>
        <v/>
      </c>
      <c r="F130" s="31">
        <f>IF($A130="","",SUMIF(MonthlySummary!$B$2:$B$1000,$A130,MonthlySummary!$E$2:$E$1000))</f>
        <v/>
      </c>
      <c r="G130" s="31" t="n">
        <v>0</v>
      </c>
      <c r="H130" s="31">
        <f>IF($A130="","",$F130-IF($G130="",0,$G130))</f>
        <v/>
      </c>
      <c r="I130" s="31">
        <f>IF($A130="","",IFERROR(XLOOKUP($A130,SeedPlacement!$A$2:$A$1000,SeedPlacement!$N$2:$N$1000),0))</f>
        <v/>
      </c>
      <c r="J130" s="59" t="n"/>
    </row>
    <row r="131">
      <c r="A131" s="31">
        <f>IF(Members!$A131="","",Members!$A131)</f>
        <v/>
      </c>
      <c r="B131" s="31">
        <f>IF($A131="","",$I131+SUMIF(WeeklySummary!$B$2:$B$1000,$A131,WeeklySummary!$G$2:$G$1000))</f>
        <v/>
      </c>
      <c r="C131" s="31">
        <f>IF($B131="","",MIN(100,INT(SQRT($B131))))</f>
        <v/>
      </c>
      <c r="D131" s="31">
        <f>IF($C131="","",($C131+1)^2)</f>
        <v/>
      </c>
      <c r="E131" s="31">
        <f>IF($D131="","",$D131-$B131)</f>
        <v/>
      </c>
      <c r="F131" s="31">
        <f>IF($A131="","",SUMIF(MonthlySummary!$B$2:$B$1000,$A131,MonthlySummary!$E$2:$E$1000))</f>
        <v/>
      </c>
      <c r="G131" s="31" t="n">
        <v>0</v>
      </c>
      <c r="H131" s="31">
        <f>IF($A131="","",$F131-IF($G131="",0,$G131))</f>
        <v/>
      </c>
      <c r="I131" s="31">
        <f>IF($A131="","",IFERROR(XLOOKUP($A131,SeedPlacement!$A$2:$A$1000,SeedPlacement!$N$2:$N$1000),0))</f>
        <v/>
      </c>
      <c r="J131" s="59" t="n"/>
    </row>
    <row r="132">
      <c r="A132" s="31">
        <f>IF(Members!$A132="","",Members!$A132)</f>
        <v/>
      </c>
      <c r="B132" s="31">
        <f>IF($A132="","",$I132+SUMIF(WeeklySummary!$B$2:$B$1000,$A132,WeeklySummary!$G$2:$G$1000))</f>
        <v/>
      </c>
      <c r="C132" s="31">
        <f>IF($B132="","",MIN(100,INT(SQRT($B132))))</f>
        <v/>
      </c>
      <c r="D132" s="31">
        <f>IF($C132="","",($C132+1)^2)</f>
        <v/>
      </c>
      <c r="E132" s="31">
        <f>IF($D132="","",$D132-$B132)</f>
        <v/>
      </c>
      <c r="F132" s="31">
        <f>IF($A132="","",SUMIF(MonthlySummary!$B$2:$B$1000,$A132,MonthlySummary!$E$2:$E$1000))</f>
        <v/>
      </c>
      <c r="G132" s="31" t="n">
        <v>0</v>
      </c>
      <c r="H132" s="31">
        <f>IF($A132="","",$F132-IF($G132="",0,$G132))</f>
        <v/>
      </c>
      <c r="I132" s="31">
        <f>IF($A132="","",IFERROR(XLOOKUP($A132,SeedPlacement!$A$2:$A$1000,SeedPlacement!$N$2:$N$1000),0))</f>
        <v/>
      </c>
      <c r="J132" s="59" t="n"/>
    </row>
    <row r="133">
      <c r="A133" s="31">
        <f>IF(Members!$A133="","",Members!$A133)</f>
        <v/>
      </c>
      <c r="B133" s="31">
        <f>IF($A133="","",$I133+SUMIF(WeeklySummary!$B$2:$B$1000,$A133,WeeklySummary!$G$2:$G$1000))</f>
        <v/>
      </c>
      <c r="C133" s="31">
        <f>IF($B133="","",MIN(100,INT(SQRT($B133))))</f>
        <v/>
      </c>
      <c r="D133" s="31">
        <f>IF($C133="","",($C133+1)^2)</f>
        <v/>
      </c>
      <c r="E133" s="31">
        <f>IF($D133="","",$D133-$B133)</f>
        <v/>
      </c>
      <c r="F133" s="31">
        <f>IF($A133="","",SUMIF(MonthlySummary!$B$2:$B$1000,$A133,MonthlySummary!$E$2:$E$1000))</f>
        <v/>
      </c>
      <c r="G133" s="31" t="n">
        <v>0</v>
      </c>
      <c r="H133" s="31">
        <f>IF($A133="","",$F133-IF($G133="",0,$G133))</f>
        <v/>
      </c>
      <c r="I133" s="31">
        <f>IF($A133="","",IFERROR(XLOOKUP($A133,SeedPlacement!$A$2:$A$1000,SeedPlacement!$N$2:$N$1000),0))</f>
        <v/>
      </c>
      <c r="J133" s="59" t="n"/>
    </row>
    <row r="134">
      <c r="A134" s="31">
        <f>IF(Members!$A134="","",Members!$A134)</f>
        <v/>
      </c>
      <c r="B134" s="31">
        <f>IF($A134="","",$I134+SUMIF(WeeklySummary!$B$2:$B$1000,$A134,WeeklySummary!$G$2:$G$1000))</f>
        <v/>
      </c>
      <c r="C134" s="31">
        <f>IF($B134="","",MIN(100,INT(SQRT($B134))))</f>
        <v/>
      </c>
      <c r="D134" s="31">
        <f>IF($C134="","",($C134+1)^2)</f>
        <v/>
      </c>
      <c r="E134" s="31">
        <f>IF($D134="","",$D134-$B134)</f>
        <v/>
      </c>
      <c r="F134" s="31">
        <f>IF($A134="","",SUMIF(MonthlySummary!$B$2:$B$1000,$A134,MonthlySummary!$E$2:$E$1000))</f>
        <v/>
      </c>
      <c r="G134" s="31" t="n">
        <v>0</v>
      </c>
      <c r="H134" s="31">
        <f>IF($A134="","",$F134-IF($G134="",0,$G134))</f>
        <v/>
      </c>
      <c r="I134" s="31">
        <f>IF($A134="","",IFERROR(XLOOKUP($A134,SeedPlacement!$A$2:$A$1000,SeedPlacement!$N$2:$N$1000),0))</f>
        <v/>
      </c>
      <c r="J134" s="59" t="n"/>
    </row>
    <row r="135">
      <c r="A135" s="31">
        <f>IF(Members!$A135="","",Members!$A135)</f>
        <v/>
      </c>
      <c r="B135" s="31">
        <f>IF($A135="","",$I135+SUMIF(WeeklySummary!$B$2:$B$1000,$A135,WeeklySummary!$G$2:$G$1000))</f>
        <v/>
      </c>
      <c r="C135" s="31">
        <f>IF($B135="","",MIN(100,INT(SQRT($B135))))</f>
        <v/>
      </c>
      <c r="D135" s="31">
        <f>IF($C135="","",($C135+1)^2)</f>
        <v/>
      </c>
      <c r="E135" s="31">
        <f>IF($D135="","",$D135-$B135)</f>
        <v/>
      </c>
      <c r="F135" s="31">
        <f>IF($A135="","",SUMIF(MonthlySummary!$B$2:$B$1000,$A135,MonthlySummary!$E$2:$E$1000))</f>
        <v/>
      </c>
      <c r="G135" s="31" t="n">
        <v>0</v>
      </c>
      <c r="H135" s="31">
        <f>IF($A135="","",$F135-IF($G135="",0,$G135))</f>
        <v/>
      </c>
      <c r="I135" s="31">
        <f>IF($A135="","",IFERROR(XLOOKUP($A135,SeedPlacement!$A$2:$A$1000,SeedPlacement!$N$2:$N$1000),0))</f>
        <v/>
      </c>
      <c r="J135" s="59" t="n"/>
    </row>
    <row r="136">
      <c r="A136" s="31">
        <f>IF(Members!$A136="","",Members!$A136)</f>
        <v/>
      </c>
      <c r="B136" s="31">
        <f>IF($A136="","",$I136+SUMIF(WeeklySummary!$B$2:$B$1000,$A136,WeeklySummary!$G$2:$G$1000))</f>
        <v/>
      </c>
      <c r="C136" s="31">
        <f>IF($B136="","",MIN(100,INT(SQRT($B136))))</f>
        <v/>
      </c>
      <c r="D136" s="31">
        <f>IF($C136="","",($C136+1)^2)</f>
        <v/>
      </c>
      <c r="E136" s="31">
        <f>IF($D136="","",$D136-$B136)</f>
        <v/>
      </c>
      <c r="F136" s="31">
        <f>IF($A136="","",SUMIF(MonthlySummary!$B$2:$B$1000,$A136,MonthlySummary!$E$2:$E$1000))</f>
        <v/>
      </c>
      <c r="G136" s="31" t="n">
        <v>0</v>
      </c>
      <c r="H136" s="31">
        <f>IF($A136="","",$F136-IF($G136="",0,$G136))</f>
        <v/>
      </c>
      <c r="I136" s="31">
        <f>IF($A136="","",IFERROR(XLOOKUP($A136,SeedPlacement!$A$2:$A$1000,SeedPlacement!$N$2:$N$1000),0))</f>
        <v/>
      </c>
      <c r="J136" s="59" t="n"/>
    </row>
    <row r="137">
      <c r="A137" s="31">
        <f>IF(Members!$A137="","",Members!$A137)</f>
        <v/>
      </c>
      <c r="B137" s="31">
        <f>IF($A137="","",$I137+SUMIF(WeeklySummary!$B$2:$B$1000,$A137,WeeklySummary!$G$2:$G$1000))</f>
        <v/>
      </c>
      <c r="C137" s="31">
        <f>IF($B137="","",MIN(100,INT(SQRT($B137))))</f>
        <v/>
      </c>
      <c r="D137" s="31">
        <f>IF($C137="","",($C137+1)^2)</f>
        <v/>
      </c>
      <c r="E137" s="31">
        <f>IF($D137="","",$D137-$B137)</f>
        <v/>
      </c>
      <c r="F137" s="31">
        <f>IF($A137="","",SUMIF(MonthlySummary!$B$2:$B$1000,$A137,MonthlySummary!$E$2:$E$1000))</f>
        <v/>
      </c>
      <c r="G137" s="31" t="n">
        <v>0</v>
      </c>
      <c r="H137" s="31">
        <f>IF($A137="","",$F137-IF($G137="",0,$G137))</f>
        <v/>
      </c>
      <c r="I137" s="31">
        <f>IF($A137="","",IFERROR(XLOOKUP($A137,SeedPlacement!$A$2:$A$1000,SeedPlacement!$N$2:$N$1000),0))</f>
        <v/>
      </c>
      <c r="J137" s="59" t="n"/>
    </row>
    <row r="138">
      <c r="A138" s="31">
        <f>IF(Members!$A138="","",Members!$A138)</f>
        <v/>
      </c>
      <c r="B138" s="31">
        <f>IF($A138="","",$I138+SUMIF(WeeklySummary!$B$2:$B$1000,$A138,WeeklySummary!$G$2:$G$1000))</f>
        <v/>
      </c>
      <c r="C138" s="31">
        <f>IF($B138="","",MIN(100,INT(SQRT($B138))))</f>
        <v/>
      </c>
      <c r="D138" s="31">
        <f>IF($C138="","",($C138+1)^2)</f>
        <v/>
      </c>
      <c r="E138" s="31">
        <f>IF($D138="","",$D138-$B138)</f>
        <v/>
      </c>
      <c r="F138" s="31">
        <f>IF($A138="","",SUMIF(MonthlySummary!$B$2:$B$1000,$A138,MonthlySummary!$E$2:$E$1000))</f>
        <v/>
      </c>
      <c r="G138" s="31" t="n">
        <v>0</v>
      </c>
      <c r="H138" s="31">
        <f>IF($A138="","",$F138-IF($G138="",0,$G138))</f>
        <v/>
      </c>
      <c r="I138" s="31">
        <f>IF($A138="","",IFERROR(XLOOKUP($A138,SeedPlacement!$A$2:$A$1000,SeedPlacement!$N$2:$N$1000),0))</f>
        <v/>
      </c>
      <c r="J138" s="59" t="n"/>
    </row>
    <row r="139">
      <c r="A139" s="31">
        <f>IF(Members!$A139="","",Members!$A139)</f>
        <v/>
      </c>
      <c r="B139" s="31">
        <f>IF($A139="","",$I139+SUMIF(WeeklySummary!$B$2:$B$1000,$A139,WeeklySummary!$G$2:$G$1000))</f>
        <v/>
      </c>
      <c r="C139" s="31">
        <f>IF($B139="","",MIN(100,INT(SQRT($B139))))</f>
        <v/>
      </c>
      <c r="D139" s="31">
        <f>IF($C139="","",($C139+1)^2)</f>
        <v/>
      </c>
      <c r="E139" s="31">
        <f>IF($D139="","",$D139-$B139)</f>
        <v/>
      </c>
      <c r="F139" s="31">
        <f>IF($A139="","",SUMIF(MonthlySummary!$B$2:$B$1000,$A139,MonthlySummary!$E$2:$E$1000))</f>
        <v/>
      </c>
      <c r="G139" s="31" t="n">
        <v>0</v>
      </c>
      <c r="H139" s="31">
        <f>IF($A139="","",$F139-IF($G139="",0,$G139))</f>
        <v/>
      </c>
      <c r="I139" s="31">
        <f>IF($A139="","",IFERROR(XLOOKUP($A139,SeedPlacement!$A$2:$A$1000,SeedPlacement!$N$2:$N$1000),0))</f>
        <v/>
      </c>
      <c r="J139" s="59" t="n"/>
    </row>
    <row r="140">
      <c r="A140" s="31">
        <f>IF(Members!$A140="","",Members!$A140)</f>
        <v/>
      </c>
      <c r="B140" s="31">
        <f>IF($A140="","",$I140+SUMIF(WeeklySummary!$B$2:$B$1000,$A140,WeeklySummary!$G$2:$G$1000))</f>
        <v/>
      </c>
      <c r="C140" s="31">
        <f>IF($B140="","",MIN(100,INT(SQRT($B140))))</f>
        <v/>
      </c>
      <c r="D140" s="31">
        <f>IF($C140="","",($C140+1)^2)</f>
        <v/>
      </c>
      <c r="E140" s="31">
        <f>IF($D140="","",$D140-$B140)</f>
        <v/>
      </c>
      <c r="F140" s="31">
        <f>IF($A140="","",SUMIF(MonthlySummary!$B$2:$B$1000,$A140,MonthlySummary!$E$2:$E$1000))</f>
        <v/>
      </c>
      <c r="G140" s="31" t="n">
        <v>0</v>
      </c>
      <c r="H140" s="31">
        <f>IF($A140="","",$F140-IF($G140="",0,$G140))</f>
        <v/>
      </c>
      <c r="I140" s="31">
        <f>IF($A140="","",IFERROR(XLOOKUP($A140,SeedPlacement!$A$2:$A$1000,SeedPlacement!$N$2:$N$1000),0))</f>
        <v/>
      </c>
      <c r="J140" s="59" t="n"/>
    </row>
    <row r="141">
      <c r="A141" s="31">
        <f>IF(Members!$A141="","",Members!$A141)</f>
        <v/>
      </c>
      <c r="B141" s="31">
        <f>IF($A141="","",$I141+SUMIF(WeeklySummary!$B$2:$B$1000,$A141,WeeklySummary!$G$2:$G$1000))</f>
        <v/>
      </c>
      <c r="C141" s="31">
        <f>IF($B141="","",MIN(100,INT(SQRT($B141))))</f>
        <v/>
      </c>
      <c r="D141" s="31">
        <f>IF($C141="","",($C141+1)^2)</f>
        <v/>
      </c>
      <c r="E141" s="31">
        <f>IF($D141="","",$D141-$B141)</f>
        <v/>
      </c>
      <c r="F141" s="31">
        <f>IF($A141="","",SUMIF(MonthlySummary!$B$2:$B$1000,$A141,MonthlySummary!$E$2:$E$1000))</f>
        <v/>
      </c>
      <c r="G141" s="31" t="n">
        <v>0</v>
      </c>
      <c r="H141" s="31">
        <f>IF($A141="","",$F141-IF($G141="",0,$G141))</f>
        <v/>
      </c>
      <c r="I141" s="31">
        <f>IF($A141="","",IFERROR(XLOOKUP($A141,SeedPlacement!$A$2:$A$1000,SeedPlacement!$N$2:$N$1000),0))</f>
        <v/>
      </c>
      <c r="J141" s="59" t="n"/>
    </row>
    <row r="142">
      <c r="A142" s="31">
        <f>IF(Members!$A142="","",Members!$A142)</f>
        <v/>
      </c>
      <c r="B142" s="31">
        <f>IF($A142="","",$I142+SUMIF(WeeklySummary!$B$2:$B$1000,$A142,WeeklySummary!$G$2:$G$1000))</f>
        <v/>
      </c>
      <c r="C142" s="31">
        <f>IF($B142="","",MIN(100,INT(SQRT($B142))))</f>
        <v/>
      </c>
      <c r="D142" s="31">
        <f>IF($C142="","",($C142+1)^2)</f>
        <v/>
      </c>
      <c r="E142" s="31">
        <f>IF($D142="","",$D142-$B142)</f>
        <v/>
      </c>
      <c r="F142" s="31">
        <f>IF($A142="","",SUMIF(MonthlySummary!$B$2:$B$1000,$A142,MonthlySummary!$E$2:$E$1000))</f>
        <v/>
      </c>
      <c r="G142" s="31" t="n">
        <v>0</v>
      </c>
      <c r="H142" s="31">
        <f>IF($A142="","",$F142-IF($G142="",0,$G142))</f>
        <v/>
      </c>
      <c r="I142" s="31">
        <f>IF($A142="","",IFERROR(XLOOKUP($A142,SeedPlacement!$A$2:$A$1000,SeedPlacement!$N$2:$N$1000),0))</f>
        <v/>
      </c>
      <c r="J142" s="59" t="n"/>
    </row>
    <row r="143">
      <c r="A143" s="31">
        <f>IF(Members!$A143="","",Members!$A143)</f>
        <v/>
      </c>
      <c r="B143" s="31">
        <f>IF($A143="","",$I143+SUMIF(WeeklySummary!$B$2:$B$1000,$A143,WeeklySummary!$G$2:$G$1000))</f>
        <v/>
      </c>
      <c r="C143" s="31">
        <f>IF($B143="","",MIN(100,INT(SQRT($B143))))</f>
        <v/>
      </c>
      <c r="D143" s="31">
        <f>IF($C143="","",($C143+1)^2)</f>
        <v/>
      </c>
      <c r="E143" s="31">
        <f>IF($D143="","",$D143-$B143)</f>
        <v/>
      </c>
      <c r="F143" s="31">
        <f>IF($A143="","",SUMIF(MonthlySummary!$B$2:$B$1000,$A143,MonthlySummary!$E$2:$E$1000))</f>
        <v/>
      </c>
      <c r="G143" s="31" t="n">
        <v>0</v>
      </c>
      <c r="H143" s="31">
        <f>IF($A143="","",$F143-IF($G143="",0,$G143))</f>
        <v/>
      </c>
      <c r="I143" s="31">
        <f>IF($A143="","",IFERROR(XLOOKUP($A143,SeedPlacement!$A$2:$A$1000,SeedPlacement!$N$2:$N$1000),0))</f>
        <v/>
      </c>
      <c r="J143" s="59" t="n"/>
    </row>
    <row r="144">
      <c r="A144" s="31">
        <f>IF(Members!$A144="","",Members!$A144)</f>
        <v/>
      </c>
      <c r="B144" s="31">
        <f>IF($A144="","",$I144+SUMIF(WeeklySummary!$B$2:$B$1000,$A144,WeeklySummary!$G$2:$G$1000))</f>
        <v/>
      </c>
      <c r="C144" s="31">
        <f>IF($B144="","",MIN(100,INT(SQRT($B144))))</f>
        <v/>
      </c>
      <c r="D144" s="31">
        <f>IF($C144="","",($C144+1)^2)</f>
        <v/>
      </c>
      <c r="E144" s="31">
        <f>IF($D144="","",$D144-$B144)</f>
        <v/>
      </c>
      <c r="F144" s="31">
        <f>IF($A144="","",SUMIF(MonthlySummary!$B$2:$B$1000,$A144,MonthlySummary!$E$2:$E$1000))</f>
        <v/>
      </c>
      <c r="G144" s="31" t="n">
        <v>0</v>
      </c>
      <c r="H144" s="31">
        <f>IF($A144="","",$F144-IF($G144="",0,$G144))</f>
        <v/>
      </c>
      <c r="I144" s="31">
        <f>IF($A144="","",IFERROR(XLOOKUP($A144,SeedPlacement!$A$2:$A$1000,SeedPlacement!$N$2:$N$1000),0))</f>
        <v/>
      </c>
      <c r="J144" s="59" t="n"/>
    </row>
    <row r="145">
      <c r="A145" s="31">
        <f>IF(Members!$A145="","",Members!$A145)</f>
        <v/>
      </c>
      <c r="B145" s="31">
        <f>IF($A145="","",$I145+SUMIF(WeeklySummary!$B$2:$B$1000,$A145,WeeklySummary!$G$2:$G$1000))</f>
        <v/>
      </c>
      <c r="C145" s="31">
        <f>IF($B145="","",MIN(100,INT(SQRT($B145))))</f>
        <v/>
      </c>
      <c r="D145" s="31">
        <f>IF($C145="","",($C145+1)^2)</f>
        <v/>
      </c>
      <c r="E145" s="31">
        <f>IF($D145="","",$D145-$B145)</f>
        <v/>
      </c>
      <c r="F145" s="31">
        <f>IF($A145="","",SUMIF(MonthlySummary!$B$2:$B$1000,$A145,MonthlySummary!$E$2:$E$1000))</f>
        <v/>
      </c>
      <c r="G145" s="31" t="n">
        <v>0</v>
      </c>
      <c r="H145" s="31">
        <f>IF($A145="","",$F145-IF($G145="",0,$G145))</f>
        <v/>
      </c>
      <c r="I145" s="31">
        <f>IF($A145="","",IFERROR(XLOOKUP($A145,SeedPlacement!$A$2:$A$1000,SeedPlacement!$N$2:$N$1000),0))</f>
        <v/>
      </c>
      <c r="J145" s="59" t="n"/>
    </row>
    <row r="146">
      <c r="A146" s="31">
        <f>IF(Members!$A146="","",Members!$A146)</f>
        <v/>
      </c>
      <c r="B146" s="31">
        <f>IF($A146="","",$I146+SUMIF(WeeklySummary!$B$2:$B$1000,$A146,WeeklySummary!$G$2:$G$1000))</f>
        <v/>
      </c>
      <c r="C146" s="31">
        <f>IF($B146="","",MIN(100,INT(SQRT($B146))))</f>
        <v/>
      </c>
      <c r="D146" s="31">
        <f>IF($C146="","",($C146+1)^2)</f>
        <v/>
      </c>
      <c r="E146" s="31">
        <f>IF($D146="","",$D146-$B146)</f>
        <v/>
      </c>
      <c r="F146" s="31">
        <f>IF($A146="","",SUMIF(MonthlySummary!$B$2:$B$1000,$A146,MonthlySummary!$E$2:$E$1000))</f>
        <v/>
      </c>
      <c r="G146" s="31" t="n">
        <v>0</v>
      </c>
      <c r="H146" s="31">
        <f>IF($A146="","",$F146-IF($G146="",0,$G146))</f>
        <v/>
      </c>
      <c r="I146" s="31">
        <f>IF($A146="","",IFERROR(XLOOKUP($A146,SeedPlacement!$A$2:$A$1000,SeedPlacement!$N$2:$N$1000),0))</f>
        <v/>
      </c>
      <c r="J146" s="59" t="n"/>
    </row>
    <row r="147">
      <c r="A147" s="31">
        <f>IF(Members!$A147="","",Members!$A147)</f>
        <v/>
      </c>
      <c r="B147" s="31">
        <f>IF($A147="","",$I147+SUMIF(WeeklySummary!$B$2:$B$1000,$A147,WeeklySummary!$G$2:$G$1000))</f>
        <v/>
      </c>
      <c r="C147" s="31">
        <f>IF($B147="","",MIN(100,INT(SQRT($B147))))</f>
        <v/>
      </c>
      <c r="D147" s="31">
        <f>IF($C147="","",($C147+1)^2)</f>
        <v/>
      </c>
      <c r="E147" s="31">
        <f>IF($D147="","",$D147-$B147)</f>
        <v/>
      </c>
      <c r="F147" s="31">
        <f>IF($A147="","",SUMIF(MonthlySummary!$B$2:$B$1000,$A147,MonthlySummary!$E$2:$E$1000))</f>
        <v/>
      </c>
      <c r="G147" s="31" t="n">
        <v>0</v>
      </c>
      <c r="H147" s="31">
        <f>IF($A147="","",$F147-IF($G147="",0,$G147))</f>
        <v/>
      </c>
      <c r="I147" s="31">
        <f>IF($A147="","",IFERROR(XLOOKUP($A147,SeedPlacement!$A$2:$A$1000,SeedPlacement!$N$2:$N$1000),0))</f>
        <v/>
      </c>
      <c r="J147" s="59" t="n"/>
    </row>
    <row r="148">
      <c r="A148" s="31">
        <f>IF(Members!$A148="","",Members!$A148)</f>
        <v/>
      </c>
      <c r="B148" s="31">
        <f>IF($A148="","",$I148+SUMIF(WeeklySummary!$B$2:$B$1000,$A148,WeeklySummary!$G$2:$G$1000))</f>
        <v/>
      </c>
      <c r="C148" s="31">
        <f>IF($B148="","",MIN(100,INT(SQRT($B148))))</f>
        <v/>
      </c>
      <c r="D148" s="31">
        <f>IF($C148="","",($C148+1)^2)</f>
        <v/>
      </c>
      <c r="E148" s="31">
        <f>IF($D148="","",$D148-$B148)</f>
        <v/>
      </c>
      <c r="F148" s="31">
        <f>IF($A148="","",SUMIF(MonthlySummary!$B$2:$B$1000,$A148,MonthlySummary!$E$2:$E$1000))</f>
        <v/>
      </c>
      <c r="G148" s="31" t="n">
        <v>0</v>
      </c>
      <c r="H148" s="31">
        <f>IF($A148="","",$F148-IF($G148="",0,$G148))</f>
        <v/>
      </c>
      <c r="I148" s="31">
        <f>IF($A148="","",IFERROR(XLOOKUP($A148,SeedPlacement!$A$2:$A$1000,SeedPlacement!$N$2:$N$1000),0))</f>
        <v/>
      </c>
      <c r="J148" s="59" t="n"/>
    </row>
    <row r="149">
      <c r="A149" s="31">
        <f>IF(Members!$A149="","",Members!$A149)</f>
        <v/>
      </c>
      <c r="B149" s="31">
        <f>IF($A149="","",$I149+SUMIF(WeeklySummary!$B$2:$B$1000,$A149,WeeklySummary!$G$2:$G$1000))</f>
        <v/>
      </c>
      <c r="C149" s="31">
        <f>IF($B149="","",MIN(100,INT(SQRT($B149))))</f>
        <v/>
      </c>
      <c r="D149" s="31">
        <f>IF($C149="","",($C149+1)^2)</f>
        <v/>
      </c>
      <c r="E149" s="31">
        <f>IF($D149="","",$D149-$B149)</f>
        <v/>
      </c>
      <c r="F149" s="31">
        <f>IF($A149="","",SUMIF(MonthlySummary!$B$2:$B$1000,$A149,MonthlySummary!$E$2:$E$1000))</f>
        <v/>
      </c>
      <c r="G149" s="31" t="n">
        <v>0</v>
      </c>
      <c r="H149" s="31">
        <f>IF($A149="","",$F149-IF($G149="",0,$G149))</f>
        <v/>
      </c>
      <c r="I149" s="31">
        <f>IF($A149="","",IFERROR(XLOOKUP($A149,SeedPlacement!$A$2:$A$1000,SeedPlacement!$N$2:$N$1000),0))</f>
        <v/>
      </c>
      <c r="J149" s="59" t="n"/>
    </row>
    <row r="150">
      <c r="A150" s="31">
        <f>IF(Members!$A150="","",Members!$A150)</f>
        <v/>
      </c>
      <c r="B150" s="31">
        <f>IF($A150="","",$I150+SUMIF(WeeklySummary!$B$2:$B$1000,$A150,WeeklySummary!$G$2:$G$1000))</f>
        <v/>
      </c>
      <c r="C150" s="31">
        <f>IF($B150="","",MIN(100,INT(SQRT($B150))))</f>
        <v/>
      </c>
      <c r="D150" s="31">
        <f>IF($C150="","",($C150+1)^2)</f>
        <v/>
      </c>
      <c r="E150" s="31">
        <f>IF($D150="","",$D150-$B150)</f>
        <v/>
      </c>
      <c r="F150" s="31">
        <f>IF($A150="","",SUMIF(MonthlySummary!$B$2:$B$1000,$A150,MonthlySummary!$E$2:$E$1000))</f>
        <v/>
      </c>
      <c r="G150" s="31" t="n">
        <v>0</v>
      </c>
      <c r="H150" s="31">
        <f>IF($A150="","",$F150-IF($G150="",0,$G150))</f>
        <v/>
      </c>
      <c r="I150" s="31">
        <f>IF($A150="","",IFERROR(XLOOKUP($A150,SeedPlacement!$A$2:$A$1000,SeedPlacement!$N$2:$N$1000),0))</f>
        <v/>
      </c>
      <c r="J150" s="59" t="n"/>
    </row>
    <row r="151">
      <c r="A151" s="31">
        <f>IF(Members!$A151="","",Members!$A151)</f>
        <v/>
      </c>
      <c r="B151" s="31">
        <f>IF($A151="","",$I151+SUMIF(WeeklySummary!$B$2:$B$1000,$A151,WeeklySummary!$G$2:$G$1000))</f>
        <v/>
      </c>
      <c r="C151" s="31">
        <f>IF($B151="","",MIN(100,INT(SQRT($B151))))</f>
        <v/>
      </c>
      <c r="D151" s="31">
        <f>IF($C151="","",($C151+1)^2)</f>
        <v/>
      </c>
      <c r="E151" s="31">
        <f>IF($D151="","",$D151-$B151)</f>
        <v/>
      </c>
      <c r="F151" s="31">
        <f>IF($A151="","",SUMIF(MonthlySummary!$B$2:$B$1000,$A151,MonthlySummary!$E$2:$E$1000))</f>
        <v/>
      </c>
      <c r="G151" s="31" t="n">
        <v>0</v>
      </c>
      <c r="H151" s="31">
        <f>IF($A151="","",$F151-IF($G151="",0,$G151))</f>
        <v/>
      </c>
      <c r="I151" s="31">
        <f>IF($A151="","",IFERROR(XLOOKUP($A151,SeedPlacement!$A$2:$A$1000,SeedPlacement!$N$2:$N$1000),0))</f>
        <v/>
      </c>
      <c r="J151" s="59" t="n"/>
    </row>
    <row r="152">
      <c r="A152" s="31">
        <f>IF(Members!$A152="","",Members!$A152)</f>
        <v/>
      </c>
      <c r="B152" s="31">
        <f>IF($A152="","",$I152+SUMIF(WeeklySummary!$B$2:$B$1000,$A152,WeeklySummary!$G$2:$G$1000))</f>
        <v/>
      </c>
      <c r="C152" s="31">
        <f>IF($B152="","",MIN(100,INT(SQRT($B152))))</f>
        <v/>
      </c>
      <c r="D152" s="31">
        <f>IF($C152="","",($C152+1)^2)</f>
        <v/>
      </c>
      <c r="E152" s="31">
        <f>IF($D152="","",$D152-$B152)</f>
        <v/>
      </c>
      <c r="F152" s="31">
        <f>IF($A152="","",SUMIF(MonthlySummary!$B$2:$B$1000,$A152,MonthlySummary!$E$2:$E$1000))</f>
        <v/>
      </c>
      <c r="G152" s="31" t="n">
        <v>0</v>
      </c>
      <c r="H152" s="31">
        <f>IF($A152="","",$F152-IF($G152="",0,$G152))</f>
        <v/>
      </c>
      <c r="I152" s="31">
        <f>IF($A152="","",IFERROR(XLOOKUP($A152,SeedPlacement!$A$2:$A$1000,SeedPlacement!$N$2:$N$1000),0))</f>
        <v/>
      </c>
      <c r="J152" s="59" t="n"/>
    </row>
    <row r="153">
      <c r="A153" s="31">
        <f>IF(Members!$A153="","",Members!$A153)</f>
        <v/>
      </c>
      <c r="B153" s="31">
        <f>IF($A153="","",$I153+SUMIF(WeeklySummary!$B$2:$B$1000,$A153,WeeklySummary!$G$2:$G$1000))</f>
        <v/>
      </c>
      <c r="C153" s="31">
        <f>IF($B153="","",MIN(100,INT(SQRT($B153))))</f>
        <v/>
      </c>
      <c r="D153" s="31">
        <f>IF($C153="","",($C153+1)^2)</f>
        <v/>
      </c>
      <c r="E153" s="31">
        <f>IF($D153="","",$D153-$B153)</f>
        <v/>
      </c>
      <c r="F153" s="31">
        <f>IF($A153="","",SUMIF(MonthlySummary!$B$2:$B$1000,$A153,MonthlySummary!$E$2:$E$1000))</f>
        <v/>
      </c>
      <c r="G153" s="31" t="n">
        <v>0</v>
      </c>
      <c r="H153" s="31">
        <f>IF($A153="","",$F153-IF($G153="",0,$G153))</f>
        <v/>
      </c>
      <c r="I153" s="31">
        <f>IF($A153="","",IFERROR(XLOOKUP($A153,SeedPlacement!$A$2:$A$1000,SeedPlacement!$N$2:$N$1000),0))</f>
        <v/>
      </c>
      <c r="J153" s="59" t="n"/>
    </row>
    <row r="154">
      <c r="A154" s="31">
        <f>IF(Members!$A154="","",Members!$A154)</f>
        <v/>
      </c>
      <c r="B154" s="31">
        <f>IF($A154="","",$I154+SUMIF(WeeklySummary!$B$2:$B$1000,$A154,WeeklySummary!$G$2:$G$1000))</f>
        <v/>
      </c>
      <c r="C154" s="31">
        <f>IF($B154="","",MIN(100,INT(SQRT($B154))))</f>
        <v/>
      </c>
      <c r="D154" s="31">
        <f>IF($C154="","",($C154+1)^2)</f>
        <v/>
      </c>
      <c r="E154" s="31">
        <f>IF($D154="","",$D154-$B154)</f>
        <v/>
      </c>
      <c r="F154" s="31">
        <f>IF($A154="","",SUMIF(MonthlySummary!$B$2:$B$1000,$A154,MonthlySummary!$E$2:$E$1000))</f>
        <v/>
      </c>
      <c r="G154" s="31" t="n">
        <v>0</v>
      </c>
      <c r="H154" s="31">
        <f>IF($A154="","",$F154-IF($G154="",0,$G154))</f>
        <v/>
      </c>
      <c r="I154" s="31">
        <f>IF($A154="","",IFERROR(XLOOKUP($A154,SeedPlacement!$A$2:$A$1000,SeedPlacement!$N$2:$N$1000),0))</f>
        <v/>
      </c>
      <c r="J154" s="59" t="n"/>
    </row>
    <row r="155">
      <c r="A155" s="31">
        <f>IF(Members!$A155="","",Members!$A155)</f>
        <v/>
      </c>
      <c r="B155" s="31">
        <f>IF($A155="","",$I155+SUMIF(WeeklySummary!$B$2:$B$1000,$A155,WeeklySummary!$G$2:$G$1000))</f>
        <v/>
      </c>
      <c r="C155" s="31">
        <f>IF($B155="","",MIN(100,INT(SQRT($B155))))</f>
        <v/>
      </c>
      <c r="D155" s="31">
        <f>IF($C155="","",($C155+1)^2)</f>
        <v/>
      </c>
      <c r="E155" s="31">
        <f>IF($D155="","",$D155-$B155)</f>
        <v/>
      </c>
      <c r="F155" s="31">
        <f>IF($A155="","",SUMIF(MonthlySummary!$B$2:$B$1000,$A155,MonthlySummary!$E$2:$E$1000))</f>
        <v/>
      </c>
      <c r="G155" s="31" t="n">
        <v>0</v>
      </c>
      <c r="H155" s="31">
        <f>IF($A155="","",$F155-IF($G155="",0,$G155))</f>
        <v/>
      </c>
      <c r="I155" s="31">
        <f>IF($A155="","",IFERROR(XLOOKUP($A155,SeedPlacement!$A$2:$A$1000,SeedPlacement!$N$2:$N$1000),0))</f>
        <v/>
      </c>
      <c r="J155" s="59" t="n"/>
    </row>
    <row r="156">
      <c r="A156" s="31">
        <f>IF(Members!$A156="","",Members!$A156)</f>
        <v/>
      </c>
      <c r="B156" s="31">
        <f>IF($A156="","",$I156+SUMIF(WeeklySummary!$B$2:$B$1000,$A156,WeeklySummary!$G$2:$G$1000))</f>
        <v/>
      </c>
      <c r="C156" s="31">
        <f>IF($B156="","",MIN(100,INT(SQRT($B156))))</f>
        <v/>
      </c>
      <c r="D156" s="31">
        <f>IF($C156="","",($C156+1)^2)</f>
        <v/>
      </c>
      <c r="E156" s="31">
        <f>IF($D156="","",$D156-$B156)</f>
        <v/>
      </c>
      <c r="F156" s="31">
        <f>IF($A156="","",SUMIF(MonthlySummary!$B$2:$B$1000,$A156,MonthlySummary!$E$2:$E$1000))</f>
        <v/>
      </c>
      <c r="G156" s="31" t="n">
        <v>0</v>
      </c>
      <c r="H156" s="31">
        <f>IF($A156="","",$F156-IF($G156="",0,$G156))</f>
        <v/>
      </c>
      <c r="I156" s="31">
        <f>IF($A156="","",IFERROR(XLOOKUP($A156,SeedPlacement!$A$2:$A$1000,SeedPlacement!$N$2:$N$1000),0))</f>
        <v/>
      </c>
      <c r="J156" s="59" t="n"/>
    </row>
    <row r="157">
      <c r="A157" s="31">
        <f>IF(Members!$A157="","",Members!$A157)</f>
        <v/>
      </c>
      <c r="B157" s="31">
        <f>IF($A157="","",$I157+SUMIF(WeeklySummary!$B$2:$B$1000,$A157,WeeklySummary!$G$2:$G$1000))</f>
        <v/>
      </c>
      <c r="C157" s="31">
        <f>IF($B157="","",MIN(100,INT(SQRT($B157))))</f>
        <v/>
      </c>
      <c r="D157" s="31">
        <f>IF($C157="","",($C157+1)^2)</f>
        <v/>
      </c>
      <c r="E157" s="31">
        <f>IF($D157="","",$D157-$B157)</f>
        <v/>
      </c>
      <c r="F157" s="31">
        <f>IF($A157="","",SUMIF(MonthlySummary!$B$2:$B$1000,$A157,MonthlySummary!$E$2:$E$1000))</f>
        <v/>
      </c>
      <c r="G157" s="31" t="n">
        <v>0</v>
      </c>
      <c r="H157" s="31">
        <f>IF($A157="","",$F157-IF($G157="",0,$G157))</f>
        <v/>
      </c>
      <c r="I157" s="31">
        <f>IF($A157="","",IFERROR(XLOOKUP($A157,SeedPlacement!$A$2:$A$1000,SeedPlacement!$N$2:$N$1000),0))</f>
        <v/>
      </c>
      <c r="J157" s="59" t="n"/>
    </row>
    <row r="158">
      <c r="A158" s="31">
        <f>IF(Members!$A158="","",Members!$A158)</f>
        <v/>
      </c>
      <c r="B158" s="31">
        <f>IF($A158="","",$I158+SUMIF(WeeklySummary!$B$2:$B$1000,$A158,WeeklySummary!$G$2:$G$1000))</f>
        <v/>
      </c>
      <c r="C158" s="31">
        <f>IF($B158="","",MIN(100,INT(SQRT($B158))))</f>
        <v/>
      </c>
      <c r="D158" s="31">
        <f>IF($C158="","",($C158+1)^2)</f>
        <v/>
      </c>
      <c r="E158" s="31">
        <f>IF($D158="","",$D158-$B158)</f>
        <v/>
      </c>
      <c r="F158" s="31">
        <f>IF($A158="","",SUMIF(MonthlySummary!$B$2:$B$1000,$A158,MonthlySummary!$E$2:$E$1000))</f>
        <v/>
      </c>
      <c r="G158" s="31" t="n">
        <v>0</v>
      </c>
      <c r="H158" s="31">
        <f>IF($A158="","",$F158-IF($G158="",0,$G158))</f>
        <v/>
      </c>
      <c r="I158" s="31">
        <f>IF($A158="","",IFERROR(XLOOKUP($A158,SeedPlacement!$A$2:$A$1000,SeedPlacement!$N$2:$N$1000),0))</f>
        <v/>
      </c>
      <c r="J158" s="59" t="n"/>
    </row>
    <row r="159">
      <c r="A159" s="31">
        <f>IF(Members!$A159="","",Members!$A159)</f>
        <v/>
      </c>
      <c r="B159" s="31">
        <f>IF($A159="","",$I159+SUMIF(WeeklySummary!$B$2:$B$1000,$A159,WeeklySummary!$G$2:$G$1000))</f>
        <v/>
      </c>
      <c r="C159" s="31">
        <f>IF($B159="","",MIN(100,INT(SQRT($B159))))</f>
        <v/>
      </c>
      <c r="D159" s="31">
        <f>IF($C159="","",($C159+1)^2)</f>
        <v/>
      </c>
      <c r="E159" s="31">
        <f>IF($D159="","",$D159-$B159)</f>
        <v/>
      </c>
      <c r="F159" s="31">
        <f>IF($A159="","",SUMIF(MonthlySummary!$B$2:$B$1000,$A159,MonthlySummary!$E$2:$E$1000))</f>
        <v/>
      </c>
      <c r="G159" s="31" t="n">
        <v>0</v>
      </c>
      <c r="H159" s="31">
        <f>IF($A159="","",$F159-IF($G159="",0,$G159))</f>
        <v/>
      </c>
      <c r="I159" s="31">
        <f>IF($A159="","",IFERROR(XLOOKUP($A159,SeedPlacement!$A$2:$A$1000,SeedPlacement!$N$2:$N$1000),0))</f>
        <v/>
      </c>
      <c r="J159" s="59" t="n"/>
    </row>
    <row r="160">
      <c r="A160" s="31">
        <f>IF(Members!$A160="","",Members!$A160)</f>
        <v/>
      </c>
      <c r="B160" s="31">
        <f>IF($A160="","",$I160+SUMIF(WeeklySummary!$B$2:$B$1000,$A160,WeeklySummary!$G$2:$G$1000))</f>
        <v/>
      </c>
      <c r="C160" s="31">
        <f>IF($B160="","",MIN(100,INT(SQRT($B160))))</f>
        <v/>
      </c>
      <c r="D160" s="31">
        <f>IF($C160="","",($C160+1)^2)</f>
        <v/>
      </c>
      <c r="E160" s="31">
        <f>IF($D160="","",$D160-$B160)</f>
        <v/>
      </c>
      <c r="F160" s="31">
        <f>IF($A160="","",SUMIF(MonthlySummary!$B$2:$B$1000,$A160,MonthlySummary!$E$2:$E$1000))</f>
        <v/>
      </c>
      <c r="G160" s="31" t="n">
        <v>0</v>
      </c>
      <c r="H160" s="31">
        <f>IF($A160="","",$F160-IF($G160="",0,$G160))</f>
        <v/>
      </c>
      <c r="I160" s="31">
        <f>IF($A160="","",IFERROR(XLOOKUP($A160,SeedPlacement!$A$2:$A$1000,SeedPlacement!$N$2:$N$1000),0))</f>
        <v/>
      </c>
      <c r="J160" s="59" t="n"/>
    </row>
    <row r="161">
      <c r="A161" s="31">
        <f>IF(Members!$A161="","",Members!$A161)</f>
        <v/>
      </c>
      <c r="B161" s="31">
        <f>IF($A161="","",$I161+SUMIF(WeeklySummary!$B$2:$B$1000,$A161,WeeklySummary!$G$2:$G$1000))</f>
        <v/>
      </c>
      <c r="C161" s="31">
        <f>IF($B161="","",MIN(100,INT(SQRT($B161))))</f>
        <v/>
      </c>
      <c r="D161" s="31">
        <f>IF($C161="","",($C161+1)^2)</f>
        <v/>
      </c>
      <c r="E161" s="31">
        <f>IF($D161="","",$D161-$B161)</f>
        <v/>
      </c>
      <c r="F161" s="31">
        <f>IF($A161="","",SUMIF(MonthlySummary!$B$2:$B$1000,$A161,MonthlySummary!$E$2:$E$1000))</f>
        <v/>
      </c>
      <c r="G161" s="31" t="n">
        <v>0</v>
      </c>
      <c r="H161" s="31">
        <f>IF($A161="","",$F161-IF($G161="",0,$G161))</f>
        <v/>
      </c>
      <c r="I161" s="31">
        <f>IF($A161="","",IFERROR(XLOOKUP($A161,SeedPlacement!$A$2:$A$1000,SeedPlacement!$N$2:$N$1000),0))</f>
        <v/>
      </c>
      <c r="J161" s="59" t="n"/>
    </row>
    <row r="162">
      <c r="A162" s="31">
        <f>IF(Members!$A162="","",Members!$A162)</f>
        <v/>
      </c>
      <c r="B162" s="31">
        <f>IF($A162="","",$I162+SUMIF(WeeklySummary!$B$2:$B$1000,$A162,WeeklySummary!$G$2:$G$1000))</f>
        <v/>
      </c>
      <c r="C162" s="31">
        <f>IF($B162="","",MIN(100,INT(SQRT($B162))))</f>
        <v/>
      </c>
      <c r="D162" s="31">
        <f>IF($C162="","",($C162+1)^2)</f>
        <v/>
      </c>
      <c r="E162" s="31">
        <f>IF($D162="","",$D162-$B162)</f>
        <v/>
      </c>
      <c r="F162" s="31">
        <f>IF($A162="","",SUMIF(MonthlySummary!$B$2:$B$1000,$A162,MonthlySummary!$E$2:$E$1000))</f>
        <v/>
      </c>
      <c r="G162" s="31" t="n">
        <v>0</v>
      </c>
      <c r="H162" s="31">
        <f>IF($A162="","",$F162-IF($G162="",0,$G162))</f>
        <v/>
      </c>
      <c r="I162" s="31">
        <f>IF($A162="","",IFERROR(XLOOKUP($A162,SeedPlacement!$A$2:$A$1000,SeedPlacement!$N$2:$N$1000),0))</f>
        <v/>
      </c>
      <c r="J162" s="59" t="n"/>
    </row>
    <row r="163">
      <c r="A163" s="31">
        <f>IF(Members!$A163="","",Members!$A163)</f>
        <v/>
      </c>
      <c r="B163" s="31">
        <f>IF($A163="","",$I163+SUMIF(WeeklySummary!$B$2:$B$1000,$A163,WeeklySummary!$G$2:$G$1000))</f>
        <v/>
      </c>
      <c r="C163" s="31">
        <f>IF($B163="","",MIN(100,INT(SQRT($B163))))</f>
        <v/>
      </c>
      <c r="D163" s="31">
        <f>IF($C163="","",($C163+1)^2)</f>
        <v/>
      </c>
      <c r="E163" s="31">
        <f>IF($D163="","",$D163-$B163)</f>
        <v/>
      </c>
      <c r="F163" s="31">
        <f>IF($A163="","",SUMIF(MonthlySummary!$B$2:$B$1000,$A163,MonthlySummary!$E$2:$E$1000))</f>
        <v/>
      </c>
      <c r="G163" s="31" t="n">
        <v>0</v>
      </c>
      <c r="H163" s="31">
        <f>IF($A163="","",$F163-IF($G163="",0,$G163))</f>
        <v/>
      </c>
      <c r="I163" s="31">
        <f>IF($A163="","",IFERROR(XLOOKUP($A163,SeedPlacement!$A$2:$A$1000,SeedPlacement!$N$2:$N$1000),0))</f>
        <v/>
      </c>
      <c r="J163" s="59" t="n"/>
    </row>
    <row r="164">
      <c r="A164" s="31">
        <f>IF(Members!$A164="","",Members!$A164)</f>
        <v/>
      </c>
      <c r="B164" s="31">
        <f>IF($A164="","",$I164+SUMIF(WeeklySummary!$B$2:$B$1000,$A164,WeeklySummary!$G$2:$G$1000))</f>
        <v/>
      </c>
      <c r="C164" s="31">
        <f>IF($B164="","",MIN(100,INT(SQRT($B164))))</f>
        <v/>
      </c>
      <c r="D164" s="31">
        <f>IF($C164="","",($C164+1)^2)</f>
        <v/>
      </c>
      <c r="E164" s="31">
        <f>IF($D164="","",$D164-$B164)</f>
        <v/>
      </c>
      <c r="F164" s="31">
        <f>IF($A164="","",SUMIF(MonthlySummary!$B$2:$B$1000,$A164,MonthlySummary!$E$2:$E$1000))</f>
        <v/>
      </c>
      <c r="G164" s="31" t="n">
        <v>0</v>
      </c>
      <c r="H164" s="31">
        <f>IF($A164="","",$F164-IF($G164="",0,$G164))</f>
        <v/>
      </c>
      <c r="I164" s="31">
        <f>IF($A164="","",IFERROR(XLOOKUP($A164,SeedPlacement!$A$2:$A$1000,SeedPlacement!$N$2:$N$1000),0))</f>
        <v/>
      </c>
      <c r="J164" s="59" t="n"/>
    </row>
    <row r="165">
      <c r="A165" s="31">
        <f>IF(Members!$A165="","",Members!$A165)</f>
        <v/>
      </c>
      <c r="B165" s="31">
        <f>IF($A165="","",$I165+SUMIF(WeeklySummary!$B$2:$B$1000,$A165,WeeklySummary!$G$2:$G$1000))</f>
        <v/>
      </c>
      <c r="C165" s="31">
        <f>IF($B165="","",MIN(100,INT(SQRT($B165))))</f>
        <v/>
      </c>
      <c r="D165" s="31">
        <f>IF($C165="","",($C165+1)^2)</f>
        <v/>
      </c>
      <c r="E165" s="31">
        <f>IF($D165="","",$D165-$B165)</f>
        <v/>
      </c>
      <c r="F165" s="31">
        <f>IF($A165="","",SUMIF(MonthlySummary!$B$2:$B$1000,$A165,MonthlySummary!$E$2:$E$1000))</f>
        <v/>
      </c>
      <c r="G165" s="31" t="n">
        <v>0</v>
      </c>
      <c r="H165" s="31">
        <f>IF($A165="","",$F165-IF($G165="",0,$G165))</f>
        <v/>
      </c>
      <c r="I165" s="31">
        <f>IF($A165="","",IFERROR(XLOOKUP($A165,SeedPlacement!$A$2:$A$1000,SeedPlacement!$N$2:$N$1000),0))</f>
        <v/>
      </c>
      <c r="J165" s="59" t="n"/>
    </row>
    <row r="166">
      <c r="A166" s="31">
        <f>IF(Members!$A166="","",Members!$A166)</f>
        <v/>
      </c>
      <c r="B166" s="31">
        <f>IF($A166="","",$I166+SUMIF(WeeklySummary!$B$2:$B$1000,$A166,WeeklySummary!$G$2:$G$1000))</f>
        <v/>
      </c>
      <c r="C166" s="31">
        <f>IF($B166="","",MIN(100,INT(SQRT($B166))))</f>
        <v/>
      </c>
      <c r="D166" s="31">
        <f>IF($C166="","",($C166+1)^2)</f>
        <v/>
      </c>
      <c r="E166" s="31">
        <f>IF($D166="","",$D166-$B166)</f>
        <v/>
      </c>
      <c r="F166" s="31">
        <f>IF($A166="","",SUMIF(MonthlySummary!$B$2:$B$1000,$A166,MonthlySummary!$E$2:$E$1000))</f>
        <v/>
      </c>
      <c r="G166" s="31" t="n">
        <v>0</v>
      </c>
      <c r="H166" s="31">
        <f>IF($A166="","",$F166-IF($G166="",0,$G166))</f>
        <v/>
      </c>
      <c r="I166" s="31">
        <f>IF($A166="","",IFERROR(XLOOKUP($A166,SeedPlacement!$A$2:$A$1000,SeedPlacement!$N$2:$N$1000),0))</f>
        <v/>
      </c>
      <c r="J166" s="59" t="n"/>
    </row>
    <row r="167">
      <c r="A167" s="31">
        <f>IF(Members!$A167="","",Members!$A167)</f>
        <v/>
      </c>
      <c r="B167" s="31">
        <f>IF($A167="","",$I167+SUMIF(WeeklySummary!$B$2:$B$1000,$A167,WeeklySummary!$G$2:$G$1000))</f>
        <v/>
      </c>
      <c r="C167" s="31">
        <f>IF($B167="","",MIN(100,INT(SQRT($B167))))</f>
        <v/>
      </c>
      <c r="D167" s="31">
        <f>IF($C167="","",($C167+1)^2)</f>
        <v/>
      </c>
      <c r="E167" s="31">
        <f>IF($D167="","",$D167-$B167)</f>
        <v/>
      </c>
      <c r="F167" s="31">
        <f>IF($A167="","",SUMIF(MonthlySummary!$B$2:$B$1000,$A167,MonthlySummary!$E$2:$E$1000))</f>
        <v/>
      </c>
      <c r="G167" s="31" t="n">
        <v>0</v>
      </c>
      <c r="H167" s="31">
        <f>IF($A167="","",$F167-IF($G167="",0,$G167))</f>
        <v/>
      </c>
      <c r="I167" s="31">
        <f>IF($A167="","",IFERROR(XLOOKUP($A167,SeedPlacement!$A$2:$A$1000,SeedPlacement!$N$2:$N$1000),0))</f>
        <v/>
      </c>
      <c r="J167" s="59" t="n"/>
    </row>
    <row r="168">
      <c r="A168" s="31">
        <f>IF(Members!$A168="","",Members!$A168)</f>
        <v/>
      </c>
      <c r="B168" s="31">
        <f>IF($A168="","",$I168+SUMIF(WeeklySummary!$B$2:$B$1000,$A168,WeeklySummary!$G$2:$G$1000))</f>
        <v/>
      </c>
      <c r="C168" s="31">
        <f>IF($B168="","",MIN(100,INT(SQRT($B168))))</f>
        <v/>
      </c>
      <c r="D168" s="31">
        <f>IF($C168="","",($C168+1)^2)</f>
        <v/>
      </c>
      <c r="E168" s="31">
        <f>IF($D168="","",$D168-$B168)</f>
        <v/>
      </c>
      <c r="F168" s="31">
        <f>IF($A168="","",SUMIF(MonthlySummary!$B$2:$B$1000,$A168,MonthlySummary!$E$2:$E$1000))</f>
        <v/>
      </c>
      <c r="G168" s="31" t="n">
        <v>0</v>
      </c>
      <c r="H168" s="31">
        <f>IF($A168="","",$F168-IF($G168="",0,$G168))</f>
        <v/>
      </c>
      <c r="I168" s="31">
        <f>IF($A168="","",IFERROR(XLOOKUP($A168,SeedPlacement!$A$2:$A$1000,SeedPlacement!$N$2:$N$1000),0))</f>
        <v/>
      </c>
      <c r="J168" s="59" t="n"/>
    </row>
    <row r="169">
      <c r="A169" s="31">
        <f>IF(Members!$A169="","",Members!$A169)</f>
        <v/>
      </c>
      <c r="B169" s="31">
        <f>IF($A169="","",$I169+SUMIF(WeeklySummary!$B$2:$B$1000,$A169,WeeklySummary!$G$2:$G$1000))</f>
        <v/>
      </c>
      <c r="C169" s="31">
        <f>IF($B169="","",MIN(100,INT(SQRT($B169))))</f>
        <v/>
      </c>
      <c r="D169" s="31">
        <f>IF($C169="","",($C169+1)^2)</f>
        <v/>
      </c>
      <c r="E169" s="31">
        <f>IF($D169="","",$D169-$B169)</f>
        <v/>
      </c>
      <c r="F169" s="31">
        <f>IF($A169="","",SUMIF(MonthlySummary!$B$2:$B$1000,$A169,MonthlySummary!$E$2:$E$1000))</f>
        <v/>
      </c>
      <c r="G169" s="31" t="n">
        <v>0</v>
      </c>
      <c r="H169" s="31">
        <f>IF($A169="","",$F169-IF($G169="",0,$G169))</f>
        <v/>
      </c>
      <c r="I169" s="31">
        <f>IF($A169="","",IFERROR(XLOOKUP($A169,SeedPlacement!$A$2:$A$1000,SeedPlacement!$N$2:$N$1000),0))</f>
        <v/>
      </c>
      <c r="J169" s="59" t="n"/>
    </row>
    <row r="170">
      <c r="A170" s="31">
        <f>IF(Members!$A170="","",Members!$A170)</f>
        <v/>
      </c>
      <c r="B170" s="31">
        <f>IF($A170="","",$I170+SUMIF(WeeklySummary!$B$2:$B$1000,$A170,WeeklySummary!$G$2:$G$1000))</f>
        <v/>
      </c>
      <c r="C170" s="31">
        <f>IF($B170="","",MIN(100,INT(SQRT($B170))))</f>
        <v/>
      </c>
      <c r="D170" s="31">
        <f>IF($C170="","",($C170+1)^2)</f>
        <v/>
      </c>
      <c r="E170" s="31">
        <f>IF($D170="","",$D170-$B170)</f>
        <v/>
      </c>
      <c r="F170" s="31">
        <f>IF($A170="","",SUMIF(MonthlySummary!$B$2:$B$1000,$A170,MonthlySummary!$E$2:$E$1000))</f>
        <v/>
      </c>
      <c r="G170" s="31" t="n">
        <v>0</v>
      </c>
      <c r="H170" s="31">
        <f>IF($A170="","",$F170-IF($G170="",0,$G170))</f>
        <v/>
      </c>
      <c r="I170" s="31">
        <f>IF($A170="","",IFERROR(XLOOKUP($A170,SeedPlacement!$A$2:$A$1000,SeedPlacement!$N$2:$N$1000),0))</f>
        <v/>
      </c>
      <c r="J170" s="59" t="n"/>
    </row>
    <row r="171">
      <c r="A171" s="31">
        <f>IF(Members!$A171="","",Members!$A171)</f>
        <v/>
      </c>
      <c r="B171" s="31">
        <f>IF($A171="","",$I171+SUMIF(WeeklySummary!$B$2:$B$1000,$A171,WeeklySummary!$G$2:$G$1000))</f>
        <v/>
      </c>
      <c r="C171" s="31">
        <f>IF($B171="","",MIN(100,INT(SQRT($B171))))</f>
        <v/>
      </c>
      <c r="D171" s="31">
        <f>IF($C171="","",($C171+1)^2)</f>
        <v/>
      </c>
      <c r="E171" s="31">
        <f>IF($D171="","",$D171-$B171)</f>
        <v/>
      </c>
      <c r="F171" s="31">
        <f>IF($A171="","",SUMIF(MonthlySummary!$B$2:$B$1000,$A171,MonthlySummary!$E$2:$E$1000))</f>
        <v/>
      </c>
      <c r="G171" s="31" t="n">
        <v>0</v>
      </c>
      <c r="H171" s="31">
        <f>IF($A171="","",$F171-IF($G171="",0,$G171))</f>
        <v/>
      </c>
      <c r="I171" s="31">
        <f>IF($A171="","",IFERROR(XLOOKUP($A171,SeedPlacement!$A$2:$A$1000,SeedPlacement!$N$2:$N$1000),0))</f>
        <v/>
      </c>
      <c r="J171" s="59" t="n"/>
    </row>
    <row r="172">
      <c r="A172" s="31">
        <f>IF(Members!$A172="","",Members!$A172)</f>
        <v/>
      </c>
      <c r="B172" s="31">
        <f>IF($A172="","",$I172+SUMIF(WeeklySummary!$B$2:$B$1000,$A172,WeeklySummary!$G$2:$G$1000))</f>
        <v/>
      </c>
      <c r="C172" s="31">
        <f>IF($B172="","",MIN(100,INT(SQRT($B172))))</f>
        <v/>
      </c>
      <c r="D172" s="31">
        <f>IF($C172="","",($C172+1)^2)</f>
        <v/>
      </c>
      <c r="E172" s="31">
        <f>IF($D172="","",$D172-$B172)</f>
        <v/>
      </c>
      <c r="F172" s="31">
        <f>IF($A172="","",SUMIF(MonthlySummary!$B$2:$B$1000,$A172,MonthlySummary!$E$2:$E$1000))</f>
        <v/>
      </c>
      <c r="G172" s="31" t="n">
        <v>0</v>
      </c>
      <c r="H172" s="31">
        <f>IF($A172="","",$F172-IF($G172="",0,$G172))</f>
        <v/>
      </c>
      <c r="I172" s="31">
        <f>IF($A172="","",IFERROR(XLOOKUP($A172,SeedPlacement!$A$2:$A$1000,SeedPlacement!$N$2:$N$1000),0))</f>
        <v/>
      </c>
      <c r="J172" s="59" t="n"/>
    </row>
    <row r="173">
      <c r="A173" s="31">
        <f>IF(Members!$A173="","",Members!$A173)</f>
        <v/>
      </c>
      <c r="B173" s="31">
        <f>IF($A173="","",$I173+SUMIF(WeeklySummary!$B$2:$B$1000,$A173,WeeklySummary!$G$2:$G$1000))</f>
        <v/>
      </c>
      <c r="C173" s="31">
        <f>IF($B173="","",MIN(100,INT(SQRT($B173))))</f>
        <v/>
      </c>
      <c r="D173" s="31">
        <f>IF($C173="","",($C173+1)^2)</f>
        <v/>
      </c>
      <c r="E173" s="31">
        <f>IF($D173="","",$D173-$B173)</f>
        <v/>
      </c>
      <c r="F173" s="31">
        <f>IF($A173="","",SUMIF(MonthlySummary!$B$2:$B$1000,$A173,MonthlySummary!$E$2:$E$1000))</f>
        <v/>
      </c>
      <c r="G173" s="31" t="n">
        <v>0</v>
      </c>
      <c r="H173" s="31">
        <f>IF($A173="","",$F173-IF($G173="",0,$G173))</f>
        <v/>
      </c>
      <c r="I173" s="31">
        <f>IF($A173="","",IFERROR(XLOOKUP($A173,SeedPlacement!$A$2:$A$1000,SeedPlacement!$N$2:$N$1000),0))</f>
        <v/>
      </c>
      <c r="J173" s="59" t="n"/>
    </row>
    <row r="174">
      <c r="A174" s="31">
        <f>IF(Members!$A174="","",Members!$A174)</f>
        <v/>
      </c>
      <c r="B174" s="31">
        <f>IF($A174="","",$I174+SUMIF(WeeklySummary!$B$2:$B$1000,$A174,WeeklySummary!$G$2:$G$1000))</f>
        <v/>
      </c>
      <c r="C174" s="31">
        <f>IF($B174="","",MIN(100,INT(SQRT($B174))))</f>
        <v/>
      </c>
      <c r="D174" s="31">
        <f>IF($C174="","",($C174+1)^2)</f>
        <v/>
      </c>
      <c r="E174" s="31">
        <f>IF($D174="","",$D174-$B174)</f>
        <v/>
      </c>
      <c r="F174" s="31">
        <f>IF($A174="","",SUMIF(MonthlySummary!$B$2:$B$1000,$A174,MonthlySummary!$E$2:$E$1000))</f>
        <v/>
      </c>
      <c r="G174" s="31" t="n">
        <v>0</v>
      </c>
      <c r="H174" s="31">
        <f>IF($A174="","",$F174-IF($G174="",0,$G174))</f>
        <v/>
      </c>
      <c r="I174" s="31">
        <f>IF($A174="","",IFERROR(XLOOKUP($A174,SeedPlacement!$A$2:$A$1000,SeedPlacement!$N$2:$N$1000),0))</f>
        <v/>
      </c>
      <c r="J174" s="59" t="n"/>
    </row>
    <row r="175">
      <c r="A175" s="31">
        <f>IF(Members!$A175="","",Members!$A175)</f>
        <v/>
      </c>
      <c r="B175" s="31">
        <f>IF($A175="","",$I175+SUMIF(WeeklySummary!$B$2:$B$1000,$A175,WeeklySummary!$G$2:$G$1000))</f>
        <v/>
      </c>
      <c r="C175" s="31">
        <f>IF($B175="","",MIN(100,INT(SQRT($B175))))</f>
        <v/>
      </c>
      <c r="D175" s="31">
        <f>IF($C175="","",($C175+1)^2)</f>
        <v/>
      </c>
      <c r="E175" s="31">
        <f>IF($D175="","",$D175-$B175)</f>
        <v/>
      </c>
      <c r="F175" s="31">
        <f>IF($A175="","",SUMIF(MonthlySummary!$B$2:$B$1000,$A175,MonthlySummary!$E$2:$E$1000))</f>
        <v/>
      </c>
      <c r="G175" s="31" t="n">
        <v>0</v>
      </c>
      <c r="H175" s="31">
        <f>IF($A175="","",$F175-IF($G175="",0,$G175))</f>
        <v/>
      </c>
      <c r="I175" s="31">
        <f>IF($A175="","",IFERROR(XLOOKUP($A175,SeedPlacement!$A$2:$A$1000,SeedPlacement!$N$2:$N$1000),0))</f>
        <v/>
      </c>
      <c r="J175" s="59" t="n"/>
    </row>
    <row r="176">
      <c r="A176" s="31">
        <f>IF(Members!$A176="","",Members!$A176)</f>
        <v/>
      </c>
      <c r="B176" s="31">
        <f>IF($A176="","",$I176+SUMIF(WeeklySummary!$B$2:$B$1000,$A176,WeeklySummary!$G$2:$G$1000))</f>
        <v/>
      </c>
      <c r="C176" s="31">
        <f>IF($B176="","",MIN(100,INT(SQRT($B176))))</f>
        <v/>
      </c>
      <c r="D176" s="31">
        <f>IF($C176="","",($C176+1)^2)</f>
        <v/>
      </c>
      <c r="E176" s="31">
        <f>IF($D176="","",$D176-$B176)</f>
        <v/>
      </c>
      <c r="F176" s="31">
        <f>IF($A176="","",SUMIF(MonthlySummary!$B$2:$B$1000,$A176,MonthlySummary!$E$2:$E$1000))</f>
        <v/>
      </c>
      <c r="G176" s="31" t="n">
        <v>0</v>
      </c>
      <c r="H176" s="31">
        <f>IF($A176="","",$F176-IF($G176="",0,$G176))</f>
        <v/>
      </c>
      <c r="I176" s="31">
        <f>IF($A176="","",IFERROR(XLOOKUP($A176,SeedPlacement!$A$2:$A$1000,SeedPlacement!$N$2:$N$1000),0))</f>
        <v/>
      </c>
      <c r="J176" s="59" t="n"/>
    </row>
    <row r="177">
      <c r="A177" s="31">
        <f>IF(Members!$A177="","",Members!$A177)</f>
        <v/>
      </c>
      <c r="B177" s="31">
        <f>IF($A177="","",$I177+SUMIF(WeeklySummary!$B$2:$B$1000,$A177,WeeklySummary!$G$2:$G$1000))</f>
        <v/>
      </c>
      <c r="C177" s="31">
        <f>IF($B177="","",MIN(100,INT(SQRT($B177))))</f>
        <v/>
      </c>
      <c r="D177" s="31">
        <f>IF($C177="","",($C177+1)^2)</f>
        <v/>
      </c>
      <c r="E177" s="31">
        <f>IF($D177="","",$D177-$B177)</f>
        <v/>
      </c>
      <c r="F177" s="31">
        <f>IF($A177="","",SUMIF(MonthlySummary!$B$2:$B$1000,$A177,MonthlySummary!$E$2:$E$1000))</f>
        <v/>
      </c>
      <c r="G177" s="31" t="n">
        <v>0</v>
      </c>
      <c r="H177" s="31">
        <f>IF($A177="","",$F177-IF($G177="",0,$G177))</f>
        <v/>
      </c>
      <c r="I177" s="31">
        <f>IF($A177="","",IFERROR(XLOOKUP($A177,SeedPlacement!$A$2:$A$1000,SeedPlacement!$N$2:$N$1000),0))</f>
        <v/>
      </c>
      <c r="J177" s="59" t="n"/>
    </row>
    <row r="178">
      <c r="A178" s="31">
        <f>IF(Members!$A178="","",Members!$A178)</f>
        <v/>
      </c>
      <c r="B178" s="31">
        <f>IF($A178="","",$I178+SUMIF(WeeklySummary!$B$2:$B$1000,$A178,WeeklySummary!$G$2:$G$1000))</f>
        <v/>
      </c>
      <c r="C178" s="31">
        <f>IF($B178="","",MIN(100,INT(SQRT($B178))))</f>
        <v/>
      </c>
      <c r="D178" s="31">
        <f>IF($C178="","",($C178+1)^2)</f>
        <v/>
      </c>
      <c r="E178" s="31">
        <f>IF($D178="","",$D178-$B178)</f>
        <v/>
      </c>
      <c r="F178" s="31">
        <f>IF($A178="","",SUMIF(MonthlySummary!$B$2:$B$1000,$A178,MonthlySummary!$E$2:$E$1000))</f>
        <v/>
      </c>
      <c r="G178" s="31" t="n">
        <v>0</v>
      </c>
      <c r="H178" s="31">
        <f>IF($A178="","",$F178-IF($G178="",0,$G178))</f>
        <v/>
      </c>
      <c r="I178" s="31">
        <f>IF($A178="","",IFERROR(XLOOKUP($A178,SeedPlacement!$A$2:$A$1000,SeedPlacement!$N$2:$N$1000),0))</f>
        <v/>
      </c>
      <c r="J178" s="59" t="n"/>
    </row>
    <row r="179">
      <c r="A179" s="31">
        <f>IF(Members!$A179="","",Members!$A179)</f>
        <v/>
      </c>
      <c r="B179" s="31">
        <f>IF($A179="","",$I179+SUMIF(WeeklySummary!$B$2:$B$1000,$A179,WeeklySummary!$G$2:$G$1000))</f>
        <v/>
      </c>
      <c r="C179" s="31">
        <f>IF($B179="","",MIN(100,INT(SQRT($B179))))</f>
        <v/>
      </c>
      <c r="D179" s="31">
        <f>IF($C179="","",($C179+1)^2)</f>
        <v/>
      </c>
      <c r="E179" s="31">
        <f>IF($D179="","",$D179-$B179)</f>
        <v/>
      </c>
      <c r="F179" s="31">
        <f>IF($A179="","",SUMIF(MonthlySummary!$B$2:$B$1000,$A179,MonthlySummary!$E$2:$E$1000))</f>
        <v/>
      </c>
      <c r="G179" s="31" t="n">
        <v>0</v>
      </c>
      <c r="H179" s="31">
        <f>IF($A179="","",$F179-IF($G179="",0,$G179))</f>
        <v/>
      </c>
      <c r="I179" s="31">
        <f>IF($A179="","",IFERROR(XLOOKUP($A179,SeedPlacement!$A$2:$A$1000,SeedPlacement!$N$2:$N$1000),0))</f>
        <v/>
      </c>
      <c r="J179" s="59" t="n"/>
    </row>
    <row r="180">
      <c r="A180" s="31">
        <f>IF(Members!$A180="","",Members!$A180)</f>
        <v/>
      </c>
      <c r="B180" s="31">
        <f>IF($A180="","",$I180+SUMIF(WeeklySummary!$B$2:$B$1000,$A180,WeeklySummary!$G$2:$G$1000))</f>
        <v/>
      </c>
      <c r="C180" s="31">
        <f>IF($B180="","",MIN(100,INT(SQRT($B180))))</f>
        <v/>
      </c>
      <c r="D180" s="31">
        <f>IF($C180="","",($C180+1)^2)</f>
        <v/>
      </c>
      <c r="E180" s="31">
        <f>IF($D180="","",$D180-$B180)</f>
        <v/>
      </c>
      <c r="F180" s="31">
        <f>IF($A180="","",SUMIF(MonthlySummary!$B$2:$B$1000,$A180,MonthlySummary!$E$2:$E$1000))</f>
        <v/>
      </c>
      <c r="G180" s="31" t="n">
        <v>0</v>
      </c>
      <c r="H180" s="31">
        <f>IF($A180="","",$F180-IF($G180="",0,$G180))</f>
        <v/>
      </c>
      <c r="I180" s="31">
        <f>IF($A180="","",IFERROR(XLOOKUP($A180,SeedPlacement!$A$2:$A$1000,SeedPlacement!$N$2:$N$1000),0))</f>
        <v/>
      </c>
      <c r="J180" s="59" t="n"/>
    </row>
    <row r="181">
      <c r="A181" s="31">
        <f>IF(Members!$A181="","",Members!$A181)</f>
        <v/>
      </c>
      <c r="B181" s="31">
        <f>IF($A181="","",$I181+SUMIF(WeeklySummary!$B$2:$B$1000,$A181,WeeklySummary!$G$2:$G$1000))</f>
        <v/>
      </c>
      <c r="C181" s="31">
        <f>IF($B181="","",MIN(100,INT(SQRT($B181))))</f>
        <v/>
      </c>
      <c r="D181" s="31">
        <f>IF($C181="","",($C181+1)^2)</f>
        <v/>
      </c>
      <c r="E181" s="31">
        <f>IF($D181="","",$D181-$B181)</f>
        <v/>
      </c>
      <c r="F181" s="31">
        <f>IF($A181="","",SUMIF(MonthlySummary!$B$2:$B$1000,$A181,MonthlySummary!$E$2:$E$1000))</f>
        <v/>
      </c>
      <c r="G181" s="31" t="n">
        <v>0</v>
      </c>
      <c r="H181" s="31">
        <f>IF($A181="","",$F181-IF($G181="",0,$G181))</f>
        <v/>
      </c>
      <c r="I181" s="31">
        <f>IF($A181="","",IFERROR(XLOOKUP($A181,SeedPlacement!$A$2:$A$1000,SeedPlacement!$N$2:$N$1000),0))</f>
        <v/>
      </c>
      <c r="J181" s="59" t="n"/>
    </row>
    <row r="182">
      <c r="A182" s="31">
        <f>IF(Members!$A182="","",Members!$A182)</f>
        <v/>
      </c>
      <c r="B182" s="31">
        <f>IF($A182="","",$I182+SUMIF(WeeklySummary!$B$2:$B$1000,$A182,WeeklySummary!$G$2:$G$1000))</f>
        <v/>
      </c>
      <c r="C182" s="31">
        <f>IF($B182="","",MIN(100,INT(SQRT($B182))))</f>
        <v/>
      </c>
      <c r="D182" s="31">
        <f>IF($C182="","",($C182+1)^2)</f>
        <v/>
      </c>
      <c r="E182" s="31">
        <f>IF($D182="","",$D182-$B182)</f>
        <v/>
      </c>
      <c r="F182" s="31">
        <f>IF($A182="","",SUMIF(MonthlySummary!$B$2:$B$1000,$A182,MonthlySummary!$E$2:$E$1000))</f>
        <v/>
      </c>
      <c r="G182" s="31" t="n">
        <v>0</v>
      </c>
      <c r="H182" s="31">
        <f>IF($A182="","",$F182-IF($G182="",0,$G182))</f>
        <v/>
      </c>
      <c r="I182" s="31">
        <f>IF($A182="","",IFERROR(XLOOKUP($A182,SeedPlacement!$A$2:$A$1000,SeedPlacement!$N$2:$N$1000),0))</f>
        <v/>
      </c>
      <c r="J182" s="59" t="n"/>
    </row>
    <row r="183">
      <c r="A183" s="31">
        <f>IF(Members!$A183="","",Members!$A183)</f>
        <v/>
      </c>
      <c r="B183" s="31">
        <f>IF($A183="","",$I183+SUMIF(WeeklySummary!$B$2:$B$1000,$A183,WeeklySummary!$G$2:$G$1000))</f>
        <v/>
      </c>
      <c r="C183" s="31">
        <f>IF($B183="","",MIN(100,INT(SQRT($B183))))</f>
        <v/>
      </c>
      <c r="D183" s="31">
        <f>IF($C183="","",($C183+1)^2)</f>
        <v/>
      </c>
      <c r="E183" s="31">
        <f>IF($D183="","",$D183-$B183)</f>
        <v/>
      </c>
      <c r="F183" s="31">
        <f>IF($A183="","",SUMIF(MonthlySummary!$B$2:$B$1000,$A183,MonthlySummary!$E$2:$E$1000))</f>
        <v/>
      </c>
      <c r="G183" s="31" t="n">
        <v>0</v>
      </c>
      <c r="H183" s="31">
        <f>IF($A183="","",$F183-IF($G183="",0,$G183))</f>
        <v/>
      </c>
      <c r="I183" s="31">
        <f>IF($A183="","",IFERROR(XLOOKUP($A183,SeedPlacement!$A$2:$A$1000,SeedPlacement!$N$2:$N$1000),0))</f>
        <v/>
      </c>
      <c r="J183" s="59" t="n"/>
    </row>
    <row r="184">
      <c r="A184" s="31">
        <f>IF(Members!$A184="","",Members!$A184)</f>
        <v/>
      </c>
      <c r="B184" s="31">
        <f>IF($A184="","",$I184+SUMIF(WeeklySummary!$B$2:$B$1000,$A184,WeeklySummary!$G$2:$G$1000))</f>
        <v/>
      </c>
      <c r="C184" s="31">
        <f>IF($B184="","",MIN(100,INT(SQRT($B184))))</f>
        <v/>
      </c>
      <c r="D184" s="31">
        <f>IF($C184="","",($C184+1)^2)</f>
        <v/>
      </c>
      <c r="E184" s="31">
        <f>IF($D184="","",$D184-$B184)</f>
        <v/>
      </c>
      <c r="F184" s="31">
        <f>IF($A184="","",SUMIF(MonthlySummary!$B$2:$B$1000,$A184,MonthlySummary!$E$2:$E$1000))</f>
        <v/>
      </c>
      <c r="G184" s="31" t="n">
        <v>0</v>
      </c>
      <c r="H184" s="31">
        <f>IF($A184="","",$F184-IF($G184="",0,$G184))</f>
        <v/>
      </c>
      <c r="I184" s="31">
        <f>IF($A184="","",IFERROR(XLOOKUP($A184,SeedPlacement!$A$2:$A$1000,SeedPlacement!$N$2:$N$1000),0))</f>
        <v/>
      </c>
      <c r="J184" s="59" t="n"/>
    </row>
    <row r="185">
      <c r="A185" s="31">
        <f>IF(Members!$A185="","",Members!$A185)</f>
        <v/>
      </c>
      <c r="B185" s="31">
        <f>IF($A185="","",$I185+SUMIF(WeeklySummary!$B$2:$B$1000,$A185,WeeklySummary!$G$2:$G$1000))</f>
        <v/>
      </c>
      <c r="C185" s="31">
        <f>IF($B185="","",MIN(100,INT(SQRT($B185))))</f>
        <v/>
      </c>
      <c r="D185" s="31">
        <f>IF($C185="","",($C185+1)^2)</f>
        <v/>
      </c>
      <c r="E185" s="31">
        <f>IF($D185="","",$D185-$B185)</f>
        <v/>
      </c>
      <c r="F185" s="31">
        <f>IF($A185="","",SUMIF(MonthlySummary!$B$2:$B$1000,$A185,MonthlySummary!$E$2:$E$1000))</f>
        <v/>
      </c>
      <c r="G185" s="31" t="n">
        <v>0</v>
      </c>
      <c r="H185" s="31">
        <f>IF($A185="","",$F185-IF($G185="",0,$G185))</f>
        <v/>
      </c>
      <c r="I185" s="31">
        <f>IF($A185="","",IFERROR(XLOOKUP($A185,SeedPlacement!$A$2:$A$1000,SeedPlacement!$N$2:$N$1000),0))</f>
        <v/>
      </c>
      <c r="J185" s="59" t="n"/>
    </row>
    <row r="186">
      <c r="A186" s="31">
        <f>IF(Members!$A186="","",Members!$A186)</f>
        <v/>
      </c>
      <c r="B186" s="31">
        <f>IF($A186="","",$I186+SUMIF(WeeklySummary!$B$2:$B$1000,$A186,WeeklySummary!$G$2:$G$1000))</f>
        <v/>
      </c>
      <c r="C186" s="31">
        <f>IF($B186="","",MIN(100,INT(SQRT($B186))))</f>
        <v/>
      </c>
      <c r="D186" s="31">
        <f>IF($C186="","",($C186+1)^2)</f>
        <v/>
      </c>
      <c r="E186" s="31">
        <f>IF($D186="","",$D186-$B186)</f>
        <v/>
      </c>
      <c r="F186" s="31">
        <f>IF($A186="","",SUMIF(MonthlySummary!$B$2:$B$1000,$A186,MonthlySummary!$E$2:$E$1000))</f>
        <v/>
      </c>
      <c r="G186" s="31" t="n">
        <v>0</v>
      </c>
      <c r="H186" s="31">
        <f>IF($A186="","",$F186-IF($G186="",0,$G186))</f>
        <v/>
      </c>
      <c r="I186" s="31">
        <f>IF($A186="","",IFERROR(XLOOKUP($A186,SeedPlacement!$A$2:$A$1000,SeedPlacement!$N$2:$N$1000),0))</f>
        <v/>
      </c>
      <c r="J186" s="59" t="n"/>
    </row>
    <row r="187">
      <c r="A187" s="31">
        <f>IF(Members!$A187="","",Members!$A187)</f>
        <v/>
      </c>
      <c r="B187" s="31">
        <f>IF($A187="","",$I187+SUMIF(WeeklySummary!$B$2:$B$1000,$A187,WeeklySummary!$G$2:$G$1000))</f>
        <v/>
      </c>
      <c r="C187" s="31">
        <f>IF($B187="","",MIN(100,INT(SQRT($B187))))</f>
        <v/>
      </c>
      <c r="D187" s="31">
        <f>IF($C187="","",($C187+1)^2)</f>
        <v/>
      </c>
      <c r="E187" s="31">
        <f>IF($D187="","",$D187-$B187)</f>
        <v/>
      </c>
      <c r="F187" s="31">
        <f>IF($A187="","",SUMIF(MonthlySummary!$B$2:$B$1000,$A187,MonthlySummary!$E$2:$E$1000))</f>
        <v/>
      </c>
      <c r="G187" s="31" t="n">
        <v>0</v>
      </c>
      <c r="H187" s="31">
        <f>IF($A187="","",$F187-IF($G187="",0,$G187))</f>
        <v/>
      </c>
      <c r="I187" s="31">
        <f>IF($A187="","",IFERROR(XLOOKUP($A187,SeedPlacement!$A$2:$A$1000,SeedPlacement!$N$2:$N$1000),0))</f>
        <v/>
      </c>
      <c r="J187" s="59" t="n"/>
    </row>
    <row r="188">
      <c r="A188" s="31">
        <f>IF(Members!$A188="","",Members!$A188)</f>
        <v/>
      </c>
      <c r="B188" s="31">
        <f>IF($A188="","",$I188+SUMIF(WeeklySummary!$B$2:$B$1000,$A188,WeeklySummary!$G$2:$G$1000))</f>
        <v/>
      </c>
      <c r="C188" s="31">
        <f>IF($B188="","",MIN(100,INT(SQRT($B188))))</f>
        <v/>
      </c>
      <c r="D188" s="31">
        <f>IF($C188="","",($C188+1)^2)</f>
        <v/>
      </c>
      <c r="E188" s="31">
        <f>IF($D188="","",$D188-$B188)</f>
        <v/>
      </c>
      <c r="F188" s="31">
        <f>IF($A188="","",SUMIF(MonthlySummary!$B$2:$B$1000,$A188,MonthlySummary!$E$2:$E$1000))</f>
        <v/>
      </c>
      <c r="G188" s="31" t="n">
        <v>0</v>
      </c>
      <c r="H188" s="31">
        <f>IF($A188="","",$F188-IF($G188="",0,$G188))</f>
        <v/>
      </c>
      <c r="I188" s="31">
        <f>IF($A188="","",IFERROR(XLOOKUP($A188,SeedPlacement!$A$2:$A$1000,SeedPlacement!$N$2:$N$1000),0))</f>
        <v/>
      </c>
      <c r="J188" s="59" t="n"/>
    </row>
    <row r="189">
      <c r="A189" s="31">
        <f>IF(Members!$A189="","",Members!$A189)</f>
        <v/>
      </c>
      <c r="B189" s="31">
        <f>IF($A189="","",$I189+SUMIF(WeeklySummary!$B$2:$B$1000,$A189,WeeklySummary!$G$2:$G$1000))</f>
        <v/>
      </c>
      <c r="C189" s="31">
        <f>IF($B189="","",MIN(100,INT(SQRT($B189))))</f>
        <v/>
      </c>
      <c r="D189" s="31">
        <f>IF($C189="","",($C189+1)^2)</f>
        <v/>
      </c>
      <c r="E189" s="31">
        <f>IF($D189="","",$D189-$B189)</f>
        <v/>
      </c>
      <c r="F189" s="31">
        <f>IF($A189="","",SUMIF(MonthlySummary!$B$2:$B$1000,$A189,MonthlySummary!$E$2:$E$1000))</f>
        <v/>
      </c>
      <c r="G189" s="31" t="n">
        <v>0</v>
      </c>
      <c r="H189" s="31">
        <f>IF($A189="","",$F189-IF($G189="",0,$G189))</f>
        <v/>
      </c>
      <c r="I189" s="31">
        <f>IF($A189="","",IFERROR(XLOOKUP($A189,SeedPlacement!$A$2:$A$1000,SeedPlacement!$N$2:$N$1000),0))</f>
        <v/>
      </c>
      <c r="J189" s="59" t="n"/>
    </row>
    <row r="190">
      <c r="A190" s="31">
        <f>IF(Members!$A190="","",Members!$A190)</f>
        <v/>
      </c>
      <c r="B190" s="31">
        <f>IF($A190="","",$I190+SUMIF(WeeklySummary!$B$2:$B$1000,$A190,WeeklySummary!$G$2:$G$1000))</f>
        <v/>
      </c>
      <c r="C190" s="31">
        <f>IF($B190="","",MIN(100,INT(SQRT($B190))))</f>
        <v/>
      </c>
      <c r="D190" s="31">
        <f>IF($C190="","",($C190+1)^2)</f>
        <v/>
      </c>
      <c r="E190" s="31">
        <f>IF($D190="","",$D190-$B190)</f>
        <v/>
      </c>
      <c r="F190" s="31">
        <f>IF($A190="","",SUMIF(MonthlySummary!$B$2:$B$1000,$A190,MonthlySummary!$E$2:$E$1000))</f>
        <v/>
      </c>
      <c r="G190" s="31" t="n">
        <v>0</v>
      </c>
      <c r="H190" s="31">
        <f>IF($A190="","",$F190-IF($G190="",0,$G190))</f>
        <v/>
      </c>
      <c r="I190" s="31">
        <f>IF($A190="","",IFERROR(XLOOKUP($A190,SeedPlacement!$A$2:$A$1000,SeedPlacement!$N$2:$N$1000),0))</f>
        <v/>
      </c>
      <c r="J190" s="59" t="n"/>
    </row>
    <row r="191">
      <c r="A191" s="31">
        <f>IF(Members!$A191="","",Members!$A191)</f>
        <v/>
      </c>
      <c r="B191" s="31">
        <f>IF($A191="","",$I191+SUMIF(WeeklySummary!$B$2:$B$1000,$A191,WeeklySummary!$G$2:$G$1000))</f>
        <v/>
      </c>
      <c r="C191" s="31">
        <f>IF($B191="","",MIN(100,INT(SQRT($B191))))</f>
        <v/>
      </c>
      <c r="D191" s="31">
        <f>IF($C191="","",($C191+1)^2)</f>
        <v/>
      </c>
      <c r="E191" s="31">
        <f>IF($D191="","",$D191-$B191)</f>
        <v/>
      </c>
      <c r="F191" s="31">
        <f>IF($A191="","",SUMIF(MonthlySummary!$B$2:$B$1000,$A191,MonthlySummary!$E$2:$E$1000))</f>
        <v/>
      </c>
      <c r="G191" s="31" t="n">
        <v>0</v>
      </c>
      <c r="H191" s="31">
        <f>IF($A191="","",$F191-IF($G191="",0,$G191))</f>
        <v/>
      </c>
      <c r="I191" s="31">
        <f>IF($A191="","",IFERROR(XLOOKUP($A191,SeedPlacement!$A$2:$A$1000,SeedPlacement!$N$2:$N$1000),0))</f>
        <v/>
      </c>
      <c r="J191" s="59" t="n"/>
    </row>
    <row r="192">
      <c r="A192" s="31">
        <f>IF(Members!$A192="","",Members!$A192)</f>
        <v/>
      </c>
      <c r="B192" s="31">
        <f>IF($A192="","",$I192+SUMIF(WeeklySummary!$B$2:$B$1000,$A192,WeeklySummary!$G$2:$G$1000))</f>
        <v/>
      </c>
      <c r="C192" s="31">
        <f>IF($B192="","",MIN(100,INT(SQRT($B192))))</f>
        <v/>
      </c>
      <c r="D192" s="31">
        <f>IF($C192="","",($C192+1)^2)</f>
        <v/>
      </c>
      <c r="E192" s="31">
        <f>IF($D192="","",$D192-$B192)</f>
        <v/>
      </c>
      <c r="F192" s="31">
        <f>IF($A192="","",SUMIF(MonthlySummary!$B$2:$B$1000,$A192,MonthlySummary!$E$2:$E$1000))</f>
        <v/>
      </c>
      <c r="G192" s="31" t="n">
        <v>0</v>
      </c>
      <c r="H192" s="31">
        <f>IF($A192="","",$F192-IF($G192="",0,$G192))</f>
        <v/>
      </c>
      <c r="I192" s="31">
        <f>IF($A192="","",IFERROR(XLOOKUP($A192,SeedPlacement!$A$2:$A$1000,SeedPlacement!$N$2:$N$1000),0))</f>
        <v/>
      </c>
      <c r="J192" s="59" t="n"/>
    </row>
    <row r="193">
      <c r="A193" s="31">
        <f>IF(Members!$A193="","",Members!$A193)</f>
        <v/>
      </c>
      <c r="B193" s="31">
        <f>IF($A193="","",$I193+SUMIF(WeeklySummary!$B$2:$B$1000,$A193,WeeklySummary!$G$2:$G$1000))</f>
        <v/>
      </c>
      <c r="C193" s="31">
        <f>IF($B193="","",MIN(100,INT(SQRT($B193))))</f>
        <v/>
      </c>
      <c r="D193" s="31">
        <f>IF($C193="","",($C193+1)^2)</f>
        <v/>
      </c>
      <c r="E193" s="31">
        <f>IF($D193="","",$D193-$B193)</f>
        <v/>
      </c>
      <c r="F193" s="31">
        <f>IF($A193="","",SUMIF(MonthlySummary!$B$2:$B$1000,$A193,MonthlySummary!$E$2:$E$1000))</f>
        <v/>
      </c>
      <c r="G193" s="31" t="n">
        <v>0</v>
      </c>
      <c r="H193" s="31">
        <f>IF($A193="","",$F193-IF($G193="",0,$G193))</f>
        <v/>
      </c>
      <c r="I193" s="31">
        <f>IF($A193="","",IFERROR(XLOOKUP($A193,SeedPlacement!$A$2:$A$1000,SeedPlacement!$N$2:$N$1000),0))</f>
        <v/>
      </c>
      <c r="J193" s="59" t="n"/>
    </row>
    <row r="194">
      <c r="A194" s="31">
        <f>IF(Members!$A194="","",Members!$A194)</f>
        <v/>
      </c>
      <c r="B194" s="31">
        <f>IF($A194="","",$I194+SUMIF(WeeklySummary!$B$2:$B$1000,$A194,WeeklySummary!$G$2:$G$1000))</f>
        <v/>
      </c>
      <c r="C194" s="31">
        <f>IF($B194="","",MIN(100,INT(SQRT($B194))))</f>
        <v/>
      </c>
      <c r="D194" s="31">
        <f>IF($C194="","",($C194+1)^2)</f>
        <v/>
      </c>
      <c r="E194" s="31">
        <f>IF($D194="","",$D194-$B194)</f>
        <v/>
      </c>
      <c r="F194" s="31">
        <f>IF($A194="","",SUMIF(MonthlySummary!$B$2:$B$1000,$A194,MonthlySummary!$E$2:$E$1000))</f>
        <v/>
      </c>
      <c r="G194" s="31" t="n">
        <v>0</v>
      </c>
      <c r="H194" s="31">
        <f>IF($A194="","",$F194-IF($G194="",0,$G194))</f>
        <v/>
      </c>
      <c r="I194" s="31">
        <f>IF($A194="","",IFERROR(XLOOKUP($A194,SeedPlacement!$A$2:$A$1000,SeedPlacement!$N$2:$N$1000),0))</f>
        <v/>
      </c>
      <c r="J194" s="59" t="n"/>
    </row>
    <row r="195">
      <c r="A195" s="31">
        <f>IF(Members!$A195="","",Members!$A195)</f>
        <v/>
      </c>
      <c r="B195" s="31">
        <f>IF($A195="","",$I195+SUMIF(WeeklySummary!$B$2:$B$1000,$A195,WeeklySummary!$G$2:$G$1000))</f>
        <v/>
      </c>
      <c r="C195" s="31">
        <f>IF($B195="","",MIN(100,INT(SQRT($B195))))</f>
        <v/>
      </c>
      <c r="D195" s="31">
        <f>IF($C195="","",($C195+1)^2)</f>
        <v/>
      </c>
      <c r="E195" s="31">
        <f>IF($D195="","",$D195-$B195)</f>
        <v/>
      </c>
      <c r="F195" s="31">
        <f>IF($A195="","",SUMIF(MonthlySummary!$B$2:$B$1000,$A195,MonthlySummary!$E$2:$E$1000))</f>
        <v/>
      </c>
      <c r="G195" s="31" t="n">
        <v>0</v>
      </c>
      <c r="H195" s="31">
        <f>IF($A195="","",$F195-IF($G195="",0,$G195))</f>
        <v/>
      </c>
      <c r="I195" s="31">
        <f>IF($A195="","",IFERROR(XLOOKUP($A195,SeedPlacement!$A$2:$A$1000,SeedPlacement!$N$2:$N$1000),0))</f>
        <v/>
      </c>
      <c r="J195" s="59" t="n"/>
    </row>
    <row r="196">
      <c r="A196" s="31">
        <f>IF(Members!$A196="","",Members!$A196)</f>
        <v/>
      </c>
      <c r="B196" s="31">
        <f>IF($A196="","",$I196+SUMIF(WeeklySummary!$B$2:$B$1000,$A196,WeeklySummary!$G$2:$G$1000))</f>
        <v/>
      </c>
      <c r="C196" s="31">
        <f>IF($B196="","",MIN(100,INT(SQRT($B196))))</f>
        <v/>
      </c>
      <c r="D196" s="31">
        <f>IF($C196="","",($C196+1)^2)</f>
        <v/>
      </c>
      <c r="E196" s="31">
        <f>IF($D196="","",$D196-$B196)</f>
        <v/>
      </c>
      <c r="F196" s="31">
        <f>IF($A196="","",SUMIF(MonthlySummary!$B$2:$B$1000,$A196,MonthlySummary!$E$2:$E$1000))</f>
        <v/>
      </c>
      <c r="G196" s="31" t="n">
        <v>0</v>
      </c>
      <c r="H196" s="31">
        <f>IF($A196="","",$F196-IF($G196="",0,$G196))</f>
        <v/>
      </c>
      <c r="I196" s="31">
        <f>IF($A196="","",IFERROR(XLOOKUP($A196,SeedPlacement!$A$2:$A$1000,SeedPlacement!$N$2:$N$1000),0))</f>
        <v/>
      </c>
      <c r="J196" s="59" t="n"/>
    </row>
    <row r="197">
      <c r="A197" s="31">
        <f>IF(Members!$A197="","",Members!$A197)</f>
        <v/>
      </c>
      <c r="B197" s="31">
        <f>IF($A197="","",$I197+SUMIF(WeeklySummary!$B$2:$B$1000,$A197,WeeklySummary!$G$2:$G$1000))</f>
        <v/>
      </c>
      <c r="C197" s="31">
        <f>IF($B197="","",MIN(100,INT(SQRT($B197))))</f>
        <v/>
      </c>
      <c r="D197" s="31">
        <f>IF($C197="","",($C197+1)^2)</f>
        <v/>
      </c>
      <c r="E197" s="31">
        <f>IF($D197="","",$D197-$B197)</f>
        <v/>
      </c>
      <c r="F197" s="31">
        <f>IF($A197="","",SUMIF(MonthlySummary!$B$2:$B$1000,$A197,MonthlySummary!$E$2:$E$1000))</f>
        <v/>
      </c>
      <c r="G197" s="31" t="n">
        <v>0</v>
      </c>
      <c r="H197" s="31">
        <f>IF($A197="","",$F197-IF($G197="",0,$G197))</f>
        <v/>
      </c>
      <c r="I197" s="31">
        <f>IF($A197="","",IFERROR(XLOOKUP($A197,SeedPlacement!$A$2:$A$1000,SeedPlacement!$N$2:$N$1000),0))</f>
        <v/>
      </c>
      <c r="J197" s="59" t="n"/>
    </row>
    <row r="198">
      <c r="A198" s="31">
        <f>IF(Members!$A198="","",Members!$A198)</f>
        <v/>
      </c>
      <c r="B198" s="31">
        <f>IF($A198="","",$I198+SUMIF(WeeklySummary!$B$2:$B$1000,$A198,WeeklySummary!$G$2:$G$1000))</f>
        <v/>
      </c>
      <c r="C198" s="31">
        <f>IF($B198="","",MIN(100,INT(SQRT($B198))))</f>
        <v/>
      </c>
      <c r="D198" s="31">
        <f>IF($C198="","",($C198+1)^2)</f>
        <v/>
      </c>
      <c r="E198" s="31">
        <f>IF($D198="","",$D198-$B198)</f>
        <v/>
      </c>
      <c r="F198" s="31">
        <f>IF($A198="","",SUMIF(MonthlySummary!$B$2:$B$1000,$A198,MonthlySummary!$E$2:$E$1000))</f>
        <v/>
      </c>
      <c r="G198" s="31" t="n">
        <v>0</v>
      </c>
      <c r="H198" s="31">
        <f>IF($A198="","",$F198-IF($G198="",0,$G198))</f>
        <v/>
      </c>
      <c r="I198" s="31">
        <f>IF($A198="","",IFERROR(XLOOKUP($A198,SeedPlacement!$A$2:$A$1000,SeedPlacement!$N$2:$N$1000),0))</f>
        <v/>
      </c>
      <c r="J198" s="59" t="n"/>
    </row>
    <row r="199">
      <c r="A199" s="31">
        <f>IF(Members!$A199="","",Members!$A199)</f>
        <v/>
      </c>
      <c r="B199" s="31">
        <f>IF($A199="","",$I199+SUMIF(WeeklySummary!$B$2:$B$1000,$A199,WeeklySummary!$G$2:$G$1000))</f>
        <v/>
      </c>
      <c r="C199" s="31">
        <f>IF($B199="","",MIN(100,INT(SQRT($B199))))</f>
        <v/>
      </c>
      <c r="D199" s="31">
        <f>IF($C199="","",($C199+1)^2)</f>
        <v/>
      </c>
      <c r="E199" s="31">
        <f>IF($D199="","",$D199-$B199)</f>
        <v/>
      </c>
      <c r="F199" s="31">
        <f>IF($A199="","",SUMIF(MonthlySummary!$B$2:$B$1000,$A199,MonthlySummary!$E$2:$E$1000))</f>
        <v/>
      </c>
      <c r="G199" s="31" t="n">
        <v>0</v>
      </c>
      <c r="H199" s="31">
        <f>IF($A199="","",$F199-IF($G199="",0,$G199))</f>
        <v/>
      </c>
      <c r="I199" s="31">
        <f>IF($A199="","",IFERROR(XLOOKUP($A199,SeedPlacement!$A$2:$A$1000,SeedPlacement!$N$2:$N$1000),0))</f>
        <v/>
      </c>
      <c r="J199" s="59" t="n"/>
    </row>
    <row r="200">
      <c r="A200" s="31">
        <f>IF(Members!$A200="","",Members!$A200)</f>
        <v/>
      </c>
      <c r="B200" s="31">
        <f>IF($A200="","",$I200+SUMIF(WeeklySummary!$B$2:$B$1000,$A200,WeeklySummary!$G$2:$G$1000))</f>
        <v/>
      </c>
      <c r="C200" s="31">
        <f>IF($B200="","",MIN(100,INT(SQRT($B200))))</f>
        <v/>
      </c>
      <c r="D200" s="31">
        <f>IF($C200="","",($C200+1)^2)</f>
        <v/>
      </c>
      <c r="E200" s="31">
        <f>IF($D200="","",$D200-$B200)</f>
        <v/>
      </c>
      <c r="F200" s="31">
        <f>IF($A200="","",SUMIF(MonthlySummary!$B$2:$B$1000,$A200,MonthlySummary!$E$2:$E$1000))</f>
        <v/>
      </c>
      <c r="G200" s="31" t="n">
        <v>0</v>
      </c>
      <c r="H200" s="31">
        <f>IF($A200="","",$F200-IF($G200="",0,$G200))</f>
        <v/>
      </c>
      <c r="I200" s="31">
        <f>IF($A200="","",IFERROR(XLOOKUP($A200,SeedPlacement!$A$2:$A$1000,SeedPlacement!$N$2:$N$1000),0))</f>
        <v/>
      </c>
      <c r="J200" s="59" t="n"/>
    </row>
    <row r="201">
      <c r="A201" s="31">
        <f>IF(Members!$A201="","",Members!$A201)</f>
        <v/>
      </c>
      <c r="B201" s="31">
        <f>IF($A201="","",$I201+SUMIF(WeeklySummary!$B$2:$B$1000,$A201,WeeklySummary!$G$2:$G$1000))</f>
        <v/>
      </c>
      <c r="C201" s="31">
        <f>IF($B201="","",MIN(100,INT(SQRT($B201))))</f>
        <v/>
      </c>
      <c r="D201" s="31">
        <f>IF($C201="","",($C201+1)^2)</f>
        <v/>
      </c>
      <c r="E201" s="31">
        <f>IF($D201="","",$D201-$B201)</f>
        <v/>
      </c>
      <c r="F201" s="31">
        <f>IF($A201="","",SUMIF(MonthlySummary!$B$2:$B$1000,$A201,MonthlySummary!$E$2:$E$1000))</f>
        <v/>
      </c>
      <c r="G201" s="31" t="n">
        <v>0</v>
      </c>
      <c r="H201" s="31">
        <f>IF($A201="","",$F201-IF($G201="",0,$G201))</f>
        <v/>
      </c>
      <c r="I201" s="31">
        <f>IF($A201="","",IFERROR(XLOOKUP($A201,SeedPlacement!$A$2:$A$1000,SeedPlacement!$N$2:$N$1000),0))</f>
        <v/>
      </c>
      <c r="J201" s="59" t="n"/>
    </row>
    <row r="202">
      <c r="A202" s="31">
        <f>IF(Members!$A202="","",Members!$A202)</f>
        <v/>
      </c>
      <c r="B202" s="31">
        <f>IF($A202="","",$I202+SUMIF(WeeklySummary!$B$2:$B$1000,$A202,WeeklySummary!$G$2:$G$1000))</f>
        <v/>
      </c>
      <c r="C202" s="31">
        <f>IF($B202="","",MIN(100,INT(SQRT($B202))))</f>
        <v/>
      </c>
      <c r="D202" s="31">
        <f>IF($C202="","",($C202+1)^2)</f>
        <v/>
      </c>
      <c r="E202" s="31">
        <f>IF($D202="","",$D202-$B202)</f>
        <v/>
      </c>
      <c r="F202" s="31">
        <f>IF($A202="","",SUMIF(MonthlySummary!$B$2:$B$1000,$A202,MonthlySummary!$E$2:$E$1000))</f>
        <v/>
      </c>
      <c r="G202" s="31" t="n">
        <v>0</v>
      </c>
      <c r="H202" s="31">
        <f>IF($A202="","",$F202-IF($G202="",0,$G202))</f>
        <v/>
      </c>
      <c r="I202" s="31">
        <f>IF($A202="","",IFERROR(XLOOKUP($A202,SeedPlacement!$A$2:$A$1000,SeedPlacement!$N$2:$N$1000),0))</f>
        <v/>
      </c>
      <c r="J202" s="59" t="n"/>
    </row>
    <row r="203">
      <c r="A203" s="31">
        <f>IF(Members!$A203="","",Members!$A203)</f>
        <v/>
      </c>
      <c r="B203" s="31">
        <f>IF($A203="","",$I203+SUMIF(WeeklySummary!$B$2:$B$1000,$A203,WeeklySummary!$G$2:$G$1000))</f>
        <v/>
      </c>
      <c r="C203" s="31">
        <f>IF($B203="","",MIN(100,INT(SQRT($B203))))</f>
        <v/>
      </c>
      <c r="D203" s="31">
        <f>IF($C203="","",($C203+1)^2)</f>
        <v/>
      </c>
      <c r="E203" s="31">
        <f>IF($D203="","",$D203-$B203)</f>
        <v/>
      </c>
      <c r="F203" s="31">
        <f>IF($A203="","",SUMIF(MonthlySummary!$B$2:$B$1000,$A203,MonthlySummary!$E$2:$E$1000))</f>
        <v/>
      </c>
      <c r="G203" s="31" t="n">
        <v>0</v>
      </c>
      <c r="H203" s="31">
        <f>IF($A203="","",$F203-IF($G203="",0,$G203))</f>
        <v/>
      </c>
      <c r="I203" s="31">
        <f>IF($A203="","",IFERROR(XLOOKUP($A203,SeedPlacement!$A$2:$A$1000,SeedPlacement!$N$2:$N$1000),0))</f>
        <v/>
      </c>
      <c r="J203" s="59" t="n"/>
    </row>
    <row r="204">
      <c r="A204" s="31">
        <f>IF(Members!$A204="","",Members!$A204)</f>
        <v/>
      </c>
      <c r="B204" s="31">
        <f>IF($A204="","",$I204+SUMIF(WeeklySummary!$B$2:$B$1000,$A204,WeeklySummary!$G$2:$G$1000))</f>
        <v/>
      </c>
      <c r="C204" s="31">
        <f>IF($B204="","",MIN(100,INT(SQRT($B204))))</f>
        <v/>
      </c>
      <c r="D204" s="31">
        <f>IF($C204="","",($C204+1)^2)</f>
        <v/>
      </c>
      <c r="E204" s="31">
        <f>IF($D204="","",$D204-$B204)</f>
        <v/>
      </c>
      <c r="F204" s="31">
        <f>IF($A204="","",SUMIF(MonthlySummary!$B$2:$B$1000,$A204,MonthlySummary!$E$2:$E$1000))</f>
        <v/>
      </c>
      <c r="G204" s="31" t="n">
        <v>0</v>
      </c>
      <c r="H204" s="31">
        <f>IF($A204="","",$F204-IF($G204="",0,$G204))</f>
        <v/>
      </c>
      <c r="I204" s="31">
        <f>IF($A204="","",IFERROR(XLOOKUP($A204,SeedPlacement!$A$2:$A$1000,SeedPlacement!$N$2:$N$1000),0))</f>
        <v/>
      </c>
      <c r="J204" s="59" t="n"/>
    </row>
    <row r="205">
      <c r="A205" s="31">
        <f>IF(Members!$A205="","",Members!$A205)</f>
        <v/>
      </c>
      <c r="B205" s="31">
        <f>IF($A205="","",$I205+SUMIF(WeeklySummary!$B$2:$B$1000,$A205,WeeklySummary!$G$2:$G$1000))</f>
        <v/>
      </c>
      <c r="C205" s="31">
        <f>IF($B205="","",MIN(100,INT(SQRT($B205))))</f>
        <v/>
      </c>
      <c r="D205" s="31">
        <f>IF($C205="","",($C205+1)^2)</f>
        <v/>
      </c>
      <c r="E205" s="31">
        <f>IF($D205="","",$D205-$B205)</f>
        <v/>
      </c>
      <c r="F205" s="31">
        <f>IF($A205="","",SUMIF(MonthlySummary!$B$2:$B$1000,$A205,MonthlySummary!$E$2:$E$1000))</f>
        <v/>
      </c>
      <c r="G205" s="31" t="n">
        <v>0</v>
      </c>
      <c r="H205" s="31">
        <f>IF($A205="","",$F205-IF($G205="",0,$G205))</f>
        <v/>
      </c>
      <c r="I205" s="31">
        <f>IF($A205="","",IFERROR(XLOOKUP($A205,SeedPlacement!$A$2:$A$1000,SeedPlacement!$N$2:$N$1000),0))</f>
        <v/>
      </c>
      <c r="J205" s="59" t="n"/>
    </row>
    <row r="206">
      <c r="A206" s="31">
        <f>IF(Members!$A206="","",Members!$A206)</f>
        <v/>
      </c>
      <c r="B206" s="31">
        <f>IF($A206="","",$I206+SUMIF(WeeklySummary!$B$2:$B$1000,$A206,WeeklySummary!$G$2:$G$1000))</f>
        <v/>
      </c>
      <c r="C206" s="31">
        <f>IF($B206="","",MIN(100,INT(SQRT($B206))))</f>
        <v/>
      </c>
      <c r="D206" s="31">
        <f>IF($C206="","",($C206+1)^2)</f>
        <v/>
      </c>
      <c r="E206" s="31">
        <f>IF($D206="","",$D206-$B206)</f>
        <v/>
      </c>
      <c r="F206" s="31">
        <f>IF($A206="","",SUMIF(MonthlySummary!$B$2:$B$1000,$A206,MonthlySummary!$E$2:$E$1000))</f>
        <v/>
      </c>
      <c r="G206" s="31" t="n">
        <v>0</v>
      </c>
      <c r="H206" s="31">
        <f>IF($A206="","",$F206-IF($G206="",0,$G206))</f>
        <v/>
      </c>
      <c r="I206" s="31">
        <f>IF($A206="","",IFERROR(XLOOKUP($A206,SeedPlacement!$A$2:$A$1000,SeedPlacement!$N$2:$N$1000),0))</f>
        <v/>
      </c>
      <c r="J206" s="59" t="n"/>
    </row>
    <row r="207">
      <c r="A207" s="31">
        <f>IF(Members!$A207="","",Members!$A207)</f>
        <v/>
      </c>
      <c r="B207" s="31">
        <f>IF($A207="","",$I207+SUMIF(WeeklySummary!$B$2:$B$1000,$A207,WeeklySummary!$G$2:$G$1000))</f>
        <v/>
      </c>
      <c r="C207" s="31">
        <f>IF($B207="","",MIN(100,INT(SQRT($B207))))</f>
        <v/>
      </c>
      <c r="D207" s="31">
        <f>IF($C207="","",($C207+1)^2)</f>
        <v/>
      </c>
      <c r="E207" s="31">
        <f>IF($D207="","",$D207-$B207)</f>
        <v/>
      </c>
      <c r="F207" s="31">
        <f>IF($A207="","",SUMIF(MonthlySummary!$B$2:$B$1000,$A207,MonthlySummary!$E$2:$E$1000))</f>
        <v/>
      </c>
      <c r="G207" s="31" t="n">
        <v>0</v>
      </c>
      <c r="H207" s="31">
        <f>IF($A207="","",$F207-IF($G207="",0,$G207))</f>
        <v/>
      </c>
      <c r="I207" s="31">
        <f>IF($A207="","",IFERROR(XLOOKUP($A207,SeedPlacement!$A$2:$A$1000,SeedPlacement!$N$2:$N$1000),0))</f>
        <v/>
      </c>
      <c r="J207" s="59" t="n"/>
    </row>
    <row r="208">
      <c r="A208" s="31">
        <f>IF(Members!$A208="","",Members!$A208)</f>
        <v/>
      </c>
      <c r="B208" s="31">
        <f>IF($A208="","",$I208+SUMIF(WeeklySummary!$B$2:$B$1000,$A208,WeeklySummary!$G$2:$G$1000))</f>
        <v/>
      </c>
      <c r="C208" s="31">
        <f>IF($B208="","",MIN(100,INT(SQRT($B208))))</f>
        <v/>
      </c>
      <c r="D208" s="31">
        <f>IF($C208="","",($C208+1)^2)</f>
        <v/>
      </c>
      <c r="E208" s="31">
        <f>IF($D208="","",$D208-$B208)</f>
        <v/>
      </c>
      <c r="F208" s="31">
        <f>IF($A208="","",SUMIF(MonthlySummary!$B$2:$B$1000,$A208,MonthlySummary!$E$2:$E$1000))</f>
        <v/>
      </c>
      <c r="G208" s="31" t="n">
        <v>0</v>
      </c>
      <c r="H208" s="31">
        <f>IF($A208="","",$F208-IF($G208="",0,$G208))</f>
        <v/>
      </c>
      <c r="I208" s="31">
        <f>IF($A208="","",IFERROR(XLOOKUP($A208,SeedPlacement!$A$2:$A$1000,SeedPlacement!$N$2:$N$1000),0))</f>
        <v/>
      </c>
      <c r="J208" s="59" t="n"/>
    </row>
    <row r="209">
      <c r="A209" s="31">
        <f>IF(Members!$A209="","",Members!$A209)</f>
        <v/>
      </c>
      <c r="B209" s="31">
        <f>IF($A209="","",$I209+SUMIF(WeeklySummary!$B$2:$B$1000,$A209,WeeklySummary!$G$2:$G$1000))</f>
        <v/>
      </c>
      <c r="C209" s="31">
        <f>IF($B209="","",MIN(100,INT(SQRT($B209))))</f>
        <v/>
      </c>
      <c r="D209" s="31">
        <f>IF($C209="","",($C209+1)^2)</f>
        <v/>
      </c>
      <c r="E209" s="31">
        <f>IF($D209="","",$D209-$B209)</f>
        <v/>
      </c>
      <c r="F209" s="31">
        <f>IF($A209="","",SUMIF(MonthlySummary!$B$2:$B$1000,$A209,MonthlySummary!$E$2:$E$1000))</f>
        <v/>
      </c>
      <c r="G209" s="31" t="n">
        <v>0</v>
      </c>
      <c r="H209" s="31">
        <f>IF($A209="","",$F209-IF($G209="",0,$G209))</f>
        <v/>
      </c>
      <c r="I209" s="31">
        <f>IF($A209="","",IFERROR(XLOOKUP($A209,SeedPlacement!$A$2:$A$1000,SeedPlacement!$N$2:$N$1000),0))</f>
        <v/>
      </c>
      <c r="J209" s="59" t="n"/>
    </row>
    <row r="210">
      <c r="A210" s="31">
        <f>IF(Members!$A210="","",Members!$A210)</f>
        <v/>
      </c>
      <c r="B210" s="31">
        <f>IF($A210="","",$I210+SUMIF(WeeklySummary!$B$2:$B$1000,$A210,WeeklySummary!$G$2:$G$1000))</f>
        <v/>
      </c>
      <c r="C210" s="31">
        <f>IF($B210="","",MIN(100,INT(SQRT($B210))))</f>
        <v/>
      </c>
      <c r="D210" s="31">
        <f>IF($C210="","",($C210+1)^2)</f>
        <v/>
      </c>
      <c r="E210" s="31">
        <f>IF($D210="","",$D210-$B210)</f>
        <v/>
      </c>
      <c r="F210" s="31">
        <f>IF($A210="","",SUMIF(MonthlySummary!$B$2:$B$1000,$A210,MonthlySummary!$E$2:$E$1000))</f>
        <v/>
      </c>
      <c r="G210" s="31" t="n">
        <v>0</v>
      </c>
      <c r="H210" s="31">
        <f>IF($A210="","",$F210-IF($G210="",0,$G210))</f>
        <v/>
      </c>
      <c r="I210" s="31">
        <f>IF($A210="","",IFERROR(XLOOKUP($A210,SeedPlacement!$A$2:$A$1000,SeedPlacement!$N$2:$N$1000),0))</f>
        <v/>
      </c>
      <c r="J210" s="59" t="n"/>
    </row>
    <row r="211">
      <c r="A211" s="31">
        <f>IF(Members!$A211="","",Members!$A211)</f>
        <v/>
      </c>
      <c r="B211" s="31">
        <f>IF($A211="","",$I211+SUMIF(WeeklySummary!$B$2:$B$1000,$A211,WeeklySummary!$G$2:$G$1000))</f>
        <v/>
      </c>
      <c r="C211" s="31">
        <f>IF($B211="","",MIN(100,INT(SQRT($B211))))</f>
        <v/>
      </c>
      <c r="D211" s="31">
        <f>IF($C211="","",($C211+1)^2)</f>
        <v/>
      </c>
      <c r="E211" s="31">
        <f>IF($D211="","",$D211-$B211)</f>
        <v/>
      </c>
      <c r="F211" s="31">
        <f>IF($A211="","",SUMIF(MonthlySummary!$B$2:$B$1000,$A211,MonthlySummary!$E$2:$E$1000))</f>
        <v/>
      </c>
      <c r="G211" s="31" t="n">
        <v>0</v>
      </c>
      <c r="H211" s="31">
        <f>IF($A211="","",$F211-IF($G211="",0,$G211))</f>
        <v/>
      </c>
      <c r="I211" s="31">
        <f>IF($A211="","",IFERROR(XLOOKUP($A211,SeedPlacement!$A$2:$A$1000,SeedPlacement!$N$2:$N$1000),0))</f>
        <v/>
      </c>
      <c r="J211" s="59" t="n"/>
    </row>
    <row r="212">
      <c r="A212" s="31">
        <f>IF(Members!$A212="","",Members!$A212)</f>
        <v/>
      </c>
      <c r="B212" s="31">
        <f>IF($A212="","",$I212+SUMIF(WeeklySummary!$B$2:$B$1000,$A212,WeeklySummary!$G$2:$G$1000))</f>
        <v/>
      </c>
      <c r="C212" s="31">
        <f>IF($B212="","",MIN(100,INT(SQRT($B212))))</f>
        <v/>
      </c>
      <c r="D212" s="31">
        <f>IF($C212="","",($C212+1)^2)</f>
        <v/>
      </c>
      <c r="E212" s="31">
        <f>IF($D212="","",$D212-$B212)</f>
        <v/>
      </c>
      <c r="F212" s="31">
        <f>IF($A212="","",SUMIF(MonthlySummary!$B$2:$B$1000,$A212,MonthlySummary!$E$2:$E$1000))</f>
        <v/>
      </c>
      <c r="G212" s="31" t="n">
        <v>0</v>
      </c>
      <c r="H212" s="31">
        <f>IF($A212="","",$F212-IF($G212="",0,$G212))</f>
        <v/>
      </c>
      <c r="I212" s="31">
        <f>IF($A212="","",IFERROR(XLOOKUP($A212,SeedPlacement!$A$2:$A$1000,SeedPlacement!$N$2:$N$1000),0))</f>
        <v/>
      </c>
      <c r="J212" s="59" t="n"/>
    </row>
    <row r="213">
      <c r="A213" s="31">
        <f>IF(Members!$A213="","",Members!$A213)</f>
        <v/>
      </c>
      <c r="B213" s="31">
        <f>IF($A213="","",$I213+SUMIF(WeeklySummary!$B$2:$B$1000,$A213,WeeklySummary!$G$2:$G$1000))</f>
        <v/>
      </c>
      <c r="C213" s="31">
        <f>IF($B213="","",MIN(100,INT(SQRT($B213))))</f>
        <v/>
      </c>
      <c r="D213" s="31">
        <f>IF($C213="","",($C213+1)^2)</f>
        <v/>
      </c>
      <c r="E213" s="31">
        <f>IF($D213="","",$D213-$B213)</f>
        <v/>
      </c>
      <c r="F213" s="31">
        <f>IF($A213="","",SUMIF(MonthlySummary!$B$2:$B$1000,$A213,MonthlySummary!$E$2:$E$1000))</f>
        <v/>
      </c>
      <c r="G213" s="31" t="n">
        <v>0</v>
      </c>
      <c r="H213" s="31">
        <f>IF($A213="","",$F213-IF($G213="",0,$G213))</f>
        <v/>
      </c>
      <c r="I213" s="31">
        <f>IF($A213="","",IFERROR(XLOOKUP($A213,SeedPlacement!$A$2:$A$1000,SeedPlacement!$N$2:$N$1000),0))</f>
        <v/>
      </c>
      <c r="J213" s="59" t="n"/>
    </row>
    <row r="214">
      <c r="A214" s="31">
        <f>IF(Members!$A214="","",Members!$A214)</f>
        <v/>
      </c>
      <c r="B214" s="31">
        <f>IF($A214="","",$I214+SUMIF(WeeklySummary!$B$2:$B$1000,$A214,WeeklySummary!$G$2:$G$1000))</f>
        <v/>
      </c>
      <c r="C214" s="31">
        <f>IF($B214="","",MIN(100,INT(SQRT($B214))))</f>
        <v/>
      </c>
      <c r="D214" s="31">
        <f>IF($C214="","",($C214+1)^2)</f>
        <v/>
      </c>
      <c r="E214" s="31">
        <f>IF($D214="","",$D214-$B214)</f>
        <v/>
      </c>
      <c r="F214" s="31">
        <f>IF($A214="","",SUMIF(MonthlySummary!$B$2:$B$1000,$A214,MonthlySummary!$E$2:$E$1000))</f>
        <v/>
      </c>
      <c r="G214" s="31" t="n">
        <v>0</v>
      </c>
      <c r="H214" s="31">
        <f>IF($A214="","",$F214-IF($G214="",0,$G214))</f>
        <v/>
      </c>
      <c r="I214" s="31">
        <f>IF($A214="","",IFERROR(XLOOKUP($A214,SeedPlacement!$A$2:$A$1000,SeedPlacement!$N$2:$N$1000),0))</f>
        <v/>
      </c>
      <c r="J214" s="59" t="n"/>
    </row>
    <row r="215">
      <c r="A215" s="31">
        <f>IF(Members!$A215="","",Members!$A215)</f>
        <v/>
      </c>
      <c r="B215" s="31">
        <f>IF($A215="","",$I215+SUMIF(WeeklySummary!$B$2:$B$1000,$A215,WeeklySummary!$G$2:$G$1000))</f>
        <v/>
      </c>
      <c r="C215" s="31">
        <f>IF($B215="","",MIN(100,INT(SQRT($B215))))</f>
        <v/>
      </c>
      <c r="D215" s="31">
        <f>IF($C215="","",($C215+1)^2)</f>
        <v/>
      </c>
      <c r="E215" s="31">
        <f>IF($D215="","",$D215-$B215)</f>
        <v/>
      </c>
      <c r="F215" s="31">
        <f>IF($A215="","",SUMIF(MonthlySummary!$B$2:$B$1000,$A215,MonthlySummary!$E$2:$E$1000))</f>
        <v/>
      </c>
      <c r="G215" s="31" t="n">
        <v>0</v>
      </c>
      <c r="H215" s="31">
        <f>IF($A215="","",$F215-IF($G215="",0,$G215))</f>
        <v/>
      </c>
      <c r="I215" s="31">
        <f>IF($A215="","",IFERROR(XLOOKUP($A215,SeedPlacement!$A$2:$A$1000,SeedPlacement!$N$2:$N$1000),0))</f>
        <v/>
      </c>
      <c r="J215" s="59" t="n"/>
    </row>
    <row r="216">
      <c r="A216" s="31">
        <f>IF(Members!$A216="","",Members!$A216)</f>
        <v/>
      </c>
      <c r="B216" s="31">
        <f>IF($A216="","",$I216+SUMIF(WeeklySummary!$B$2:$B$1000,$A216,WeeklySummary!$G$2:$G$1000))</f>
        <v/>
      </c>
      <c r="C216" s="31">
        <f>IF($B216="","",MIN(100,INT(SQRT($B216))))</f>
        <v/>
      </c>
      <c r="D216" s="31">
        <f>IF($C216="","",($C216+1)^2)</f>
        <v/>
      </c>
      <c r="E216" s="31">
        <f>IF($D216="","",$D216-$B216)</f>
        <v/>
      </c>
      <c r="F216" s="31">
        <f>IF($A216="","",SUMIF(MonthlySummary!$B$2:$B$1000,$A216,MonthlySummary!$E$2:$E$1000))</f>
        <v/>
      </c>
      <c r="G216" s="31" t="n">
        <v>0</v>
      </c>
      <c r="H216" s="31">
        <f>IF($A216="","",$F216-IF($G216="",0,$G216))</f>
        <v/>
      </c>
      <c r="I216" s="31">
        <f>IF($A216="","",IFERROR(XLOOKUP($A216,SeedPlacement!$A$2:$A$1000,SeedPlacement!$N$2:$N$1000),0))</f>
        <v/>
      </c>
      <c r="J216" s="59" t="n"/>
    </row>
    <row r="217">
      <c r="A217" s="31">
        <f>IF(Members!$A217="","",Members!$A217)</f>
        <v/>
      </c>
      <c r="B217" s="31">
        <f>IF($A217="","",$I217+SUMIF(WeeklySummary!$B$2:$B$1000,$A217,WeeklySummary!$G$2:$G$1000))</f>
        <v/>
      </c>
      <c r="C217" s="31">
        <f>IF($B217="","",MIN(100,INT(SQRT($B217))))</f>
        <v/>
      </c>
      <c r="D217" s="31">
        <f>IF($C217="","",($C217+1)^2)</f>
        <v/>
      </c>
      <c r="E217" s="31">
        <f>IF($D217="","",$D217-$B217)</f>
        <v/>
      </c>
      <c r="F217" s="31">
        <f>IF($A217="","",SUMIF(MonthlySummary!$B$2:$B$1000,$A217,MonthlySummary!$E$2:$E$1000))</f>
        <v/>
      </c>
      <c r="G217" s="31" t="n">
        <v>0</v>
      </c>
      <c r="H217" s="31">
        <f>IF($A217="","",$F217-IF($G217="",0,$G217))</f>
        <v/>
      </c>
      <c r="I217" s="31">
        <f>IF($A217="","",IFERROR(XLOOKUP($A217,SeedPlacement!$A$2:$A$1000,SeedPlacement!$N$2:$N$1000),0))</f>
        <v/>
      </c>
      <c r="J217" s="59" t="n"/>
    </row>
    <row r="218">
      <c r="A218" s="31">
        <f>IF(Members!$A218="","",Members!$A218)</f>
        <v/>
      </c>
      <c r="B218" s="31">
        <f>IF($A218="","",$I218+SUMIF(WeeklySummary!$B$2:$B$1000,$A218,WeeklySummary!$G$2:$G$1000))</f>
        <v/>
      </c>
      <c r="C218" s="31">
        <f>IF($B218="","",MIN(100,INT(SQRT($B218))))</f>
        <v/>
      </c>
      <c r="D218" s="31">
        <f>IF($C218="","",($C218+1)^2)</f>
        <v/>
      </c>
      <c r="E218" s="31">
        <f>IF($D218="","",$D218-$B218)</f>
        <v/>
      </c>
      <c r="F218" s="31">
        <f>IF($A218="","",SUMIF(MonthlySummary!$B$2:$B$1000,$A218,MonthlySummary!$E$2:$E$1000))</f>
        <v/>
      </c>
      <c r="G218" s="31" t="n">
        <v>0</v>
      </c>
      <c r="H218" s="31">
        <f>IF($A218="","",$F218-IF($G218="",0,$G218))</f>
        <v/>
      </c>
      <c r="I218" s="31">
        <f>IF($A218="","",IFERROR(XLOOKUP($A218,SeedPlacement!$A$2:$A$1000,SeedPlacement!$N$2:$N$1000),0))</f>
        <v/>
      </c>
      <c r="J218" s="59" t="n"/>
    </row>
    <row r="219">
      <c r="A219" s="31">
        <f>IF(Members!$A219="","",Members!$A219)</f>
        <v/>
      </c>
      <c r="B219" s="31">
        <f>IF($A219="","",$I219+SUMIF(WeeklySummary!$B$2:$B$1000,$A219,WeeklySummary!$G$2:$G$1000))</f>
        <v/>
      </c>
      <c r="C219" s="31">
        <f>IF($B219="","",MIN(100,INT(SQRT($B219))))</f>
        <v/>
      </c>
      <c r="D219" s="31">
        <f>IF($C219="","",($C219+1)^2)</f>
        <v/>
      </c>
      <c r="E219" s="31">
        <f>IF($D219="","",$D219-$B219)</f>
        <v/>
      </c>
      <c r="F219" s="31">
        <f>IF($A219="","",SUMIF(MonthlySummary!$B$2:$B$1000,$A219,MonthlySummary!$E$2:$E$1000))</f>
        <v/>
      </c>
      <c r="G219" s="31" t="n">
        <v>0</v>
      </c>
      <c r="H219" s="31">
        <f>IF($A219="","",$F219-IF($G219="",0,$G219))</f>
        <v/>
      </c>
      <c r="I219" s="31">
        <f>IF($A219="","",IFERROR(XLOOKUP($A219,SeedPlacement!$A$2:$A$1000,SeedPlacement!$N$2:$N$1000),0))</f>
        <v/>
      </c>
      <c r="J219" s="59" t="n"/>
    </row>
    <row r="220">
      <c r="A220" s="31">
        <f>IF(Members!$A220="","",Members!$A220)</f>
        <v/>
      </c>
      <c r="B220" s="31">
        <f>IF($A220="","",$I220+SUMIF(WeeklySummary!$B$2:$B$1000,$A220,WeeklySummary!$G$2:$G$1000))</f>
        <v/>
      </c>
      <c r="C220" s="31">
        <f>IF($B220="","",MIN(100,INT(SQRT($B220))))</f>
        <v/>
      </c>
      <c r="D220" s="31">
        <f>IF($C220="","",($C220+1)^2)</f>
        <v/>
      </c>
      <c r="E220" s="31">
        <f>IF($D220="","",$D220-$B220)</f>
        <v/>
      </c>
      <c r="F220" s="31">
        <f>IF($A220="","",SUMIF(MonthlySummary!$B$2:$B$1000,$A220,MonthlySummary!$E$2:$E$1000))</f>
        <v/>
      </c>
      <c r="G220" s="31" t="n">
        <v>0</v>
      </c>
      <c r="H220" s="31">
        <f>IF($A220="","",$F220-IF($G220="",0,$G220))</f>
        <v/>
      </c>
      <c r="I220" s="31">
        <f>IF($A220="","",IFERROR(XLOOKUP($A220,SeedPlacement!$A$2:$A$1000,SeedPlacement!$N$2:$N$1000),0))</f>
        <v/>
      </c>
      <c r="J220" s="59" t="n"/>
    </row>
    <row r="221">
      <c r="A221" s="31">
        <f>IF(Members!$A221="","",Members!$A221)</f>
        <v/>
      </c>
      <c r="B221" s="31">
        <f>IF($A221="","",$I221+SUMIF(WeeklySummary!$B$2:$B$1000,$A221,WeeklySummary!$G$2:$G$1000))</f>
        <v/>
      </c>
      <c r="C221" s="31">
        <f>IF($B221="","",MIN(100,INT(SQRT($B221))))</f>
        <v/>
      </c>
      <c r="D221" s="31">
        <f>IF($C221="","",($C221+1)^2)</f>
        <v/>
      </c>
      <c r="E221" s="31">
        <f>IF($D221="","",$D221-$B221)</f>
        <v/>
      </c>
      <c r="F221" s="31">
        <f>IF($A221="","",SUMIF(MonthlySummary!$B$2:$B$1000,$A221,MonthlySummary!$E$2:$E$1000))</f>
        <v/>
      </c>
      <c r="G221" s="31" t="n">
        <v>0</v>
      </c>
      <c r="H221" s="31">
        <f>IF($A221="","",$F221-IF($G221="",0,$G221))</f>
        <v/>
      </c>
      <c r="I221" s="31">
        <f>IF($A221="","",IFERROR(XLOOKUP($A221,SeedPlacement!$A$2:$A$1000,SeedPlacement!$N$2:$N$1000),0))</f>
        <v/>
      </c>
      <c r="J221" s="59" t="n"/>
    </row>
    <row r="222">
      <c r="A222" s="31">
        <f>IF(Members!$A222="","",Members!$A222)</f>
        <v/>
      </c>
      <c r="B222" s="31">
        <f>IF($A222="","",$I222+SUMIF(WeeklySummary!$B$2:$B$1000,$A222,WeeklySummary!$G$2:$G$1000))</f>
        <v/>
      </c>
      <c r="C222" s="31">
        <f>IF($B222="","",MIN(100,INT(SQRT($B222))))</f>
        <v/>
      </c>
      <c r="D222" s="31">
        <f>IF($C222="","",($C222+1)^2)</f>
        <v/>
      </c>
      <c r="E222" s="31">
        <f>IF($D222="","",$D222-$B222)</f>
        <v/>
      </c>
      <c r="F222" s="31">
        <f>IF($A222="","",SUMIF(MonthlySummary!$B$2:$B$1000,$A222,MonthlySummary!$E$2:$E$1000))</f>
        <v/>
      </c>
      <c r="G222" s="31" t="n">
        <v>0</v>
      </c>
      <c r="H222" s="31">
        <f>IF($A222="","",$F222-IF($G222="",0,$G222))</f>
        <v/>
      </c>
      <c r="I222" s="31">
        <f>IF($A222="","",IFERROR(XLOOKUP($A222,SeedPlacement!$A$2:$A$1000,SeedPlacement!$N$2:$N$1000),0))</f>
        <v/>
      </c>
      <c r="J222" s="59" t="n"/>
    </row>
    <row r="223">
      <c r="A223" s="31">
        <f>IF(Members!$A223="","",Members!$A223)</f>
        <v/>
      </c>
      <c r="B223" s="31">
        <f>IF($A223="","",$I223+SUMIF(WeeklySummary!$B$2:$B$1000,$A223,WeeklySummary!$G$2:$G$1000))</f>
        <v/>
      </c>
      <c r="C223" s="31">
        <f>IF($B223="","",MIN(100,INT(SQRT($B223))))</f>
        <v/>
      </c>
      <c r="D223" s="31">
        <f>IF($C223="","",($C223+1)^2)</f>
        <v/>
      </c>
      <c r="E223" s="31">
        <f>IF($D223="","",$D223-$B223)</f>
        <v/>
      </c>
      <c r="F223" s="31">
        <f>IF($A223="","",SUMIF(MonthlySummary!$B$2:$B$1000,$A223,MonthlySummary!$E$2:$E$1000))</f>
        <v/>
      </c>
      <c r="G223" s="31" t="n">
        <v>0</v>
      </c>
      <c r="H223" s="31">
        <f>IF($A223="","",$F223-IF($G223="",0,$G223))</f>
        <v/>
      </c>
      <c r="I223" s="31">
        <f>IF($A223="","",IFERROR(XLOOKUP($A223,SeedPlacement!$A$2:$A$1000,SeedPlacement!$N$2:$N$1000),0))</f>
        <v/>
      </c>
      <c r="J223" s="59" t="n"/>
    </row>
    <row r="224">
      <c r="A224" s="31">
        <f>IF(Members!$A224="","",Members!$A224)</f>
        <v/>
      </c>
      <c r="B224" s="31">
        <f>IF($A224="","",$I224+SUMIF(WeeklySummary!$B$2:$B$1000,$A224,WeeklySummary!$G$2:$G$1000))</f>
        <v/>
      </c>
      <c r="C224" s="31">
        <f>IF($B224="","",MIN(100,INT(SQRT($B224))))</f>
        <v/>
      </c>
      <c r="D224" s="31">
        <f>IF($C224="","",($C224+1)^2)</f>
        <v/>
      </c>
      <c r="E224" s="31">
        <f>IF($D224="","",$D224-$B224)</f>
        <v/>
      </c>
      <c r="F224" s="31">
        <f>IF($A224="","",SUMIF(MonthlySummary!$B$2:$B$1000,$A224,MonthlySummary!$E$2:$E$1000))</f>
        <v/>
      </c>
      <c r="G224" s="31" t="n">
        <v>0</v>
      </c>
      <c r="H224" s="31">
        <f>IF($A224="","",$F224-IF($G224="",0,$G224))</f>
        <v/>
      </c>
      <c r="I224" s="31">
        <f>IF($A224="","",IFERROR(XLOOKUP($A224,SeedPlacement!$A$2:$A$1000,SeedPlacement!$N$2:$N$1000),0))</f>
        <v/>
      </c>
      <c r="J224" s="59" t="n"/>
    </row>
    <row r="225">
      <c r="A225" s="31">
        <f>IF(Members!$A225="","",Members!$A225)</f>
        <v/>
      </c>
      <c r="B225" s="31">
        <f>IF($A225="","",$I225+SUMIF(WeeklySummary!$B$2:$B$1000,$A225,WeeklySummary!$G$2:$G$1000))</f>
        <v/>
      </c>
      <c r="C225" s="31">
        <f>IF($B225="","",MIN(100,INT(SQRT($B225))))</f>
        <v/>
      </c>
      <c r="D225" s="31">
        <f>IF($C225="","",($C225+1)^2)</f>
        <v/>
      </c>
      <c r="E225" s="31">
        <f>IF($D225="","",$D225-$B225)</f>
        <v/>
      </c>
      <c r="F225" s="31">
        <f>IF($A225="","",SUMIF(MonthlySummary!$B$2:$B$1000,$A225,MonthlySummary!$E$2:$E$1000))</f>
        <v/>
      </c>
      <c r="G225" s="31" t="n">
        <v>0</v>
      </c>
      <c r="H225" s="31">
        <f>IF($A225="","",$F225-IF($G225="",0,$G225))</f>
        <v/>
      </c>
      <c r="I225" s="31">
        <f>IF($A225="","",IFERROR(XLOOKUP($A225,SeedPlacement!$A$2:$A$1000,SeedPlacement!$N$2:$N$1000),0))</f>
        <v/>
      </c>
      <c r="J225" s="59" t="n"/>
    </row>
    <row r="226">
      <c r="A226" s="31">
        <f>IF(Members!$A226="","",Members!$A226)</f>
        <v/>
      </c>
      <c r="B226" s="31">
        <f>IF($A226="","",$I226+SUMIF(WeeklySummary!$B$2:$B$1000,$A226,WeeklySummary!$G$2:$G$1000))</f>
        <v/>
      </c>
      <c r="C226" s="31">
        <f>IF($B226="","",MIN(100,INT(SQRT($B226))))</f>
        <v/>
      </c>
      <c r="D226" s="31">
        <f>IF($C226="","",($C226+1)^2)</f>
        <v/>
      </c>
      <c r="E226" s="31">
        <f>IF($D226="","",$D226-$B226)</f>
        <v/>
      </c>
      <c r="F226" s="31">
        <f>IF($A226="","",SUMIF(MonthlySummary!$B$2:$B$1000,$A226,MonthlySummary!$E$2:$E$1000))</f>
        <v/>
      </c>
      <c r="G226" s="31" t="n">
        <v>0</v>
      </c>
      <c r="H226" s="31">
        <f>IF($A226="","",$F226-IF($G226="",0,$G226))</f>
        <v/>
      </c>
      <c r="I226" s="31">
        <f>IF($A226="","",IFERROR(XLOOKUP($A226,SeedPlacement!$A$2:$A$1000,SeedPlacement!$N$2:$N$1000),0))</f>
        <v/>
      </c>
      <c r="J226" s="59" t="n"/>
    </row>
    <row r="227">
      <c r="A227" s="31">
        <f>IF(Members!$A227="","",Members!$A227)</f>
        <v/>
      </c>
      <c r="B227" s="31">
        <f>IF($A227="","",$I227+SUMIF(WeeklySummary!$B$2:$B$1000,$A227,WeeklySummary!$G$2:$G$1000))</f>
        <v/>
      </c>
      <c r="C227" s="31">
        <f>IF($B227="","",MIN(100,INT(SQRT($B227))))</f>
        <v/>
      </c>
      <c r="D227" s="31">
        <f>IF($C227="","",($C227+1)^2)</f>
        <v/>
      </c>
      <c r="E227" s="31">
        <f>IF($D227="","",$D227-$B227)</f>
        <v/>
      </c>
      <c r="F227" s="31">
        <f>IF($A227="","",SUMIF(MonthlySummary!$B$2:$B$1000,$A227,MonthlySummary!$E$2:$E$1000))</f>
        <v/>
      </c>
      <c r="G227" s="31" t="n">
        <v>0</v>
      </c>
      <c r="H227" s="31">
        <f>IF($A227="","",$F227-IF($G227="",0,$G227))</f>
        <v/>
      </c>
      <c r="I227" s="31">
        <f>IF($A227="","",IFERROR(XLOOKUP($A227,SeedPlacement!$A$2:$A$1000,SeedPlacement!$N$2:$N$1000),0))</f>
        <v/>
      </c>
      <c r="J227" s="59" t="n"/>
    </row>
    <row r="228">
      <c r="A228" s="31">
        <f>IF(Members!$A228="","",Members!$A228)</f>
        <v/>
      </c>
      <c r="B228" s="31">
        <f>IF($A228="","",$I228+SUMIF(WeeklySummary!$B$2:$B$1000,$A228,WeeklySummary!$G$2:$G$1000))</f>
        <v/>
      </c>
      <c r="C228" s="31">
        <f>IF($B228="","",MIN(100,INT(SQRT($B228))))</f>
        <v/>
      </c>
      <c r="D228" s="31">
        <f>IF($C228="","",($C228+1)^2)</f>
        <v/>
      </c>
      <c r="E228" s="31">
        <f>IF($D228="","",$D228-$B228)</f>
        <v/>
      </c>
      <c r="F228" s="31">
        <f>IF($A228="","",SUMIF(MonthlySummary!$B$2:$B$1000,$A228,MonthlySummary!$E$2:$E$1000))</f>
        <v/>
      </c>
      <c r="G228" s="31" t="n">
        <v>0</v>
      </c>
      <c r="H228" s="31">
        <f>IF($A228="","",$F228-IF($G228="",0,$G228))</f>
        <v/>
      </c>
      <c r="I228" s="31">
        <f>IF($A228="","",IFERROR(XLOOKUP($A228,SeedPlacement!$A$2:$A$1000,SeedPlacement!$N$2:$N$1000),0))</f>
        <v/>
      </c>
      <c r="J228" s="59" t="n"/>
    </row>
    <row r="229">
      <c r="A229" s="31">
        <f>IF(Members!$A229="","",Members!$A229)</f>
        <v/>
      </c>
      <c r="B229" s="31">
        <f>IF($A229="","",$I229+SUMIF(WeeklySummary!$B$2:$B$1000,$A229,WeeklySummary!$G$2:$G$1000))</f>
        <v/>
      </c>
      <c r="C229" s="31">
        <f>IF($B229="","",MIN(100,INT(SQRT($B229))))</f>
        <v/>
      </c>
      <c r="D229" s="31">
        <f>IF($C229="","",($C229+1)^2)</f>
        <v/>
      </c>
      <c r="E229" s="31">
        <f>IF($D229="","",$D229-$B229)</f>
        <v/>
      </c>
      <c r="F229" s="31">
        <f>IF($A229="","",SUMIF(MonthlySummary!$B$2:$B$1000,$A229,MonthlySummary!$E$2:$E$1000))</f>
        <v/>
      </c>
      <c r="G229" s="31" t="n">
        <v>0</v>
      </c>
      <c r="H229" s="31">
        <f>IF($A229="","",$F229-IF($G229="",0,$G229))</f>
        <v/>
      </c>
      <c r="I229" s="31">
        <f>IF($A229="","",IFERROR(XLOOKUP($A229,SeedPlacement!$A$2:$A$1000,SeedPlacement!$N$2:$N$1000),0))</f>
        <v/>
      </c>
      <c r="J229" s="59" t="n"/>
    </row>
    <row r="230">
      <c r="A230" s="31">
        <f>IF(Members!$A230="","",Members!$A230)</f>
        <v/>
      </c>
      <c r="B230" s="31">
        <f>IF($A230="","",$I230+SUMIF(WeeklySummary!$B$2:$B$1000,$A230,WeeklySummary!$G$2:$G$1000))</f>
        <v/>
      </c>
      <c r="C230" s="31">
        <f>IF($B230="","",MIN(100,INT(SQRT($B230))))</f>
        <v/>
      </c>
      <c r="D230" s="31">
        <f>IF($C230="","",($C230+1)^2)</f>
        <v/>
      </c>
      <c r="E230" s="31">
        <f>IF($D230="","",$D230-$B230)</f>
        <v/>
      </c>
      <c r="F230" s="31">
        <f>IF($A230="","",SUMIF(MonthlySummary!$B$2:$B$1000,$A230,MonthlySummary!$E$2:$E$1000))</f>
        <v/>
      </c>
      <c r="G230" s="31" t="n">
        <v>0</v>
      </c>
      <c r="H230" s="31">
        <f>IF($A230="","",$F230-IF($G230="",0,$G230))</f>
        <v/>
      </c>
      <c r="I230" s="31">
        <f>IF($A230="","",IFERROR(XLOOKUP($A230,SeedPlacement!$A$2:$A$1000,SeedPlacement!$N$2:$N$1000),0))</f>
        <v/>
      </c>
      <c r="J230" s="59" t="n"/>
    </row>
    <row r="231">
      <c r="A231" s="31">
        <f>IF(Members!$A231="","",Members!$A231)</f>
        <v/>
      </c>
      <c r="B231" s="31">
        <f>IF($A231="","",$I231+SUMIF(WeeklySummary!$B$2:$B$1000,$A231,WeeklySummary!$G$2:$G$1000))</f>
        <v/>
      </c>
      <c r="C231" s="31">
        <f>IF($B231="","",MIN(100,INT(SQRT($B231))))</f>
        <v/>
      </c>
      <c r="D231" s="31">
        <f>IF($C231="","",($C231+1)^2)</f>
        <v/>
      </c>
      <c r="E231" s="31">
        <f>IF($D231="","",$D231-$B231)</f>
        <v/>
      </c>
      <c r="F231" s="31">
        <f>IF($A231="","",SUMIF(MonthlySummary!$B$2:$B$1000,$A231,MonthlySummary!$E$2:$E$1000))</f>
        <v/>
      </c>
      <c r="G231" s="31" t="n">
        <v>0</v>
      </c>
      <c r="H231" s="31">
        <f>IF($A231="","",$F231-IF($G231="",0,$G231))</f>
        <v/>
      </c>
      <c r="I231" s="31">
        <f>IF($A231="","",IFERROR(XLOOKUP($A231,SeedPlacement!$A$2:$A$1000,SeedPlacement!$N$2:$N$1000),0))</f>
        <v/>
      </c>
      <c r="J231" s="59" t="n"/>
    </row>
    <row r="232">
      <c r="A232" s="31">
        <f>IF(Members!$A232="","",Members!$A232)</f>
        <v/>
      </c>
      <c r="B232" s="31">
        <f>IF($A232="","",$I232+SUMIF(WeeklySummary!$B$2:$B$1000,$A232,WeeklySummary!$G$2:$G$1000))</f>
        <v/>
      </c>
      <c r="C232" s="31">
        <f>IF($B232="","",MIN(100,INT(SQRT($B232))))</f>
        <v/>
      </c>
      <c r="D232" s="31">
        <f>IF($C232="","",($C232+1)^2)</f>
        <v/>
      </c>
      <c r="E232" s="31">
        <f>IF($D232="","",$D232-$B232)</f>
        <v/>
      </c>
      <c r="F232" s="31">
        <f>IF($A232="","",SUMIF(MonthlySummary!$B$2:$B$1000,$A232,MonthlySummary!$E$2:$E$1000))</f>
        <v/>
      </c>
      <c r="G232" s="31" t="n">
        <v>0</v>
      </c>
      <c r="H232" s="31">
        <f>IF($A232="","",$F232-IF($G232="",0,$G232))</f>
        <v/>
      </c>
      <c r="I232" s="31">
        <f>IF($A232="","",IFERROR(XLOOKUP($A232,SeedPlacement!$A$2:$A$1000,SeedPlacement!$N$2:$N$1000),0))</f>
        <v/>
      </c>
      <c r="J232" s="59" t="n"/>
    </row>
    <row r="233">
      <c r="A233" s="31">
        <f>IF(Members!$A233="","",Members!$A233)</f>
        <v/>
      </c>
      <c r="B233" s="31">
        <f>IF($A233="","",$I233+SUMIF(WeeklySummary!$B$2:$B$1000,$A233,WeeklySummary!$G$2:$G$1000))</f>
        <v/>
      </c>
      <c r="C233" s="31">
        <f>IF($B233="","",MIN(100,INT(SQRT($B233))))</f>
        <v/>
      </c>
      <c r="D233" s="31">
        <f>IF($C233="","",($C233+1)^2)</f>
        <v/>
      </c>
      <c r="E233" s="31">
        <f>IF($D233="","",$D233-$B233)</f>
        <v/>
      </c>
      <c r="F233" s="31">
        <f>IF($A233="","",SUMIF(MonthlySummary!$B$2:$B$1000,$A233,MonthlySummary!$E$2:$E$1000))</f>
        <v/>
      </c>
      <c r="G233" s="31" t="n">
        <v>0</v>
      </c>
      <c r="H233" s="31">
        <f>IF($A233="","",$F233-IF($G233="",0,$G233))</f>
        <v/>
      </c>
      <c r="I233" s="31">
        <f>IF($A233="","",IFERROR(XLOOKUP($A233,SeedPlacement!$A$2:$A$1000,SeedPlacement!$N$2:$N$1000),0))</f>
        <v/>
      </c>
      <c r="J233" s="59" t="n"/>
    </row>
    <row r="234">
      <c r="A234" s="31">
        <f>IF(Members!$A234="","",Members!$A234)</f>
        <v/>
      </c>
      <c r="B234" s="31">
        <f>IF($A234="","",$I234+SUMIF(WeeklySummary!$B$2:$B$1000,$A234,WeeklySummary!$G$2:$G$1000))</f>
        <v/>
      </c>
      <c r="C234" s="31">
        <f>IF($B234="","",MIN(100,INT(SQRT($B234))))</f>
        <v/>
      </c>
      <c r="D234" s="31">
        <f>IF($C234="","",($C234+1)^2)</f>
        <v/>
      </c>
      <c r="E234" s="31">
        <f>IF($D234="","",$D234-$B234)</f>
        <v/>
      </c>
      <c r="F234" s="31">
        <f>IF($A234="","",SUMIF(MonthlySummary!$B$2:$B$1000,$A234,MonthlySummary!$E$2:$E$1000))</f>
        <v/>
      </c>
      <c r="G234" s="31" t="n">
        <v>0</v>
      </c>
      <c r="H234" s="31">
        <f>IF($A234="","",$F234-IF($G234="",0,$G234))</f>
        <v/>
      </c>
      <c r="I234" s="31">
        <f>IF($A234="","",IFERROR(XLOOKUP($A234,SeedPlacement!$A$2:$A$1000,SeedPlacement!$N$2:$N$1000),0))</f>
        <v/>
      </c>
      <c r="J234" s="59" t="n"/>
    </row>
    <row r="235">
      <c r="A235" s="31">
        <f>IF(Members!$A235="","",Members!$A235)</f>
        <v/>
      </c>
      <c r="B235" s="31">
        <f>IF($A235="","",$I235+SUMIF(WeeklySummary!$B$2:$B$1000,$A235,WeeklySummary!$G$2:$G$1000))</f>
        <v/>
      </c>
      <c r="C235" s="31">
        <f>IF($B235="","",MIN(100,INT(SQRT($B235))))</f>
        <v/>
      </c>
      <c r="D235" s="31">
        <f>IF($C235="","",($C235+1)^2)</f>
        <v/>
      </c>
      <c r="E235" s="31">
        <f>IF($D235="","",$D235-$B235)</f>
        <v/>
      </c>
      <c r="F235" s="31">
        <f>IF($A235="","",SUMIF(MonthlySummary!$B$2:$B$1000,$A235,MonthlySummary!$E$2:$E$1000))</f>
        <v/>
      </c>
      <c r="G235" s="31" t="n">
        <v>0</v>
      </c>
      <c r="H235" s="31">
        <f>IF($A235="","",$F235-IF($G235="",0,$G235))</f>
        <v/>
      </c>
      <c r="I235" s="31">
        <f>IF($A235="","",IFERROR(XLOOKUP($A235,SeedPlacement!$A$2:$A$1000,SeedPlacement!$N$2:$N$1000),0))</f>
        <v/>
      </c>
      <c r="J235" s="59" t="n"/>
    </row>
    <row r="236">
      <c r="A236" s="31">
        <f>IF(Members!$A236="","",Members!$A236)</f>
        <v/>
      </c>
      <c r="B236" s="31">
        <f>IF($A236="","",$I236+SUMIF(WeeklySummary!$B$2:$B$1000,$A236,WeeklySummary!$G$2:$G$1000))</f>
        <v/>
      </c>
      <c r="C236" s="31">
        <f>IF($B236="","",MIN(100,INT(SQRT($B236))))</f>
        <v/>
      </c>
      <c r="D236" s="31">
        <f>IF($C236="","",($C236+1)^2)</f>
        <v/>
      </c>
      <c r="E236" s="31">
        <f>IF($D236="","",$D236-$B236)</f>
        <v/>
      </c>
      <c r="F236" s="31">
        <f>IF($A236="","",SUMIF(MonthlySummary!$B$2:$B$1000,$A236,MonthlySummary!$E$2:$E$1000))</f>
        <v/>
      </c>
      <c r="G236" s="31" t="n">
        <v>0</v>
      </c>
      <c r="H236" s="31">
        <f>IF($A236="","",$F236-IF($G236="",0,$G236))</f>
        <v/>
      </c>
      <c r="I236" s="31">
        <f>IF($A236="","",IFERROR(XLOOKUP($A236,SeedPlacement!$A$2:$A$1000,SeedPlacement!$N$2:$N$1000),0))</f>
        <v/>
      </c>
      <c r="J236" s="59" t="n"/>
    </row>
    <row r="237">
      <c r="A237" s="31">
        <f>IF(Members!$A237="","",Members!$A237)</f>
        <v/>
      </c>
      <c r="B237" s="31">
        <f>IF($A237="","",$I237+SUMIF(WeeklySummary!$B$2:$B$1000,$A237,WeeklySummary!$G$2:$G$1000))</f>
        <v/>
      </c>
      <c r="C237" s="31">
        <f>IF($B237="","",MIN(100,INT(SQRT($B237))))</f>
        <v/>
      </c>
      <c r="D237" s="31">
        <f>IF($C237="","",($C237+1)^2)</f>
        <v/>
      </c>
      <c r="E237" s="31">
        <f>IF($D237="","",$D237-$B237)</f>
        <v/>
      </c>
      <c r="F237" s="31">
        <f>IF($A237="","",SUMIF(MonthlySummary!$B$2:$B$1000,$A237,MonthlySummary!$E$2:$E$1000))</f>
        <v/>
      </c>
      <c r="G237" s="31" t="n">
        <v>0</v>
      </c>
      <c r="H237" s="31">
        <f>IF($A237="","",$F237-IF($G237="",0,$G237))</f>
        <v/>
      </c>
      <c r="I237" s="31">
        <f>IF($A237="","",IFERROR(XLOOKUP($A237,SeedPlacement!$A$2:$A$1000,SeedPlacement!$N$2:$N$1000),0))</f>
        <v/>
      </c>
      <c r="J237" s="59" t="n"/>
    </row>
    <row r="238">
      <c r="A238" s="31">
        <f>IF(Members!$A238="","",Members!$A238)</f>
        <v/>
      </c>
      <c r="B238" s="31">
        <f>IF($A238="","",$I238+SUMIF(WeeklySummary!$B$2:$B$1000,$A238,WeeklySummary!$G$2:$G$1000))</f>
        <v/>
      </c>
      <c r="C238" s="31">
        <f>IF($B238="","",MIN(100,INT(SQRT($B238))))</f>
        <v/>
      </c>
      <c r="D238" s="31">
        <f>IF($C238="","",($C238+1)^2)</f>
        <v/>
      </c>
      <c r="E238" s="31">
        <f>IF($D238="","",$D238-$B238)</f>
        <v/>
      </c>
      <c r="F238" s="31">
        <f>IF($A238="","",SUMIF(MonthlySummary!$B$2:$B$1000,$A238,MonthlySummary!$E$2:$E$1000))</f>
        <v/>
      </c>
      <c r="G238" s="31" t="n">
        <v>0</v>
      </c>
      <c r="H238" s="31">
        <f>IF($A238="","",$F238-IF($G238="",0,$G238))</f>
        <v/>
      </c>
      <c r="I238" s="31">
        <f>IF($A238="","",IFERROR(XLOOKUP($A238,SeedPlacement!$A$2:$A$1000,SeedPlacement!$N$2:$N$1000),0))</f>
        <v/>
      </c>
      <c r="J238" s="59" t="n"/>
    </row>
    <row r="239">
      <c r="A239" s="31">
        <f>IF(Members!$A239="","",Members!$A239)</f>
        <v/>
      </c>
      <c r="B239" s="31">
        <f>IF($A239="","",$I239+SUMIF(WeeklySummary!$B$2:$B$1000,$A239,WeeklySummary!$G$2:$G$1000))</f>
        <v/>
      </c>
      <c r="C239" s="31">
        <f>IF($B239="","",MIN(100,INT(SQRT($B239))))</f>
        <v/>
      </c>
      <c r="D239" s="31">
        <f>IF($C239="","",($C239+1)^2)</f>
        <v/>
      </c>
      <c r="E239" s="31">
        <f>IF($D239="","",$D239-$B239)</f>
        <v/>
      </c>
      <c r="F239" s="31">
        <f>IF($A239="","",SUMIF(MonthlySummary!$B$2:$B$1000,$A239,MonthlySummary!$E$2:$E$1000))</f>
        <v/>
      </c>
      <c r="G239" s="31" t="n">
        <v>0</v>
      </c>
      <c r="H239" s="31">
        <f>IF($A239="","",$F239-IF($G239="",0,$G239))</f>
        <v/>
      </c>
      <c r="I239" s="31">
        <f>IF($A239="","",IFERROR(XLOOKUP($A239,SeedPlacement!$A$2:$A$1000,SeedPlacement!$N$2:$N$1000),0))</f>
        <v/>
      </c>
      <c r="J239" s="59" t="n"/>
    </row>
    <row r="240">
      <c r="A240" s="31">
        <f>IF(Members!$A240="","",Members!$A240)</f>
        <v/>
      </c>
      <c r="B240" s="31">
        <f>IF($A240="","",$I240+SUMIF(WeeklySummary!$B$2:$B$1000,$A240,WeeklySummary!$G$2:$G$1000))</f>
        <v/>
      </c>
      <c r="C240" s="31">
        <f>IF($B240="","",MIN(100,INT(SQRT($B240))))</f>
        <v/>
      </c>
      <c r="D240" s="31">
        <f>IF($C240="","",($C240+1)^2)</f>
        <v/>
      </c>
      <c r="E240" s="31">
        <f>IF($D240="","",$D240-$B240)</f>
        <v/>
      </c>
      <c r="F240" s="31">
        <f>IF($A240="","",SUMIF(MonthlySummary!$B$2:$B$1000,$A240,MonthlySummary!$E$2:$E$1000))</f>
        <v/>
      </c>
      <c r="G240" s="31" t="n">
        <v>0</v>
      </c>
      <c r="H240" s="31">
        <f>IF($A240="","",$F240-IF($G240="",0,$G240))</f>
        <v/>
      </c>
      <c r="I240" s="31">
        <f>IF($A240="","",IFERROR(XLOOKUP($A240,SeedPlacement!$A$2:$A$1000,SeedPlacement!$N$2:$N$1000),0))</f>
        <v/>
      </c>
      <c r="J240" s="59" t="n"/>
    </row>
    <row r="241">
      <c r="A241" s="31">
        <f>IF(Members!$A241="","",Members!$A241)</f>
        <v/>
      </c>
      <c r="B241" s="31">
        <f>IF($A241="","",$I241+SUMIF(WeeklySummary!$B$2:$B$1000,$A241,WeeklySummary!$G$2:$G$1000))</f>
        <v/>
      </c>
      <c r="C241" s="31">
        <f>IF($B241="","",MIN(100,INT(SQRT($B241))))</f>
        <v/>
      </c>
      <c r="D241" s="31">
        <f>IF($C241="","",($C241+1)^2)</f>
        <v/>
      </c>
      <c r="E241" s="31">
        <f>IF($D241="","",$D241-$B241)</f>
        <v/>
      </c>
      <c r="F241" s="31">
        <f>IF($A241="","",SUMIF(MonthlySummary!$B$2:$B$1000,$A241,MonthlySummary!$E$2:$E$1000))</f>
        <v/>
      </c>
      <c r="G241" s="31" t="n">
        <v>0</v>
      </c>
      <c r="H241" s="31">
        <f>IF($A241="","",$F241-IF($G241="",0,$G241))</f>
        <v/>
      </c>
      <c r="I241" s="31">
        <f>IF($A241="","",IFERROR(XLOOKUP($A241,SeedPlacement!$A$2:$A$1000,SeedPlacement!$N$2:$N$1000),0))</f>
        <v/>
      </c>
      <c r="J241" s="59" t="n"/>
    </row>
    <row r="242">
      <c r="A242" s="31">
        <f>IF(Members!$A242="","",Members!$A242)</f>
        <v/>
      </c>
      <c r="B242" s="31">
        <f>IF($A242="","",$I242+SUMIF(WeeklySummary!$B$2:$B$1000,$A242,WeeklySummary!$G$2:$G$1000))</f>
        <v/>
      </c>
      <c r="C242" s="31">
        <f>IF($B242="","",MIN(100,INT(SQRT($B242))))</f>
        <v/>
      </c>
      <c r="D242" s="31">
        <f>IF($C242="","",($C242+1)^2)</f>
        <v/>
      </c>
      <c r="E242" s="31">
        <f>IF($D242="","",$D242-$B242)</f>
        <v/>
      </c>
      <c r="F242" s="31">
        <f>IF($A242="","",SUMIF(MonthlySummary!$B$2:$B$1000,$A242,MonthlySummary!$E$2:$E$1000))</f>
        <v/>
      </c>
      <c r="G242" s="31" t="n">
        <v>0</v>
      </c>
      <c r="H242" s="31">
        <f>IF($A242="","",$F242-IF($G242="",0,$G242))</f>
        <v/>
      </c>
      <c r="I242" s="31">
        <f>IF($A242="","",IFERROR(XLOOKUP($A242,SeedPlacement!$A$2:$A$1000,SeedPlacement!$N$2:$N$1000),0))</f>
        <v/>
      </c>
      <c r="J242" s="59" t="n"/>
    </row>
    <row r="243">
      <c r="A243" s="31">
        <f>IF(Members!$A243="","",Members!$A243)</f>
        <v/>
      </c>
      <c r="B243" s="31">
        <f>IF($A243="","",$I243+SUMIF(WeeklySummary!$B$2:$B$1000,$A243,WeeklySummary!$G$2:$G$1000))</f>
        <v/>
      </c>
      <c r="C243" s="31">
        <f>IF($B243="","",MIN(100,INT(SQRT($B243))))</f>
        <v/>
      </c>
      <c r="D243" s="31">
        <f>IF($C243="","",($C243+1)^2)</f>
        <v/>
      </c>
      <c r="E243" s="31">
        <f>IF($D243="","",$D243-$B243)</f>
        <v/>
      </c>
      <c r="F243" s="31">
        <f>IF($A243="","",SUMIF(MonthlySummary!$B$2:$B$1000,$A243,MonthlySummary!$E$2:$E$1000))</f>
        <v/>
      </c>
      <c r="G243" s="31" t="n">
        <v>0</v>
      </c>
      <c r="H243" s="31">
        <f>IF($A243="","",$F243-IF($G243="",0,$G243))</f>
        <v/>
      </c>
      <c r="I243" s="31">
        <f>IF($A243="","",IFERROR(XLOOKUP($A243,SeedPlacement!$A$2:$A$1000,SeedPlacement!$N$2:$N$1000),0))</f>
        <v/>
      </c>
      <c r="J243" s="59" t="n"/>
    </row>
    <row r="244">
      <c r="A244" s="31">
        <f>IF(Members!$A244="","",Members!$A244)</f>
        <v/>
      </c>
      <c r="B244" s="31">
        <f>IF($A244="","",$I244+SUMIF(WeeklySummary!$B$2:$B$1000,$A244,WeeklySummary!$G$2:$G$1000))</f>
        <v/>
      </c>
      <c r="C244" s="31">
        <f>IF($B244="","",MIN(100,INT(SQRT($B244))))</f>
        <v/>
      </c>
      <c r="D244" s="31">
        <f>IF($C244="","",($C244+1)^2)</f>
        <v/>
      </c>
      <c r="E244" s="31">
        <f>IF($D244="","",$D244-$B244)</f>
        <v/>
      </c>
      <c r="F244" s="31">
        <f>IF($A244="","",SUMIF(MonthlySummary!$B$2:$B$1000,$A244,MonthlySummary!$E$2:$E$1000))</f>
        <v/>
      </c>
      <c r="G244" s="31" t="n">
        <v>0</v>
      </c>
      <c r="H244" s="31">
        <f>IF($A244="","",$F244-IF($G244="",0,$G244))</f>
        <v/>
      </c>
      <c r="I244" s="31">
        <f>IF($A244="","",IFERROR(XLOOKUP($A244,SeedPlacement!$A$2:$A$1000,SeedPlacement!$N$2:$N$1000),0))</f>
        <v/>
      </c>
      <c r="J244" s="59" t="n"/>
    </row>
    <row r="245">
      <c r="A245" s="31">
        <f>IF(Members!$A245="","",Members!$A245)</f>
        <v/>
      </c>
      <c r="B245" s="31">
        <f>IF($A245="","",$I245+SUMIF(WeeklySummary!$B$2:$B$1000,$A245,WeeklySummary!$G$2:$G$1000))</f>
        <v/>
      </c>
      <c r="C245" s="31">
        <f>IF($B245="","",MIN(100,INT(SQRT($B245))))</f>
        <v/>
      </c>
      <c r="D245" s="31">
        <f>IF($C245="","",($C245+1)^2)</f>
        <v/>
      </c>
      <c r="E245" s="31">
        <f>IF($D245="","",$D245-$B245)</f>
        <v/>
      </c>
      <c r="F245" s="31">
        <f>IF($A245="","",SUMIF(MonthlySummary!$B$2:$B$1000,$A245,MonthlySummary!$E$2:$E$1000))</f>
        <v/>
      </c>
      <c r="G245" s="31" t="n">
        <v>0</v>
      </c>
      <c r="H245" s="31">
        <f>IF($A245="","",$F245-IF($G245="",0,$G245))</f>
        <v/>
      </c>
      <c r="I245" s="31">
        <f>IF($A245="","",IFERROR(XLOOKUP($A245,SeedPlacement!$A$2:$A$1000,SeedPlacement!$N$2:$N$1000),0))</f>
        <v/>
      </c>
      <c r="J245" s="59" t="n"/>
    </row>
    <row r="246">
      <c r="A246" s="31">
        <f>IF(Members!$A246="","",Members!$A246)</f>
        <v/>
      </c>
      <c r="B246" s="31">
        <f>IF($A246="","",$I246+SUMIF(WeeklySummary!$B$2:$B$1000,$A246,WeeklySummary!$G$2:$G$1000))</f>
        <v/>
      </c>
      <c r="C246" s="31">
        <f>IF($B246="","",MIN(100,INT(SQRT($B246))))</f>
        <v/>
      </c>
      <c r="D246" s="31">
        <f>IF($C246="","",($C246+1)^2)</f>
        <v/>
      </c>
      <c r="E246" s="31">
        <f>IF($D246="","",$D246-$B246)</f>
        <v/>
      </c>
      <c r="F246" s="31">
        <f>IF($A246="","",SUMIF(MonthlySummary!$B$2:$B$1000,$A246,MonthlySummary!$E$2:$E$1000))</f>
        <v/>
      </c>
      <c r="G246" s="31" t="n">
        <v>0</v>
      </c>
      <c r="H246" s="31">
        <f>IF($A246="","",$F246-IF($G246="",0,$G246))</f>
        <v/>
      </c>
      <c r="I246" s="31">
        <f>IF($A246="","",IFERROR(XLOOKUP($A246,SeedPlacement!$A$2:$A$1000,SeedPlacement!$N$2:$N$1000),0))</f>
        <v/>
      </c>
      <c r="J246" s="59" t="n"/>
    </row>
    <row r="247">
      <c r="A247" s="31">
        <f>IF(Members!$A247="","",Members!$A247)</f>
        <v/>
      </c>
      <c r="B247" s="31">
        <f>IF($A247="","",$I247+SUMIF(WeeklySummary!$B$2:$B$1000,$A247,WeeklySummary!$G$2:$G$1000))</f>
        <v/>
      </c>
      <c r="C247" s="31">
        <f>IF($B247="","",MIN(100,INT(SQRT($B247))))</f>
        <v/>
      </c>
      <c r="D247" s="31">
        <f>IF($C247="","",($C247+1)^2)</f>
        <v/>
      </c>
      <c r="E247" s="31">
        <f>IF($D247="","",$D247-$B247)</f>
        <v/>
      </c>
      <c r="F247" s="31">
        <f>IF($A247="","",SUMIF(MonthlySummary!$B$2:$B$1000,$A247,MonthlySummary!$E$2:$E$1000))</f>
        <v/>
      </c>
      <c r="G247" s="31" t="n">
        <v>0</v>
      </c>
      <c r="H247" s="31">
        <f>IF($A247="","",$F247-IF($G247="",0,$G247))</f>
        <v/>
      </c>
      <c r="I247" s="31">
        <f>IF($A247="","",IFERROR(XLOOKUP($A247,SeedPlacement!$A$2:$A$1000,SeedPlacement!$N$2:$N$1000),0))</f>
        <v/>
      </c>
      <c r="J247" s="59" t="n"/>
    </row>
    <row r="248">
      <c r="A248" s="31">
        <f>IF(Members!$A248="","",Members!$A248)</f>
        <v/>
      </c>
      <c r="B248" s="31">
        <f>IF($A248="","",$I248+SUMIF(WeeklySummary!$B$2:$B$1000,$A248,WeeklySummary!$G$2:$G$1000))</f>
        <v/>
      </c>
      <c r="C248" s="31">
        <f>IF($B248="","",MIN(100,INT(SQRT($B248))))</f>
        <v/>
      </c>
      <c r="D248" s="31">
        <f>IF($C248="","",($C248+1)^2)</f>
        <v/>
      </c>
      <c r="E248" s="31">
        <f>IF($D248="","",$D248-$B248)</f>
        <v/>
      </c>
      <c r="F248" s="31">
        <f>IF($A248="","",SUMIF(MonthlySummary!$B$2:$B$1000,$A248,MonthlySummary!$E$2:$E$1000))</f>
        <v/>
      </c>
      <c r="G248" s="31" t="n">
        <v>0</v>
      </c>
      <c r="H248" s="31">
        <f>IF($A248="","",$F248-IF($G248="",0,$G248))</f>
        <v/>
      </c>
      <c r="I248" s="31">
        <f>IF($A248="","",IFERROR(XLOOKUP($A248,SeedPlacement!$A$2:$A$1000,SeedPlacement!$N$2:$N$1000),0))</f>
        <v/>
      </c>
      <c r="J248" s="59" t="n"/>
    </row>
    <row r="249">
      <c r="A249" s="31">
        <f>IF(Members!$A249="","",Members!$A249)</f>
        <v/>
      </c>
      <c r="B249" s="31">
        <f>IF($A249="","",$I249+SUMIF(WeeklySummary!$B$2:$B$1000,$A249,WeeklySummary!$G$2:$G$1000))</f>
        <v/>
      </c>
      <c r="C249" s="31">
        <f>IF($B249="","",MIN(100,INT(SQRT($B249))))</f>
        <v/>
      </c>
      <c r="D249" s="31">
        <f>IF($C249="","",($C249+1)^2)</f>
        <v/>
      </c>
      <c r="E249" s="31">
        <f>IF($D249="","",$D249-$B249)</f>
        <v/>
      </c>
      <c r="F249" s="31">
        <f>IF($A249="","",SUMIF(MonthlySummary!$B$2:$B$1000,$A249,MonthlySummary!$E$2:$E$1000))</f>
        <v/>
      </c>
      <c r="G249" s="31" t="n">
        <v>0</v>
      </c>
      <c r="H249" s="31">
        <f>IF($A249="","",$F249-IF($G249="",0,$G249))</f>
        <v/>
      </c>
      <c r="I249" s="31">
        <f>IF($A249="","",IFERROR(XLOOKUP($A249,SeedPlacement!$A$2:$A$1000,SeedPlacement!$N$2:$N$1000),0))</f>
        <v/>
      </c>
      <c r="J249" s="59" t="n"/>
    </row>
    <row r="250">
      <c r="A250" s="31">
        <f>IF(Members!$A250="","",Members!$A250)</f>
        <v/>
      </c>
      <c r="B250" s="31">
        <f>IF($A250="","",$I250+SUMIF(WeeklySummary!$B$2:$B$1000,$A250,WeeklySummary!$G$2:$G$1000))</f>
        <v/>
      </c>
      <c r="C250" s="31">
        <f>IF($B250="","",MIN(100,INT(SQRT($B250))))</f>
        <v/>
      </c>
      <c r="D250" s="31">
        <f>IF($C250="","",($C250+1)^2)</f>
        <v/>
      </c>
      <c r="E250" s="31">
        <f>IF($D250="","",$D250-$B250)</f>
        <v/>
      </c>
      <c r="F250" s="31">
        <f>IF($A250="","",SUMIF(MonthlySummary!$B$2:$B$1000,$A250,MonthlySummary!$E$2:$E$1000))</f>
        <v/>
      </c>
      <c r="G250" s="31" t="n">
        <v>0</v>
      </c>
      <c r="H250" s="31">
        <f>IF($A250="","",$F250-IF($G250="",0,$G250))</f>
        <v/>
      </c>
      <c r="I250" s="31">
        <f>IF($A250="","",IFERROR(XLOOKUP($A250,SeedPlacement!$A$2:$A$1000,SeedPlacement!$N$2:$N$1000),0))</f>
        <v/>
      </c>
      <c r="J250" s="59" t="n"/>
    </row>
    <row r="251">
      <c r="A251" s="31">
        <f>IF(Members!$A251="","",Members!$A251)</f>
        <v/>
      </c>
      <c r="B251" s="31">
        <f>IF($A251="","",$I251+SUMIF(WeeklySummary!$B$2:$B$1000,$A251,WeeklySummary!$G$2:$G$1000))</f>
        <v/>
      </c>
      <c r="C251" s="31">
        <f>IF($B251="","",MIN(100,INT(SQRT($B251))))</f>
        <v/>
      </c>
      <c r="D251" s="31">
        <f>IF($C251="","",($C251+1)^2)</f>
        <v/>
      </c>
      <c r="E251" s="31">
        <f>IF($D251="","",$D251-$B251)</f>
        <v/>
      </c>
      <c r="F251" s="31">
        <f>IF($A251="","",SUMIF(MonthlySummary!$B$2:$B$1000,$A251,MonthlySummary!$E$2:$E$1000))</f>
        <v/>
      </c>
      <c r="G251" s="31" t="n">
        <v>0</v>
      </c>
      <c r="H251" s="31">
        <f>IF($A251="","",$F251-IF($G251="",0,$G251))</f>
        <v/>
      </c>
      <c r="I251" s="31">
        <f>IF($A251="","",IFERROR(XLOOKUP($A251,SeedPlacement!$A$2:$A$1000,SeedPlacement!$N$2:$N$1000),0))</f>
        <v/>
      </c>
      <c r="J251" s="59" t="n"/>
    </row>
    <row r="252">
      <c r="A252" s="31">
        <f>IF(Members!$A252="","",Members!$A252)</f>
        <v/>
      </c>
      <c r="B252" s="31">
        <f>IF($A252="","",$I252+SUMIF(WeeklySummary!$B$2:$B$1000,$A252,WeeklySummary!$G$2:$G$1000))</f>
        <v/>
      </c>
      <c r="C252" s="31">
        <f>IF($B252="","",MIN(100,INT(SQRT($B252))))</f>
        <v/>
      </c>
      <c r="D252" s="31">
        <f>IF($C252="","",($C252+1)^2)</f>
        <v/>
      </c>
      <c r="E252" s="31">
        <f>IF($D252="","",$D252-$B252)</f>
        <v/>
      </c>
      <c r="F252" s="31">
        <f>IF($A252="","",SUMIF(MonthlySummary!$B$2:$B$1000,$A252,MonthlySummary!$E$2:$E$1000))</f>
        <v/>
      </c>
      <c r="G252" s="31" t="n">
        <v>0</v>
      </c>
      <c r="H252" s="31">
        <f>IF($A252="","",$F252-IF($G252="",0,$G252))</f>
        <v/>
      </c>
      <c r="I252" s="31">
        <f>IF($A252="","",IFERROR(XLOOKUP($A252,SeedPlacement!$A$2:$A$1000,SeedPlacement!$N$2:$N$1000),0))</f>
        <v/>
      </c>
      <c r="J252" s="59" t="n"/>
    </row>
    <row r="253">
      <c r="A253" s="31">
        <f>IF(Members!$A253="","",Members!$A253)</f>
        <v/>
      </c>
      <c r="B253" s="31">
        <f>IF($A253="","",$I253+SUMIF(WeeklySummary!$B$2:$B$1000,$A253,WeeklySummary!$G$2:$G$1000))</f>
        <v/>
      </c>
      <c r="C253" s="31">
        <f>IF($B253="","",MIN(100,INT(SQRT($B253))))</f>
        <v/>
      </c>
      <c r="D253" s="31">
        <f>IF($C253="","",($C253+1)^2)</f>
        <v/>
      </c>
      <c r="E253" s="31">
        <f>IF($D253="","",$D253-$B253)</f>
        <v/>
      </c>
      <c r="F253" s="31">
        <f>IF($A253="","",SUMIF(MonthlySummary!$B$2:$B$1000,$A253,MonthlySummary!$E$2:$E$1000))</f>
        <v/>
      </c>
      <c r="G253" s="31" t="n">
        <v>0</v>
      </c>
      <c r="H253" s="31">
        <f>IF($A253="","",$F253-IF($G253="",0,$G253))</f>
        <v/>
      </c>
      <c r="I253" s="31">
        <f>IF($A253="","",IFERROR(XLOOKUP($A253,SeedPlacement!$A$2:$A$1000,SeedPlacement!$N$2:$N$1000),0))</f>
        <v/>
      </c>
      <c r="J253" s="59" t="n"/>
    </row>
    <row r="254">
      <c r="A254" s="31">
        <f>IF(Members!$A254="","",Members!$A254)</f>
        <v/>
      </c>
      <c r="B254" s="31">
        <f>IF($A254="","",$I254+SUMIF(WeeklySummary!$B$2:$B$1000,$A254,WeeklySummary!$G$2:$G$1000))</f>
        <v/>
      </c>
      <c r="C254" s="31">
        <f>IF($B254="","",MIN(100,INT(SQRT($B254))))</f>
        <v/>
      </c>
      <c r="D254" s="31">
        <f>IF($C254="","",($C254+1)^2)</f>
        <v/>
      </c>
      <c r="E254" s="31">
        <f>IF($D254="","",$D254-$B254)</f>
        <v/>
      </c>
      <c r="F254" s="31">
        <f>IF($A254="","",SUMIF(MonthlySummary!$B$2:$B$1000,$A254,MonthlySummary!$E$2:$E$1000))</f>
        <v/>
      </c>
      <c r="G254" s="31" t="n">
        <v>0</v>
      </c>
      <c r="H254" s="31">
        <f>IF($A254="","",$F254-IF($G254="",0,$G254))</f>
        <v/>
      </c>
      <c r="I254" s="31">
        <f>IF($A254="","",IFERROR(XLOOKUP($A254,SeedPlacement!$A$2:$A$1000,SeedPlacement!$N$2:$N$1000),0))</f>
        <v/>
      </c>
      <c r="J254" s="59" t="n"/>
    </row>
    <row r="255">
      <c r="A255" s="31">
        <f>IF(Members!$A255="","",Members!$A255)</f>
        <v/>
      </c>
      <c r="B255" s="31">
        <f>IF($A255="","",$I255+SUMIF(WeeklySummary!$B$2:$B$1000,$A255,WeeklySummary!$G$2:$G$1000))</f>
        <v/>
      </c>
      <c r="C255" s="31">
        <f>IF($B255="","",MIN(100,INT(SQRT($B255))))</f>
        <v/>
      </c>
      <c r="D255" s="31">
        <f>IF($C255="","",($C255+1)^2)</f>
        <v/>
      </c>
      <c r="E255" s="31">
        <f>IF($D255="","",$D255-$B255)</f>
        <v/>
      </c>
      <c r="F255" s="31">
        <f>IF($A255="","",SUMIF(MonthlySummary!$B$2:$B$1000,$A255,MonthlySummary!$E$2:$E$1000))</f>
        <v/>
      </c>
      <c r="G255" s="31" t="n">
        <v>0</v>
      </c>
      <c r="H255" s="31">
        <f>IF($A255="","",$F255-IF($G255="",0,$G255))</f>
        <v/>
      </c>
      <c r="I255" s="31">
        <f>IF($A255="","",IFERROR(XLOOKUP($A255,SeedPlacement!$A$2:$A$1000,SeedPlacement!$N$2:$N$1000),0))</f>
        <v/>
      </c>
      <c r="J255" s="59" t="n"/>
    </row>
    <row r="256">
      <c r="A256" s="31">
        <f>IF(Members!$A256="","",Members!$A256)</f>
        <v/>
      </c>
      <c r="B256" s="31">
        <f>IF($A256="","",$I256+SUMIF(WeeklySummary!$B$2:$B$1000,$A256,WeeklySummary!$G$2:$G$1000))</f>
        <v/>
      </c>
      <c r="C256" s="31">
        <f>IF($B256="","",MIN(100,INT(SQRT($B256))))</f>
        <v/>
      </c>
      <c r="D256" s="31">
        <f>IF($C256="","",($C256+1)^2)</f>
        <v/>
      </c>
      <c r="E256" s="31">
        <f>IF($D256="","",$D256-$B256)</f>
        <v/>
      </c>
      <c r="F256" s="31">
        <f>IF($A256="","",SUMIF(MonthlySummary!$B$2:$B$1000,$A256,MonthlySummary!$E$2:$E$1000))</f>
        <v/>
      </c>
      <c r="G256" s="31" t="n">
        <v>0</v>
      </c>
      <c r="H256" s="31">
        <f>IF($A256="","",$F256-IF($G256="",0,$G256))</f>
        <v/>
      </c>
      <c r="I256" s="31">
        <f>IF($A256="","",IFERROR(XLOOKUP($A256,SeedPlacement!$A$2:$A$1000,SeedPlacement!$N$2:$N$1000),0))</f>
        <v/>
      </c>
      <c r="J256" s="59" t="n"/>
    </row>
    <row r="257">
      <c r="A257" s="31">
        <f>IF(Members!$A257="","",Members!$A257)</f>
        <v/>
      </c>
      <c r="B257" s="31">
        <f>IF($A257="","",$I257+SUMIF(WeeklySummary!$B$2:$B$1000,$A257,WeeklySummary!$G$2:$G$1000))</f>
        <v/>
      </c>
      <c r="C257" s="31">
        <f>IF($B257="","",MIN(100,INT(SQRT($B257))))</f>
        <v/>
      </c>
      <c r="D257" s="31">
        <f>IF($C257="","",($C257+1)^2)</f>
        <v/>
      </c>
      <c r="E257" s="31">
        <f>IF($D257="","",$D257-$B257)</f>
        <v/>
      </c>
      <c r="F257" s="31">
        <f>IF($A257="","",SUMIF(MonthlySummary!$B$2:$B$1000,$A257,MonthlySummary!$E$2:$E$1000))</f>
        <v/>
      </c>
      <c r="G257" s="31" t="n">
        <v>0</v>
      </c>
      <c r="H257" s="31">
        <f>IF($A257="","",$F257-IF($G257="",0,$G257))</f>
        <v/>
      </c>
      <c r="I257" s="31">
        <f>IF($A257="","",IFERROR(XLOOKUP($A257,SeedPlacement!$A$2:$A$1000,SeedPlacement!$N$2:$N$1000),0))</f>
        <v/>
      </c>
      <c r="J257" s="59" t="n"/>
    </row>
    <row r="258">
      <c r="A258" s="31">
        <f>IF(Members!$A258="","",Members!$A258)</f>
        <v/>
      </c>
      <c r="B258" s="31">
        <f>IF($A258="","",$I258+SUMIF(WeeklySummary!$B$2:$B$1000,$A258,WeeklySummary!$G$2:$G$1000))</f>
        <v/>
      </c>
      <c r="C258" s="31">
        <f>IF($B258="","",MIN(100,INT(SQRT($B258))))</f>
        <v/>
      </c>
      <c r="D258" s="31">
        <f>IF($C258="","",($C258+1)^2)</f>
        <v/>
      </c>
      <c r="E258" s="31">
        <f>IF($D258="","",$D258-$B258)</f>
        <v/>
      </c>
      <c r="F258" s="31">
        <f>IF($A258="","",SUMIF(MonthlySummary!$B$2:$B$1000,$A258,MonthlySummary!$E$2:$E$1000))</f>
        <v/>
      </c>
      <c r="G258" s="31" t="n">
        <v>0</v>
      </c>
      <c r="H258" s="31">
        <f>IF($A258="","",$F258-IF($G258="",0,$G258))</f>
        <v/>
      </c>
      <c r="I258" s="31">
        <f>IF($A258="","",IFERROR(XLOOKUP($A258,SeedPlacement!$A$2:$A$1000,SeedPlacement!$N$2:$N$1000),0))</f>
        <v/>
      </c>
      <c r="J258" s="59" t="n"/>
    </row>
    <row r="259">
      <c r="A259" s="31">
        <f>IF(Members!$A259="","",Members!$A259)</f>
        <v/>
      </c>
      <c r="B259" s="31">
        <f>IF($A259="","",$I259+SUMIF(WeeklySummary!$B$2:$B$1000,$A259,WeeklySummary!$G$2:$G$1000))</f>
        <v/>
      </c>
      <c r="C259" s="31">
        <f>IF($B259="","",MIN(100,INT(SQRT($B259))))</f>
        <v/>
      </c>
      <c r="D259" s="31">
        <f>IF($C259="","",($C259+1)^2)</f>
        <v/>
      </c>
      <c r="E259" s="31">
        <f>IF($D259="","",$D259-$B259)</f>
        <v/>
      </c>
      <c r="F259" s="31">
        <f>IF($A259="","",SUMIF(MonthlySummary!$B$2:$B$1000,$A259,MonthlySummary!$E$2:$E$1000))</f>
        <v/>
      </c>
      <c r="G259" s="31" t="n">
        <v>0</v>
      </c>
      <c r="H259" s="31">
        <f>IF($A259="","",$F259-IF($G259="",0,$G259))</f>
        <v/>
      </c>
      <c r="I259" s="31">
        <f>IF($A259="","",IFERROR(XLOOKUP($A259,SeedPlacement!$A$2:$A$1000,SeedPlacement!$N$2:$N$1000),0))</f>
        <v/>
      </c>
      <c r="J259" s="59" t="n"/>
    </row>
    <row r="260">
      <c r="A260" s="31">
        <f>IF(Members!$A260="","",Members!$A260)</f>
        <v/>
      </c>
      <c r="B260" s="31">
        <f>IF($A260="","",$I260+SUMIF(WeeklySummary!$B$2:$B$1000,$A260,WeeklySummary!$G$2:$G$1000))</f>
        <v/>
      </c>
      <c r="C260" s="31">
        <f>IF($B260="","",MIN(100,INT(SQRT($B260))))</f>
        <v/>
      </c>
      <c r="D260" s="31">
        <f>IF($C260="","",($C260+1)^2)</f>
        <v/>
      </c>
      <c r="E260" s="31">
        <f>IF($D260="","",$D260-$B260)</f>
        <v/>
      </c>
      <c r="F260" s="31">
        <f>IF($A260="","",SUMIF(MonthlySummary!$B$2:$B$1000,$A260,MonthlySummary!$E$2:$E$1000))</f>
        <v/>
      </c>
      <c r="G260" s="31" t="n">
        <v>0</v>
      </c>
      <c r="H260" s="31">
        <f>IF($A260="","",$F260-IF($G260="",0,$G260))</f>
        <v/>
      </c>
      <c r="I260" s="31">
        <f>IF($A260="","",IFERROR(XLOOKUP($A260,SeedPlacement!$A$2:$A$1000,SeedPlacement!$N$2:$N$1000),0))</f>
        <v/>
      </c>
      <c r="J260" s="59" t="n"/>
    </row>
    <row r="261">
      <c r="A261" s="31">
        <f>IF(Members!$A261="","",Members!$A261)</f>
        <v/>
      </c>
      <c r="B261" s="31">
        <f>IF($A261="","",$I261+SUMIF(WeeklySummary!$B$2:$B$1000,$A261,WeeklySummary!$G$2:$G$1000))</f>
        <v/>
      </c>
      <c r="C261" s="31">
        <f>IF($B261="","",MIN(100,INT(SQRT($B261))))</f>
        <v/>
      </c>
      <c r="D261" s="31">
        <f>IF($C261="","",($C261+1)^2)</f>
        <v/>
      </c>
      <c r="E261" s="31">
        <f>IF($D261="","",$D261-$B261)</f>
        <v/>
      </c>
      <c r="F261" s="31">
        <f>IF($A261="","",SUMIF(MonthlySummary!$B$2:$B$1000,$A261,MonthlySummary!$E$2:$E$1000))</f>
        <v/>
      </c>
      <c r="G261" s="31" t="n">
        <v>0</v>
      </c>
      <c r="H261" s="31">
        <f>IF($A261="","",$F261-IF($G261="",0,$G261))</f>
        <v/>
      </c>
      <c r="I261" s="31">
        <f>IF($A261="","",IFERROR(XLOOKUP($A261,SeedPlacement!$A$2:$A$1000,SeedPlacement!$N$2:$N$1000),0))</f>
        <v/>
      </c>
      <c r="J261" s="59" t="n"/>
    </row>
    <row r="262">
      <c r="A262" s="31">
        <f>IF(Members!$A262="","",Members!$A262)</f>
        <v/>
      </c>
      <c r="B262" s="31">
        <f>IF($A262="","",$I262+SUMIF(WeeklySummary!$B$2:$B$1000,$A262,WeeklySummary!$G$2:$G$1000))</f>
        <v/>
      </c>
      <c r="C262" s="31">
        <f>IF($B262="","",MIN(100,INT(SQRT($B262))))</f>
        <v/>
      </c>
      <c r="D262" s="31">
        <f>IF($C262="","",($C262+1)^2)</f>
        <v/>
      </c>
      <c r="E262" s="31">
        <f>IF($D262="","",$D262-$B262)</f>
        <v/>
      </c>
      <c r="F262" s="31">
        <f>IF($A262="","",SUMIF(MonthlySummary!$B$2:$B$1000,$A262,MonthlySummary!$E$2:$E$1000))</f>
        <v/>
      </c>
      <c r="G262" s="31" t="n">
        <v>0</v>
      </c>
      <c r="H262" s="31">
        <f>IF($A262="","",$F262-IF($G262="",0,$G262))</f>
        <v/>
      </c>
      <c r="I262" s="31">
        <f>IF($A262="","",IFERROR(XLOOKUP($A262,SeedPlacement!$A$2:$A$1000,SeedPlacement!$N$2:$N$1000),0))</f>
        <v/>
      </c>
      <c r="J262" s="59" t="n"/>
    </row>
    <row r="263">
      <c r="A263" s="31">
        <f>IF(Members!$A263="","",Members!$A263)</f>
        <v/>
      </c>
      <c r="B263" s="31">
        <f>IF($A263="","",$I263+SUMIF(WeeklySummary!$B$2:$B$1000,$A263,WeeklySummary!$G$2:$G$1000))</f>
        <v/>
      </c>
      <c r="C263" s="31">
        <f>IF($B263="","",MIN(100,INT(SQRT($B263))))</f>
        <v/>
      </c>
      <c r="D263" s="31">
        <f>IF($C263="","",($C263+1)^2)</f>
        <v/>
      </c>
      <c r="E263" s="31">
        <f>IF($D263="","",$D263-$B263)</f>
        <v/>
      </c>
      <c r="F263" s="31">
        <f>IF($A263="","",SUMIF(MonthlySummary!$B$2:$B$1000,$A263,MonthlySummary!$E$2:$E$1000))</f>
        <v/>
      </c>
      <c r="G263" s="31" t="n">
        <v>0</v>
      </c>
      <c r="H263" s="31">
        <f>IF($A263="","",$F263-IF($G263="",0,$G263))</f>
        <v/>
      </c>
      <c r="I263" s="31">
        <f>IF($A263="","",IFERROR(XLOOKUP($A263,SeedPlacement!$A$2:$A$1000,SeedPlacement!$N$2:$N$1000),0))</f>
        <v/>
      </c>
      <c r="J263" s="59" t="n"/>
    </row>
    <row r="264">
      <c r="A264" s="31">
        <f>IF(Members!$A264="","",Members!$A264)</f>
        <v/>
      </c>
      <c r="B264" s="31">
        <f>IF($A264="","",$I264+SUMIF(WeeklySummary!$B$2:$B$1000,$A264,WeeklySummary!$G$2:$G$1000))</f>
        <v/>
      </c>
      <c r="C264" s="31">
        <f>IF($B264="","",MIN(100,INT(SQRT($B264))))</f>
        <v/>
      </c>
      <c r="D264" s="31">
        <f>IF($C264="","",($C264+1)^2)</f>
        <v/>
      </c>
      <c r="E264" s="31">
        <f>IF($D264="","",$D264-$B264)</f>
        <v/>
      </c>
      <c r="F264" s="31">
        <f>IF($A264="","",SUMIF(MonthlySummary!$B$2:$B$1000,$A264,MonthlySummary!$E$2:$E$1000))</f>
        <v/>
      </c>
      <c r="G264" s="31" t="n">
        <v>0</v>
      </c>
      <c r="H264" s="31">
        <f>IF($A264="","",$F264-IF($G264="",0,$G264))</f>
        <v/>
      </c>
      <c r="I264" s="31">
        <f>IF($A264="","",IFERROR(XLOOKUP($A264,SeedPlacement!$A$2:$A$1000,SeedPlacement!$N$2:$N$1000),0))</f>
        <v/>
      </c>
      <c r="J264" s="59" t="n"/>
    </row>
    <row r="265">
      <c r="A265" s="31">
        <f>IF(Members!$A265="","",Members!$A265)</f>
        <v/>
      </c>
      <c r="B265" s="31">
        <f>IF($A265="","",$I265+SUMIF(WeeklySummary!$B$2:$B$1000,$A265,WeeklySummary!$G$2:$G$1000))</f>
        <v/>
      </c>
      <c r="C265" s="31">
        <f>IF($B265="","",MIN(100,INT(SQRT($B265))))</f>
        <v/>
      </c>
      <c r="D265" s="31">
        <f>IF($C265="","",($C265+1)^2)</f>
        <v/>
      </c>
      <c r="E265" s="31">
        <f>IF($D265="","",$D265-$B265)</f>
        <v/>
      </c>
      <c r="F265" s="31">
        <f>IF($A265="","",SUMIF(MonthlySummary!$B$2:$B$1000,$A265,MonthlySummary!$E$2:$E$1000))</f>
        <v/>
      </c>
      <c r="G265" s="31" t="n">
        <v>0</v>
      </c>
      <c r="H265" s="31">
        <f>IF($A265="","",$F265-IF($G265="",0,$G265))</f>
        <v/>
      </c>
      <c r="I265" s="31">
        <f>IF($A265="","",IFERROR(XLOOKUP($A265,SeedPlacement!$A$2:$A$1000,SeedPlacement!$N$2:$N$1000),0))</f>
        <v/>
      </c>
      <c r="J265" s="59" t="n"/>
    </row>
    <row r="266">
      <c r="A266" s="31">
        <f>IF(Members!$A266="","",Members!$A266)</f>
        <v/>
      </c>
      <c r="B266" s="31">
        <f>IF($A266="","",$I266+SUMIF(WeeklySummary!$B$2:$B$1000,$A266,WeeklySummary!$G$2:$G$1000))</f>
        <v/>
      </c>
      <c r="C266" s="31">
        <f>IF($B266="","",MIN(100,INT(SQRT($B266))))</f>
        <v/>
      </c>
      <c r="D266" s="31">
        <f>IF($C266="","",($C266+1)^2)</f>
        <v/>
      </c>
      <c r="E266" s="31">
        <f>IF($D266="","",$D266-$B266)</f>
        <v/>
      </c>
      <c r="F266" s="31">
        <f>IF($A266="","",SUMIF(MonthlySummary!$B$2:$B$1000,$A266,MonthlySummary!$E$2:$E$1000))</f>
        <v/>
      </c>
      <c r="G266" s="31" t="n">
        <v>0</v>
      </c>
      <c r="H266" s="31">
        <f>IF($A266="","",$F266-IF($G266="",0,$G266))</f>
        <v/>
      </c>
      <c r="I266" s="31">
        <f>IF($A266="","",IFERROR(XLOOKUP($A266,SeedPlacement!$A$2:$A$1000,SeedPlacement!$N$2:$N$1000),0))</f>
        <v/>
      </c>
      <c r="J266" s="59" t="n"/>
    </row>
    <row r="267">
      <c r="A267" s="31">
        <f>IF(Members!$A267="","",Members!$A267)</f>
        <v/>
      </c>
      <c r="B267" s="31">
        <f>IF($A267="","",$I267+SUMIF(WeeklySummary!$B$2:$B$1000,$A267,WeeklySummary!$G$2:$G$1000))</f>
        <v/>
      </c>
      <c r="C267" s="31">
        <f>IF($B267="","",MIN(100,INT(SQRT($B267))))</f>
        <v/>
      </c>
      <c r="D267" s="31">
        <f>IF($C267="","",($C267+1)^2)</f>
        <v/>
      </c>
      <c r="E267" s="31">
        <f>IF($D267="","",$D267-$B267)</f>
        <v/>
      </c>
      <c r="F267" s="31">
        <f>IF($A267="","",SUMIF(MonthlySummary!$B$2:$B$1000,$A267,MonthlySummary!$E$2:$E$1000))</f>
        <v/>
      </c>
      <c r="G267" s="31" t="n">
        <v>0</v>
      </c>
      <c r="H267" s="31">
        <f>IF($A267="","",$F267-IF($G267="",0,$G267))</f>
        <v/>
      </c>
      <c r="I267" s="31">
        <f>IF($A267="","",IFERROR(XLOOKUP($A267,SeedPlacement!$A$2:$A$1000,SeedPlacement!$N$2:$N$1000),0))</f>
        <v/>
      </c>
      <c r="J267" s="59" t="n"/>
    </row>
    <row r="268">
      <c r="A268" s="31">
        <f>IF(Members!$A268="","",Members!$A268)</f>
        <v/>
      </c>
      <c r="B268" s="31">
        <f>IF($A268="","",$I268+SUMIF(WeeklySummary!$B$2:$B$1000,$A268,WeeklySummary!$G$2:$G$1000))</f>
        <v/>
      </c>
      <c r="C268" s="31">
        <f>IF($B268="","",MIN(100,INT(SQRT($B268))))</f>
        <v/>
      </c>
      <c r="D268" s="31">
        <f>IF($C268="","",($C268+1)^2)</f>
        <v/>
      </c>
      <c r="E268" s="31">
        <f>IF($D268="","",$D268-$B268)</f>
        <v/>
      </c>
      <c r="F268" s="31">
        <f>IF($A268="","",SUMIF(MonthlySummary!$B$2:$B$1000,$A268,MonthlySummary!$E$2:$E$1000))</f>
        <v/>
      </c>
      <c r="G268" s="31" t="n">
        <v>0</v>
      </c>
      <c r="H268" s="31">
        <f>IF($A268="","",$F268-IF($G268="",0,$G268))</f>
        <v/>
      </c>
      <c r="I268" s="31">
        <f>IF($A268="","",IFERROR(XLOOKUP($A268,SeedPlacement!$A$2:$A$1000,SeedPlacement!$N$2:$N$1000),0))</f>
        <v/>
      </c>
      <c r="J268" s="59" t="n"/>
    </row>
    <row r="269">
      <c r="A269" s="31">
        <f>IF(Members!$A269="","",Members!$A269)</f>
        <v/>
      </c>
      <c r="B269" s="31">
        <f>IF($A269="","",$I269+SUMIF(WeeklySummary!$B$2:$B$1000,$A269,WeeklySummary!$G$2:$G$1000))</f>
        <v/>
      </c>
      <c r="C269" s="31">
        <f>IF($B269="","",MIN(100,INT(SQRT($B269))))</f>
        <v/>
      </c>
      <c r="D269" s="31">
        <f>IF($C269="","",($C269+1)^2)</f>
        <v/>
      </c>
      <c r="E269" s="31">
        <f>IF($D269="","",$D269-$B269)</f>
        <v/>
      </c>
      <c r="F269" s="31">
        <f>IF($A269="","",SUMIF(MonthlySummary!$B$2:$B$1000,$A269,MonthlySummary!$E$2:$E$1000))</f>
        <v/>
      </c>
      <c r="G269" s="31" t="n">
        <v>0</v>
      </c>
      <c r="H269" s="31">
        <f>IF($A269="","",$F269-IF($G269="",0,$G269))</f>
        <v/>
      </c>
      <c r="I269" s="31">
        <f>IF($A269="","",IFERROR(XLOOKUP($A269,SeedPlacement!$A$2:$A$1000,SeedPlacement!$N$2:$N$1000),0))</f>
        <v/>
      </c>
      <c r="J269" s="59" t="n"/>
    </row>
    <row r="270">
      <c r="A270" s="31">
        <f>IF(Members!$A270="","",Members!$A270)</f>
        <v/>
      </c>
      <c r="B270" s="31">
        <f>IF($A270="","",$I270+SUMIF(WeeklySummary!$B$2:$B$1000,$A270,WeeklySummary!$G$2:$G$1000))</f>
        <v/>
      </c>
      <c r="C270" s="31">
        <f>IF($B270="","",MIN(100,INT(SQRT($B270))))</f>
        <v/>
      </c>
      <c r="D270" s="31">
        <f>IF($C270="","",($C270+1)^2)</f>
        <v/>
      </c>
      <c r="E270" s="31">
        <f>IF($D270="","",$D270-$B270)</f>
        <v/>
      </c>
      <c r="F270" s="31">
        <f>IF($A270="","",SUMIF(MonthlySummary!$B$2:$B$1000,$A270,MonthlySummary!$E$2:$E$1000))</f>
        <v/>
      </c>
      <c r="G270" s="31" t="n">
        <v>0</v>
      </c>
      <c r="H270" s="31">
        <f>IF($A270="","",$F270-IF($G270="",0,$G270))</f>
        <v/>
      </c>
      <c r="I270" s="31">
        <f>IF($A270="","",IFERROR(XLOOKUP($A270,SeedPlacement!$A$2:$A$1000,SeedPlacement!$N$2:$N$1000),0))</f>
        <v/>
      </c>
      <c r="J270" s="59" t="n"/>
    </row>
    <row r="271">
      <c r="A271" s="31">
        <f>IF(Members!$A271="","",Members!$A271)</f>
        <v/>
      </c>
      <c r="B271" s="31">
        <f>IF($A271="","",$I271+SUMIF(WeeklySummary!$B$2:$B$1000,$A271,WeeklySummary!$G$2:$G$1000))</f>
        <v/>
      </c>
      <c r="C271" s="31">
        <f>IF($B271="","",MIN(100,INT(SQRT($B271))))</f>
        <v/>
      </c>
      <c r="D271" s="31">
        <f>IF($C271="","",($C271+1)^2)</f>
        <v/>
      </c>
      <c r="E271" s="31">
        <f>IF($D271="","",$D271-$B271)</f>
        <v/>
      </c>
      <c r="F271" s="31">
        <f>IF($A271="","",SUMIF(MonthlySummary!$B$2:$B$1000,$A271,MonthlySummary!$E$2:$E$1000))</f>
        <v/>
      </c>
      <c r="G271" s="31" t="n">
        <v>0</v>
      </c>
      <c r="H271" s="31">
        <f>IF($A271="","",$F271-IF($G271="",0,$G271))</f>
        <v/>
      </c>
      <c r="I271" s="31">
        <f>IF($A271="","",IFERROR(XLOOKUP($A271,SeedPlacement!$A$2:$A$1000,SeedPlacement!$N$2:$N$1000),0))</f>
        <v/>
      </c>
      <c r="J271" s="59" t="n"/>
    </row>
    <row r="272">
      <c r="A272" s="31">
        <f>IF(Members!$A272="","",Members!$A272)</f>
        <v/>
      </c>
      <c r="B272" s="31">
        <f>IF($A272="","",$I272+SUMIF(WeeklySummary!$B$2:$B$1000,$A272,WeeklySummary!$G$2:$G$1000))</f>
        <v/>
      </c>
      <c r="C272" s="31">
        <f>IF($B272="","",MIN(100,INT(SQRT($B272))))</f>
        <v/>
      </c>
      <c r="D272" s="31">
        <f>IF($C272="","",($C272+1)^2)</f>
        <v/>
      </c>
      <c r="E272" s="31">
        <f>IF($D272="","",$D272-$B272)</f>
        <v/>
      </c>
      <c r="F272" s="31">
        <f>IF($A272="","",SUMIF(MonthlySummary!$B$2:$B$1000,$A272,MonthlySummary!$E$2:$E$1000))</f>
        <v/>
      </c>
      <c r="G272" s="31" t="n">
        <v>0</v>
      </c>
      <c r="H272" s="31">
        <f>IF($A272="","",$F272-IF($G272="",0,$G272))</f>
        <v/>
      </c>
      <c r="I272" s="31">
        <f>IF($A272="","",IFERROR(XLOOKUP($A272,SeedPlacement!$A$2:$A$1000,SeedPlacement!$N$2:$N$1000),0))</f>
        <v/>
      </c>
      <c r="J272" s="59" t="n"/>
    </row>
    <row r="273">
      <c r="A273" s="31">
        <f>IF(Members!$A273="","",Members!$A273)</f>
        <v/>
      </c>
      <c r="B273" s="31">
        <f>IF($A273="","",$I273+SUMIF(WeeklySummary!$B$2:$B$1000,$A273,WeeklySummary!$G$2:$G$1000))</f>
        <v/>
      </c>
      <c r="C273" s="31">
        <f>IF($B273="","",MIN(100,INT(SQRT($B273))))</f>
        <v/>
      </c>
      <c r="D273" s="31">
        <f>IF($C273="","",($C273+1)^2)</f>
        <v/>
      </c>
      <c r="E273" s="31">
        <f>IF($D273="","",$D273-$B273)</f>
        <v/>
      </c>
      <c r="F273" s="31">
        <f>IF($A273="","",SUMIF(MonthlySummary!$B$2:$B$1000,$A273,MonthlySummary!$E$2:$E$1000))</f>
        <v/>
      </c>
      <c r="G273" s="31" t="n">
        <v>0</v>
      </c>
      <c r="H273" s="31">
        <f>IF($A273="","",$F273-IF($G273="",0,$G273))</f>
        <v/>
      </c>
      <c r="I273" s="31">
        <f>IF($A273="","",IFERROR(XLOOKUP($A273,SeedPlacement!$A$2:$A$1000,SeedPlacement!$N$2:$N$1000),0))</f>
        <v/>
      </c>
      <c r="J273" s="59" t="n"/>
    </row>
    <row r="274">
      <c r="A274" s="31">
        <f>IF(Members!$A274="","",Members!$A274)</f>
        <v/>
      </c>
      <c r="B274" s="31">
        <f>IF($A274="","",$I274+SUMIF(WeeklySummary!$B$2:$B$1000,$A274,WeeklySummary!$G$2:$G$1000))</f>
        <v/>
      </c>
      <c r="C274" s="31">
        <f>IF($B274="","",MIN(100,INT(SQRT($B274))))</f>
        <v/>
      </c>
      <c r="D274" s="31">
        <f>IF($C274="","",($C274+1)^2)</f>
        <v/>
      </c>
      <c r="E274" s="31">
        <f>IF($D274="","",$D274-$B274)</f>
        <v/>
      </c>
      <c r="F274" s="31">
        <f>IF($A274="","",SUMIF(MonthlySummary!$B$2:$B$1000,$A274,MonthlySummary!$E$2:$E$1000))</f>
        <v/>
      </c>
      <c r="G274" s="31" t="n">
        <v>0</v>
      </c>
      <c r="H274" s="31">
        <f>IF($A274="","",$F274-IF($G274="",0,$G274))</f>
        <v/>
      </c>
      <c r="I274" s="31">
        <f>IF($A274="","",IFERROR(XLOOKUP($A274,SeedPlacement!$A$2:$A$1000,SeedPlacement!$N$2:$N$1000),0))</f>
        <v/>
      </c>
      <c r="J274" s="59" t="n"/>
    </row>
    <row r="275">
      <c r="A275" s="31">
        <f>IF(Members!$A275="","",Members!$A275)</f>
        <v/>
      </c>
      <c r="B275" s="31">
        <f>IF($A275="","",$I275+SUMIF(WeeklySummary!$B$2:$B$1000,$A275,WeeklySummary!$G$2:$G$1000))</f>
        <v/>
      </c>
      <c r="C275" s="31">
        <f>IF($B275="","",MIN(100,INT(SQRT($B275))))</f>
        <v/>
      </c>
      <c r="D275" s="31">
        <f>IF($C275="","",($C275+1)^2)</f>
        <v/>
      </c>
      <c r="E275" s="31">
        <f>IF($D275="","",$D275-$B275)</f>
        <v/>
      </c>
      <c r="F275" s="31">
        <f>IF($A275="","",SUMIF(MonthlySummary!$B$2:$B$1000,$A275,MonthlySummary!$E$2:$E$1000))</f>
        <v/>
      </c>
      <c r="G275" s="31" t="n">
        <v>0</v>
      </c>
      <c r="H275" s="31">
        <f>IF($A275="","",$F275-IF($G275="",0,$G275))</f>
        <v/>
      </c>
      <c r="I275" s="31">
        <f>IF($A275="","",IFERROR(XLOOKUP($A275,SeedPlacement!$A$2:$A$1000,SeedPlacement!$N$2:$N$1000),0))</f>
        <v/>
      </c>
      <c r="J275" s="59" t="n"/>
    </row>
    <row r="276">
      <c r="A276" s="31">
        <f>IF(Members!$A276="","",Members!$A276)</f>
        <v/>
      </c>
      <c r="B276" s="31">
        <f>IF($A276="","",$I276+SUMIF(WeeklySummary!$B$2:$B$1000,$A276,WeeklySummary!$G$2:$G$1000))</f>
        <v/>
      </c>
      <c r="C276" s="31">
        <f>IF($B276="","",MIN(100,INT(SQRT($B276))))</f>
        <v/>
      </c>
      <c r="D276" s="31">
        <f>IF($C276="","",($C276+1)^2)</f>
        <v/>
      </c>
      <c r="E276" s="31">
        <f>IF($D276="","",$D276-$B276)</f>
        <v/>
      </c>
      <c r="F276" s="31">
        <f>IF($A276="","",SUMIF(MonthlySummary!$B$2:$B$1000,$A276,MonthlySummary!$E$2:$E$1000))</f>
        <v/>
      </c>
      <c r="G276" s="31" t="n">
        <v>0</v>
      </c>
      <c r="H276" s="31">
        <f>IF($A276="","",$F276-IF($G276="",0,$G276))</f>
        <v/>
      </c>
      <c r="I276" s="31">
        <f>IF($A276="","",IFERROR(XLOOKUP($A276,SeedPlacement!$A$2:$A$1000,SeedPlacement!$N$2:$N$1000),0))</f>
        <v/>
      </c>
      <c r="J276" s="59" t="n"/>
    </row>
    <row r="277">
      <c r="A277" s="31">
        <f>IF(Members!$A277="","",Members!$A277)</f>
        <v/>
      </c>
      <c r="B277" s="31">
        <f>IF($A277="","",$I277+SUMIF(WeeklySummary!$B$2:$B$1000,$A277,WeeklySummary!$G$2:$G$1000))</f>
        <v/>
      </c>
      <c r="C277" s="31">
        <f>IF($B277="","",MIN(100,INT(SQRT($B277))))</f>
        <v/>
      </c>
      <c r="D277" s="31">
        <f>IF($C277="","",($C277+1)^2)</f>
        <v/>
      </c>
      <c r="E277" s="31">
        <f>IF($D277="","",$D277-$B277)</f>
        <v/>
      </c>
      <c r="F277" s="31">
        <f>IF($A277="","",SUMIF(MonthlySummary!$B$2:$B$1000,$A277,MonthlySummary!$E$2:$E$1000))</f>
        <v/>
      </c>
      <c r="G277" s="31" t="n">
        <v>0</v>
      </c>
      <c r="H277" s="31">
        <f>IF($A277="","",$F277-IF($G277="",0,$G277))</f>
        <v/>
      </c>
      <c r="I277" s="31">
        <f>IF($A277="","",IFERROR(XLOOKUP($A277,SeedPlacement!$A$2:$A$1000,SeedPlacement!$N$2:$N$1000),0))</f>
        <v/>
      </c>
      <c r="J277" s="59" t="n"/>
    </row>
    <row r="278">
      <c r="A278" s="31">
        <f>IF(Members!$A278="","",Members!$A278)</f>
        <v/>
      </c>
      <c r="B278" s="31">
        <f>IF($A278="","",$I278+SUMIF(WeeklySummary!$B$2:$B$1000,$A278,WeeklySummary!$G$2:$G$1000))</f>
        <v/>
      </c>
      <c r="C278" s="31">
        <f>IF($B278="","",MIN(100,INT(SQRT($B278))))</f>
        <v/>
      </c>
      <c r="D278" s="31">
        <f>IF($C278="","",($C278+1)^2)</f>
        <v/>
      </c>
      <c r="E278" s="31">
        <f>IF($D278="","",$D278-$B278)</f>
        <v/>
      </c>
      <c r="F278" s="31">
        <f>IF($A278="","",SUMIF(MonthlySummary!$B$2:$B$1000,$A278,MonthlySummary!$E$2:$E$1000))</f>
        <v/>
      </c>
      <c r="G278" s="31" t="n">
        <v>0</v>
      </c>
      <c r="H278" s="31">
        <f>IF($A278="","",$F278-IF($G278="",0,$G278))</f>
        <v/>
      </c>
      <c r="I278" s="31">
        <f>IF($A278="","",IFERROR(XLOOKUP($A278,SeedPlacement!$A$2:$A$1000,SeedPlacement!$N$2:$N$1000),0))</f>
        <v/>
      </c>
      <c r="J278" s="59" t="n"/>
    </row>
    <row r="279">
      <c r="A279" s="31">
        <f>IF(Members!$A279="","",Members!$A279)</f>
        <v/>
      </c>
      <c r="B279" s="31">
        <f>IF($A279="","",$I279+SUMIF(WeeklySummary!$B$2:$B$1000,$A279,WeeklySummary!$G$2:$G$1000))</f>
        <v/>
      </c>
      <c r="C279" s="31">
        <f>IF($B279="","",MIN(100,INT(SQRT($B279))))</f>
        <v/>
      </c>
      <c r="D279" s="31">
        <f>IF($C279="","",($C279+1)^2)</f>
        <v/>
      </c>
      <c r="E279" s="31">
        <f>IF($D279="","",$D279-$B279)</f>
        <v/>
      </c>
      <c r="F279" s="31">
        <f>IF($A279="","",SUMIF(MonthlySummary!$B$2:$B$1000,$A279,MonthlySummary!$E$2:$E$1000))</f>
        <v/>
      </c>
      <c r="G279" s="31" t="n">
        <v>0</v>
      </c>
      <c r="H279" s="31">
        <f>IF($A279="","",$F279-IF($G279="",0,$G279))</f>
        <v/>
      </c>
      <c r="I279" s="31">
        <f>IF($A279="","",IFERROR(XLOOKUP($A279,SeedPlacement!$A$2:$A$1000,SeedPlacement!$N$2:$N$1000),0))</f>
        <v/>
      </c>
      <c r="J279" s="59" t="n"/>
    </row>
    <row r="280">
      <c r="A280" s="31">
        <f>IF(Members!$A280="","",Members!$A280)</f>
        <v/>
      </c>
      <c r="B280" s="31">
        <f>IF($A280="","",$I280+SUMIF(WeeklySummary!$B$2:$B$1000,$A280,WeeklySummary!$G$2:$G$1000))</f>
        <v/>
      </c>
      <c r="C280" s="31">
        <f>IF($B280="","",MIN(100,INT(SQRT($B280))))</f>
        <v/>
      </c>
      <c r="D280" s="31">
        <f>IF($C280="","",($C280+1)^2)</f>
        <v/>
      </c>
      <c r="E280" s="31">
        <f>IF($D280="","",$D280-$B280)</f>
        <v/>
      </c>
      <c r="F280" s="31">
        <f>IF($A280="","",SUMIF(MonthlySummary!$B$2:$B$1000,$A280,MonthlySummary!$E$2:$E$1000))</f>
        <v/>
      </c>
      <c r="G280" s="31" t="n">
        <v>0</v>
      </c>
      <c r="H280" s="31">
        <f>IF($A280="","",$F280-IF($G280="",0,$G280))</f>
        <v/>
      </c>
      <c r="I280" s="31">
        <f>IF($A280="","",IFERROR(XLOOKUP($A280,SeedPlacement!$A$2:$A$1000,SeedPlacement!$N$2:$N$1000),0))</f>
        <v/>
      </c>
      <c r="J280" s="59" t="n"/>
    </row>
    <row r="281">
      <c r="A281" s="31">
        <f>IF(Members!$A281="","",Members!$A281)</f>
        <v/>
      </c>
      <c r="B281" s="31">
        <f>IF($A281="","",$I281+SUMIF(WeeklySummary!$B$2:$B$1000,$A281,WeeklySummary!$G$2:$G$1000))</f>
        <v/>
      </c>
      <c r="C281" s="31">
        <f>IF($B281="","",MIN(100,INT(SQRT($B281))))</f>
        <v/>
      </c>
      <c r="D281" s="31">
        <f>IF($C281="","",($C281+1)^2)</f>
        <v/>
      </c>
      <c r="E281" s="31">
        <f>IF($D281="","",$D281-$B281)</f>
        <v/>
      </c>
      <c r="F281" s="31">
        <f>IF($A281="","",SUMIF(MonthlySummary!$B$2:$B$1000,$A281,MonthlySummary!$E$2:$E$1000))</f>
        <v/>
      </c>
      <c r="G281" s="31" t="n">
        <v>0</v>
      </c>
      <c r="H281" s="31">
        <f>IF($A281="","",$F281-IF($G281="",0,$G281))</f>
        <v/>
      </c>
      <c r="I281" s="31">
        <f>IF($A281="","",IFERROR(XLOOKUP($A281,SeedPlacement!$A$2:$A$1000,SeedPlacement!$N$2:$N$1000),0))</f>
        <v/>
      </c>
      <c r="J281" s="59" t="n"/>
    </row>
    <row r="282">
      <c r="A282" s="31">
        <f>IF(Members!$A282="","",Members!$A282)</f>
        <v/>
      </c>
      <c r="B282" s="31">
        <f>IF($A282="","",$I282+SUMIF(WeeklySummary!$B$2:$B$1000,$A282,WeeklySummary!$G$2:$G$1000))</f>
        <v/>
      </c>
      <c r="C282" s="31">
        <f>IF($B282="","",MIN(100,INT(SQRT($B282))))</f>
        <v/>
      </c>
      <c r="D282" s="31">
        <f>IF($C282="","",($C282+1)^2)</f>
        <v/>
      </c>
      <c r="E282" s="31">
        <f>IF($D282="","",$D282-$B282)</f>
        <v/>
      </c>
      <c r="F282" s="31">
        <f>IF($A282="","",SUMIF(MonthlySummary!$B$2:$B$1000,$A282,MonthlySummary!$E$2:$E$1000))</f>
        <v/>
      </c>
      <c r="G282" s="31" t="n">
        <v>0</v>
      </c>
      <c r="H282" s="31">
        <f>IF($A282="","",$F282-IF($G282="",0,$G282))</f>
        <v/>
      </c>
      <c r="I282" s="31">
        <f>IF($A282="","",IFERROR(XLOOKUP($A282,SeedPlacement!$A$2:$A$1000,SeedPlacement!$N$2:$N$1000),0))</f>
        <v/>
      </c>
      <c r="J282" s="59" t="n"/>
    </row>
    <row r="283">
      <c r="A283" s="31">
        <f>IF(Members!$A283="","",Members!$A283)</f>
        <v/>
      </c>
      <c r="B283" s="31">
        <f>IF($A283="","",$I283+SUMIF(WeeklySummary!$B$2:$B$1000,$A283,WeeklySummary!$G$2:$G$1000))</f>
        <v/>
      </c>
      <c r="C283" s="31">
        <f>IF($B283="","",MIN(100,INT(SQRT($B283))))</f>
        <v/>
      </c>
      <c r="D283" s="31">
        <f>IF($C283="","",($C283+1)^2)</f>
        <v/>
      </c>
      <c r="E283" s="31">
        <f>IF($D283="","",$D283-$B283)</f>
        <v/>
      </c>
      <c r="F283" s="31">
        <f>IF($A283="","",SUMIF(MonthlySummary!$B$2:$B$1000,$A283,MonthlySummary!$E$2:$E$1000))</f>
        <v/>
      </c>
      <c r="G283" s="31" t="n">
        <v>0</v>
      </c>
      <c r="H283" s="31">
        <f>IF($A283="","",$F283-IF($G283="",0,$G283))</f>
        <v/>
      </c>
      <c r="I283" s="31">
        <f>IF($A283="","",IFERROR(XLOOKUP($A283,SeedPlacement!$A$2:$A$1000,SeedPlacement!$N$2:$N$1000),0))</f>
        <v/>
      </c>
      <c r="J283" s="59" t="n"/>
    </row>
    <row r="284">
      <c r="A284" s="31">
        <f>IF(Members!$A284="","",Members!$A284)</f>
        <v/>
      </c>
      <c r="B284" s="31">
        <f>IF($A284="","",$I284+SUMIF(WeeklySummary!$B$2:$B$1000,$A284,WeeklySummary!$G$2:$G$1000))</f>
        <v/>
      </c>
      <c r="C284" s="31">
        <f>IF($B284="","",MIN(100,INT(SQRT($B284))))</f>
        <v/>
      </c>
      <c r="D284" s="31">
        <f>IF($C284="","",($C284+1)^2)</f>
        <v/>
      </c>
      <c r="E284" s="31">
        <f>IF($D284="","",$D284-$B284)</f>
        <v/>
      </c>
      <c r="F284" s="31">
        <f>IF($A284="","",SUMIF(MonthlySummary!$B$2:$B$1000,$A284,MonthlySummary!$E$2:$E$1000))</f>
        <v/>
      </c>
      <c r="G284" s="31" t="n">
        <v>0</v>
      </c>
      <c r="H284" s="31">
        <f>IF($A284="","",$F284-IF($G284="",0,$G284))</f>
        <v/>
      </c>
      <c r="I284" s="31">
        <f>IF($A284="","",IFERROR(XLOOKUP($A284,SeedPlacement!$A$2:$A$1000,SeedPlacement!$N$2:$N$1000),0))</f>
        <v/>
      </c>
      <c r="J284" s="59" t="n"/>
    </row>
    <row r="285">
      <c r="A285" s="31">
        <f>IF(Members!$A285="","",Members!$A285)</f>
        <v/>
      </c>
      <c r="B285" s="31">
        <f>IF($A285="","",$I285+SUMIF(WeeklySummary!$B$2:$B$1000,$A285,WeeklySummary!$G$2:$G$1000))</f>
        <v/>
      </c>
      <c r="C285" s="31">
        <f>IF($B285="","",MIN(100,INT(SQRT($B285))))</f>
        <v/>
      </c>
      <c r="D285" s="31">
        <f>IF($C285="","",($C285+1)^2)</f>
        <v/>
      </c>
      <c r="E285" s="31">
        <f>IF($D285="","",$D285-$B285)</f>
        <v/>
      </c>
      <c r="F285" s="31">
        <f>IF($A285="","",SUMIF(MonthlySummary!$B$2:$B$1000,$A285,MonthlySummary!$E$2:$E$1000))</f>
        <v/>
      </c>
      <c r="G285" s="31" t="n">
        <v>0</v>
      </c>
      <c r="H285" s="31">
        <f>IF($A285="","",$F285-IF($G285="",0,$G285))</f>
        <v/>
      </c>
      <c r="I285" s="31">
        <f>IF($A285="","",IFERROR(XLOOKUP($A285,SeedPlacement!$A$2:$A$1000,SeedPlacement!$N$2:$N$1000),0))</f>
        <v/>
      </c>
      <c r="J285" s="59" t="n"/>
    </row>
    <row r="286">
      <c r="A286" s="31">
        <f>IF(Members!$A286="","",Members!$A286)</f>
        <v/>
      </c>
      <c r="B286" s="31">
        <f>IF($A286="","",$I286+SUMIF(WeeklySummary!$B$2:$B$1000,$A286,WeeklySummary!$G$2:$G$1000))</f>
        <v/>
      </c>
      <c r="C286" s="31">
        <f>IF($B286="","",MIN(100,INT(SQRT($B286))))</f>
        <v/>
      </c>
      <c r="D286" s="31">
        <f>IF($C286="","",($C286+1)^2)</f>
        <v/>
      </c>
      <c r="E286" s="31">
        <f>IF($D286="","",$D286-$B286)</f>
        <v/>
      </c>
      <c r="F286" s="31">
        <f>IF($A286="","",SUMIF(MonthlySummary!$B$2:$B$1000,$A286,MonthlySummary!$E$2:$E$1000))</f>
        <v/>
      </c>
      <c r="G286" s="31" t="n">
        <v>0</v>
      </c>
      <c r="H286" s="31">
        <f>IF($A286="","",$F286-IF($G286="",0,$G286))</f>
        <v/>
      </c>
      <c r="I286" s="31">
        <f>IF($A286="","",IFERROR(XLOOKUP($A286,SeedPlacement!$A$2:$A$1000,SeedPlacement!$N$2:$N$1000),0))</f>
        <v/>
      </c>
      <c r="J286" s="59" t="n"/>
    </row>
    <row r="287">
      <c r="A287" s="31">
        <f>IF(Members!$A287="","",Members!$A287)</f>
        <v/>
      </c>
      <c r="B287" s="31">
        <f>IF($A287="","",$I287+SUMIF(WeeklySummary!$B$2:$B$1000,$A287,WeeklySummary!$G$2:$G$1000))</f>
        <v/>
      </c>
      <c r="C287" s="31">
        <f>IF($B287="","",MIN(100,INT(SQRT($B287))))</f>
        <v/>
      </c>
      <c r="D287" s="31">
        <f>IF($C287="","",($C287+1)^2)</f>
        <v/>
      </c>
      <c r="E287" s="31">
        <f>IF($D287="","",$D287-$B287)</f>
        <v/>
      </c>
      <c r="F287" s="31">
        <f>IF($A287="","",SUMIF(MonthlySummary!$B$2:$B$1000,$A287,MonthlySummary!$E$2:$E$1000))</f>
        <v/>
      </c>
      <c r="G287" s="31" t="n">
        <v>0</v>
      </c>
      <c r="H287" s="31">
        <f>IF($A287="","",$F287-IF($G287="",0,$G287))</f>
        <v/>
      </c>
      <c r="I287" s="31">
        <f>IF($A287="","",IFERROR(XLOOKUP($A287,SeedPlacement!$A$2:$A$1000,SeedPlacement!$N$2:$N$1000),0))</f>
        <v/>
      </c>
      <c r="J287" s="59" t="n"/>
    </row>
    <row r="288">
      <c r="A288" s="31">
        <f>IF(Members!$A288="","",Members!$A288)</f>
        <v/>
      </c>
      <c r="B288" s="31">
        <f>IF($A288="","",$I288+SUMIF(WeeklySummary!$B$2:$B$1000,$A288,WeeklySummary!$G$2:$G$1000))</f>
        <v/>
      </c>
      <c r="C288" s="31">
        <f>IF($B288="","",MIN(100,INT(SQRT($B288))))</f>
        <v/>
      </c>
      <c r="D288" s="31">
        <f>IF($C288="","",($C288+1)^2)</f>
        <v/>
      </c>
      <c r="E288" s="31">
        <f>IF($D288="","",$D288-$B288)</f>
        <v/>
      </c>
      <c r="F288" s="31">
        <f>IF($A288="","",SUMIF(MonthlySummary!$B$2:$B$1000,$A288,MonthlySummary!$E$2:$E$1000))</f>
        <v/>
      </c>
      <c r="G288" s="31" t="n">
        <v>0</v>
      </c>
      <c r="H288" s="31">
        <f>IF($A288="","",$F288-IF($G288="",0,$G288))</f>
        <v/>
      </c>
      <c r="I288" s="31">
        <f>IF($A288="","",IFERROR(XLOOKUP($A288,SeedPlacement!$A$2:$A$1000,SeedPlacement!$N$2:$N$1000),0))</f>
        <v/>
      </c>
      <c r="J288" s="59" t="n"/>
    </row>
    <row r="289">
      <c r="A289" s="31">
        <f>IF(Members!$A289="","",Members!$A289)</f>
        <v/>
      </c>
      <c r="B289" s="31">
        <f>IF($A289="","",$I289+SUMIF(WeeklySummary!$B$2:$B$1000,$A289,WeeklySummary!$G$2:$G$1000))</f>
        <v/>
      </c>
      <c r="C289" s="31">
        <f>IF($B289="","",MIN(100,INT(SQRT($B289))))</f>
        <v/>
      </c>
      <c r="D289" s="31">
        <f>IF($C289="","",($C289+1)^2)</f>
        <v/>
      </c>
      <c r="E289" s="31">
        <f>IF($D289="","",$D289-$B289)</f>
        <v/>
      </c>
      <c r="F289" s="31">
        <f>IF($A289="","",SUMIF(MonthlySummary!$B$2:$B$1000,$A289,MonthlySummary!$E$2:$E$1000))</f>
        <v/>
      </c>
      <c r="G289" s="31" t="n">
        <v>0</v>
      </c>
      <c r="H289" s="31">
        <f>IF($A289="","",$F289-IF($G289="",0,$G289))</f>
        <v/>
      </c>
      <c r="I289" s="31">
        <f>IF($A289="","",IFERROR(XLOOKUP($A289,SeedPlacement!$A$2:$A$1000,SeedPlacement!$N$2:$N$1000),0))</f>
        <v/>
      </c>
      <c r="J289" s="59" t="n"/>
    </row>
    <row r="290">
      <c r="A290" s="31">
        <f>IF(Members!$A290="","",Members!$A290)</f>
        <v/>
      </c>
      <c r="B290" s="31">
        <f>IF($A290="","",$I290+SUMIF(WeeklySummary!$B$2:$B$1000,$A290,WeeklySummary!$G$2:$G$1000))</f>
        <v/>
      </c>
      <c r="C290" s="31">
        <f>IF($B290="","",MIN(100,INT(SQRT($B290))))</f>
        <v/>
      </c>
      <c r="D290" s="31">
        <f>IF($C290="","",($C290+1)^2)</f>
        <v/>
      </c>
      <c r="E290" s="31">
        <f>IF($D290="","",$D290-$B290)</f>
        <v/>
      </c>
      <c r="F290" s="31">
        <f>IF($A290="","",SUMIF(MonthlySummary!$B$2:$B$1000,$A290,MonthlySummary!$E$2:$E$1000))</f>
        <v/>
      </c>
      <c r="G290" s="31" t="n">
        <v>0</v>
      </c>
      <c r="H290" s="31">
        <f>IF($A290="","",$F290-IF($G290="",0,$G290))</f>
        <v/>
      </c>
      <c r="I290" s="31">
        <f>IF($A290="","",IFERROR(XLOOKUP($A290,SeedPlacement!$A$2:$A$1000,SeedPlacement!$N$2:$N$1000),0))</f>
        <v/>
      </c>
      <c r="J290" s="59" t="n"/>
    </row>
    <row r="291">
      <c r="A291" s="31">
        <f>IF(Members!$A291="","",Members!$A291)</f>
        <v/>
      </c>
      <c r="B291" s="31">
        <f>IF($A291="","",$I291+SUMIF(WeeklySummary!$B$2:$B$1000,$A291,WeeklySummary!$G$2:$G$1000))</f>
        <v/>
      </c>
      <c r="C291" s="31">
        <f>IF($B291="","",MIN(100,INT(SQRT($B291))))</f>
        <v/>
      </c>
      <c r="D291" s="31">
        <f>IF($C291="","",($C291+1)^2)</f>
        <v/>
      </c>
      <c r="E291" s="31">
        <f>IF($D291="","",$D291-$B291)</f>
        <v/>
      </c>
      <c r="F291" s="31">
        <f>IF($A291="","",SUMIF(MonthlySummary!$B$2:$B$1000,$A291,MonthlySummary!$E$2:$E$1000))</f>
        <v/>
      </c>
      <c r="G291" s="31" t="n">
        <v>0</v>
      </c>
      <c r="H291" s="31">
        <f>IF($A291="","",$F291-IF($G291="",0,$G291))</f>
        <v/>
      </c>
      <c r="I291" s="31">
        <f>IF($A291="","",IFERROR(XLOOKUP($A291,SeedPlacement!$A$2:$A$1000,SeedPlacement!$N$2:$N$1000),0))</f>
        <v/>
      </c>
      <c r="J291" s="59" t="n"/>
    </row>
    <row r="292">
      <c r="A292" s="31">
        <f>IF(Members!$A292="","",Members!$A292)</f>
        <v/>
      </c>
      <c r="B292" s="31">
        <f>IF($A292="","",$I292+SUMIF(WeeklySummary!$B$2:$B$1000,$A292,WeeklySummary!$G$2:$G$1000))</f>
        <v/>
      </c>
      <c r="C292" s="31">
        <f>IF($B292="","",MIN(100,INT(SQRT($B292))))</f>
        <v/>
      </c>
      <c r="D292" s="31">
        <f>IF($C292="","",($C292+1)^2)</f>
        <v/>
      </c>
      <c r="E292" s="31">
        <f>IF($D292="","",$D292-$B292)</f>
        <v/>
      </c>
      <c r="F292" s="31">
        <f>IF($A292="","",SUMIF(MonthlySummary!$B$2:$B$1000,$A292,MonthlySummary!$E$2:$E$1000))</f>
        <v/>
      </c>
      <c r="G292" s="31" t="n">
        <v>0</v>
      </c>
      <c r="H292" s="31">
        <f>IF($A292="","",$F292-IF($G292="",0,$G292))</f>
        <v/>
      </c>
      <c r="I292" s="31">
        <f>IF($A292="","",IFERROR(XLOOKUP($A292,SeedPlacement!$A$2:$A$1000,SeedPlacement!$N$2:$N$1000),0))</f>
        <v/>
      </c>
      <c r="J292" s="59" t="n"/>
    </row>
    <row r="293">
      <c r="A293" s="31">
        <f>IF(Members!$A293="","",Members!$A293)</f>
        <v/>
      </c>
      <c r="B293" s="31">
        <f>IF($A293="","",$I293+SUMIF(WeeklySummary!$B$2:$B$1000,$A293,WeeklySummary!$G$2:$G$1000))</f>
        <v/>
      </c>
      <c r="C293" s="31">
        <f>IF($B293="","",MIN(100,INT(SQRT($B293))))</f>
        <v/>
      </c>
      <c r="D293" s="31">
        <f>IF($C293="","",($C293+1)^2)</f>
        <v/>
      </c>
      <c r="E293" s="31">
        <f>IF($D293="","",$D293-$B293)</f>
        <v/>
      </c>
      <c r="F293" s="31">
        <f>IF($A293="","",SUMIF(MonthlySummary!$B$2:$B$1000,$A293,MonthlySummary!$E$2:$E$1000))</f>
        <v/>
      </c>
      <c r="G293" s="31" t="n">
        <v>0</v>
      </c>
      <c r="H293" s="31">
        <f>IF($A293="","",$F293-IF($G293="",0,$G293))</f>
        <v/>
      </c>
      <c r="I293" s="31">
        <f>IF($A293="","",IFERROR(XLOOKUP($A293,SeedPlacement!$A$2:$A$1000,SeedPlacement!$N$2:$N$1000),0))</f>
        <v/>
      </c>
      <c r="J293" s="59" t="n"/>
    </row>
    <row r="294">
      <c r="A294" s="31">
        <f>IF(Members!$A294="","",Members!$A294)</f>
        <v/>
      </c>
      <c r="B294" s="31">
        <f>IF($A294="","",$I294+SUMIF(WeeklySummary!$B$2:$B$1000,$A294,WeeklySummary!$G$2:$G$1000))</f>
        <v/>
      </c>
      <c r="C294" s="31">
        <f>IF($B294="","",MIN(100,INT(SQRT($B294))))</f>
        <v/>
      </c>
      <c r="D294" s="31">
        <f>IF($C294="","",($C294+1)^2)</f>
        <v/>
      </c>
      <c r="E294" s="31">
        <f>IF($D294="","",$D294-$B294)</f>
        <v/>
      </c>
      <c r="F294" s="31">
        <f>IF($A294="","",SUMIF(MonthlySummary!$B$2:$B$1000,$A294,MonthlySummary!$E$2:$E$1000))</f>
        <v/>
      </c>
      <c r="G294" s="31" t="n">
        <v>0</v>
      </c>
      <c r="H294" s="31">
        <f>IF($A294="","",$F294-IF($G294="",0,$G294))</f>
        <v/>
      </c>
      <c r="I294" s="31">
        <f>IF($A294="","",IFERROR(XLOOKUP($A294,SeedPlacement!$A$2:$A$1000,SeedPlacement!$N$2:$N$1000),0))</f>
        <v/>
      </c>
      <c r="J294" s="59" t="n"/>
    </row>
    <row r="295">
      <c r="A295" s="31">
        <f>IF(Members!$A295="","",Members!$A295)</f>
        <v/>
      </c>
      <c r="B295" s="31">
        <f>IF($A295="","",$I295+SUMIF(WeeklySummary!$B$2:$B$1000,$A295,WeeklySummary!$G$2:$G$1000))</f>
        <v/>
      </c>
      <c r="C295" s="31">
        <f>IF($B295="","",MIN(100,INT(SQRT($B295))))</f>
        <v/>
      </c>
      <c r="D295" s="31">
        <f>IF($C295="","",($C295+1)^2)</f>
        <v/>
      </c>
      <c r="E295" s="31">
        <f>IF($D295="","",$D295-$B295)</f>
        <v/>
      </c>
      <c r="F295" s="31">
        <f>IF($A295="","",SUMIF(MonthlySummary!$B$2:$B$1000,$A295,MonthlySummary!$E$2:$E$1000))</f>
        <v/>
      </c>
      <c r="G295" s="31" t="n">
        <v>0</v>
      </c>
      <c r="H295" s="31">
        <f>IF($A295="","",$F295-IF($G295="",0,$G295))</f>
        <v/>
      </c>
      <c r="I295" s="31">
        <f>IF($A295="","",IFERROR(XLOOKUP($A295,SeedPlacement!$A$2:$A$1000,SeedPlacement!$N$2:$N$1000),0))</f>
        <v/>
      </c>
      <c r="J295" s="59" t="n"/>
    </row>
    <row r="296">
      <c r="A296" s="31">
        <f>IF(Members!$A296="","",Members!$A296)</f>
        <v/>
      </c>
      <c r="B296" s="31">
        <f>IF($A296="","",$I296+SUMIF(WeeklySummary!$B$2:$B$1000,$A296,WeeklySummary!$G$2:$G$1000))</f>
        <v/>
      </c>
      <c r="C296" s="31">
        <f>IF($B296="","",MIN(100,INT(SQRT($B296))))</f>
        <v/>
      </c>
      <c r="D296" s="31">
        <f>IF($C296="","",($C296+1)^2)</f>
        <v/>
      </c>
      <c r="E296" s="31">
        <f>IF($D296="","",$D296-$B296)</f>
        <v/>
      </c>
      <c r="F296" s="31">
        <f>IF($A296="","",SUMIF(MonthlySummary!$B$2:$B$1000,$A296,MonthlySummary!$E$2:$E$1000))</f>
        <v/>
      </c>
      <c r="G296" s="31" t="n">
        <v>0</v>
      </c>
      <c r="H296" s="31">
        <f>IF($A296="","",$F296-IF($G296="",0,$G296))</f>
        <v/>
      </c>
      <c r="I296" s="31">
        <f>IF($A296="","",IFERROR(XLOOKUP($A296,SeedPlacement!$A$2:$A$1000,SeedPlacement!$N$2:$N$1000),0))</f>
        <v/>
      </c>
      <c r="J296" s="59" t="n"/>
    </row>
    <row r="297">
      <c r="A297" s="31">
        <f>IF(Members!$A297="","",Members!$A297)</f>
        <v/>
      </c>
      <c r="B297" s="31">
        <f>IF($A297="","",$I297+SUMIF(WeeklySummary!$B$2:$B$1000,$A297,WeeklySummary!$G$2:$G$1000))</f>
        <v/>
      </c>
      <c r="C297" s="31">
        <f>IF($B297="","",MIN(100,INT(SQRT($B297))))</f>
        <v/>
      </c>
      <c r="D297" s="31">
        <f>IF($C297="","",($C297+1)^2)</f>
        <v/>
      </c>
      <c r="E297" s="31">
        <f>IF($D297="","",$D297-$B297)</f>
        <v/>
      </c>
      <c r="F297" s="31">
        <f>IF($A297="","",SUMIF(MonthlySummary!$B$2:$B$1000,$A297,MonthlySummary!$E$2:$E$1000))</f>
        <v/>
      </c>
      <c r="G297" s="31" t="n">
        <v>0</v>
      </c>
      <c r="H297" s="31">
        <f>IF($A297="","",$F297-IF($G297="",0,$G297))</f>
        <v/>
      </c>
      <c r="I297" s="31">
        <f>IF($A297="","",IFERROR(XLOOKUP($A297,SeedPlacement!$A$2:$A$1000,SeedPlacement!$N$2:$N$1000),0))</f>
        <v/>
      </c>
      <c r="J297" s="59" t="n"/>
    </row>
    <row r="298">
      <c r="A298" s="31">
        <f>IF(Members!$A298="","",Members!$A298)</f>
        <v/>
      </c>
      <c r="B298" s="31">
        <f>IF($A298="","",$I298+SUMIF(WeeklySummary!$B$2:$B$1000,$A298,WeeklySummary!$G$2:$G$1000))</f>
        <v/>
      </c>
      <c r="C298" s="31">
        <f>IF($B298="","",MIN(100,INT(SQRT($B298))))</f>
        <v/>
      </c>
      <c r="D298" s="31">
        <f>IF($C298="","",($C298+1)^2)</f>
        <v/>
      </c>
      <c r="E298" s="31">
        <f>IF($D298="","",$D298-$B298)</f>
        <v/>
      </c>
      <c r="F298" s="31">
        <f>IF($A298="","",SUMIF(MonthlySummary!$B$2:$B$1000,$A298,MonthlySummary!$E$2:$E$1000))</f>
        <v/>
      </c>
      <c r="G298" s="31" t="n">
        <v>0</v>
      </c>
      <c r="H298" s="31">
        <f>IF($A298="","",$F298-IF($G298="",0,$G298))</f>
        <v/>
      </c>
      <c r="I298" s="31">
        <f>IF($A298="","",IFERROR(XLOOKUP($A298,SeedPlacement!$A$2:$A$1000,SeedPlacement!$N$2:$N$1000),0))</f>
        <v/>
      </c>
      <c r="J298" s="59" t="n"/>
    </row>
    <row r="299">
      <c r="A299" s="31">
        <f>IF(Members!$A299="","",Members!$A299)</f>
        <v/>
      </c>
      <c r="B299" s="31">
        <f>IF($A299="","",$I299+SUMIF(WeeklySummary!$B$2:$B$1000,$A299,WeeklySummary!$G$2:$G$1000))</f>
        <v/>
      </c>
      <c r="C299" s="31">
        <f>IF($B299="","",MIN(100,INT(SQRT($B299))))</f>
        <v/>
      </c>
      <c r="D299" s="31">
        <f>IF($C299="","",($C299+1)^2)</f>
        <v/>
      </c>
      <c r="E299" s="31">
        <f>IF($D299="","",$D299-$B299)</f>
        <v/>
      </c>
      <c r="F299" s="31">
        <f>IF($A299="","",SUMIF(MonthlySummary!$B$2:$B$1000,$A299,MonthlySummary!$E$2:$E$1000))</f>
        <v/>
      </c>
      <c r="G299" s="31" t="n">
        <v>0</v>
      </c>
      <c r="H299" s="31">
        <f>IF($A299="","",$F299-IF($G299="",0,$G299))</f>
        <v/>
      </c>
      <c r="I299" s="31">
        <f>IF($A299="","",IFERROR(XLOOKUP($A299,SeedPlacement!$A$2:$A$1000,SeedPlacement!$N$2:$N$1000),0))</f>
        <v/>
      </c>
      <c r="J299" s="59" t="n"/>
    </row>
    <row r="300">
      <c r="A300" s="31">
        <f>IF(Members!$A300="","",Members!$A300)</f>
        <v/>
      </c>
      <c r="B300" s="31">
        <f>IF($A300="","",$I300+SUMIF(WeeklySummary!$B$2:$B$1000,$A300,WeeklySummary!$G$2:$G$1000))</f>
        <v/>
      </c>
      <c r="C300" s="31">
        <f>IF($B300="","",MIN(100,INT(SQRT($B300))))</f>
        <v/>
      </c>
      <c r="D300" s="31">
        <f>IF($C300="","",($C300+1)^2)</f>
        <v/>
      </c>
      <c r="E300" s="31">
        <f>IF($D300="","",$D300-$B300)</f>
        <v/>
      </c>
      <c r="F300" s="31">
        <f>IF($A300="","",SUMIF(MonthlySummary!$B$2:$B$1000,$A300,MonthlySummary!$E$2:$E$1000))</f>
        <v/>
      </c>
      <c r="G300" s="31" t="n">
        <v>0</v>
      </c>
      <c r="H300" s="31">
        <f>IF($A300="","",$F300-IF($G300="",0,$G300))</f>
        <v/>
      </c>
      <c r="I300" s="31">
        <f>IF($A300="","",IFERROR(XLOOKUP($A300,SeedPlacement!$A$2:$A$1000,SeedPlacement!$N$2:$N$1000),0))</f>
        <v/>
      </c>
      <c r="J300" s="59" t="n"/>
    </row>
    <row r="301">
      <c r="A301" s="31">
        <f>IF(Members!$A301="","",Members!$A301)</f>
        <v/>
      </c>
      <c r="B301" s="31">
        <f>IF($A301="","",$I301+SUMIF(WeeklySummary!$B$2:$B$1000,$A301,WeeklySummary!$G$2:$G$1000))</f>
        <v/>
      </c>
      <c r="C301" s="31">
        <f>IF($B301="","",MIN(100,INT(SQRT($B301))))</f>
        <v/>
      </c>
      <c r="D301" s="31">
        <f>IF($C301="","",($C301+1)^2)</f>
        <v/>
      </c>
      <c r="E301" s="31">
        <f>IF($D301="","",$D301-$B301)</f>
        <v/>
      </c>
      <c r="F301" s="31">
        <f>IF($A301="","",SUMIF(MonthlySummary!$B$2:$B$1000,$A301,MonthlySummary!$E$2:$E$1000))</f>
        <v/>
      </c>
      <c r="G301" s="31" t="n">
        <v>0</v>
      </c>
      <c r="H301" s="31">
        <f>IF($A301="","",$F301-IF($G301="",0,$G301))</f>
        <v/>
      </c>
      <c r="I301" s="31">
        <f>IF($A301="","",IFERROR(XLOOKUP($A301,SeedPlacement!$A$2:$A$1000,SeedPlacement!$N$2:$N$1000),0))</f>
        <v/>
      </c>
      <c r="J301" s="59" t="n"/>
    </row>
    <row r="302">
      <c r="A302" s="31">
        <f>IF(Members!$A302="","",Members!$A302)</f>
        <v/>
      </c>
      <c r="B302" s="31">
        <f>IF($A302="","",$I302+SUMIF(WeeklySummary!$B$2:$B$1000,$A302,WeeklySummary!$G$2:$G$1000))</f>
        <v/>
      </c>
      <c r="C302" s="31">
        <f>IF($B302="","",MIN(100,INT(SQRT($B302))))</f>
        <v/>
      </c>
      <c r="D302" s="31">
        <f>IF($C302="","",($C302+1)^2)</f>
        <v/>
      </c>
      <c r="E302" s="31">
        <f>IF($D302="","",$D302-$B302)</f>
        <v/>
      </c>
      <c r="F302" s="31">
        <f>IF($A302="","",SUMIF(MonthlySummary!$B$2:$B$1000,$A302,MonthlySummary!$E$2:$E$1000))</f>
        <v/>
      </c>
      <c r="G302" s="31" t="n">
        <v>0</v>
      </c>
      <c r="H302" s="31">
        <f>IF($A302="","",$F302-IF($G302="",0,$G302))</f>
        <v/>
      </c>
      <c r="I302" s="31">
        <f>IF($A302="","",IFERROR(XLOOKUP($A302,SeedPlacement!$A$2:$A$1000,SeedPlacement!$N$2:$N$1000),0))</f>
        <v/>
      </c>
      <c r="J302" s="59" t="n"/>
    </row>
    <row r="303">
      <c r="A303" s="31">
        <f>IF(Members!$A303="","",Members!$A303)</f>
        <v/>
      </c>
      <c r="B303" s="31">
        <f>IF($A303="","",$I303+SUMIF(WeeklySummary!$B$2:$B$1000,$A303,WeeklySummary!$G$2:$G$1000))</f>
        <v/>
      </c>
      <c r="C303" s="31">
        <f>IF($B303="","",MIN(100,INT(SQRT($B303))))</f>
        <v/>
      </c>
      <c r="D303" s="31">
        <f>IF($C303="","",($C303+1)^2)</f>
        <v/>
      </c>
      <c r="E303" s="31">
        <f>IF($D303="","",$D303-$B303)</f>
        <v/>
      </c>
      <c r="F303" s="31">
        <f>IF($A303="","",SUMIF(MonthlySummary!$B$2:$B$1000,$A303,MonthlySummary!$E$2:$E$1000))</f>
        <v/>
      </c>
      <c r="G303" s="31" t="n">
        <v>0</v>
      </c>
      <c r="H303" s="31">
        <f>IF($A303="","",$F303-IF($G303="",0,$G303))</f>
        <v/>
      </c>
      <c r="I303" s="31">
        <f>IF($A303="","",IFERROR(XLOOKUP($A303,SeedPlacement!$A$2:$A$1000,SeedPlacement!$N$2:$N$1000),0))</f>
        <v/>
      </c>
      <c r="J303" s="59" t="n"/>
    </row>
    <row r="304">
      <c r="A304" s="31">
        <f>IF(Members!$A304="","",Members!$A304)</f>
        <v/>
      </c>
      <c r="B304" s="31">
        <f>IF($A304="","",$I304+SUMIF(WeeklySummary!$B$2:$B$1000,$A304,WeeklySummary!$G$2:$G$1000))</f>
        <v/>
      </c>
      <c r="C304" s="31">
        <f>IF($B304="","",MIN(100,INT(SQRT($B304))))</f>
        <v/>
      </c>
      <c r="D304" s="31">
        <f>IF($C304="","",($C304+1)^2)</f>
        <v/>
      </c>
      <c r="E304" s="31">
        <f>IF($D304="","",$D304-$B304)</f>
        <v/>
      </c>
      <c r="F304" s="31">
        <f>IF($A304="","",SUMIF(MonthlySummary!$B$2:$B$1000,$A304,MonthlySummary!$E$2:$E$1000))</f>
        <v/>
      </c>
      <c r="G304" s="31" t="n">
        <v>0</v>
      </c>
      <c r="H304" s="31">
        <f>IF($A304="","",$F304-IF($G304="",0,$G304))</f>
        <v/>
      </c>
      <c r="I304" s="31">
        <f>IF($A304="","",IFERROR(XLOOKUP($A304,SeedPlacement!$A$2:$A$1000,SeedPlacement!$N$2:$N$1000),0))</f>
        <v/>
      </c>
      <c r="J304" s="59" t="n"/>
    </row>
    <row r="305">
      <c r="A305" s="31">
        <f>IF(Members!$A305="","",Members!$A305)</f>
        <v/>
      </c>
      <c r="B305" s="31">
        <f>IF($A305="","",$I305+SUMIF(WeeklySummary!$B$2:$B$1000,$A305,WeeklySummary!$G$2:$G$1000))</f>
        <v/>
      </c>
      <c r="C305" s="31">
        <f>IF($B305="","",MIN(100,INT(SQRT($B305))))</f>
        <v/>
      </c>
      <c r="D305" s="31">
        <f>IF($C305="","",($C305+1)^2)</f>
        <v/>
      </c>
      <c r="E305" s="31">
        <f>IF($D305="","",$D305-$B305)</f>
        <v/>
      </c>
      <c r="F305" s="31">
        <f>IF($A305="","",SUMIF(MonthlySummary!$B$2:$B$1000,$A305,MonthlySummary!$E$2:$E$1000))</f>
        <v/>
      </c>
      <c r="G305" s="31" t="n">
        <v>0</v>
      </c>
      <c r="H305" s="31">
        <f>IF($A305="","",$F305-IF($G305="",0,$G305))</f>
        <v/>
      </c>
      <c r="I305" s="31">
        <f>IF($A305="","",IFERROR(XLOOKUP($A305,SeedPlacement!$A$2:$A$1000,SeedPlacement!$N$2:$N$1000),0))</f>
        <v/>
      </c>
      <c r="J305" s="59" t="n"/>
    </row>
    <row r="306">
      <c r="A306" s="31">
        <f>IF(Members!$A306="","",Members!$A306)</f>
        <v/>
      </c>
      <c r="B306" s="31">
        <f>IF($A306="","",$I306+SUMIF(WeeklySummary!$B$2:$B$1000,$A306,WeeklySummary!$G$2:$G$1000))</f>
        <v/>
      </c>
      <c r="C306" s="31">
        <f>IF($B306="","",MIN(100,INT(SQRT($B306))))</f>
        <v/>
      </c>
      <c r="D306" s="31">
        <f>IF($C306="","",($C306+1)^2)</f>
        <v/>
      </c>
      <c r="E306" s="31">
        <f>IF($D306="","",$D306-$B306)</f>
        <v/>
      </c>
      <c r="F306" s="31">
        <f>IF($A306="","",SUMIF(MonthlySummary!$B$2:$B$1000,$A306,MonthlySummary!$E$2:$E$1000))</f>
        <v/>
      </c>
      <c r="G306" s="31" t="n">
        <v>0</v>
      </c>
      <c r="H306" s="31">
        <f>IF($A306="","",$F306-IF($G306="",0,$G306))</f>
        <v/>
      </c>
      <c r="I306" s="31">
        <f>IF($A306="","",IFERROR(XLOOKUP($A306,SeedPlacement!$A$2:$A$1000,SeedPlacement!$N$2:$N$1000),0))</f>
        <v/>
      </c>
      <c r="J306" s="59" t="n"/>
    </row>
    <row r="307">
      <c r="A307" s="31">
        <f>IF(Members!$A307="","",Members!$A307)</f>
        <v/>
      </c>
      <c r="B307" s="31">
        <f>IF($A307="","",$I307+SUMIF(WeeklySummary!$B$2:$B$1000,$A307,WeeklySummary!$G$2:$G$1000))</f>
        <v/>
      </c>
      <c r="C307" s="31">
        <f>IF($B307="","",MIN(100,INT(SQRT($B307))))</f>
        <v/>
      </c>
      <c r="D307" s="31">
        <f>IF($C307="","",($C307+1)^2)</f>
        <v/>
      </c>
      <c r="E307" s="31">
        <f>IF($D307="","",$D307-$B307)</f>
        <v/>
      </c>
      <c r="F307" s="31">
        <f>IF($A307="","",SUMIF(MonthlySummary!$B$2:$B$1000,$A307,MonthlySummary!$E$2:$E$1000))</f>
        <v/>
      </c>
      <c r="G307" s="31" t="n">
        <v>0</v>
      </c>
      <c r="H307" s="31">
        <f>IF($A307="","",$F307-IF($G307="",0,$G307))</f>
        <v/>
      </c>
      <c r="I307" s="31">
        <f>IF($A307="","",IFERROR(XLOOKUP($A307,SeedPlacement!$A$2:$A$1000,SeedPlacement!$N$2:$N$1000),0))</f>
        <v/>
      </c>
      <c r="J307" s="59" t="n"/>
    </row>
    <row r="308">
      <c r="A308" s="31">
        <f>IF(Members!$A308="","",Members!$A308)</f>
        <v/>
      </c>
      <c r="B308" s="31">
        <f>IF($A308="","",$I308+SUMIF(WeeklySummary!$B$2:$B$1000,$A308,WeeklySummary!$G$2:$G$1000))</f>
        <v/>
      </c>
      <c r="C308" s="31">
        <f>IF($B308="","",MIN(100,INT(SQRT($B308))))</f>
        <v/>
      </c>
      <c r="D308" s="31">
        <f>IF($C308="","",($C308+1)^2)</f>
        <v/>
      </c>
      <c r="E308" s="31">
        <f>IF($D308="","",$D308-$B308)</f>
        <v/>
      </c>
      <c r="F308" s="31">
        <f>IF($A308="","",SUMIF(MonthlySummary!$B$2:$B$1000,$A308,MonthlySummary!$E$2:$E$1000))</f>
        <v/>
      </c>
      <c r="G308" s="31" t="n">
        <v>0</v>
      </c>
      <c r="H308" s="31">
        <f>IF($A308="","",$F308-IF($G308="",0,$G308))</f>
        <v/>
      </c>
      <c r="I308" s="31">
        <f>IF($A308="","",IFERROR(XLOOKUP($A308,SeedPlacement!$A$2:$A$1000,SeedPlacement!$N$2:$N$1000),0))</f>
        <v/>
      </c>
      <c r="J308" s="59" t="n"/>
    </row>
    <row r="309">
      <c r="A309" s="31">
        <f>IF(Members!$A309="","",Members!$A309)</f>
        <v/>
      </c>
      <c r="B309" s="31">
        <f>IF($A309="","",$I309+SUMIF(WeeklySummary!$B$2:$B$1000,$A309,WeeklySummary!$G$2:$G$1000))</f>
        <v/>
      </c>
      <c r="C309" s="31">
        <f>IF($B309="","",MIN(100,INT(SQRT($B309))))</f>
        <v/>
      </c>
      <c r="D309" s="31">
        <f>IF($C309="","",($C309+1)^2)</f>
        <v/>
      </c>
      <c r="E309" s="31">
        <f>IF($D309="","",$D309-$B309)</f>
        <v/>
      </c>
      <c r="F309" s="31">
        <f>IF($A309="","",SUMIF(MonthlySummary!$B$2:$B$1000,$A309,MonthlySummary!$E$2:$E$1000))</f>
        <v/>
      </c>
      <c r="G309" s="31" t="n">
        <v>0</v>
      </c>
      <c r="H309" s="31">
        <f>IF($A309="","",$F309-IF($G309="",0,$G309))</f>
        <v/>
      </c>
      <c r="I309" s="31">
        <f>IF($A309="","",IFERROR(XLOOKUP($A309,SeedPlacement!$A$2:$A$1000,SeedPlacement!$N$2:$N$1000),0))</f>
        <v/>
      </c>
      <c r="J309" s="59" t="n"/>
    </row>
    <row r="310">
      <c r="A310" s="31">
        <f>IF(Members!$A310="","",Members!$A310)</f>
        <v/>
      </c>
      <c r="B310" s="31">
        <f>IF($A310="","",$I310+SUMIF(WeeklySummary!$B$2:$B$1000,$A310,WeeklySummary!$G$2:$G$1000))</f>
        <v/>
      </c>
      <c r="C310" s="31">
        <f>IF($B310="","",MIN(100,INT(SQRT($B310))))</f>
        <v/>
      </c>
      <c r="D310" s="31">
        <f>IF($C310="","",($C310+1)^2)</f>
        <v/>
      </c>
      <c r="E310" s="31">
        <f>IF($D310="","",$D310-$B310)</f>
        <v/>
      </c>
      <c r="F310" s="31">
        <f>IF($A310="","",SUMIF(MonthlySummary!$B$2:$B$1000,$A310,MonthlySummary!$E$2:$E$1000))</f>
        <v/>
      </c>
      <c r="G310" s="31" t="n">
        <v>0</v>
      </c>
      <c r="H310" s="31">
        <f>IF($A310="","",$F310-IF($G310="",0,$G310))</f>
        <v/>
      </c>
      <c r="I310" s="31">
        <f>IF($A310="","",IFERROR(XLOOKUP($A310,SeedPlacement!$A$2:$A$1000,SeedPlacement!$N$2:$N$1000),0))</f>
        <v/>
      </c>
      <c r="J310" s="59" t="n"/>
    </row>
    <row r="311">
      <c r="A311" s="31">
        <f>IF(Members!$A311="","",Members!$A311)</f>
        <v/>
      </c>
      <c r="B311" s="31">
        <f>IF($A311="","",$I311+SUMIF(WeeklySummary!$B$2:$B$1000,$A311,WeeklySummary!$G$2:$G$1000))</f>
        <v/>
      </c>
      <c r="C311" s="31">
        <f>IF($B311="","",MIN(100,INT(SQRT($B311))))</f>
        <v/>
      </c>
      <c r="D311" s="31">
        <f>IF($C311="","",($C311+1)^2)</f>
        <v/>
      </c>
      <c r="E311" s="31">
        <f>IF($D311="","",$D311-$B311)</f>
        <v/>
      </c>
      <c r="F311" s="31">
        <f>IF($A311="","",SUMIF(MonthlySummary!$B$2:$B$1000,$A311,MonthlySummary!$E$2:$E$1000))</f>
        <v/>
      </c>
      <c r="G311" s="31" t="n">
        <v>0</v>
      </c>
      <c r="H311" s="31">
        <f>IF($A311="","",$F311-IF($G311="",0,$G311))</f>
        <v/>
      </c>
      <c r="I311" s="31">
        <f>IF($A311="","",IFERROR(XLOOKUP($A311,SeedPlacement!$A$2:$A$1000,SeedPlacement!$N$2:$N$1000),0))</f>
        <v/>
      </c>
      <c r="J311" s="59" t="n"/>
    </row>
    <row r="312">
      <c r="A312" s="31">
        <f>IF(Members!$A312="","",Members!$A312)</f>
        <v/>
      </c>
      <c r="B312" s="31">
        <f>IF($A312="","",$I312+SUMIF(WeeklySummary!$B$2:$B$1000,$A312,WeeklySummary!$G$2:$G$1000))</f>
        <v/>
      </c>
      <c r="C312" s="31">
        <f>IF($B312="","",MIN(100,INT(SQRT($B312))))</f>
        <v/>
      </c>
      <c r="D312" s="31">
        <f>IF($C312="","",($C312+1)^2)</f>
        <v/>
      </c>
      <c r="E312" s="31">
        <f>IF($D312="","",$D312-$B312)</f>
        <v/>
      </c>
      <c r="F312" s="31">
        <f>IF($A312="","",SUMIF(MonthlySummary!$B$2:$B$1000,$A312,MonthlySummary!$E$2:$E$1000))</f>
        <v/>
      </c>
      <c r="G312" s="31" t="n">
        <v>0</v>
      </c>
      <c r="H312" s="31">
        <f>IF($A312="","",$F312-IF($G312="",0,$G312))</f>
        <v/>
      </c>
      <c r="I312" s="31">
        <f>IF($A312="","",IFERROR(XLOOKUP($A312,SeedPlacement!$A$2:$A$1000,SeedPlacement!$N$2:$N$1000),0))</f>
        <v/>
      </c>
      <c r="J312" s="59" t="n"/>
    </row>
    <row r="313">
      <c r="A313" s="31">
        <f>IF(Members!$A313="","",Members!$A313)</f>
        <v/>
      </c>
      <c r="B313" s="31">
        <f>IF($A313="","",$I313+SUMIF(WeeklySummary!$B$2:$B$1000,$A313,WeeklySummary!$G$2:$G$1000))</f>
        <v/>
      </c>
      <c r="C313" s="31">
        <f>IF($B313="","",MIN(100,INT(SQRT($B313))))</f>
        <v/>
      </c>
      <c r="D313" s="31">
        <f>IF($C313="","",($C313+1)^2)</f>
        <v/>
      </c>
      <c r="E313" s="31">
        <f>IF($D313="","",$D313-$B313)</f>
        <v/>
      </c>
      <c r="F313" s="31">
        <f>IF($A313="","",SUMIF(MonthlySummary!$B$2:$B$1000,$A313,MonthlySummary!$E$2:$E$1000))</f>
        <v/>
      </c>
      <c r="G313" s="31" t="n">
        <v>0</v>
      </c>
      <c r="H313" s="31">
        <f>IF($A313="","",$F313-IF($G313="",0,$G313))</f>
        <v/>
      </c>
      <c r="I313" s="31">
        <f>IF($A313="","",IFERROR(XLOOKUP($A313,SeedPlacement!$A$2:$A$1000,SeedPlacement!$N$2:$N$1000),0))</f>
        <v/>
      </c>
      <c r="J313" s="59" t="n"/>
    </row>
    <row r="314">
      <c r="A314" s="31">
        <f>IF(Members!$A314="","",Members!$A314)</f>
        <v/>
      </c>
      <c r="B314" s="31">
        <f>IF($A314="","",$I314+SUMIF(WeeklySummary!$B$2:$B$1000,$A314,WeeklySummary!$G$2:$G$1000))</f>
        <v/>
      </c>
      <c r="C314" s="31">
        <f>IF($B314="","",MIN(100,INT(SQRT($B314))))</f>
        <v/>
      </c>
      <c r="D314" s="31">
        <f>IF($C314="","",($C314+1)^2)</f>
        <v/>
      </c>
      <c r="E314" s="31">
        <f>IF($D314="","",$D314-$B314)</f>
        <v/>
      </c>
      <c r="F314" s="31">
        <f>IF($A314="","",SUMIF(MonthlySummary!$B$2:$B$1000,$A314,MonthlySummary!$E$2:$E$1000))</f>
        <v/>
      </c>
      <c r="G314" s="31" t="n">
        <v>0</v>
      </c>
      <c r="H314" s="31">
        <f>IF($A314="","",$F314-IF($G314="",0,$G314))</f>
        <v/>
      </c>
      <c r="I314" s="31">
        <f>IF($A314="","",IFERROR(XLOOKUP($A314,SeedPlacement!$A$2:$A$1000,SeedPlacement!$N$2:$N$1000),0))</f>
        <v/>
      </c>
      <c r="J314" s="59" t="n"/>
    </row>
    <row r="315">
      <c r="A315" s="31">
        <f>IF(Members!$A315="","",Members!$A315)</f>
        <v/>
      </c>
      <c r="B315" s="31">
        <f>IF($A315="","",$I315+SUMIF(WeeklySummary!$B$2:$B$1000,$A315,WeeklySummary!$G$2:$G$1000))</f>
        <v/>
      </c>
      <c r="C315" s="31">
        <f>IF($B315="","",MIN(100,INT(SQRT($B315))))</f>
        <v/>
      </c>
      <c r="D315" s="31">
        <f>IF($C315="","",($C315+1)^2)</f>
        <v/>
      </c>
      <c r="E315" s="31">
        <f>IF($D315="","",$D315-$B315)</f>
        <v/>
      </c>
      <c r="F315" s="31">
        <f>IF($A315="","",SUMIF(MonthlySummary!$B$2:$B$1000,$A315,MonthlySummary!$E$2:$E$1000))</f>
        <v/>
      </c>
      <c r="G315" s="31" t="n">
        <v>0</v>
      </c>
      <c r="H315" s="31">
        <f>IF($A315="","",$F315-IF($G315="",0,$G315))</f>
        <v/>
      </c>
      <c r="I315" s="31">
        <f>IF($A315="","",IFERROR(XLOOKUP($A315,SeedPlacement!$A$2:$A$1000,SeedPlacement!$N$2:$N$1000),0))</f>
        <v/>
      </c>
      <c r="J315" s="59" t="n"/>
    </row>
    <row r="316">
      <c r="A316" s="31">
        <f>IF(Members!$A316="","",Members!$A316)</f>
        <v/>
      </c>
      <c r="B316" s="31">
        <f>IF($A316="","",$I316+SUMIF(WeeklySummary!$B$2:$B$1000,$A316,WeeklySummary!$G$2:$G$1000))</f>
        <v/>
      </c>
      <c r="C316" s="31">
        <f>IF($B316="","",MIN(100,INT(SQRT($B316))))</f>
        <v/>
      </c>
      <c r="D316" s="31">
        <f>IF($C316="","",($C316+1)^2)</f>
        <v/>
      </c>
      <c r="E316" s="31">
        <f>IF($D316="","",$D316-$B316)</f>
        <v/>
      </c>
      <c r="F316" s="31">
        <f>IF($A316="","",SUMIF(MonthlySummary!$B$2:$B$1000,$A316,MonthlySummary!$E$2:$E$1000))</f>
        <v/>
      </c>
      <c r="G316" s="31" t="n">
        <v>0</v>
      </c>
      <c r="H316" s="31">
        <f>IF($A316="","",$F316-IF($G316="",0,$G316))</f>
        <v/>
      </c>
      <c r="I316" s="31">
        <f>IF($A316="","",IFERROR(XLOOKUP($A316,SeedPlacement!$A$2:$A$1000,SeedPlacement!$N$2:$N$1000),0))</f>
        <v/>
      </c>
      <c r="J316" s="59" t="n"/>
    </row>
    <row r="317">
      <c r="A317" s="31">
        <f>IF(Members!$A317="","",Members!$A317)</f>
        <v/>
      </c>
      <c r="B317" s="31">
        <f>IF($A317="","",$I317+SUMIF(WeeklySummary!$B$2:$B$1000,$A317,WeeklySummary!$G$2:$G$1000))</f>
        <v/>
      </c>
      <c r="C317" s="31">
        <f>IF($B317="","",MIN(100,INT(SQRT($B317))))</f>
        <v/>
      </c>
      <c r="D317" s="31">
        <f>IF($C317="","",($C317+1)^2)</f>
        <v/>
      </c>
      <c r="E317" s="31">
        <f>IF($D317="","",$D317-$B317)</f>
        <v/>
      </c>
      <c r="F317" s="31">
        <f>IF($A317="","",SUMIF(MonthlySummary!$B$2:$B$1000,$A317,MonthlySummary!$E$2:$E$1000))</f>
        <v/>
      </c>
      <c r="G317" s="31" t="n">
        <v>0</v>
      </c>
      <c r="H317" s="31">
        <f>IF($A317="","",$F317-IF($G317="",0,$G317))</f>
        <v/>
      </c>
      <c r="I317" s="31">
        <f>IF($A317="","",IFERROR(XLOOKUP($A317,SeedPlacement!$A$2:$A$1000,SeedPlacement!$N$2:$N$1000),0))</f>
        <v/>
      </c>
      <c r="J317" s="59" t="n"/>
    </row>
    <row r="318">
      <c r="A318" s="31">
        <f>IF(Members!$A318="","",Members!$A318)</f>
        <v/>
      </c>
      <c r="B318" s="31">
        <f>IF($A318="","",$I318+SUMIF(WeeklySummary!$B$2:$B$1000,$A318,WeeklySummary!$G$2:$G$1000))</f>
        <v/>
      </c>
      <c r="C318" s="31">
        <f>IF($B318="","",MIN(100,INT(SQRT($B318))))</f>
        <v/>
      </c>
      <c r="D318" s="31">
        <f>IF($C318="","",($C318+1)^2)</f>
        <v/>
      </c>
      <c r="E318" s="31">
        <f>IF($D318="","",$D318-$B318)</f>
        <v/>
      </c>
      <c r="F318" s="31">
        <f>IF($A318="","",SUMIF(MonthlySummary!$B$2:$B$1000,$A318,MonthlySummary!$E$2:$E$1000))</f>
        <v/>
      </c>
      <c r="G318" s="31" t="n">
        <v>0</v>
      </c>
      <c r="H318" s="31">
        <f>IF($A318="","",$F318-IF($G318="",0,$G318))</f>
        <v/>
      </c>
      <c r="I318" s="31">
        <f>IF($A318="","",IFERROR(XLOOKUP($A318,SeedPlacement!$A$2:$A$1000,SeedPlacement!$N$2:$N$1000),0))</f>
        <v/>
      </c>
      <c r="J318" s="59" t="n"/>
    </row>
    <row r="319">
      <c r="A319" s="31">
        <f>IF(Members!$A319="","",Members!$A319)</f>
        <v/>
      </c>
      <c r="B319" s="31">
        <f>IF($A319="","",$I319+SUMIF(WeeklySummary!$B$2:$B$1000,$A319,WeeklySummary!$G$2:$G$1000))</f>
        <v/>
      </c>
      <c r="C319" s="31">
        <f>IF($B319="","",MIN(100,INT(SQRT($B319))))</f>
        <v/>
      </c>
      <c r="D319" s="31">
        <f>IF($C319="","",($C319+1)^2)</f>
        <v/>
      </c>
      <c r="E319" s="31">
        <f>IF($D319="","",$D319-$B319)</f>
        <v/>
      </c>
      <c r="F319" s="31">
        <f>IF($A319="","",SUMIF(MonthlySummary!$B$2:$B$1000,$A319,MonthlySummary!$E$2:$E$1000))</f>
        <v/>
      </c>
      <c r="G319" s="31" t="n">
        <v>0</v>
      </c>
      <c r="H319" s="31">
        <f>IF($A319="","",$F319-IF($G319="",0,$G319))</f>
        <v/>
      </c>
      <c r="I319" s="31">
        <f>IF($A319="","",IFERROR(XLOOKUP($A319,SeedPlacement!$A$2:$A$1000,SeedPlacement!$N$2:$N$1000),0))</f>
        <v/>
      </c>
      <c r="J319" s="59" t="n"/>
    </row>
    <row r="320">
      <c r="A320" s="31">
        <f>IF(Members!$A320="","",Members!$A320)</f>
        <v/>
      </c>
      <c r="B320" s="31">
        <f>IF($A320="","",$I320+SUMIF(WeeklySummary!$B$2:$B$1000,$A320,WeeklySummary!$G$2:$G$1000))</f>
        <v/>
      </c>
      <c r="C320" s="31">
        <f>IF($B320="","",MIN(100,INT(SQRT($B320))))</f>
        <v/>
      </c>
      <c r="D320" s="31">
        <f>IF($C320="","",($C320+1)^2)</f>
        <v/>
      </c>
      <c r="E320" s="31">
        <f>IF($D320="","",$D320-$B320)</f>
        <v/>
      </c>
      <c r="F320" s="31">
        <f>IF($A320="","",SUMIF(MonthlySummary!$B$2:$B$1000,$A320,MonthlySummary!$E$2:$E$1000))</f>
        <v/>
      </c>
      <c r="G320" s="31" t="n">
        <v>0</v>
      </c>
      <c r="H320" s="31">
        <f>IF($A320="","",$F320-IF($G320="",0,$G320))</f>
        <v/>
      </c>
      <c r="I320" s="31">
        <f>IF($A320="","",IFERROR(XLOOKUP($A320,SeedPlacement!$A$2:$A$1000,SeedPlacement!$N$2:$N$1000),0))</f>
        <v/>
      </c>
      <c r="J320" s="59" t="n"/>
    </row>
    <row r="321">
      <c r="A321" s="31">
        <f>IF(Members!$A321="","",Members!$A321)</f>
        <v/>
      </c>
      <c r="B321" s="31">
        <f>IF($A321="","",$I321+SUMIF(WeeklySummary!$B$2:$B$1000,$A321,WeeklySummary!$G$2:$G$1000))</f>
        <v/>
      </c>
      <c r="C321" s="31">
        <f>IF($B321="","",MIN(100,INT(SQRT($B321))))</f>
        <v/>
      </c>
      <c r="D321" s="31">
        <f>IF($C321="","",($C321+1)^2)</f>
        <v/>
      </c>
      <c r="E321" s="31">
        <f>IF($D321="","",$D321-$B321)</f>
        <v/>
      </c>
      <c r="F321" s="31">
        <f>IF($A321="","",SUMIF(MonthlySummary!$B$2:$B$1000,$A321,MonthlySummary!$E$2:$E$1000))</f>
        <v/>
      </c>
      <c r="G321" s="31" t="n">
        <v>0</v>
      </c>
      <c r="H321" s="31">
        <f>IF($A321="","",$F321-IF($G321="",0,$G321))</f>
        <v/>
      </c>
      <c r="I321" s="31">
        <f>IF($A321="","",IFERROR(XLOOKUP($A321,SeedPlacement!$A$2:$A$1000,SeedPlacement!$N$2:$N$1000),0))</f>
        <v/>
      </c>
      <c r="J321" s="59" t="n"/>
    </row>
    <row r="322">
      <c r="A322" s="31">
        <f>IF(Members!$A322="","",Members!$A322)</f>
        <v/>
      </c>
      <c r="B322" s="31">
        <f>IF($A322="","",$I322+SUMIF(WeeklySummary!$B$2:$B$1000,$A322,WeeklySummary!$G$2:$G$1000))</f>
        <v/>
      </c>
      <c r="C322" s="31">
        <f>IF($B322="","",MIN(100,INT(SQRT($B322))))</f>
        <v/>
      </c>
      <c r="D322" s="31">
        <f>IF($C322="","",($C322+1)^2)</f>
        <v/>
      </c>
      <c r="E322" s="31">
        <f>IF($D322="","",$D322-$B322)</f>
        <v/>
      </c>
      <c r="F322" s="31">
        <f>IF($A322="","",SUMIF(MonthlySummary!$B$2:$B$1000,$A322,MonthlySummary!$E$2:$E$1000))</f>
        <v/>
      </c>
      <c r="G322" s="31" t="n">
        <v>0</v>
      </c>
      <c r="H322" s="31">
        <f>IF($A322="","",$F322-IF($G322="",0,$G322))</f>
        <v/>
      </c>
      <c r="I322" s="31">
        <f>IF($A322="","",IFERROR(XLOOKUP($A322,SeedPlacement!$A$2:$A$1000,SeedPlacement!$N$2:$N$1000),0))</f>
        <v/>
      </c>
      <c r="J322" s="59" t="n"/>
    </row>
    <row r="323">
      <c r="A323" s="31">
        <f>IF(Members!$A323="","",Members!$A323)</f>
        <v/>
      </c>
      <c r="B323" s="31">
        <f>IF($A323="","",$I323+SUMIF(WeeklySummary!$B$2:$B$1000,$A323,WeeklySummary!$G$2:$G$1000))</f>
        <v/>
      </c>
      <c r="C323" s="31">
        <f>IF($B323="","",MIN(100,INT(SQRT($B323))))</f>
        <v/>
      </c>
      <c r="D323" s="31">
        <f>IF($C323="","",($C323+1)^2)</f>
        <v/>
      </c>
      <c r="E323" s="31">
        <f>IF($D323="","",$D323-$B323)</f>
        <v/>
      </c>
      <c r="F323" s="31">
        <f>IF($A323="","",SUMIF(MonthlySummary!$B$2:$B$1000,$A323,MonthlySummary!$E$2:$E$1000))</f>
        <v/>
      </c>
      <c r="G323" s="31" t="n">
        <v>0</v>
      </c>
      <c r="H323" s="31">
        <f>IF($A323="","",$F323-IF($G323="",0,$G323))</f>
        <v/>
      </c>
      <c r="I323" s="31">
        <f>IF($A323="","",IFERROR(XLOOKUP($A323,SeedPlacement!$A$2:$A$1000,SeedPlacement!$N$2:$N$1000),0))</f>
        <v/>
      </c>
      <c r="J323" s="59" t="n"/>
    </row>
    <row r="324">
      <c r="A324" s="31">
        <f>IF(Members!$A324="","",Members!$A324)</f>
        <v/>
      </c>
      <c r="B324" s="31">
        <f>IF($A324="","",$I324+SUMIF(WeeklySummary!$B$2:$B$1000,$A324,WeeklySummary!$G$2:$G$1000))</f>
        <v/>
      </c>
      <c r="C324" s="31">
        <f>IF($B324="","",MIN(100,INT(SQRT($B324))))</f>
        <v/>
      </c>
      <c r="D324" s="31">
        <f>IF($C324="","",($C324+1)^2)</f>
        <v/>
      </c>
      <c r="E324" s="31">
        <f>IF($D324="","",$D324-$B324)</f>
        <v/>
      </c>
      <c r="F324" s="31">
        <f>IF($A324="","",SUMIF(MonthlySummary!$B$2:$B$1000,$A324,MonthlySummary!$E$2:$E$1000))</f>
        <v/>
      </c>
      <c r="G324" s="31" t="n">
        <v>0</v>
      </c>
      <c r="H324" s="31">
        <f>IF($A324="","",$F324-IF($G324="",0,$G324))</f>
        <v/>
      </c>
      <c r="I324" s="31">
        <f>IF($A324="","",IFERROR(XLOOKUP($A324,SeedPlacement!$A$2:$A$1000,SeedPlacement!$N$2:$N$1000),0))</f>
        <v/>
      </c>
      <c r="J324" s="59" t="n"/>
    </row>
    <row r="325">
      <c r="A325" s="31">
        <f>IF(Members!$A325="","",Members!$A325)</f>
        <v/>
      </c>
      <c r="B325" s="31">
        <f>IF($A325="","",$I325+SUMIF(WeeklySummary!$B$2:$B$1000,$A325,WeeklySummary!$G$2:$G$1000))</f>
        <v/>
      </c>
      <c r="C325" s="31">
        <f>IF($B325="","",MIN(100,INT(SQRT($B325))))</f>
        <v/>
      </c>
      <c r="D325" s="31">
        <f>IF($C325="","",($C325+1)^2)</f>
        <v/>
      </c>
      <c r="E325" s="31">
        <f>IF($D325="","",$D325-$B325)</f>
        <v/>
      </c>
      <c r="F325" s="31">
        <f>IF($A325="","",SUMIF(MonthlySummary!$B$2:$B$1000,$A325,MonthlySummary!$E$2:$E$1000))</f>
        <v/>
      </c>
      <c r="G325" s="31" t="n">
        <v>0</v>
      </c>
      <c r="H325" s="31">
        <f>IF($A325="","",$F325-IF($G325="",0,$G325))</f>
        <v/>
      </c>
      <c r="I325" s="31">
        <f>IF($A325="","",IFERROR(XLOOKUP($A325,SeedPlacement!$A$2:$A$1000,SeedPlacement!$N$2:$N$1000),0))</f>
        <v/>
      </c>
      <c r="J325" s="59" t="n"/>
    </row>
    <row r="326">
      <c r="A326" s="31">
        <f>IF(Members!$A326="","",Members!$A326)</f>
        <v/>
      </c>
      <c r="B326" s="31">
        <f>IF($A326="","",$I326+SUMIF(WeeklySummary!$B$2:$B$1000,$A326,WeeklySummary!$G$2:$G$1000))</f>
        <v/>
      </c>
      <c r="C326" s="31">
        <f>IF($B326="","",MIN(100,INT(SQRT($B326))))</f>
        <v/>
      </c>
      <c r="D326" s="31">
        <f>IF($C326="","",($C326+1)^2)</f>
        <v/>
      </c>
      <c r="E326" s="31">
        <f>IF($D326="","",$D326-$B326)</f>
        <v/>
      </c>
      <c r="F326" s="31">
        <f>IF($A326="","",SUMIF(MonthlySummary!$B$2:$B$1000,$A326,MonthlySummary!$E$2:$E$1000))</f>
        <v/>
      </c>
      <c r="G326" s="31" t="n">
        <v>0</v>
      </c>
      <c r="H326" s="31">
        <f>IF($A326="","",$F326-IF($G326="",0,$G326))</f>
        <v/>
      </c>
      <c r="I326" s="31">
        <f>IF($A326="","",IFERROR(XLOOKUP($A326,SeedPlacement!$A$2:$A$1000,SeedPlacement!$N$2:$N$1000),0))</f>
        <v/>
      </c>
      <c r="J326" s="59" t="n"/>
    </row>
    <row r="327">
      <c r="A327" s="31">
        <f>IF(Members!$A327="","",Members!$A327)</f>
        <v/>
      </c>
      <c r="B327" s="31">
        <f>IF($A327="","",$I327+SUMIF(WeeklySummary!$B$2:$B$1000,$A327,WeeklySummary!$G$2:$G$1000))</f>
        <v/>
      </c>
      <c r="C327" s="31">
        <f>IF($B327="","",MIN(100,INT(SQRT($B327))))</f>
        <v/>
      </c>
      <c r="D327" s="31">
        <f>IF($C327="","",($C327+1)^2)</f>
        <v/>
      </c>
      <c r="E327" s="31">
        <f>IF($D327="","",$D327-$B327)</f>
        <v/>
      </c>
      <c r="F327" s="31">
        <f>IF($A327="","",SUMIF(MonthlySummary!$B$2:$B$1000,$A327,MonthlySummary!$E$2:$E$1000))</f>
        <v/>
      </c>
      <c r="G327" s="31" t="n">
        <v>0</v>
      </c>
      <c r="H327" s="31">
        <f>IF($A327="","",$F327-IF($G327="",0,$G327))</f>
        <v/>
      </c>
      <c r="I327" s="31">
        <f>IF($A327="","",IFERROR(XLOOKUP($A327,SeedPlacement!$A$2:$A$1000,SeedPlacement!$N$2:$N$1000),0))</f>
        <v/>
      </c>
      <c r="J327" s="59" t="n"/>
    </row>
    <row r="328">
      <c r="A328" s="31">
        <f>IF(Members!$A328="","",Members!$A328)</f>
        <v/>
      </c>
      <c r="B328" s="31">
        <f>IF($A328="","",$I328+SUMIF(WeeklySummary!$B$2:$B$1000,$A328,WeeklySummary!$G$2:$G$1000))</f>
        <v/>
      </c>
      <c r="C328" s="31">
        <f>IF($B328="","",MIN(100,INT(SQRT($B328))))</f>
        <v/>
      </c>
      <c r="D328" s="31">
        <f>IF($C328="","",($C328+1)^2)</f>
        <v/>
      </c>
      <c r="E328" s="31">
        <f>IF($D328="","",$D328-$B328)</f>
        <v/>
      </c>
      <c r="F328" s="31">
        <f>IF($A328="","",SUMIF(MonthlySummary!$B$2:$B$1000,$A328,MonthlySummary!$E$2:$E$1000))</f>
        <v/>
      </c>
      <c r="G328" s="31" t="n">
        <v>0</v>
      </c>
      <c r="H328" s="31">
        <f>IF($A328="","",$F328-IF($G328="",0,$G328))</f>
        <v/>
      </c>
      <c r="I328" s="31">
        <f>IF($A328="","",IFERROR(XLOOKUP($A328,SeedPlacement!$A$2:$A$1000,SeedPlacement!$N$2:$N$1000),0))</f>
        <v/>
      </c>
      <c r="J328" s="59" t="n"/>
    </row>
    <row r="329">
      <c r="A329" s="31">
        <f>IF(Members!$A329="","",Members!$A329)</f>
        <v/>
      </c>
      <c r="B329" s="31">
        <f>IF($A329="","",$I329+SUMIF(WeeklySummary!$B$2:$B$1000,$A329,WeeklySummary!$G$2:$G$1000))</f>
        <v/>
      </c>
      <c r="C329" s="31">
        <f>IF($B329="","",MIN(100,INT(SQRT($B329))))</f>
        <v/>
      </c>
      <c r="D329" s="31">
        <f>IF($C329="","",($C329+1)^2)</f>
        <v/>
      </c>
      <c r="E329" s="31">
        <f>IF($D329="","",$D329-$B329)</f>
        <v/>
      </c>
      <c r="F329" s="31">
        <f>IF($A329="","",SUMIF(MonthlySummary!$B$2:$B$1000,$A329,MonthlySummary!$E$2:$E$1000))</f>
        <v/>
      </c>
      <c r="G329" s="31" t="n">
        <v>0</v>
      </c>
      <c r="H329" s="31">
        <f>IF($A329="","",$F329-IF($G329="",0,$G329))</f>
        <v/>
      </c>
      <c r="I329" s="31">
        <f>IF($A329="","",IFERROR(XLOOKUP($A329,SeedPlacement!$A$2:$A$1000,SeedPlacement!$N$2:$N$1000),0))</f>
        <v/>
      </c>
      <c r="J329" s="59" t="n"/>
    </row>
    <row r="330">
      <c r="A330" s="31">
        <f>IF(Members!$A330="","",Members!$A330)</f>
        <v/>
      </c>
      <c r="B330" s="31">
        <f>IF($A330="","",$I330+SUMIF(WeeklySummary!$B$2:$B$1000,$A330,WeeklySummary!$G$2:$G$1000))</f>
        <v/>
      </c>
      <c r="C330" s="31">
        <f>IF($B330="","",MIN(100,INT(SQRT($B330))))</f>
        <v/>
      </c>
      <c r="D330" s="31">
        <f>IF($C330="","",($C330+1)^2)</f>
        <v/>
      </c>
      <c r="E330" s="31">
        <f>IF($D330="","",$D330-$B330)</f>
        <v/>
      </c>
      <c r="F330" s="31">
        <f>IF($A330="","",SUMIF(MonthlySummary!$B$2:$B$1000,$A330,MonthlySummary!$E$2:$E$1000))</f>
        <v/>
      </c>
      <c r="G330" s="31" t="n">
        <v>0</v>
      </c>
      <c r="H330" s="31">
        <f>IF($A330="","",$F330-IF($G330="",0,$G330))</f>
        <v/>
      </c>
      <c r="I330" s="31">
        <f>IF($A330="","",IFERROR(XLOOKUP($A330,SeedPlacement!$A$2:$A$1000,SeedPlacement!$N$2:$N$1000),0))</f>
        <v/>
      </c>
      <c r="J330" s="59" t="n"/>
    </row>
    <row r="331">
      <c r="A331" s="31">
        <f>IF(Members!$A331="","",Members!$A331)</f>
        <v/>
      </c>
      <c r="B331" s="31">
        <f>IF($A331="","",$I331+SUMIF(WeeklySummary!$B$2:$B$1000,$A331,WeeklySummary!$G$2:$G$1000))</f>
        <v/>
      </c>
      <c r="C331" s="31">
        <f>IF($B331="","",MIN(100,INT(SQRT($B331))))</f>
        <v/>
      </c>
      <c r="D331" s="31">
        <f>IF($C331="","",($C331+1)^2)</f>
        <v/>
      </c>
      <c r="E331" s="31">
        <f>IF($D331="","",$D331-$B331)</f>
        <v/>
      </c>
      <c r="F331" s="31">
        <f>IF($A331="","",SUMIF(MonthlySummary!$B$2:$B$1000,$A331,MonthlySummary!$E$2:$E$1000))</f>
        <v/>
      </c>
      <c r="G331" s="31" t="n">
        <v>0</v>
      </c>
      <c r="H331" s="31">
        <f>IF($A331="","",$F331-IF($G331="",0,$G331))</f>
        <v/>
      </c>
      <c r="I331" s="31">
        <f>IF($A331="","",IFERROR(XLOOKUP($A331,SeedPlacement!$A$2:$A$1000,SeedPlacement!$N$2:$N$1000),0))</f>
        <v/>
      </c>
      <c r="J331" s="59" t="n"/>
    </row>
    <row r="332">
      <c r="A332" s="31">
        <f>IF(Members!$A332="","",Members!$A332)</f>
        <v/>
      </c>
      <c r="B332" s="31">
        <f>IF($A332="","",$I332+SUMIF(WeeklySummary!$B$2:$B$1000,$A332,WeeklySummary!$G$2:$G$1000))</f>
        <v/>
      </c>
      <c r="C332" s="31">
        <f>IF($B332="","",MIN(100,INT(SQRT($B332))))</f>
        <v/>
      </c>
      <c r="D332" s="31">
        <f>IF($C332="","",($C332+1)^2)</f>
        <v/>
      </c>
      <c r="E332" s="31">
        <f>IF($D332="","",$D332-$B332)</f>
        <v/>
      </c>
      <c r="F332" s="31">
        <f>IF($A332="","",SUMIF(MonthlySummary!$B$2:$B$1000,$A332,MonthlySummary!$E$2:$E$1000))</f>
        <v/>
      </c>
      <c r="G332" s="31" t="n">
        <v>0</v>
      </c>
      <c r="H332" s="31">
        <f>IF($A332="","",$F332-IF($G332="",0,$G332))</f>
        <v/>
      </c>
      <c r="I332" s="31">
        <f>IF($A332="","",IFERROR(XLOOKUP($A332,SeedPlacement!$A$2:$A$1000,SeedPlacement!$N$2:$N$1000),0))</f>
        <v/>
      </c>
      <c r="J332" s="59" t="n"/>
    </row>
    <row r="333">
      <c r="A333" s="31">
        <f>IF(Members!$A333="","",Members!$A333)</f>
        <v/>
      </c>
      <c r="B333" s="31">
        <f>IF($A333="","",$I333+SUMIF(WeeklySummary!$B$2:$B$1000,$A333,WeeklySummary!$G$2:$G$1000))</f>
        <v/>
      </c>
      <c r="C333" s="31">
        <f>IF($B333="","",MIN(100,INT(SQRT($B333))))</f>
        <v/>
      </c>
      <c r="D333" s="31">
        <f>IF($C333="","",($C333+1)^2)</f>
        <v/>
      </c>
      <c r="E333" s="31">
        <f>IF($D333="","",$D333-$B333)</f>
        <v/>
      </c>
      <c r="F333" s="31">
        <f>IF($A333="","",SUMIF(MonthlySummary!$B$2:$B$1000,$A333,MonthlySummary!$E$2:$E$1000))</f>
        <v/>
      </c>
      <c r="G333" s="31" t="n">
        <v>0</v>
      </c>
      <c r="H333" s="31">
        <f>IF($A333="","",$F333-IF($G333="",0,$G333))</f>
        <v/>
      </c>
      <c r="I333" s="31">
        <f>IF($A333="","",IFERROR(XLOOKUP($A333,SeedPlacement!$A$2:$A$1000,SeedPlacement!$N$2:$N$1000),0))</f>
        <v/>
      </c>
      <c r="J333" s="59" t="n"/>
    </row>
    <row r="334">
      <c r="A334" s="31">
        <f>IF(Members!$A334="","",Members!$A334)</f>
        <v/>
      </c>
      <c r="B334" s="31">
        <f>IF($A334="","",$I334+SUMIF(WeeklySummary!$B$2:$B$1000,$A334,WeeklySummary!$G$2:$G$1000))</f>
        <v/>
      </c>
      <c r="C334" s="31">
        <f>IF($B334="","",MIN(100,INT(SQRT($B334))))</f>
        <v/>
      </c>
      <c r="D334" s="31">
        <f>IF($C334="","",($C334+1)^2)</f>
        <v/>
      </c>
      <c r="E334" s="31">
        <f>IF($D334="","",$D334-$B334)</f>
        <v/>
      </c>
      <c r="F334" s="31">
        <f>IF($A334="","",SUMIF(MonthlySummary!$B$2:$B$1000,$A334,MonthlySummary!$E$2:$E$1000))</f>
        <v/>
      </c>
      <c r="G334" s="31" t="n">
        <v>0</v>
      </c>
      <c r="H334" s="31">
        <f>IF($A334="","",$F334-IF($G334="",0,$G334))</f>
        <v/>
      </c>
      <c r="I334" s="31">
        <f>IF($A334="","",IFERROR(XLOOKUP($A334,SeedPlacement!$A$2:$A$1000,SeedPlacement!$N$2:$N$1000),0))</f>
        <v/>
      </c>
      <c r="J334" s="59" t="n"/>
    </row>
    <row r="335">
      <c r="A335" s="31">
        <f>IF(Members!$A335="","",Members!$A335)</f>
        <v/>
      </c>
      <c r="B335" s="31">
        <f>IF($A335="","",$I335+SUMIF(WeeklySummary!$B$2:$B$1000,$A335,WeeklySummary!$G$2:$G$1000))</f>
        <v/>
      </c>
      <c r="C335" s="31">
        <f>IF($B335="","",MIN(100,INT(SQRT($B335))))</f>
        <v/>
      </c>
      <c r="D335" s="31">
        <f>IF($C335="","",($C335+1)^2)</f>
        <v/>
      </c>
      <c r="E335" s="31">
        <f>IF($D335="","",$D335-$B335)</f>
        <v/>
      </c>
      <c r="F335" s="31">
        <f>IF($A335="","",SUMIF(MonthlySummary!$B$2:$B$1000,$A335,MonthlySummary!$E$2:$E$1000))</f>
        <v/>
      </c>
      <c r="G335" s="31" t="n">
        <v>0</v>
      </c>
      <c r="H335" s="31">
        <f>IF($A335="","",$F335-IF($G335="",0,$G335))</f>
        <v/>
      </c>
      <c r="I335" s="31">
        <f>IF($A335="","",IFERROR(XLOOKUP($A335,SeedPlacement!$A$2:$A$1000,SeedPlacement!$N$2:$N$1000),0))</f>
        <v/>
      </c>
      <c r="J335" s="59" t="n"/>
    </row>
    <row r="336">
      <c r="A336" s="31">
        <f>IF(Members!$A336="","",Members!$A336)</f>
        <v/>
      </c>
      <c r="B336" s="31">
        <f>IF($A336="","",$I336+SUMIF(WeeklySummary!$B$2:$B$1000,$A336,WeeklySummary!$G$2:$G$1000))</f>
        <v/>
      </c>
      <c r="C336" s="31">
        <f>IF($B336="","",MIN(100,INT(SQRT($B336))))</f>
        <v/>
      </c>
      <c r="D336" s="31">
        <f>IF($C336="","",($C336+1)^2)</f>
        <v/>
      </c>
      <c r="E336" s="31">
        <f>IF($D336="","",$D336-$B336)</f>
        <v/>
      </c>
      <c r="F336" s="31">
        <f>IF($A336="","",SUMIF(MonthlySummary!$B$2:$B$1000,$A336,MonthlySummary!$E$2:$E$1000))</f>
        <v/>
      </c>
      <c r="G336" s="31" t="n">
        <v>0</v>
      </c>
      <c r="H336" s="31">
        <f>IF($A336="","",$F336-IF($G336="",0,$G336))</f>
        <v/>
      </c>
      <c r="I336" s="31">
        <f>IF($A336="","",IFERROR(XLOOKUP($A336,SeedPlacement!$A$2:$A$1000,SeedPlacement!$N$2:$N$1000),0))</f>
        <v/>
      </c>
      <c r="J336" s="59" t="n"/>
    </row>
    <row r="337">
      <c r="A337" s="31">
        <f>IF(Members!$A337="","",Members!$A337)</f>
        <v/>
      </c>
      <c r="B337" s="31">
        <f>IF($A337="","",$I337+SUMIF(WeeklySummary!$B$2:$B$1000,$A337,WeeklySummary!$G$2:$G$1000))</f>
        <v/>
      </c>
      <c r="C337" s="31">
        <f>IF($B337="","",MIN(100,INT(SQRT($B337))))</f>
        <v/>
      </c>
      <c r="D337" s="31">
        <f>IF($C337="","",($C337+1)^2)</f>
        <v/>
      </c>
      <c r="E337" s="31">
        <f>IF($D337="","",$D337-$B337)</f>
        <v/>
      </c>
      <c r="F337" s="31">
        <f>IF($A337="","",SUMIF(MonthlySummary!$B$2:$B$1000,$A337,MonthlySummary!$E$2:$E$1000))</f>
        <v/>
      </c>
      <c r="G337" s="31" t="n">
        <v>0</v>
      </c>
      <c r="H337" s="31">
        <f>IF($A337="","",$F337-IF($G337="",0,$G337))</f>
        <v/>
      </c>
      <c r="I337" s="31">
        <f>IF($A337="","",IFERROR(XLOOKUP($A337,SeedPlacement!$A$2:$A$1000,SeedPlacement!$N$2:$N$1000),0))</f>
        <v/>
      </c>
      <c r="J337" s="59" t="n"/>
    </row>
    <row r="338">
      <c r="A338" s="31">
        <f>IF(Members!$A338="","",Members!$A338)</f>
        <v/>
      </c>
      <c r="B338" s="31">
        <f>IF($A338="","",$I338+SUMIF(WeeklySummary!$B$2:$B$1000,$A338,WeeklySummary!$G$2:$G$1000))</f>
        <v/>
      </c>
      <c r="C338" s="31">
        <f>IF($B338="","",MIN(100,INT(SQRT($B338))))</f>
        <v/>
      </c>
      <c r="D338" s="31">
        <f>IF($C338="","",($C338+1)^2)</f>
        <v/>
      </c>
      <c r="E338" s="31">
        <f>IF($D338="","",$D338-$B338)</f>
        <v/>
      </c>
      <c r="F338" s="31">
        <f>IF($A338="","",SUMIF(MonthlySummary!$B$2:$B$1000,$A338,MonthlySummary!$E$2:$E$1000))</f>
        <v/>
      </c>
      <c r="G338" s="31" t="n">
        <v>0</v>
      </c>
      <c r="H338" s="31">
        <f>IF($A338="","",$F338-IF($G338="",0,$G338))</f>
        <v/>
      </c>
      <c r="I338" s="31">
        <f>IF($A338="","",IFERROR(XLOOKUP($A338,SeedPlacement!$A$2:$A$1000,SeedPlacement!$N$2:$N$1000),0))</f>
        <v/>
      </c>
      <c r="J338" s="59" t="n"/>
    </row>
    <row r="339">
      <c r="A339" s="31">
        <f>IF(Members!$A339="","",Members!$A339)</f>
        <v/>
      </c>
      <c r="B339" s="31">
        <f>IF($A339="","",$I339+SUMIF(WeeklySummary!$B$2:$B$1000,$A339,WeeklySummary!$G$2:$G$1000))</f>
        <v/>
      </c>
      <c r="C339" s="31">
        <f>IF($B339="","",MIN(100,INT(SQRT($B339))))</f>
        <v/>
      </c>
      <c r="D339" s="31">
        <f>IF($C339="","",($C339+1)^2)</f>
        <v/>
      </c>
      <c r="E339" s="31">
        <f>IF($D339="","",$D339-$B339)</f>
        <v/>
      </c>
      <c r="F339" s="31">
        <f>IF($A339="","",SUMIF(MonthlySummary!$B$2:$B$1000,$A339,MonthlySummary!$E$2:$E$1000))</f>
        <v/>
      </c>
      <c r="G339" s="31" t="n">
        <v>0</v>
      </c>
      <c r="H339" s="31">
        <f>IF($A339="","",$F339-IF($G339="",0,$G339))</f>
        <v/>
      </c>
      <c r="I339" s="31">
        <f>IF($A339="","",IFERROR(XLOOKUP($A339,SeedPlacement!$A$2:$A$1000,SeedPlacement!$N$2:$N$1000),0))</f>
        <v/>
      </c>
      <c r="J339" s="59" t="n"/>
    </row>
    <row r="340">
      <c r="A340" s="31">
        <f>IF(Members!$A340="","",Members!$A340)</f>
        <v/>
      </c>
      <c r="B340" s="31">
        <f>IF($A340="","",$I340+SUMIF(WeeklySummary!$B$2:$B$1000,$A340,WeeklySummary!$G$2:$G$1000))</f>
        <v/>
      </c>
      <c r="C340" s="31">
        <f>IF($B340="","",MIN(100,INT(SQRT($B340))))</f>
        <v/>
      </c>
      <c r="D340" s="31">
        <f>IF($C340="","",($C340+1)^2)</f>
        <v/>
      </c>
      <c r="E340" s="31">
        <f>IF($D340="","",$D340-$B340)</f>
        <v/>
      </c>
      <c r="F340" s="31">
        <f>IF($A340="","",SUMIF(MonthlySummary!$B$2:$B$1000,$A340,MonthlySummary!$E$2:$E$1000))</f>
        <v/>
      </c>
      <c r="G340" s="31" t="n">
        <v>0</v>
      </c>
      <c r="H340" s="31">
        <f>IF($A340="","",$F340-IF($G340="",0,$G340))</f>
        <v/>
      </c>
      <c r="I340" s="31">
        <f>IF($A340="","",IFERROR(XLOOKUP($A340,SeedPlacement!$A$2:$A$1000,SeedPlacement!$N$2:$N$1000),0))</f>
        <v/>
      </c>
      <c r="J340" s="59" t="n"/>
    </row>
    <row r="341">
      <c r="A341" s="31">
        <f>IF(Members!$A341="","",Members!$A341)</f>
        <v/>
      </c>
      <c r="B341" s="31">
        <f>IF($A341="","",$I341+SUMIF(WeeklySummary!$B$2:$B$1000,$A341,WeeklySummary!$G$2:$G$1000))</f>
        <v/>
      </c>
      <c r="C341" s="31">
        <f>IF($B341="","",MIN(100,INT(SQRT($B341))))</f>
        <v/>
      </c>
      <c r="D341" s="31">
        <f>IF($C341="","",($C341+1)^2)</f>
        <v/>
      </c>
      <c r="E341" s="31">
        <f>IF($D341="","",$D341-$B341)</f>
        <v/>
      </c>
      <c r="F341" s="31">
        <f>IF($A341="","",SUMIF(MonthlySummary!$B$2:$B$1000,$A341,MonthlySummary!$E$2:$E$1000))</f>
        <v/>
      </c>
      <c r="G341" s="31" t="n">
        <v>0</v>
      </c>
      <c r="H341" s="31">
        <f>IF($A341="","",$F341-IF($G341="",0,$G341))</f>
        <v/>
      </c>
      <c r="I341" s="31">
        <f>IF($A341="","",IFERROR(XLOOKUP($A341,SeedPlacement!$A$2:$A$1000,SeedPlacement!$N$2:$N$1000),0))</f>
        <v/>
      </c>
      <c r="J341" s="59" t="n"/>
    </row>
    <row r="342">
      <c r="A342" s="31">
        <f>IF(Members!$A342="","",Members!$A342)</f>
        <v/>
      </c>
      <c r="B342" s="31">
        <f>IF($A342="","",$I342+SUMIF(WeeklySummary!$B$2:$B$1000,$A342,WeeklySummary!$G$2:$G$1000))</f>
        <v/>
      </c>
      <c r="C342" s="31">
        <f>IF($B342="","",MIN(100,INT(SQRT($B342))))</f>
        <v/>
      </c>
      <c r="D342" s="31">
        <f>IF($C342="","",($C342+1)^2)</f>
        <v/>
      </c>
      <c r="E342" s="31">
        <f>IF($D342="","",$D342-$B342)</f>
        <v/>
      </c>
      <c r="F342" s="31">
        <f>IF($A342="","",SUMIF(MonthlySummary!$B$2:$B$1000,$A342,MonthlySummary!$E$2:$E$1000))</f>
        <v/>
      </c>
      <c r="G342" s="31" t="n">
        <v>0</v>
      </c>
      <c r="H342" s="31">
        <f>IF($A342="","",$F342-IF($G342="",0,$G342))</f>
        <v/>
      </c>
      <c r="I342" s="31">
        <f>IF($A342="","",IFERROR(XLOOKUP($A342,SeedPlacement!$A$2:$A$1000,SeedPlacement!$N$2:$N$1000),0))</f>
        <v/>
      </c>
      <c r="J342" s="59" t="n"/>
    </row>
    <row r="343">
      <c r="A343" s="31">
        <f>IF(Members!$A343="","",Members!$A343)</f>
        <v/>
      </c>
      <c r="B343" s="31">
        <f>IF($A343="","",$I343+SUMIF(WeeklySummary!$B$2:$B$1000,$A343,WeeklySummary!$G$2:$G$1000))</f>
        <v/>
      </c>
      <c r="C343" s="31">
        <f>IF($B343="","",MIN(100,INT(SQRT($B343))))</f>
        <v/>
      </c>
      <c r="D343" s="31">
        <f>IF($C343="","",($C343+1)^2)</f>
        <v/>
      </c>
      <c r="E343" s="31">
        <f>IF($D343="","",$D343-$B343)</f>
        <v/>
      </c>
      <c r="F343" s="31">
        <f>IF($A343="","",SUMIF(MonthlySummary!$B$2:$B$1000,$A343,MonthlySummary!$E$2:$E$1000))</f>
        <v/>
      </c>
      <c r="G343" s="31" t="n">
        <v>0</v>
      </c>
      <c r="H343" s="31">
        <f>IF($A343="","",$F343-IF($G343="",0,$G343))</f>
        <v/>
      </c>
      <c r="I343" s="31">
        <f>IF($A343="","",IFERROR(XLOOKUP($A343,SeedPlacement!$A$2:$A$1000,SeedPlacement!$N$2:$N$1000),0))</f>
        <v/>
      </c>
      <c r="J343" s="59" t="n"/>
    </row>
    <row r="344">
      <c r="A344" s="31">
        <f>IF(Members!$A344="","",Members!$A344)</f>
        <v/>
      </c>
      <c r="B344" s="31">
        <f>IF($A344="","",$I344+SUMIF(WeeklySummary!$B$2:$B$1000,$A344,WeeklySummary!$G$2:$G$1000))</f>
        <v/>
      </c>
      <c r="C344" s="31">
        <f>IF($B344="","",MIN(100,INT(SQRT($B344))))</f>
        <v/>
      </c>
      <c r="D344" s="31">
        <f>IF($C344="","",($C344+1)^2)</f>
        <v/>
      </c>
      <c r="E344" s="31">
        <f>IF($D344="","",$D344-$B344)</f>
        <v/>
      </c>
      <c r="F344" s="31">
        <f>IF($A344="","",SUMIF(MonthlySummary!$B$2:$B$1000,$A344,MonthlySummary!$E$2:$E$1000))</f>
        <v/>
      </c>
      <c r="G344" s="31" t="n">
        <v>0</v>
      </c>
      <c r="H344" s="31">
        <f>IF($A344="","",$F344-IF($G344="",0,$G344))</f>
        <v/>
      </c>
      <c r="I344" s="31">
        <f>IF($A344="","",IFERROR(XLOOKUP($A344,SeedPlacement!$A$2:$A$1000,SeedPlacement!$N$2:$N$1000),0))</f>
        <v/>
      </c>
      <c r="J344" s="59" t="n"/>
    </row>
    <row r="345">
      <c r="A345" s="31">
        <f>IF(Members!$A345="","",Members!$A345)</f>
        <v/>
      </c>
      <c r="B345" s="31">
        <f>IF($A345="","",$I345+SUMIF(WeeklySummary!$B$2:$B$1000,$A345,WeeklySummary!$G$2:$G$1000))</f>
        <v/>
      </c>
      <c r="C345" s="31">
        <f>IF($B345="","",MIN(100,INT(SQRT($B345))))</f>
        <v/>
      </c>
      <c r="D345" s="31">
        <f>IF($C345="","",($C345+1)^2)</f>
        <v/>
      </c>
      <c r="E345" s="31">
        <f>IF($D345="","",$D345-$B345)</f>
        <v/>
      </c>
      <c r="F345" s="31">
        <f>IF($A345="","",SUMIF(MonthlySummary!$B$2:$B$1000,$A345,MonthlySummary!$E$2:$E$1000))</f>
        <v/>
      </c>
      <c r="G345" s="31" t="n">
        <v>0</v>
      </c>
      <c r="H345" s="31">
        <f>IF($A345="","",$F345-IF($G345="",0,$G345))</f>
        <v/>
      </c>
      <c r="I345" s="31">
        <f>IF($A345="","",IFERROR(XLOOKUP($A345,SeedPlacement!$A$2:$A$1000,SeedPlacement!$N$2:$N$1000),0))</f>
        <v/>
      </c>
      <c r="J345" s="59" t="n"/>
    </row>
    <row r="346">
      <c r="A346" s="31">
        <f>IF(Members!$A346="","",Members!$A346)</f>
        <v/>
      </c>
      <c r="B346" s="31">
        <f>IF($A346="","",$I346+SUMIF(WeeklySummary!$B$2:$B$1000,$A346,WeeklySummary!$G$2:$G$1000))</f>
        <v/>
      </c>
      <c r="C346" s="31">
        <f>IF($B346="","",MIN(100,INT(SQRT($B346))))</f>
        <v/>
      </c>
      <c r="D346" s="31">
        <f>IF($C346="","",($C346+1)^2)</f>
        <v/>
      </c>
      <c r="E346" s="31">
        <f>IF($D346="","",$D346-$B346)</f>
        <v/>
      </c>
      <c r="F346" s="31">
        <f>IF($A346="","",SUMIF(MonthlySummary!$B$2:$B$1000,$A346,MonthlySummary!$E$2:$E$1000))</f>
        <v/>
      </c>
      <c r="G346" s="31" t="n">
        <v>0</v>
      </c>
      <c r="H346" s="31">
        <f>IF($A346="","",$F346-IF($G346="",0,$G346))</f>
        <v/>
      </c>
      <c r="I346" s="31">
        <f>IF($A346="","",IFERROR(XLOOKUP($A346,SeedPlacement!$A$2:$A$1000,SeedPlacement!$N$2:$N$1000),0))</f>
        <v/>
      </c>
      <c r="J346" s="59" t="n"/>
    </row>
    <row r="347">
      <c r="A347" s="31">
        <f>IF(Members!$A347="","",Members!$A347)</f>
        <v/>
      </c>
      <c r="B347" s="31">
        <f>IF($A347="","",$I347+SUMIF(WeeklySummary!$B$2:$B$1000,$A347,WeeklySummary!$G$2:$G$1000))</f>
        <v/>
      </c>
      <c r="C347" s="31">
        <f>IF($B347="","",MIN(100,INT(SQRT($B347))))</f>
        <v/>
      </c>
      <c r="D347" s="31">
        <f>IF($C347="","",($C347+1)^2)</f>
        <v/>
      </c>
      <c r="E347" s="31">
        <f>IF($D347="","",$D347-$B347)</f>
        <v/>
      </c>
      <c r="F347" s="31">
        <f>IF($A347="","",SUMIF(MonthlySummary!$B$2:$B$1000,$A347,MonthlySummary!$E$2:$E$1000))</f>
        <v/>
      </c>
      <c r="G347" s="31" t="n">
        <v>0</v>
      </c>
      <c r="H347" s="31">
        <f>IF($A347="","",$F347-IF($G347="",0,$G347))</f>
        <v/>
      </c>
      <c r="I347" s="31">
        <f>IF($A347="","",IFERROR(XLOOKUP($A347,SeedPlacement!$A$2:$A$1000,SeedPlacement!$N$2:$N$1000),0))</f>
        <v/>
      </c>
      <c r="J347" s="59" t="n"/>
    </row>
    <row r="348">
      <c r="A348" s="31">
        <f>IF(Members!$A348="","",Members!$A348)</f>
        <v/>
      </c>
      <c r="B348" s="31">
        <f>IF($A348="","",$I348+SUMIF(WeeklySummary!$B$2:$B$1000,$A348,WeeklySummary!$G$2:$G$1000))</f>
        <v/>
      </c>
      <c r="C348" s="31">
        <f>IF($B348="","",MIN(100,INT(SQRT($B348))))</f>
        <v/>
      </c>
      <c r="D348" s="31">
        <f>IF($C348="","",($C348+1)^2)</f>
        <v/>
      </c>
      <c r="E348" s="31">
        <f>IF($D348="","",$D348-$B348)</f>
        <v/>
      </c>
      <c r="F348" s="31">
        <f>IF($A348="","",SUMIF(MonthlySummary!$B$2:$B$1000,$A348,MonthlySummary!$E$2:$E$1000))</f>
        <v/>
      </c>
      <c r="G348" s="31" t="n">
        <v>0</v>
      </c>
      <c r="H348" s="31">
        <f>IF($A348="","",$F348-IF($G348="",0,$G348))</f>
        <v/>
      </c>
      <c r="I348" s="31">
        <f>IF($A348="","",IFERROR(XLOOKUP($A348,SeedPlacement!$A$2:$A$1000,SeedPlacement!$N$2:$N$1000),0))</f>
        <v/>
      </c>
      <c r="J348" s="59" t="n"/>
    </row>
    <row r="349">
      <c r="A349" s="31">
        <f>IF(Members!$A349="","",Members!$A349)</f>
        <v/>
      </c>
      <c r="B349" s="31">
        <f>IF($A349="","",$I349+SUMIF(WeeklySummary!$B$2:$B$1000,$A349,WeeklySummary!$G$2:$G$1000))</f>
        <v/>
      </c>
      <c r="C349" s="31">
        <f>IF($B349="","",MIN(100,INT(SQRT($B349))))</f>
        <v/>
      </c>
      <c r="D349" s="31">
        <f>IF($C349="","",($C349+1)^2)</f>
        <v/>
      </c>
      <c r="E349" s="31">
        <f>IF($D349="","",$D349-$B349)</f>
        <v/>
      </c>
      <c r="F349" s="31">
        <f>IF($A349="","",SUMIF(MonthlySummary!$B$2:$B$1000,$A349,MonthlySummary!$E$2:$E$1000))</f>
        <v/>
      </c>
      <c r="G349" s="31" t="n">
        <v>0</v>
      </c>
      <c r="H349" s="31">
        <f>IF($A349="","",$F349-IF($G349="",0,$G349))</f>
        <v/>
      </c>
      <c r="I349" s="31">
        <f>IF($A349="","",IFERROR(XLOOKUP($A349,SeedPlacement!$A$2:$A$1000,SeedPlacement!$N$2:$N$1000),0))</f>
        <v/>
      </c>
      <c r="J349" s="59" t="n"/>
    </row>
    <row r="350">
      <c r="A350" s="31">
        <f>IF(Members!$A350="","",Members!$A350)</f>
        <v/>
      </c>
      <c r="B350" s="31">
        <f>IF($A350="","",$I350+SUMIF(WeeklySummary!$B$2:$B$1000,$A350,WeeklySummary!$G$2:$G$1000))</f>
        <v/>
      </c>
      <c r="C350" s="31">
        <f>IF($B350="","",MIN(100,INT(SQRT($B350))))</f>
        <v/>
      </c>
      <c r="D350" s="31">
        <f>IF($C350="","",($C350+1)^2)</f>
        <v/>
      </c>
      <c r="E350" s="31">
        <f>IF($D350="","",$D350-$B350)</f>
        <v/>
      </c>
      <c r="F350" s="31">
        <f>IF($A350="","",SUMIF(MonthlySummary!$B$2:$B$1000,$A350,MonthlySummary!$E$2:$E$1000))</f>
        <v/>
      </c>
      <c r="G350" s="31" t="n">
        <v>0</v>
      </c>
      <c r="H350" s="31">
        <f>IF($A350="","",$F350-IF($G350="",0,$G350))</f>
        <v/>
      </c>
      <c r="I350" s="31">
        <f>IF($A350="","",IFERROR(XLOOKUP($A350,SeedPlacement!$A$2:$A$1000,SeedPlacement!$N$2:$N$1000),0))</f>
        <v/>
      </c>
      <c r="J350" s="59" t="n"/>
    </row>
    <row r="351">
      <c r="A351" s="31">
        <f>IF(Members!$A351="","",Members!$A351)</f>
        <v/>
      </c>
      <c r="B351" s="31">
        <f>IF($A351="","",$I351+SUMIF(WeeklySummary!$B$2:$B$1000,$A351,WeeklySummary!$G$2:$G$1000))</f>
        <v/>
      </c>
      <c r="C351" s="31">
        <f>IF($B351="","",MIN(100,INT(SQRT($B351))))</f>
        <v/>
      </c>
      <c r="D351" s="31">
        <f>IF($C351="","",($C351+1)^2)</f>
        <v/>
      </c>
      <c r="E351" s="31">
        <f>IF($D351="","",$D351-$B351)</f>
        <v/>
      </c>
      <c r="F351" s="31">
        <f>IF($A351="","",SUMIF(MonthlySummary!$B$2:$B$1000,$A351,MonthlySummary!$E$2:$E$1000))</f>
        <v/>
      </c>
      <c r="G351" s="31" t="n">
        <v>0</v>
      </c>
      <c r="H351" s="31">
        <f>IF($A351="","",$F351-IF($G351="",0,$G351))</f>
        <v/>
      </c>
      <c r="I351" s="31">
        <f>IF($A351="","",IFERROR(XLOOKUP($A351,SeedPlacement!$A$2:$A$1000,SeedPlacement!$N$2:$N$1000),0))</f>
        <v/>
      </c>
      <c r="J351" s="59" t="n"/>
    </row>
    <row r="352">
      <c r="A352" s="31">
        <f>IF(Members!$A352="","",Members!$A352)</f>
        <v/>
      </c>
      <c r="B352" s="31">
        <f>IF($A352="","",$I352+SUMIF(WeeklySummary!$B$2:$B$1000,$A352,WeeklySummary!$G$2:$G$1000))</f>
        <v/>
      </c>
      <c r="C352" s="31">
        <f>IF($B352="","",MIN(100,INT(SQRT($B352))))</f>
        <v/>
      </c>
      <c r="D352" s="31">
        <f>IF($C352="","",($C352+1)^2)</f>
        <v/>
      </c>
      <c r="E352" s="31">
        <f>IF($D352="","",$D352-$B352)</f>
        <v/>
      </c>
      <c r="F352" s="31">
        <f>IF($A352="","",SUMIF(MonthlySummary!$B$2:$B$1000,$A352,MonthlySummary!$E$2:$E$1000))</f>
        <v/>
      </c>
      <c r="G352" s="31" t="n">
        <v>0</v>
      </c>
      <c r="H352" s="31">
        <f>IF($A352="","",$F352-IF($G352="",0,$G352))</f>
        <v/>
      </c>
      <c r="I352" s="31">
        <f>IF($A352="","",IFERROR(XLOOKUP($A352,SeedPlacement!$A$2:$A$1000,SeedPlacement!$N$2:$N$1000),0))</f>
        <v/>
      </c>
      <c r="J352" s="59" t="n"/>
    </row>
    <row r="353">
      <c r="A353" s="31">
        <f>IF(Members!$A353="","",Members!$A353)</f>
        <v/>
      </c>
      <c r="B353" s="31">
        <f>IF($A353="","",$I353+SUMIF(WeeklySummary!$B$2:$B$1000,$A353,WeeklySummary!$G$2:$G$1000))</f>
        <v/>
      </c>
      <c r="C353" s="31">
        <f>IF($B353="","",MIN(100,INT(SQRT($B353))))</f>
        <v/>
      </c>
      <c r="D353" s="31">
        <f>IF($C353="","",($C353+1)^2)</f>
        <v/>
      </c>
      <c r="E353" s="31">
        <f>IF($D353="","",$D353-$B353)</f>
        <v/>
      </c>
      <c r="F353" s="31">
        <f>IF($A353="","",SUMIF(MonthlySummary!$B$2:$B$1000,$A353,MonthlySummary!$E$2:$E$1000))</f>
        <v/>
      </c>
      <c r="G353" s="31" t="n">
        <v>0</v>
      </c>
      <c r="H353" s="31">
        <f>IF($A353="","",$F353-IF($G353="",0,$G353))</f>
        <v/>
      </c>
      <c r="I353" s="31">
        <f>IF($A353="","",IFERROR(XLOOKUP($A353,SeedPlacement!$A$2:$A$1000,SeedPlacement!$N$2:$N$1000),0))</f>
        <v/>
      </c>
      <c r="J353" s="59" t="n"/>
    </row>
    <row r="354">
      <c r="A354" s="31">
        <f>IF(Members!$A354="","",Members!$A354)</f>
        <v/>
      </c>
      <c r="B354" s="31">
        <f>IF($A354="","",$I354+SUMIF(WeeklySummary!$B$2:$B$1000,$A354,WeeklySummary!$G$2:$G$1000))</f>
        <v/>
      </c>
      <c r="C354" s="31">
        <f>IF($B354="","",MIN(100,INT(SQRT($B354))))</f>
        <v/>
      </c>
      <c r="D354" s="31">
        <f>IF($C354="","",($C354+1)^2)</f>
        <v/>
      </c>
      <c r="E354" s="31">
        <f>IF($D354="","",$D354-$B354)</f>
        <v/>
      </c>
      <c r="F354" s="31">
        <f>IF($A354="","",SUMIF(MonthlySummary!$B$2:$B$1000,$A354,MonthlySummary!$E$2:$E$1000))</f>
        <v/>
      </c>
      <c r="G354" s="31" t="n">
        <v>0</v>
      </c>
      <c r="H354" s="31">
        <f>IF($A354="","",$F354-IF($G354="",0,$G354))</f>
        <v/>
      </c>
      <c r="I354" s="31">
        <f>IF($A354="","",IFERROR(XLOOKUP($A354,SeedPlacement!$A$2:$A$1000,SeedPlacement!$N$2:$N$1000),0))</f>
        <v/>
      </c>
      <c r="J354" s="59" t="n"/>
    </row>
    <row r="355">
      <c r="A355" s="31">
        <f>IF(Members!$A355="","",Members!$A355)</f>
        <v/>
      </c>
      <c r="B355" s="31">
        <f>IF($A355="","",$I355+SUMIF(WeeklySummary!$B$2:$B$1000,$A355,WeeklySummary!$G$2:$G$1000))</f>
        <v/>
      </c>
      <c r="C355" s="31">
        <f>IF($B355="","",MIN(100,INT(SQRT($B355))))</f>
        <v/>
      </c>
      <c r="D355" s="31">
        <f>IF($C355="","",($C355+1)^2)</f>
        <v/>
      </c>
      <c r="E355" s="31">
        <f>IF($D355="","",$D355-$B355)</f>
        <v/>
      </c>
      <c r="F355" s="31">
        <f>IF($A355="","",SUMIF(MonthlySummary!$B$2:$B$1000,$A355,MonthlySummary!$E$2:$E$1000))</f>
        <v/>
      </c>
      <c r="G355" s="31" t="n">
        <v>0</v>
      </c>
      <c r="H355" s="31">
        <f>IF($A355="","",$F355-IF($G355="",0,$G355))</f>
        <v/>
      </c>
      <c r="I355" s="31">
        <f>IF($A355="","",IFERROR(XLOOKUP($A355,SeedPlacement!$A$2:$A$1000,SeedPlacement!$N$2:$N$1000),0))</f>
        <v/>
      </c>
      <c r="J355" s="59" t="n"/>
    </row>
    <row r="356">
      <c r="A356" s="31">
        <f>IF(Members!$A356="","",Members!$A356)</f>
        <v/>
      </c>
      <c r="B356" s="31">
        <f>IF($A356="","",$I356+SUMIF(WeeklySummary!$B$2:$B$1000,$A356,WeeklySummary!$G$2:$G$1000))</f>
        <v/>
      </c>
      <c r="C356" s="31">
        <f>IF($B356="","",MIN(100,INT(SQRT($B356))))</f>
        <v/>
      </c>
      <c r="D356" s="31">
        <f>IF($C356="","",($C356+1)^2)</f>
        <v/>
      </c>
      <c r="E356" s="31">
        <f>IF($D356="","",$D356-$B356)</f>
        <v/>
      </c>
      <c r="F356" s="31">
        <f>IF($A356="","",SUMIF(MonthlySummary!$B$2:$B$1000,$A356,MonthlySummary!$E$2:$E$1000))</f>
        <v/>
      </c>
      <c r="G356" s="31" t="n">
        <v>0</v>
      </c>
      <c r="H356" s="31">
        <f>IF($A356="","",$F356-IF($G356="",0,$G356))</f>
        <v/>
      </c>
      <c r="I356" s="31">
        <f>IF($A356="","",IFERROR(XLOOKUP($A356,SeedPlacement!$A$2:$A$1000,SeedPlacement!$N$2:$N$1000),0))</f>
        <v/>
      </c>
      <c r="J356" s="59" t="n"/>
    </row>
    <row r="357">
      <c r="A357" s="31">
        <f>IF(Members!$A357="","",Members!$A357)</f>
        <v/>
      </c>
      <c r="B357" s="31">
        <f>IF($A357="","",$I357+SUMIF(WeeklySummary!$B$2:$B$1000,$A357,WeeklySummary!$G$2:$G$1000))</f>
        <v/>
      </c>
      <c r="C357" s="31">
        <f>IF($B357="","",MIN(100,INT(SQRT($B357))))</f>
        <v/>
      </c>
      <c r="D357" s="31">
        <f>IF($C357="","",($C357+1)^2)</f>
        <v/>
      </c>
      <c r="E357" s="31">
        <f>IF($D357="","",$D357-$B357)</f>
        <v/>
      </c>
      <c r="F357" s="31">
        <f>IF($A357="","",SUMIF(MonthlySummary!$B$2:$B$1000,$A357,MonthlySummary!$E$2:$E$1000))</f>
        <v/>
      </c>
      <c r="G357" s="31" t="n">
        <v>0</v>
      </c>
      <c r="H357" s="31">
        <f>IF($A357="","",$F357-IF($G357="",0,$G357))</f>
        <v/>
      </c>
      <c r="I357" s="31">
        <f>IF($A357="","",IFERROR(XLOOKUP($A357,SeedPlacement!$A$2:$A$1000,SeedPlacement!$N$2:$N$1000),0))</f>
        <v/>
      </c>
      <c r="J357" s="59" t="n"/>
    </row>
    <row r="358">
      <c r="A358" s="31">
        <f>IF(Members!$A358="","",Members!$A358)</f>
        <v/>
      </c>
      <c r="B358" s="31">
        <f>IF($A358="","",$I358+SUMIF(WeeklySummary!$B$2:$B$1000,$A358,WeeklySummary!$G$2:$G$1000))</f>
        <v/>
      </c>
      <c r="C358" s="31">
        <f>IF($B358="","",MIN(100,INT(SQRT($B358))))</f>
        <v/>
      </c>
      <c r="D358" s="31">
        <f>IF($C358="","",($C358+1)^2)</f>
        <v/>
      </c>
      <c r="E358" s="31">
        <f>IF($D358="","",$D358-$B358)</f>
        <v/>
      </c>
      <c r="F358" s="31">
        <f>IF($A358="","",SUMIF(MonthlySummary!$B$2:$B$1000,$A358,MonthlySummary!$E$2:$E$1000))</f>
        <v/>
      </c>
      <c r="G358" s="31" t="n">
        <v>0</v>
      </c>
      <c r="H358" s="31">
        <f>IF($A358="","",$F358-IF($G358="",0,$G358))</f>
        <v/>
      </c>
      <c r="I358" s="31">
        <f>IF($A358="","",IFERROR(XLOOKUP($A358,SeedPlacement!$A$2:$A$1000,SeedPlacement!$N$2:$N$1000),0))</f>
        <v/>
      </c>
      <c r="J358" s="59" t="n"/>
    </row>
    <row r="359">
      <c r="A359" s="31">
        <f>IF(Members!$A359="","",Members!$A359)</f>
        <v/>
      </c>
      <c r="B359" s="31">
        <f>IF($A359="","",$I359+SUMIF(WeeklySummary!$B$2:$B$1000,$A359,WeeklySummary!$G$2:$G$1000))</f>
        <v/>
      </c>
      <c r="C359" s="31">
        <f>IF($B359="","",MIN(100,INT(SQRT($B359))))</f>
        <v/>
      </c>
      <c r="D359" s="31">
        <f>IF($C359="","",($C359+1)^2)</f>
        <v/>
      </c>
      <c r="E359" s="31">
        <f>IF($D359="","",$D359-$B359)</f>
        <v/>
      </c>
      <c r="F359" s="31">
        <f>IF($A359="","",SUMIF(MonthlySummary!$B$2:$B$1000,$A359,MonthlySummary!$E$2:$E$1000))</f>
        <v/>
      </c>
      <c r="G359" s="31" t="n">
        <v>0</v>
      </c>
      <c r="H359" s="31">
        <f>IF($A359="","",$F359-IF($G359="",0,$G359))</f>
        <v/>
      </c>
      <c r="I359" s="31">
        <f>IF($A359="","",IFERROR(XLOOKUP($A359,SeedPlacement!$A$2:$A$1000,SeedPlacement!$N$2:$N$1000),0))</f>
        <v/>
      </c>
      <c r="J359" s="59" t="n"/>
    </row>
    <row r="360">
      <c r="A360" s="31">
        <f>IF(Members!$A360="","",Members!$A360)</f>
        <v/>
      </c>
      <c r="B360" s="31">
        <f>IF($A360="","",$I360+SUMIF(WeeklySummary!$B$2:$B$1000,$A360,WeeklySummary!$G$2:$G$1000))</f>
        <v/>
      </c>
      <c r="C360" s="31">
        <f>IF($B360="","",MIN(100,INT(SQRT($B360))))</f>
        <v/>
      </c>
      <c r="D360" s="31">
        <f>IF($C360="","",($C360+1)^2)</f>
        <v/>
      </c>
      <c r="E360" s="31">
        <f>IF($D360="","",$D360-$B360)</f>
        <v/>
      </c>
      <c r="F360" s="31">
        <f>IF($A360="","",SUMIF(MonthlySummary!$B$2:$B$1000,$A360,MonthlySummary!$E$2:$E$1000))</f>
        <v/>
      </c>
      <c r="G360" s="31" t="n">
        <v>0</v>
      </c>
      <c r="H360" s="31">
        <f>IF($A360="","",$F360-IF($G360="",0,$G360))</f>
        <v/>
      </c>
      <c r="I360" s="31">
        <f>IF($A360="","",IFERROR(XLOOKUP($A360,SeedPlacement!$A$2:$A$1000,SeedPlacement!$N$2:$N$1000),0))</f>
        <v/>
      </c>
      <c r="J360" s="59" t="n"/>
    </row>
    <row r="361">
      <c r="A361" s="31">
        <f>IF(Members!$A361="","",Members!$A361)</f>
        <v/>
      </c>
      <c r="B361" s="31">
        <f>IF($A361="","",$I361+SUMIF(WeeklySummary!$B$2:$B$1000,$A361,WeeklySummary!$G$2:$G$1000))</f>
        <v/>
      </c>
      <c r="C361" s="31">
        <f>IF($B361="","",MIN(100,INT(SQRT($B361))))</f>
        <v/>
      </c>
      <c r="D361" s="31">
        <f>IF($C361="","",($C361+1)^2)</f>
        <v/>
      </c>
      <c r="E361" s="31">
        <f>IF($D361="","",$D361-$B361)</f>
        <v/>
      </c>
      <c r="F361" s="31">
        <f>IF($A361="","",SUMIF(MonthlySummary!$B$2:$B$1000,$A361,MonthlySummary!$E$2:$E$1000))</f>
        <v/>
      </c>
      <c r="G361" s="31" t="n">
        <v>0</v>
      </c>
      <c r="H361" s="31">
        <f>IF($A361="","",$F361-IF($G361="",0,$G361))</f>
        <v/>
      </c>
      <c r="I361" s="31">
        <f>IF($A361="","",IFERROR(XLOOKUP($A361,SeedPlacement!$A$2:$A$1000,SeedPlacement!$N$2:$N$1000),0))</f>
        <v/>
      </c>
      <c r="J361" s="59" t="n"/>
    </row>
    <row r="362">
      <c r="A362" s="31">
        <f>IF(Members!$A362="","",Members!$A362)</f>
        <v/>
      </c>
      <c r="B362" s="31">
        <f>IF($A362="","",$I362+SUMIF(WeeklySummary!$B$2:$B$1000,$A362,WeeklySummary!$G$2:$G$1000))</f>
        <v/>
      </c>
      <c r="C362" s="31">
        <f>IF($B362="","",MIN(100,INT(SQRT($B362))))</f>
        <v/>
      </c>
      <c r="D362" s="31">
        <f>IF($C362="","",($C362+1)^2)</f>
        <v/>
      </c>
      <c r="E362" s="31">
        <f>IF($D362="","",$D362-$B362)</f>
        <v/>
      </c>
      <c r="F362" s="31">
        <f>IF($A362="","",SUMIF(MonthlySummary!$B$2:$B$1000,$A362,MonthlySummary!$E$2:$E$1000))</f>
        <v/>
      </c>
      <c r="G362" s="31" t="n">
        <v>0</v>
      </c>
      <c r="H362" s="31">
        <f>IF($A362="","",$F362-IF($G362="",0,$G362))</f>
        <v/>
      </c>
      <c r="I362" s="31">
        <f>IF($A362="","",IFERROR(XLOOKUP($A362,SeedPlacement!$A$2:$A$1000,SeedPlacement!$N$2:$N$1000),0))</f>
        <v/>
      </c>
      <c r="J362" s="59" t="n"/>
    </row>
    <row r="363">
      <c r="A363" s="31">
        <f>IF(Members!$A363="","",Members!$A363)</f>
        <v/>
      </c>
      <c r="B363" s="31">
        <f>IF($A363="","",$I363+SUMIF(WeeklySummary!$B$2:$B$1000,$A363,WeeklySummary!$G$2:$G$1000))</f>
        <v/>
      </c>
      <c r="C363" s="31">
        <f>IF($B363="","",MIN(100,INT(SQRT($B363))))</f>
        <v/>
      </c>
      <c r="D363" s="31">
        <f>IF($C363="","",($C363+1)^2)</f>
        <v/>
      </c>
      <c r="E363" s="31">
        <f>IF($D363="","",$D363-$B363)</f>
        <v/>
      </c>
      <c r="F363" s="31">
        <f>IF($A363="","",SUMIF(MonthlySummary!$B$2:$B$1000,$A363,MonthlySummary!$E$2:$E$1000))</f>
        <v/>
      </c>
      <c r="G363" s="31" t="n">
        <v>0</v>
      </c>
      <c r="H363" s="31">
        <f>IF($A363="","",$F363-IF($G363="",0,$G363))</f>
        <v/>
      </c>
      <c r="I363" s="31">
        <f>IF($A363="","",IFERROR(XLOOKUP($A363,SeedPlacement!$A$2:$A$1000,SeedPlacement!$N$2:$N$1000),0))</f>
        <v/>
      </c>
      <c r="J363" s="59" t="n"/>
    </row>
    <row r="364">
      <c r="A364" s="31">
        <f>IF(Members!$A364="","",Members!$A364)</f>
        <v/>
      </c>
      <c r="B364" s="31">
        <f>IF($A364="","",$I364+SUMIF(WeeklySummary!$B$2:$B$1000,$A364,WeeklySummary!$G$2:$G$1000))</f>
        <v/>
      </c>
      <c r="C364" s="31">
        <f>IF($B364="","",MIN(100,INT(SQRT($B364))))</f>
        <v/>
      </c>
      <c r="D364" s="31">
        <f>IF($C364="","",($C364+1)^2)</f>
        <v/>
      </c>
      <c r="E364" s="31">
        <f>IF($D364="","",$D364-$B364)</f>
        <v/>
      </c>
      <c r="F364" s="31">
        <f>IF($A364="","",SUMIF(MonthlySummary!$B$2:$B$1000,$A364,MonthlySummary!$E$2:$E$1000))</f>
        <v/>
      </c>
      <c r="G364" s="31" t="n">
        <v>0</v>
      </c>
      <c r="H364" s="31">
        <f>IF($A364="","",$F364-IF($G364="",0,$G364))</f>
        <v/>
      </c>
      <c r="I364" s="31">
        <f>IF($A364="","",IFERROR(XLOOKUP($A364,SeedPlacement!$A$2:$A$1000,SeedPlacement!$N$2:$N$1000),0))</f>
        <v/>
      </c>
      <c r="J364" s="59" t="n"/>
    </row>
    <row r="365">
      <c r="A365" s="31">
        <f>IF(Members!$A365="","",Members!$A365)</f>
        <v/>
      </c>
      <c r="B365" s="31">
        <f>IF($A365="","",$I365+SUMIF(WeeklySummary!$B$2:$B$1000,$A365,WeeklySummary!$G$2:$G$1000))</f>
        <v/>
      </c>
      <c r="C365" s="31">
        <f>IF($B365="","",MIN(100,INT(SQRT($B365))))</f>
        <v/>
      </c>
      <c r="D365" s="31">
        <f>IF($C365="","",($C365+1)^2)</f>
        <v/>
      </c>
      <c r="E365" s="31">
        <f>IF($D365="","",$D365-$B365)</f>
        <v/>
      </c>
      <c r="F365" s="31">
        <f>IF($A365="","",SUMIF(MonthlySummary!$B$2:$B$1000,$A365,MonthlySummary!$E$2:$E$1000))</f>
        <v/>
      </c>
      <c r="G365" s="31" t="n">
        <v>0</v>
      </c>
      <c r="H365" s="31">
        <f>IF($A365="","",$F365-IF($G365="",0,$G365))</f>
        <v/>
      </c>
      <c r="I365" s="31">
        <f>IF($A365="","",IFERROR(XLOOKUP($A365,SeedPlacement!$A$2:$A$1000,SeedPlacement!$N$2:$N$1000),0))</f>
        <v/>
      </c>
      <c r="J365" s="59" t="n"/>
    </row>
    <row r="366">
      <c r="A366" s="31">
        <f>IF(Members!$A366="","",Members!$A366)</f>
        <v/>
      </c>
      <c r="B366" s="31">
        <f>IF($A366="","",$I366+SUMIF(WeeklySummary!$B$2:$B$1000,$A366,WeeklySummary!$G$2:$G$1000))</f>
        <v/>
      </c>
      <c r="C366" s="31">
        <f>IF($B366="","",MIN(100,INT(SQRT($B366))))</f>
        <v/>
      </c>
      <c r="D366" s="31">
        <f>IF($C366="","",($C366+1)^2)</f>
        <v/>
      </c>
      <c r="E366" s="31">
        <f>IF($D366="","",$D366-$B366)</f>
        <v/>
      </c>
      <c r="F366" s="31">
        <f>IF($A366="","",SUMIF(MonthlySummary!$B$2:$B$1000,$A366,MonthlySummary!$E$2:$E$1000))</f>
        <v/>
      </c>
      <c r="G366" s="31" t="n">
        <v>0</v>
      </c>
      <c r="H366" s="31">
        <f>IF($A366="","",$F366-IF($G366="",0,$G366))</f>
        <v/>
      </c>
      <c r="I366" s="31">
        <f>IF($A366="","",IFERROR(XLOOKUP($A366,SeedPlacement!$A$2:$A$1000,SeedPlacement!$N$2:$N$1000),0))</f>
        <v/>
      </c>
      <c r="J366" s="59" t="n"/>
    </row>
    <row r="367">
      <c r="A367" s="31">
        <f>IF(Members!$A367="","",Members!$A367)</f>
        <v/>
      </c>
      <c r="B367" s="31">
        <f>IF($A367="","",$I367+SUMIF(WeeklySummary!$B$2:$B$1000,$A367,WeeklySummary!$G$2:$G$1000))</f>
        <v/>
      </c>
      <c r="C367" s="31">
        <f>IF($B367="","",MIN(100,INT(SQRT($B367))))</f>
        <v/>
      </c>
      <c r="D367" s="31">
        <f>IF($C367="","",($C367+1)^2)</f>
        <v/>
      </c>
      <c r="E367" s="31">
        <f>IF($D367="","",$D367-$B367)</f>
        <v/>
      </c>
      <c r="F367" s="31">
        <f>IF($A367="","",SUMIF(MonthlySummary!$B$2:$B$1000,$A367,MonthlySummary!$E$2:$E$1000))</f>
        <v/>
      </c>
      <c r="G367" s="31" t="n">
        <v>0</v>
      </c>
      <c r="H367" s="31">
        <f>IF($A367="","",$F367-IF($G367="",0,$G367))</f>
        <v/>
      </c>
      <c r="I367" s="31">
        <f>IF($A367="","",IFERROR(XLOOKUP($A367,SeedPlacement!$A$2:$A$1000,SeedPlacement!$N$2:$N$1000),0))</f>
        <v/>
      </c>
      <c r="J367" s="59" t="n"/>
    </row>
    <row r="368">
      <c r="A368" s="31">
        <f>IF(Members!$A368="","",Members!$A368)</f>
        <v/>
      </c>
      <c r="B368" s="31">
        <f>IF($A368="","",$I368+SUMIF(WeeklySummary!$B$2:$B$1000,$A368,WeeklySummary!$G$2:$G$1000))</f>
        <v/>
      </c>
      <c r="C368" s="31">
        <f>IF($B368="","",MIN(100,INT(SQRT($B368))))</f>
        <v/>
      </c>
      <c r="D368" s="31">
        <f>IF($C368="","",($C368+1)^2)</f>
        <v/>
      </c>
      <c r="E368" s="31">
        <f>IF($D368="","",$D368-$B368)</f>
        <v/>
      </c>
      <c r="F368" s="31">
        <f>IF($A368="","",SUMIF(MonthlySummary!$B$2:$B$1000,$A368,MonthlySummary!$E$2:$E$1000))</f>
        <v/>
      </c>
      <c r="G368" s="31" t="n">
        <v>0</v>
      </c>
      <c r="H368" s="31">
        <f>IF($A368="","",$F368-IF($G368="",0,$G368))</f>
        <v/>
      </c>
      <c r="I368" s="31">
        <f>IF($A368="","",IFERROR(XLOOKUP($A368,SeedPlacement!$A$2:$A$1000,SeedPlacement!$N$2:$N$1000),0))</f>
        <v/>
      </c>
      <c r="J368" s="59" t="n"/>
    </row>
    <row r="369">
      <c r="A369" s="31">
        <f>IF(Members!$A369="","",Members!$A369)</f>
        <v/>
      </c>
      <c r="B369" s="31">
        <f>IF($A369="","",$I369+SUMIF(WeeklySummary!$B$2:$B$1000,$A369,WeeklySummary!$G$2:$G$1000))</f>
        <v/>
      </c>
      <c r="C369" s="31">
        <f>IF($B369="","",MIN(100,INT(SQRT($B369))))</f>
        <v/>
      </c>
      <c r="D369" s="31">
        <f>IF($C369="","",($C369+1)^2)</f>
        <v/>
      </c>
      <c r="E369" s="31">
        <f>IF($D369="","",$D369-$B369)</f>
        <v/>
      </c>
      <c r="F369" s="31">
        <f>IF($A369="","",SUMIF(MonthlySummary!$B$2:$B$1000,$A369,MonthlySummary!$E$2:$E$1000))</f>
        <v/>
      </c>
      <c r="G369" s="31" t="n">
        <v>0</v>
      </c>
      <c r="H369" s="31">
        <f>IF($A369="","",$F369-IF($G369="",0,$G369))</f>
        <v/>
      </c>
      <c r="I369" s="31">
        <f>IF($A369="","",IFERROR(XLOOKUP($A369,SeedPlacement!$A$2:$A$1000,SeedPlacement!$N$2:$N$1000),0))</f>
        <v/>
      </c>
      <c r="J369" s="59" t="n"/>
    </row>
    <row r="370">
      <c r="A370" s="31">
        <f>IF(Members!$A370="","",Members!$A370)</f>
        <v/>
      </c>
      <c r="B370" s="31">
        <f>IF($A370="","",$I370+SUMIF(WeeklySummary!$B$2:$B$1000,$A370,WeeklySummary!$G$2:$G$1000))</f>
        <v/>
      </c>
      <c r="C370" s="31">
        <f>IF($B370="","",MIN(100,INT(SQRT($B370))))</f>
        <v/>
      </c>
      <c r="D370" s="31">
        <f>IF($C370="","",($C370+1)^2)</f>
        <v/>
      </c>
      <c r="E370" s="31">
        <f>IF($D370="","",$D370-$B370)</f>
        <v/>
      </c>
      <c r="F370" s="31">
        <f>IF($A370="","",SUMIF(MonthlySummary!$B$2:$B$1000,$A370,MonthlySummary!$E$2:$E$1000))</f>
        <v/>
      </c>
      <c r="G370" s="31" t="n">
        <v>0</v>
      </c>
      <c r="H370" s="31">
        <f>IF($A370="","",$F370-IF($G370="",0,$G370))</f>
        <v/>
      </c>
      <c r="I370" s="31">
        <f>IF($A370="","",IFERROR(XLOOKUP($A370,SeedPlacement!$A$2:$A$1000,SeedPlacement!$N$2:$N$1000),0))</f>
        <v/>
      </c>
      <c r="J370" s="59" t="n"/>
    </row>
    <row r="371">
      <c r="A371" s="31">
        <f>IF(Members!$A371="","",Members!$A371)</f>
        <v/>
      </c>
      <c r="B371" s="31">
        <f>IF($A371="","",$I371+SUMIF(WeeklySummary!$B$2:$B$1000,$A371,WeeklySummary!$G$2:$G$1000))</f>
        <v/>
      </c>
      <c r="C371" s="31">
        <f>IF($B371="","",MIN(100,INT(SQRT($B371))))</f>
        <v/>
      </c>
      <c r="D371" s="31">
        <f>IF($C371="","",($C371+1)^2)</f>
        <v/>
      </c>
      <c r="E371" s="31">
        <f>IF($D371="","",$D371-$B371)</f>
        <v/>
      </c>
      <c r="F371" s="31">
        <f>IF($A371="","",SUMIF(MonthlySummary!$B$2:$B$1000,$A371,MonthlySummary!$E$2:$E$1000))</f>
        <v/>
      </c>
      <c r="G371" s="31" t="n">
        <v>0</v>
      </c>
      <c r="H371" s="31">
        <f>IF($A371="","",$F371-IF($G371="",0,$G371))</f>
        <v/>
      </c>
      <c r="I371" s="31">
        <f>IF($A371="","",IFERROR(XLOOKUP($A371,SeedPlacement!$A$2:$A$1000,SeedPlacement!$N$2:$N$1000),0))</f>
        <v/>
      </c>
      <c r="J371" s="59" t="n"/>
    </row>
    <row r="372">
      <c r="A372" s="31">
        <f>IF(Members!$A372="","",Members!$A372)</f>
        <v/>
      </c>
      <c r="B372" s="31">
        <f>IF($A372="","",$I372+SUMIF(WeeklySummary!$B$2:$B$1000,$A372,WeeklySummary!$G$2:$G$1000))</f>
        <v/>
      </c>
      <c r="C372" s="31">
        <f>IF($B372="","",MIN(100,INT(SQRT($B372))))</f>
        <v/>
      </c>
      <c r="D372" s="31">
        <f>IF($C372="","",($C372+1)^2)</f>
        <v/>
      </c>
      <c r="E372" s="31">
        <f>IF($D372="","",$D372-$B372)</f>
        <v/>
      </c>
      <c r="F372" s="31">
        <f>IF($A372="","",SUMIF(MonthlySummary!$B$2:$B$1000,$A372,MonthlySummary!$E$2:$E$1000))</f>
        <v/>
      </c>
      <c r="G372" s="31" t="n">
        <v>0</v>
      </c>
      <c r="H372" s="31">
        <f>IF($A372="","",$F372-IF($G372="",0,$G372))</f>
        <v/>
      </c>
      <c r="I372" s="31">
        <f>IF($A372="","",IFERROR(XLOOKUP($A372,SeedPlacement!$A$2:$A$1000,SeedPlacement!$N$2:$N$1000),0))</f>
        <v/>
      </c>
      <c r="J372" s="59" t="n"/>
    </row>
    <row r="373">
      <c r="A373" s="31">
        <f>IF(Members!$A373="","",Members!$A373)</f>
        <v/>
      </c>
      <c r="B373" s="31">
        <f>IF($A373="","",$I373+SUMIF(WeeklySummary!$B$2:$B$1000,$A373,WeeklySummary!$G$2:$G$1000))</f>
        <v/>
      </c>
      <c r="C373" s="31">
        <f>IF($B373="","",MIN(100,INT(SQRT($B373))))</f>
        <v/>
      </c>
      <c r="D373" s="31">
        <f>IF($C373="","",($C373+1)^2)</f>
        <v/>
      </c>
      <c r="E373" s="31">
        <f>IF($D373="","",$D373-$B373)</f>
        <v/>
      </c>
      <c r="F373" s="31">
        <f>IF($A373="","",SUMIF(MonthlySummary!$B$2:$B$1000,$A373,MonthlySummary!$E$2:$E$1000))</f>
        <v/>
      </c>
      <c r="G373" s="31" t="n">
        <v>0</v>
      </c>
      <c r="H373" s="31">
        <f>IF($A373="","",$F373-IF($G373="",0,$G373))</f>
        <v/>
      </c>
      <c r="I373" s="31">
        <f>IF($A373="","",IFERROR(XLOOKUP($A373,SeedPlacement!$A$2:$A$1000,SeedPlacement!$N$2:$N$1000),0))</f>
        <v/>
      </c>
      <c r="J373" s="59" t="n"/>
    </row>
    <row r="374">
      <c r="A374" s="31">
        <f>IF(Members!$A374="","",Members!$A374)</f>
        <v/>
      </c>
      <c r="B374" s="31">
        <f>IF($A374="","",$I374+SUMIF(WeeklySummary!$B$2:$B$1000,$A374,WeeklySummary!$G$2:$G$1000))</f>
        <v/>
      </c>
      <c r="C374" s="31">
        <f>IF($B374="","",MIN(100,INT(SQRT($B374))))</f>
        <v/>
      </c>
      <c r="D374" s="31">
        <f>IF($C374="","",($C374+1)^2)</f>
        <v/>
      </c>
      <c r="E374" s="31">
        <f>IF($D374="","",$D374-$B374)</f>
        <v/>
      </c>
      <c r="F374" s="31">
        <f>IF($A374="","",SUMIF(MonthlySummary!$B$2:$B$1000,$A374,MonthlySummary!$E$2:$E$1000))</f>
        <v/>
      </c>
      <c r="G374" s="31" t="n">
        <v>0</v>
      </c>
      <c r="H374" s="31">
        <f>IF($A374="","",$F374-IF($G374="",0,$G374))</f>
        <v/>
      </c>
      <c r="I374" s="31">
        <f>IF($A374="","",IFERROR(XLOOKUP($A374,SeedPlacement!$A$2:$A$1000,SeedPlacement!$N$2:$N$1000),0))</f>
        <v/>
      </c>
      <c r="J374" s="59" t="n"/>
    </row>
    <row r="375">
      <c r="A375" s="31">
        <f>IF(Members!$A375="","",Members!$A375)</f>
        <v/>
      </c>
      <c r="B375" s="31">
        <f>IF($A375="","",$I375+SUMIF(WeeklySummary!$B$2:$B$1000,$A375,WeeklySummary!$G$2:$G$1000))</f>
        <v/>
      </c>
      <c r="C375" s="31">
        <f>IF($B375="","",MIN(100,INT(SQRT($B375))))</f>
        <v/>
      </c>
      <c r="D375" s="31">
        <f>IF($C375="","",($C375+1)^2)</f>
        <v/>
      </c>
      <c r="E375" s="31">
        <f>IF($D375="","",$D375-$B375)</f>
        <v/>
      </c>
      <c r="F375" s="31">
        <f>IF($A375="","",SUMIF(MonthlySummary!$B$2:$B$1000,$A375,MonthlySummary!$E$2:$E$1000))</f>
        <v/>
      </c>
      <c r="G375" s="31" t="n">
        <v>0</v>
      </c>
      <c r="H375" s="31">
        <f>IF($A375="","",$F375-IF($G375="",0,$G375))</f>
        <v/>
      </c>
      <c r="I375" s="31">
        <f>IF($A375="","",IFERROR(XLOOKUP($A375,SeedPlacement!$A$2:$A$1000,SeedPlacement!$N$2:$N$1000),0))</f>
        <v/>
      </c>
      <c r="J375" s="59" t="n"/>
    </row>
    <row r="376">
      <c r="A376" s="31">
        <f>IF(Members!$A376="","",Members!$A376)</f>
        <v/>
      </c>
      <c r="B376" s="31">
        <f>IF($A376="","",$I376+SUMIF(WeeklySummary!$B$2:$B$1000,$A376,WeeklySummary!$G$2:$G$1000))</f>
        <v/>
      </c>
      <c r="C376" s="31">
        <f>IF($B376="","",MIN(100,INT(SQRT($B376))))</f>
        <v/>
      </c>
      <c r="D376" s="31">
        <f>IF($C376="","",($C376+1)^2)</f>
        <v/>
      </c>
      <c r="E376" s="31">
        <f>IF($D376="","",$D376-$B376)</f>
        <v/>
      </c>
      <c r="F376" s="31">
        <f>IF($A376="","",SUMIF(MonthlySummary!$B$2:$B$1000,$A376,MonthlySummary!$E$2:$E$1000))</f>
        <v/>
      </c>
      <c r="G376" s="31" t="n">
        <v>0</v>
      </c>
      <c r="H376" s="31">
        <f>IF($A376="","",$F376-IF($G376="",0,$G376))</f>
        <v/>
      </c>
      <c r="I376" s="31">
        <f>IF($A376="","",IFERROR(XLOOKUP($A376,SeedPlacement!$A$2:$A$1000,SeedPlacement!$N$2:$N$1000),0))</f>
        <v/>
      </c>
      <c r="J376" s="59" t="n"/>
    </row>
    <row r="377">
      <c r="A377" s="31">
        <f>IF(Members!$A377="","",Members!$A377)</f>
        <v/>
      </c>
      <c r="B377" s="31">
        <f>IF($A377="","",$I377+SUMIF(WeeklySummary!$B$2:$B$1000,$A377,WeeklySummary!$G$2:$G$1000))</f>
        <v/>
      </c>
      <c r="C377" s="31">
        <f>IF($B377="","",MIN(100,INT(SQRT($B377))))</f>
        <v/>
      </c>
      <c r="D377" s="31">
        <f>IF($C377="","",($C377+1)^2)</f>
        <v/>
      </c>
      <c r="E377" s="31">
        <f>IF($D377="","",$D377-$B377)</f>
        <v/>
      </c>
      <c r="F377" s="31">
        <f>IF($A377="","",SUMIF(MonthlySummary!$B$2:$B$1000,$A377,MonthlySummary!$E$2:$E$1000))</f>
        <v/>
      </c>
      <c r="G377" s="31" t="n">
        <v>0</v>
      </c>
      <c r="H377" s="31">
        <f>IF($A377="","",$F377-IF($G377="",0,$G377))</f>
        <v/>
      </c>
      <c r="I377" s="31">
        <f>IF($A377="","",IFERROR(XLOOKUP($A377,SeedPlacement!$A$2:$A$1000,SeedPlacement!$N$2:$N$1000),0))</f>
        <v/>
      </c>
      <c r="J377" s="59" t="n"/>
    </row>
    <row r="378">
      <c r="A378" s="31">
        <f>IF(Members!$A378="","",Members!$A378)</f>
        <v/>
      </c>
      <c r="B378" s="31">
        <f>IF($A378="","",$I378+SUMIF(WeeklySummary!$B$2:$B$1000,$A378,WeeklySummary!$G$2:$G$1000))</f>
        <v/>
      </c>
      <c r="C378" s="31">
        <f>IF($B378="","",MIN(100,INT(SQRT($B378))))</f>
        <v/>
      </c>
      <c r="D378" s="31">
        <f>IF($C378="","",($C378+1)^2)</f>
        <v/>
      </c>
      <c r="E378" s="31">
        <f>IF($D378="","",$D378-$B378)</f>
        <v/>
      </c>
      <c r="F378" s="31">
        <f>IF($A378="","",SUMIF(MonthlySummary!$B$2:$B$1000,$A378,MonthlySummary!$E$2:$E$1000))</f>
        <v/>
      </c>
      <c r="G378" s="31" t="n">
        <v>0</v>
      </c>
      <c r="H378" s="31">
        <f>IF($A378="","",$F378-IF($G378="",0,$G378))</f>
        <v/>
      </c>
      <c r="I378" s="31">
        <f>IF($A378="","",IFERROR(XLOOKUP($A378,SeedPlacement!$A$2:$A$1000,SeedPlacement!$N$2:$N$1000),0))</f>
        <v/>
      </c>
      <c r="J378" s="59" t="n"/>
    </row>
    <row r="379">
      <c r="A379" s="31">
        <f>IF(Members!$A379="","",Members!$A379)</f>
        <v/>
      </c>
      <c r="B379" s="31">
        <f>IF($A379="","",$I379+SUMIF(WeeklySummary!$B$2:$B$1000,$A379,WeeklySummary!$G$2:$G$1000))</f>
        <v/>
      </c>
      <c r="C379" s="31">
        <f>IF($B379="","",MIN(100,INT(SQRT($B379))))</f>
        <v/>
      </c>
      <c r="D379" s="31">
        <f>IF($C379="","",($C379+1)^2)</f>
        <v/>
      </c>
      <c r="E379" s="31">
        <f>IF($D379="","",$D379-$B379)</f>
        <v/>
      </c>
      <c r="F379" s="31">
        <f>IF($A379="","",SUMIF(MonthlySummary!$B$2:$B$1000,$A379,MonthlySummary!$E$2:$E$1000))</f>
        <v/>
      </c>
      <c r="G379" s="31" t="n">
        <v>0</v>
      </c>
      <c r="H379" s="31">
        <f>IF($A379="","",$F379-IF($G379="",0,$G379))</f>
        <v/>
      </c>
      <c r="I379" s="31">
        <f>IF($A379="","",IFERROR(XLOOKUP($A379,SeedPlacement!$A$2:$A$1000,SeedPlacement!$N$2:$N$1000),0))</f>
        <v/>
      </c>
      <c r="J379" s="59" t="n"/>
    </row>
    <row r="380">
      <c r="A380" s="31">
        <f>IF(Members!$A380="","",Members!$A380)</f>
        <v/>
      </c>
      <c r="B380" s="31">
        <f>IF($A380="","",$I380+SUMIF(WeeklySummary!$B$2:$B$1000,$A380,WeeklySummary!$G$2:$G$1000))</f>
        <v/>
      </c>
      <c r="C380" s="31">
        <f>IF($B380="","",MIN(100,INT(SQRT($B380))))</f>
        <v/>
      </c>
      <c r="D380" s="31">
        <f>IF($C380="","",($C380+1)^2)</f>
        <v/>
      </c>
      <c r="E380" s="31">
        <f>IF($D380="","",$D380-$B380)</f>
        <v/>
      </c>
      <c r="F380" s="31">
        <f>IF($A380="","",SUMIF(MonthlySummary!$B$2:$B$1000,$A380,MonthlySummary!$E$2:$E$1000))</f>
        <v/>
      </c>
      <c r="G380" s="31" t="n">
        <v>0</v>
      </c>
      <c r="H380" s="31">
        <f>IF($A380="","",$F380-IF($G380="",0,$G380))</f>
        <v/>
      </c>
      <c r="I380" s="31">
        <f>IF($A380="","",IFERROR(XLOOKUP($A380,SeedPlacement!$A$2:$A$1000,SeedPlacement!$N$2:$N$1000),0))</f>
        <v/>
      </c>
      <c r="J380" s="59" t="n"/>
    </row>
    <row r="381">
      <c r="A381" s="31">
        <f>IF(Members!$A381="","",Members!$A381)</f>
        <v/>
      </c>
      <c r="B381" s="31">
        <f>IF($A381="","",$I381+SUMIF(WeeklySummary!$B$2:$B$1000,$A381,WeeklySummary!$G$2:$G$1000))</f>
        <v/>
      </c>
      <c r="C381" s="31">
        <f>IF($B381="","",MIN(100,INT(SQRT($B381))))</f>
        <v/>
      </c>
      <c r="D381" s="31">
        <f>IF($C381="","",($C381+1)^2)</f>
        <v/>
      </c>
      <c r="E381" s="31">
        <f>IF($D381="","",$D381-$B381)</f>
        <v/>
      </c>
      <c r="F381" s="31">
        <f>IF($A381="","",SUMIF(MonthlySummary!$B$2:$B$1000,$A381,MonthlySummary!$E$2:$E$1000))</f>
        <v/>
      </c>
      <c r="G381" s="31" t="n">
        <v>0</v>
      </c>
      <c r="H381" s="31">
        <f>IF($A381="","",$F381-IF($G381="",0,$G381))</f>
        <v/>
      </c>
      <c r="I381" s="31">
        <f>IF($A381="","",IFERROR(XLOOKUP($A381,SeedPlacement!$A$2:$A$1000,SeedPlacement!$N$2:$N$1000),0))</f>
        <v/>
      </c>
      <c r="J381" s="59" t="n"/>
    </row>
    <row r="382">
      <c r="A382" s="31">
        <f>IF(Members!$A382="","",Members!$A382)</f>
        <v/>
      </c>
      <c r="B382" s="31">
        <f>IF($A382="","",$I382+SUMIF(WeeklySummary!$B$2:$B$1000,$A382,WeeklySummary!$G$2:$G$1000))</f>
        <v/>
      </c>
      <c r="C382" s="31">
        <f>IF($B382="","",MIN(100,INT(SQRT($B382))))</f>
        <v/>
      </c>
      <c r="D382" s="31">
        <f>IF($C382="","",($C382+1)^2)</f>
        <v/>
      </c>
      <c r="E382" s="31">
        <f>IF($D382="","",$D382-$B382)</f>
        <v/>
      </c>
      <c r="F382" s="31">
        <f>IF($A382="","",SUMIF(MonthlySummary!$B$2:$B$1000,$A382,MonthlySummary!$E$2:$E$1000))</f>
        <v/>
      </c>
      <c r="G382" s="31" t="n">
        <v>0</v>
      </c>
      <c r="H382" s="31">
        <f>IF($A382="","",$F382-IF($G382="",0,$G382))</f>
        <v/>
      </c>
      <c r="I382" s="31">
        <f>IF($A382="","",IFERROR(XLOOKUP($A382,SeedPlacement!$A$2:$A$1000,SeedPlacement!$N$2:$N$1000),0))</f>
        <v/>
      </c>
      <c r="J382" s="59" t="n"/>
    </row>
    <row r="383">
      <c r="A383" s="31">
        <f>IF(Members!$A383="","",Members!$A383)</f>
        <v/>
      </c>
      <c r="B383" s="31">
        <f>IF($A383="","",$I383+SUMIF(WeeklySummary!$B$2:$B$1000,$A383,WeeklySummary!$G$2:$G$1000))</f>
        <v/>
      </c>
      <c r="C383" s="31">
        <f>IF($B383="","",MIN(100,INT(SQRT($B383))))</f>
        <v/>
      </c>
      <c r="D383" s="31">
        <f>IF($C383="","",($C383+1)^2)</f>
        <v/>
      </c>
      <c r="E383" s="31">
        <f>IF($D383="","",$D383-$B383)</f>
        <v/>
      </c>
      <c r="F383" s="31">
        <f>IF($A383="","",SUMIF(MonthlySummary!$B$2:$B$1000,$A383,MonthlySummary!$E$2:$E$1000))</f>
        <v/>
      </c>
      <c r="G383" s="31" t="n">
        <v>0</v>
      </c>
      <c r="H383" s="31">
        <f>IF($A383="","",$F383-IF($G383="",0,$G383))</f>
        <v/>
      </c>
      <c r="I383" s="31">
        <f>IF($A383="","",IFERROR(XLOOKUP($A383,SeedPlacement!$A$2:$A$1000,SeedPlacement!$N$2:$N$1000),0))</f>
        <v/>
      </c>
      <c r="J383" s="59" t="n"/>
    </row>
    <row r="384">
      <c r="A384" s="31">
        <f>IF(Members!$A384="","",Members!$A384)</f>
        <v/>
      </c>
      <c r="B384" s="31">
        <f>IF($A384="","",$I384+SUMIF(WeeklySummary!$B$2:$B$1000,$A384,WeeklySummary!$G$2:$G$1000))</f>
        <v/>
      </c>
      <c r="C384" s="31">
        <f>IF($B384="","",MIN(100,INT(SQRT($B384))))</f>
        <v/>
      </c>
      <c r="D384" s="31">
        <f>IF($C384="","",($C384+1)^2)</f>
        <v/>
      </c>
      <c r="E384" s="31">
        <f>IF($D384="","",$D384-$B384)</f>
        <v/>
      </c>
      <c r="F384" s="31">
        <f>IF($A384="","",SUMIF(MonthlySummary!$B$2:$B$1000,$A384,MonthlySummary!$E$2:$E$1000))</f>
        <v/>
      </c>
      <c r="G384" s="31" t="n">
        <v>0</v>
      </c>
      <c r="H384" s="31">
        <f>IF($A384="","",$F384-IF($G384="",0,$G384))</f>
        <v/>
      </c>
      <c r="I384" s="31">
        <f>IF($A384="","",IFERROR(XLOOKUP($A384,SeedPlacement!$A$2:$A$1000,SeedPlacement!$N$2:$N$1000),0))</f>
        <v/>
      </c>
      <c r="J384" s="59" t="n"/>
    </row>
    <row r="385">
      <c r="A385" s="31">
        <f>IF(Members!$A385="","",Members!$A385)</f>
        <v/>
      </c>
      <c r="B385" s="31">
        <f>IF($A385="","",$I385+SUMIF(WeeklySummary!$B$2:$B$1000,$A385,WeeklySummary!$G$2:$G$1000))</f>
        <v/>
      </c>
      <c r="C385" s="31">
        <f>IF($B385="","",MIN(100,INT(SQRT($B385))))</f>
        <v/>
      </c>
      <c r="D385" s="31">
        <f>IF($C385="","",($C385+1)^2)</f>
        <v/>
      </c>
      <c r="E385" s="31">
        <f>IF($D385="","",$D385-$B385)</f>
        <v/>
      </c>
      <c r="F385" s="31">
        <f>IF($A385="","",SUMIF(MonthlySummary!$B$2:$B$1000,$A385,MonthlySummary!$E$2:$E$1000))</f>
        <v/>
      </c>
      <c r="G385" s="31" t="n">
        <v>0</v>
      </c>
      <c r="H385" s="31">
        <f>IF($A385="","",$F385-IF($G385="",0,$G385))</f>
        <v/>
      </c>
      <c r="I385" s="31">
        <f>IF($A385="","",IFERROR(XLOOKUP($A385,SeedPlacement!$A$2:$A$1000,SeedPlacement!$N$2:$N$1000),0))</f>
        <v/>
      </c>
      <c r="J385" s="59" t="n"/>
    </row>
    <row r="386">
      <c r="A386" s="31">
        <f>IF(Members!$A386="","",Members!$A386)</f>
        <v/>
      </c>
      <c r="B386" s="31">
        <f>IF($A386="","",$I386+SUMIF(WeeklySummary!$B$2:$B$1000,$A386,WeeklySummary!$G$2:$G$1000))</f>
        <v/>
      </c>
      <c r="C386" s="31">
        <f>IF($B386="","",MIN(100,INT(SQRT($B386))))</f>
        <v/>
      </c>
      <c r="D386" s="31">
        <f>IF($C386="","",($C386+1)^2)</f>
        <v/>
      </c>
      <c r="E386" s="31">
        <f>IF($D386="","",$D386-$B386)</f>
        <v/>
      </c>
      <c r="F386" s="31">
        <f>IF($A386="","",SUMIF(MonthlySummary!$B$2:$B$1000,$A386,MonthlySummary!$E$2:$E$1000))</f>
        <v/>
      </c>
      <c r="G386" s="31" t="n">
        <v>0</v>
      </c>
      <c r="H386" s="31">
        <f>IF($A386="","",$F386-IF($G386="",0,$G386))</f>
        <v/>
      </c>
      <c r="I386" s="31">
        <f>IF($A386="","",IFERROR(XLOOKUP($A386,SeedPlacement!$A$2:$A$1000,SeedPlacement!$N$2:$N$1000),0))</f>
        <v/>
      </c>
      <c r="J386" s="59" t="n"/>
    </row>
    <row r="387">
      <c r="A387" s="31">
        <f>IF(Members!$A387="","",Members!$A387)</f>
        <v/>
      </c>
      <c r="B387" s="31">
        <f>IF($A387="","",$I387+SUMIF(WeeklySummary!$B$2:$B$1000,$A387,WeeklySummary!$G$2:$G$1000))</f>
        <v/>
      </c>
      <c r="C387" s="31">
        <f>IF($B387="","",MIN(100,INT(SQRT($B387))))</f>
        <v/>
      </c>
      <c r="D387" s="31">
        <f>IF($C387="","",($C387+1)^2)</f>
        <v/>
      </c>
      <c r="E387" s="31">
        <f>IF($D387="","",$D387-$B387)</f>
        <v/>
      </c>
      <c r="F387" s="31">
        <f>IF($A387="","",SUMIF(MonthlySummary!$B$2:$B$1000,$A387,MonthlySummary!$E$2:$E$1000))</f>
        <v/>
      </c>
      <c r="G387" s="31" t="n">
        <v>0</v>
      </c>
      <c r="H387" s="31">
        <f>IF($A387="","",$F387-IF($G387="",0,$G387))</f>
        <v/>
      </c>
      <c r="I387" s="31">
        <f>IF($A387="","",IFERROR(XLOOKUP($A387,SeedPlacement!$A$2:$A$1000,SeedPlacement!$N$2:$N$1000),0))</f>
        <v/>
      </c>
      <c r="J387" s="59" t="n"/>
    </row>
    <row r="388">
      <c r="A388" s="31">
        <f>IF(Members!$A388="","",Members!$A388)</f>
        <v/>
      </c>
      <c r="B388" s="31">
        <f>IF($A388="","",$I388+SUMIF(WeeklySummary!$B$2:$B$1000,$A388,WeeklySummary!$G$2:$G$1000))</f>
        <v/>
      </c>
      <c r="C388" s="31">
        <f>IF($B388="","",MIN(100,INT(SQRT($B388))))</f>
        <v/>
      </c>
      <c r="D388" s="31">
        <f>IF($C388="","",($C388+1)^2)</f>
        <v/>
      </c>
      <c r="E388" s="31">
        <f>IF($D388="","",$D388-$B388)</f>
        <v/>
      </c>
      <c r="F388" s="31">
        <f>IF($A388="","",SUMIF(MonthlySummary!$B$2:$B$1000,$A388,MonthlySummary!$E$2:$E$1000))</f>
        <v/>
      </c>
      <c r="G388" s="31" t="n">
        <v>0</v>
      </c>
      <c r="H388" s="31">
        <f>IF($A388="","",$F388-IF($G388="",0,$G388))</f>
        <v/>
      </c>
      <c r="I388" s="31">
        <f>IF($A388="","",IFERROR(XLOOKUP($A388,SeedPlacement!$A$2:$A$1000,SeedPlacement!$N$2:$N$1000),0))</f>
        <v/>
      </c>
      <c r="J388" s="59" t="n"/>
    </row>
    <row r="389">
      <c r="A389" s="31">
        <f>IF(Members!$A389="","",Members!$A389)</f>
        <v/>
      </c>
      <c r="B389" s="31">
        <f>IF($A389="","",$I389+SUMIF(WeeklySummary!$B$2:$B$1000,$A389,WeeklySummary!$G$2:$G$1000))</f>
        <v/>
      </c>
      <c r="C389" s="31">
        <f>IF($B389="","",MIN(100,INT(SQRT($B389))))</f>
        <v/>
      </c>
      <c r="D389" s="31">
        <f>IF($C389="","",($C389+1)^2)</f>
        <v/>
      </c>
      <c r="E389" s="31">
        <f>IF($D389="","",$D389-$B389)</f>
        <v/>
      </c>
      <c r="F389" s="31">
        <f>IF($A389="","",SUMIF(MonthlySummary!$B$2:$B$1000,$A389,MonthlySummary!$E$2:$E$1000))</f>
        <v/>
      </c>
      <c r="G389" s="31" t="n">
        <v>0</v>
      </c>
      <c r="H389" s="31">
        <f>IF($A389="","",$F389-IF($G389="",0,$G389))</f>
        <v/>
      </c>
      <c r="I389" s="31">
        <f>IF($A389="","",IFERROR(XLOOKUP($A389,SeedPlacement!$A$2:$A$1000,SeedPlacement!$N$2:$N$1000),0))</f>
        <v/>
      </c>
      <c r="J389" s="59" t="n"/>
    </row>
    <row r="390">
      <c r="A390" s="31">
        <f>IF(Members!$A390="","",Members!$A390)</f>
        <v/>
      </c>
      <c r="B390" s="31">
        <f>IF($A390="","",$I390+SUMIF(WeeklySummary!$B$2:$B$1000,$A390,WeeklySummary!$G$2:$G$1000))</f>
        <v/>
      </c>
      <c r="C390" s="31">
        <f>IF($B390="","",MIN(100,INT(SQRT($B390))))</f>
        <v/>
      </c>
      <c r="D390" s="31">
        <f>IF($C390="","",($C390+1)^2)</f>
        <v/>
      </c>
      <c r="E390" s="31">
        <f>IF($D390="","",$D390-$B390)</f>
        <v/>
      </c>
      <c r="F390" s="31">
        <f>IF($A390="","",SUMIF(MonthlySummary!$B$2:$B$1000,$A390,MonthlySummary!$E$2:$E$1000))</f>
        <v/>
      </c>
      <c r="G390" s="31" t="n">
        <v>0</v>
      </c>
      <c r="H390" s="31">
        <f>IF($A390="","",$F390-IF($G390="",0,$G390))</f>
        <v/>
      </c>
      <c r="I390" s="31">
        <f>IF($A390="","",IFERROR(XLOOKUP($A390,SeedPlacement!$A$2:$A$1000,SeedPlacement!$N$2:$N$1000),0))</f>
        <v/>
      </c>
      <c r="J390" s="59" t="n"/>
    </row>
    <row r="391">
      <c r="A391" s="31">
        <f>IF(Members!$A391="","",Members!$A391)</f>
        <v/>
      </c>
      <c r="B391" s="31">
        <f>IF($A391="","",$I391+SUMIF(WeeklySummary!$B$2:$B$1000,$A391,WeeklySummary!$G$2:$G$1000))</f>
        <v/>
      </c>
      <c r="C391" s="31">
        <f>IF($B391="","",MIN(100,INT(SQRT($B391))))</f>
        <v/>
      </c>
      <c r="D391" s="31">
        <f>IF($C391="","",($C391+1)^2)</f>
        <v/>
      </c>
      <c r="E391" s="31">
        <f>IF($D391="","",$D391-$B391)</f>
        <v/>
      </c>
      <c r="F391" s="31">
        <f>IF($A391="","",SUMIF(MonthlySummary!$B$2:$B$1000,$A391,MonthlySummary!$E$2:$E$1000))</f>
        <v/>
      </c>
      <c r="G391" s="31" t="n">
        <v>0</v>
      </c>
      <c r="H391" s="31">
        <f>IF($A391="","",$F391-IF($G391="",0,$G391))</f>
        <v/>
      </c>
      <c r="I391" s="31">
        <f>IF($A391="","",IFERROR(XLOOKUP($A391,SeedPlacement!$A$2:$A$1000,SeedPlacement!$N$2:$N$1000),0))</f>
        <v/>
      </c>
      <c r="J391" s="59" t="n"/>
    </row>
    <row r="392">
      <c r="A392" s="31">
        <f>IF(Members!$A392="","",Members!$A392)</f>
        <v/>
      </c>
      <c r="B392" s="31">
        <f>IF($A392="","",$I392+SUMIF(WeeklySummary!$B$2:$B$1000,$A392,WeeklySummary!$G$2:$G$1000))</f>
        <v/>
      </c>
      <c r="C392" s="31">
        <f>IF($B392="","",MIN(100,INT(SQRT($B392))))</f>
        <v/>
      </c>
      <c r="D392" s="31">
        <f>IF($C392="","",($C392+1)^2)</f>
        <v/>
      </c>
      <c r="E392" s="31">
        <f>IF($D392="","",$D392-$B392)</f>
        <v/>
      </c>
      <c r="F392" s="31">
        <f>IF($A392="","",SUMIF(MonthlySummary!$B$2:$B$1000,$A392,MonthlySummary!$E$2:$E$1000))</f>
        <v/>
      </c>
      <c r="G392" s="31" t="n">
        <v>0</v>
      </c>
      <c r="H392" s="31">
        <f>IF($A392="","",$F392-IF($G392="",0,$G392))</f>
        <v/>
      </c>
      <c r="I392" s="31">
        <f>IF($A392="","",IFERROR(XLOOKUP($A392,SeedPlacement!$A$2:$A$1000,SeedPlacement!$N$2:$N$1000),0))</f>
        <v/>
      </c>
      <c r="J392" s="59" t="n"/>
    </row>
    <row r="393">
      <c r="A393" s="31">
        <f>IF(Members!$A393="","",Members!$A393)</f>
        <v/>
      </c>
      <c r="B393" s="31">
        <f>IF($A393="","",$I393+SUMIF(WeeklySummary!$B$2:$B$1000,$A393,WeeklySummary!$G$2:$G$1000))</f>
        <v/>
      </c>
      <c r="C393" s="31">
        <f>IF($B393="","",MIN(100,INT(SQRT($B393))))</f>
        <v/>
      </c>
      <c r="D393" s="31">
        <f>IF($C393="","",($C393+1)^2)</f>
        <v/>
      </c>
      <c r="E393" s="31">
        <f>IF($D393="","",$D393-$B393)</f>
        <v/>
      </c>
      <c r="F393" s="31">
        <f>IF($A393="","",SUMIF(MonthlySummary!$B$2:$B$1000,$A393,MonthlySummary!$E$2:$E$1000))</f>
        <v/>
      </c>
      <c r="G393" s="31" t="n">
        <v>0</v>
      </c>
      <c r="H393" s="31">
        <f>IF($A393="","",$F393-IF($G393="",0,$G393))</f>
        <v/>
      </c>
      <c r="I393" s="31">
        <f>IF($A393="","",IFERROR(XLOOKUP($A393,SeedPlacement!$A$2:$A$1000,SeedPlacement!$N$2:$N$1000),0))</f>
        <v/>
      </c>
      <c r="J393" s="59" t="n"/>
    </row>
    <row r="394">
      <c r="A394" s="31">
        <f>IF(Members!$A394="","",Members!$A394)</f>
        <v/>
      </c>
      <c r="B394" s="31">
        <f>IF($A394="","",$I394+SUMIF(WeeklySummary!$B$2:$B$1000,$A394,WeeklySummary!$G$2:$G$1000))</f>
        <v/>
      </c>
      <c r="C394" s="31">
        <f>IF($B394="","",MIN(100,INT(SQRT($B394))))</f>
        <v/>
      </c>
      <c r="D394" s="31">
        <f>IF($C394="","",($C394+1)^2)</f>
        <v/>
      </c>
      <c r="E394" s="31">
        <f>IF($D394="","",$D394-$B394)</f>
        <v/>
      </c>
      <c r="F394" s="31">
        <f>IF($A394="","",SUMIF(MonthlySummary!$B$2:$B$1000,$A394,MonthlySummary!$E$2:$E$1000))</f>
        <v/>
      </c>
      <c r="G394" s="31" t="n">
        <v>0</v>
      </c>
      <c r="H394" s="31">
        <f>IF($A394="","",$F394-IF($G394="",0,$G394))</f>
        <v/>
      </c>
      <c r="I394" s="31">
        <f>IF($A394="","",IFERROR(XLOOKUP($A394,SeedPlacement!$A$2:$A$1000,SeedPlacement!$N$2:$N$1000),0))</f>
        <v/>
      </c>
      <c r="J394" s="59" t="n"/>
    </row>
    <row r="395">
      <c r="A395" s="31">
        <f>IF(Members!$A395="","",Members!$A395)</f>
        <v/>
      </c>
      <c r="B395" s="31">
        <f>IF($A395="","",$I395+SUMIF(WeeklySummary!$B$2:$B$1000,$A395,WeeklySummary!$G$2:$G$1000))</f>
        <v/>
      </c>
      <c r="C395" s="31">
        <f>IF($B395="","",MIN(100,INT(SQRT($B395))))</f>
        <v/>
      </c>
      <c r="D395" s="31">
        <f>IF($C395="","",($C395+1)^2)</f>
        <v/>
      </c>
      <c r="E395" s="31">
        <f>IF($D395="","",$D395-$B395)</f>
        <v/>
      </c>
      <c r="F395" s="31">
        <f>IF($A395="","",SUMIF(MonthlySummary!$B$2:$B$1000,$A395,MonthlySummary!$E$2:$E$1000))</f>
        <v/>
      </c>
      <c r="G395" s="31" t="n">
        <v>0</v>
      </c>
      <c r="H395" s="31">
        <f>IF($A395="","",$F395-IF($G395="",0,$G395))</f>
        <v/>
      </c>
      <c r="I395" s="31">
        <f>IF($A395="","",IFERROR(XLOOKUP($A395,SeedPlacement!$A$2:$A$1000,SeedPlacement!$N$2:$N$1000),0))</f>
        <v/>
      </c>
      <c r="J395" s="59" t="n"/>
    </row>
    <row r="396">
      <c r="A396" s="31">
        <f>IF(Members!$A396="","",Members!$A396)</f>
        <v/>
      </c>
      <c r="B396" s="31">
        <f>IF($A396="","",$I396+SUMIF(WeeklySummary!$B$2:$B$1000,$A396,WeeklySummary!$G$2:$G$1000))</f>
        <v/>
      </c>
      <c r="C396" s="31">
        <f>IF($B396="","",MIN(100,INT(SQRT($B396))))</f>
        <v/>
      </c>
      <c r="D396" s="31">
        <f>IF($C396="","",($C396+1)^2)</f>
        <v/>
      </c>
      <c r="E396" s="31">
        <f>IF($D396="","",$D396-$B396)</f>
        <v/>
      </c>
      <c r="F396" s="31">
        <f>IF($A396="","",SUMIF(MonthlySummary!$B$2:$B$1000,$A396,MonthlySummary!$E$2:$E$1000))</f>
        <v/>
      </c>
      <c r="G396" s="31" t="n">
        <v>0</v>
      </c>
      <c r="H396" s="31">
        <f>IF($A396="","",$F396-IF($G396="",0,$G396))</f>
        <v/>
      </c>
      <c r="I396" s="31">
        <f>IF($A396="","",IFERROR(XLOOKUP($A396,SeedPlacement!$A$2:$A$1000,SeedPlacement!$N$2:$N$1000),0))</f>
        <v/>
      </c>
      <c r="J396" s="59" t="n"/>
    </row>
    <row r="397">
      <c r="A397" s="31">
        <f>IF(Members!$A397="","",Members!$A397)</f>
        <v/>
      </c>
      <c r="B397" s="31">
        <f>IF($A397="","",$I397+SUMIF(WeeklySummary!$B$2:$B$1000,$A397,WeeklySummary!$G$2:$G$1000))</f>
        <v/>
      </c>
      <c r="C397" s="31">
        <f>IF($B397="","",MIN(100,INT(SQRT($B397))))</f>
        <v/>
      </c>
      <c r="D397" s="31">
        <f>IF($C397="","",($C397+1)^2)</f>
        <v/>
      </c>
      <c r="E397" s="31">
        <f>IF($D397="","",$D397-$B397)</f>
        <v/>
      </c>
      <c r="F397" s="31">
        <f>IF($A397="","",SUMIF(MonthlySummary!$B$2:$B$1000,$A397,MonthlySummary!$E$2:$E$1000))</f>
        <v/>
      </c>
      <c r="G397" s="31" t="n">
        <v>0</v>
      </c>
      <c r="H397" s="31">
        <f>IF($A397="","",$F397-IF($G397="",0,$G397))</f>
        <v/>
      </c>
      <c r="I397" s="31">
        <f>IF($A397="","",IFERROR(XLOOKUP($A397,SeedPlacement!$A$2:$A$1000,SeedPlacement!$N$2:$N$1000),0))</f>
        <v/>
      </c>
      <c r="J397" s="59" t="n"/>
    </row>
    <row r="398">
      <c r="A398" s="31">
        <f>IF(Members!$A398="","",Members!$A398)</f>
        <v/>
      </c>
      <c r="B398" s="31">
        <f>IF($A398="","",$I398+SUMIF(WeeklySummary!$B$2:$B$1000,$A398,WeeklySummary!$G$2:$G$1000))</f>
        <v/>
      </c>
      <c r="C398" s="31">
        <f>IF($B398="","",MIN(100,INT(SQRT($B398))))</f>
        <v/>
      </c>
      <c r="D398" s="31">
        <f>IF($C398="","",($C398+1)^2)</f>
        <v/>
      </c>
      <c r="E398" s="31">
        <f>IF($D398="","",$D398-$B398)</f>
        <v/>
      </c>
      <c r="F398" s="31">
        <f>IF($A398="","",SUMIF(MonthlySummary!$B$2:$B$1000,$A398,MonthlySummary!$E$2:$E$1000))</f>
        <v/>
      </c>
      <c r="G398" s="31" t="n">
        <v>0</v>
      </c>
      <c r="H398" s="31">
        <f>IF($A398="","",$F398-IF($G398="",0,$G398))</f>
        <v/>
      </c>
      <c r="I398" s="31">
        <f>IF($A398="","",IFERROR(XLOOKUP($A398,SeedPlacement!$A$2:$A$1000,SeedPlacement!$N$2:$N$1000),0))</f>
        <v/>
      </c>
      <c r="J398" s="59" t="n"/>
    </row>
    <row r="399">
      <c r="A399" s="31">
        <f>IF(Members!$A399="","",Members!$A399)</f>
        <v/>
      </c>
      <c r="B399" s="31">
        <f>IF($A399="","",$I399+SUMIF(WeeklySummary!$B$2:$B$1000,$A399,WeeklySummary!$G$2:$G$1000))</f>
        <v/>
      </c>
      <c r="C399" s="31">
        <f>IF($B399="","",MIN(100,INT(SQRT($B399))))</f>
        <v/>
      </c>
      <c r="D399" s="31">
        <f>IF($C399="","",($C399+1)^2)</f>
        <v/>
      </c>
      <c r="E399" s="31">
        <f>IF($D399="","",$D399-$B399)</f>
        <v/>
      </c>
      <c r="F399" s="31">
        <f>IF($A399="","",SUMIF(MonthlySummary!$B$2:$B$1000,$A399,MonthlySummary!$E$2:$E$1000))</f>
        <v/>
      </c>
      <c r="G399" s="31" t="n">
        <v>0</v>
      </c>
      <c r="H399" s="31">
        <f>IF($A399="","",$F399-IF($G399="",0,$G399))</f>
        <v/>
      </c>
      <c r="I399" s="31">
        <f>IF($A399="","",IFERROR(XLOOKUP($A399,SeedPlacement!$A$2:$A$1000,SeedPlacement!$N$2:$N$1000),0))</f>
        <v/>
      </c>
      <c r="J399" s="59" t="n"/>
    </row>
    <row r="400">
      <c r="A400" s="31">
        <f>IF(Members!$A400="","",Members!$A400)</f>
        <v/>
      </c>
      <c r="B400" s="31">
        <f>IF($A400="","",$I400+SUMIF(WeeklySummary!$B$2:$B$1000,$A400,WeeklySummary!$G$2:$G$1000))</f>
        <v/>
      </c>
      <c r="C400" s="31">
        <f>IF($B400="","",MIN(100,INT(SQRT($B400))))</f>
        <v/>
      </c>
      <c r="D400" s="31">
        <f>IF($C400="","",($C400+1)^2)</f>
        <v/>
      </c>
      <c r="E400" s="31">
        <f>IF($D400="","",$D400-$B400)</f>
        <v/>
      </c>
      <c r="F400" s="31">
        <f>IF($A400="","",SUMIF(MonthlySummary!$B$2:$B$1000,$A400,MonthlySummary!$E$2:$E$1000))</f>
        <v/>
      </c>
      <c r="G400" s="31" t="n">
        <v>0</v>
      </c>
      <c r="H400" s="31">
        <f>IF($A400="","",$F400-IF($G400="",0,$G400))</f>
        <v/>
      </c>
      <c r="I400" s="31">
        <f>IF($A400="","",IFERROR(XLOOKUP($A400,SeedPlacement!$A$2:$A$1000,SeedPlacement!$N$2:$N$1000),0))</f>
        <v/>
      </c>
      <c r="J400" s="59" t="n"/>
    </row>
    <row r="401">
      <c r="A401" s="31">
        <f>IF(Members!$A401="","",Members!$A401)</f>
        <v/>
      </c>
      <c r="B401" s="31">
        <f>IF($A401="","",$I401+SUMIF(WeeklySummary!$B$2:$B$1000,$A401,WeeklySummary!$G$2:$G$1000))</f>
        <v/>
      </c>
      <c r="C401" s="31">
        <f>IF($B401="","",MIN(100,INT(SQRT($B401))))</f>
        <v/>
      </c>
      <c r="D401" s="31">
        <f>IF($C401="","",($C401+1)^2)</f>
        <v/>
      </c>
      <c r="E401" s="31">
        <f>IF($D401="","",$D401-$B401)</f>
        <v/>
      </c>
      <c r="F401" s="31">
        <f>IF($A401="","",SUMIF(MonthlySummary!$B$2:$B$1000,$A401,MonthlySummary!$E$2:$E$1000))</f>
        <v/>
      </c>
      <c r="G401" s="31" t="n">
        <v>0</v>
      </c>
      <c r="H401" s="31">
        <f>IF($A401="","",$F401-IF($G401="",0,$G401))</f>
        <v/>
      </c>
      <c r="I401" s="31">
        <f>IF($A401="","",IFERROR(XLOOKUP($A401,SeedPlacement!$A$2:$A$1000,SeedPlacement!$N$2:$N$1000),0))</f>
        <v/>
      </c>
      <c r="J401" s="59" t="n"/>
    </row>
    <row r="402">
      <c r="A402" s="31">
        <f>IF(Members!$A402="","",Members!$A402)</f>
        <v/>
      </c>
      <c r="B402" s="31">
        <f>IF($A402="","",$I402+SUMIF(WeeklySummary!$B$2:$B$1000,$A402,WeeklySummary!$G$2:$G$1000))</f>
        <v/>
      </c>
      <c r="C402" s="31">
        <f>IF($B402="","",MIN(100,INT(SQRT($B402))))</f>
        <v/>
      </c>
      <c r="D402" s="31">
        <f>IF($C402="","",($C402+1)^2)</f>
        <v/>
      </c>
      <c r="E402" s="31">
        <f>IF($D402="","",$D402-$B402)</f>
        <v/>
      </c>
      <c r="F402" s="31">
        <f>IF($A402="","",SUMIF(MonthlySummary!$B$2:$B$1000,$A402,MonthlySummary!$E$2:$E$1000))</f>
        <v/>
      </c>
      <c r="G402" s="31" t="n">
        <v>0</v>
      </c>
      <c r="H402" s="31">
        <f>IF($A402="","",$F402-IF($G402="",0,$G402))</f>
        <v/>
      </c>
      <c r="I402" s="31">
        <f>IF($A402="","",IFERROR(XLOOKUP($A402,SeedPlacement!$A$2:$A$1000,SeedPlacement!$N$2:$N$1000),0))</f>
        <v/>
      </c>
      <c r="J402" s="59" t="n"/>
    </row>
    <row r="403">
      <c r="A403" s="31">
        <f>IF(Members!$A403="","",Members!$A403)</f>
        <v/>
      </c>
      <c r="B403" s="31">
        <f>IF($A403="","",$I403+SUMIF(WeeklySummary!$B$2:$B$1000,$A403,WeeklySummary!$G$2:$G$1000))</f>
        <v/>
      </c>
      <c r="C403" s="31">
        <f>IF($B403="","",MIN(100,INT(SQRT($B403))))</f>
        <v/>
      </c>
      <c r="D403" s="31">
        <f>IF($C403="","",($C403+1)^2)</f>
        <v/>
      </c>
      <c r="E403" s="31">
        <f>IF($D403="","",$D403-$B403)</f>
        <v/>
      </c>
      <c r="F403" s="31">
        <f>IF($A403="","",SUMIF(MonthlySummary!$B$2:$B$1000,$A403,MonthlySummary!$E$2:$E$1000))</f>
        <v/>
      </c>
      <c r="G403" s="31" t="n">
        <v>0</v>
      </c>
      <c r="H403" s="31">
        <f>IF($A403="","",$F403-IF($G403="",0,$G403))</f>
        <v/>
      </c>
      <c r="I403" s="31">
        <f>IF($A403="","",IFERROR(XLOOKUP($A403,SeedPlacement!$A$2:$A$1000,SeedPlacement!$N$2:$N$1000),0))</f>
        <v/>
      </c>
      <c r="J403" s="59" t="n"/>
    </row>
    <row r="404">
      <c r="A404" s="31">
        <f>IF(Members!$A404="","",Members!$A404)</f>
        <v/>
      </c>
      <c r="B404" s="31">
        <f>IF($A404="","",$I404+SUMIF(WeeklySummary!$B$2:$B$1000,$A404,WeeklySummary!$G$2:$G$1000))</f>
        <v/>
      </c>
      <c r="C404" s="31">
        <f>IF($B404="","",MIN(100,INT(SQRT($B404))))</f>
        <v/>
      </c>
      <c r="D404" s="31">
        <f>IF($C404="","",($C404+1)^2)</f>
        <v/>
      </c>
      <c r="E404" s="31">
        <f>IF($D404="","",$D404-$B404)</f>
        <v/>
      </c>
      <c r="F404" s="31">
        <f>IF($A404="","",SUMIF(MonthlySummary!$B$2:$B$1000,$A404,MonthlySummary!$E$2:$E$1000))</f>
        <v/>
      </c>
      <c r="G404" s="31" t="n">
        <v>0</v>
      </c>
      <c r="H404" s="31">
        <f>IF($A404="","",$F404-IF($G404="",0,$G404))</f>
        <v/>
      </c>
      <c r="I404" s="31">
        <f>IF($A404="","",IFERROR(XLOOKUP($A404,SeedPlacement!$A$2:$A$1000,SeedPlacement!$N$2:$N$1000),0))</f>
        <v/>
      </c>
      <c r="J404" s="59" t="n"/>
    </row>
    <row r="405">
      <c r="A405" s="31">
        <f>IF(Members!$A405="","",Members!$A405)</f>
        <v/>
      </c>
      <c r="B405" s="31">
        <f>IF($A405="","",$I405+SUMIF(WeeklySummary!$B$2:$B$1000,$A405,WeeklySummary!$G$2:$G$1000))</f>
        <v/>
      </c>
      <c r="C405" s="31">
        <f>IF($B405="","",MIN(100,INT(SQRT($B405))))</f>
        <v/>
      </c>
      <c r="D405" s="31">
        <f>IF($C405="","",($C405+1)^2)</f>
        <v/>
      </c>
      <c r="E405" s="31">
        <f>IF($D405="","",$D405-$B405)</f>
        <v/>
      </c>
      <c r="F405" s="31">
        <f>IF($A405="","",SUMIF(MonthlySummary!$B$2:$B$1000,$A405,MonthlySummary!$E$2:$E$1000))</f>
        <v/>
      </c>
      <c r="G405" s="31" t="n">
        <v>0</v>
      </c>
      <c r="H405" s="31">
        <f>IF($A405="","",$F405-IF($G405="",0,$G405))</f>
        <v/>
      </c>
      <c r="I405" s="31">
        <f>IF($A405="","",IFERROR(XLOOKUP($A405,SeedPlacement!$A$2:$A$1000,SeedPlacement!$N$2:$N$1000),0))</f>
        <v/>
      </c>
      <c r="J405" s="59" t="n"/>
    </row>
    <row r="406">
      <c r="A406" s="31">
        <f>IF(Members!$A406="","",Members!$A406)</f>
        <v/>
      </c>
      <c r="B406" s="31">
        <f>IF($A406="","",$I406+SUMIF(WeeklySummary!$B$2:$B$1000,$A406,WeeklySummary!$G$2:$G$1000))</f>
        <v/>
      </c>
      <c r="C406" s="31">
        <f>IF($B406="","",MIN(100,INT(SQRT($B406))))</f>
        <v/>
      </c>
      <c r="D406" s="31">
        <f>IF($C406="","",($C406+1)^2)</f>
        <v/>
      </c>
      <c r="E406" s="31">
        <f>IF($D406="","",$D406-$B406)</f>
        <v/>
      </c>
      <c r="F406" s="31">
        <f>IF($A406="","",SUMIF(MonthlySummary!$B$2:$B$1000,$A406,MonthlySummary!$E$2:$E$1000))</f>
        <v/>
      </c>
      <c r="G406" s="31" t="n">
        <v>0</v>
      </c>
      <c r="H406" s="31">
        <f>IF($A406="","",$F406-IF($G406="",0,$G406))</f>
        <v/>
      </c>
      <c r="I406" s="31">
        <f>IF($A406="","",IFERROR(XLOOKUP($A406,SeedPlacement!$A$2:$A$1000,SeedPlacement!$N$2:$N$1000),0))</f>
        <v/>
      </c>
      <c r="J406" s="59" t="n"/>
    </row>
    <row r="407">
      <c r="A407" s="31">
        <f>IF(Members!$A407="","",Members!$A407)</f>
        <v/>
      </c>
      <c r="B407" s="31">
        <f>IF($A407="","",$I407+SUMIF(WeeklySummary!$B$2:$B$1000,$A407,WeeklySummary!$G$2:$G$1000))</f>
        <v/>
      </c>
      <c r="C407" s="31">
        <f>IF($B407="","",MIN(100,INT(SQRT($B407))))</f>
        <v/>
      </c>
      <c r="D407" s="31">
        <f>IF($C407="","",($C407+1)^2)</f>
        <v/>
      </c>
      <c r="E407" s="31">
        <f>IF($D407="","",$D407-$B407)</f>
        <v/>
      </c>
      <c r="F407" s="31">
        <f>IF($A407="","",SUMIF(MonthlySummary!$B$2:$B$1000,$A407,MonthlySummary!$E$2:$E$1000))</f>
        <v/>
      </c>
      <c r="G407" s="31" t="n">
        <v>0</v>
      </c>
      <c r="H407" s="31">
        <f>IF($A407="","",$F407-IF($G407="",0,$G407))</f>
        <v/>
      </c>
      <c r="I407" s="31">
        <f>IF($A407="","",IFERROR(XLOOKUP($A407,SeedPlacement!$A$2:$A$1000,SeedPlacement!$N$2:$N$1000),0))</f>
        <v/>
      </c>
      <c r="J407" s="59" t="n"/>
    </row>
    <row r="408">
      <c r="A408" s="31">
        <f>IF(Members!$A408="","",Members!$A408)</f>
        <v/>
      </c>
      <c r="B408" s="31">
        <f>IF($A408="","",$I408+SUMIF(WeeklySummary!$B$2:$B$1000,$A408,WeeklySummary!$G$2:$G$1000))</f>
        <v/>
      </c>
      <c r="C408" s="31">
        <f>IF($B408="","",MIN(100,INT(SQRT($B408))))</f>
        <v/>
      </c>
      <c r="D408" s="31">
        <f>IF($C408="","",($C408+1)^2)</f>
        <v/>
      </c>
      <c r="E408" s="31">
        <f>IF($D408="","",$D408-$B408)</f>
        <v/>
      </c>
      <c r="F408" s="31">
        <f>IF($A408="","",SUMIF(MonthlySummary!$B$2:$B$1000,$A408,MonthlySummary!$E$2:$E$1000))</f>
        <v/>
      </c>
      <c r="G408" s="31" t="n">
        <v>0</v>
      </c>
      <c r="H408" s="31">
        <f>IF($A408="","",$F408-IF($G408="",0,$G408))</f>
        <v/>
      </c>
      <c r="I408" s="31">
        <f>IF($A408="","",IFERROR(XLOOKUP($A408,SeedPlacement!$A$2:$A$1000,SeedPlacement!$N$2:$N$1000),0))</f>
        <v/>
      </c>
      <c r="J408" s="59" t="n"/>
    </row>
    <row r="409">
      <c r="A409" s="31">
        <f>IF(Members!$A409="","",Members!$A409)</f>
        <v/>
      </c>
      <c r="B409" s="31">
        <f>IF($A409="","",$I409+SUMIF(WeeklySummary!$B$2:$B$1000,$A409,WeeklySummary!$G$2:$G$1000))</f>
        <v/>
      </c>
      <c r="C409" s="31">
        <f>IF($B409="","",MIN(100,INT(SQRT($B409))))</f>
        <v/>
      </c>
      <c r="D409" s="31">
        <f>IF($C409="","",($C409+1)^2)</f>
        <v/>
      </c>
      <c r="E409" s="31">
        <f>IF($D409="","",$D409-$B409)</f>
        <v/>
      </c>
      <c r="F409" s="31">
        <f>IF($A409="","",SUMIF(MonthlySummary!$B$2:$B$1000,$A409,MonthlySummary!$E$2:$E$1000))</f>
        <v/>
      </c>
      <c r="G409" s="31" t="n">
        <v>0</v>
      </c>
      <c r="H409" s="31">
        <f>IF($A409="","",$F409-IF($G409="",0,$G409))</f>
        <v/>
      </c>
      <c r="I409" s="31">
        <f>IF($A409="","",IFERROR(XLOOKUP($A409,SeedPlacement!$A$2:$A$1000,SeedPlacement!$N$2:$N$1000),0))</f>
        <v/>
      </c>
      <c r="J409" s="59" t="n"/>
    </row>
    <row r="410">
      <c r="A410" s="31">
        <f>IF(Members!$A410="","",Members!$A410)</f>
        <v/>
      </c>
      <c r="B410" s="31">
        <f>IF($A410="","",$I410+SUMIF(WeeklySummary!$B$2:$B$1000,$A410,WeeklySummary!$G$2:$G$1000))</f>
        <v/>
      </c>
      <c r="C410" s="31">
        <f>IF($B410="","",MIN(100,INT(SQRT($B410))))</f>
        <v/>
      </c>
      <c r="D410" s="31">
        <f>IF($C410="","",($C410+1)^2)</f>
        <v/>
      </c>
      <c r="E410" s="31">
        <f>IF($D410="","",$D410-$B410)</f>
        <v/>
      </c>
      <c r="F410" s="31">
        <f>IF($A410="","",SUMIF(MonthlySummary!$B$2:$B$1000,$A410,MonthlySummary!$E$2:$E$1000))</f>
        <v/>
      </c>
      <c r="G410" s="31" t="n">
        <v>0</v>
      </c>
      <c r="H410" s="31">
        <f>IF($A410="","",$F410-IF($G410="",0,$G410))</f>
        <v/>
      </c>
      <c r="I410" s="31">
        <f>IF($A410="","",IFERROR(XLOOKUP($A410,SeedPlacement!$A$2:$A$1000,SeedPlacement!$N$2:$N$1000),0))</f>
        <v/>
      </c>
      <c r="J410" s="59" t="n"/>
    </row>
    <row r="411">
      <c r="A411" s="31">
        <f>IF(Members!$A411="","",Members!$A411)</f>
        <v/>
      </c>
      <c r="B411" s="31">
        <f>IF($A411="","",$I411+SUMIF(WeeklySummary!$B$2:$B$1000,$A411,WeeklySummary!$G$2:$G$1000))</f>
        <v/>
      </c>
      <c r="C411" s="31">
        <f>IF($B411="","",MIN(100,INT(SQRT($B411))))</f>
        <v/>
      </c>
      <c r="D411" s="31">
        <f>IF($C411="","",($C411+1)^2)</f>
        <v/>
      </c>
      <c r="E411" s="31">
        <f>IF($D411="","",$D411-$B411)</f>
        <v/>
      </c>
      <c r="F411" s="31">
        <f>IF($A411="","",SUMIF(MonthlySummary!$B$2:$B$1000,$A411,MonthlySummary!$E$2:$E$1000))</f>
        <v/>
      </c>
      <c r="G411" s="31" t="n">
        <v>0</v>
      </c>
      <c r="H411" s="31">
        <f>IF($A411="","",$F411-IF($G411="",0,$G411))</f>
        <v/>
      </c>
      <c r="I411" s="31">
        <f>IF($A411="","",IFERROR(XLOOKUP($A411,SeedPlacement!$A$2:$A$1000,SeedPlacement!$N$2:$N$1000),0))</f>
        <v/>
      </c>
      <c r="J411" s="59" t="n"/>
    </row>
    <row r="412">
      <c r="A412" s="31">
        <f>IF(Members!$A412="","",Members!$A412)</f>
        <v/>
      </c>
      <c r="B412" s="31">
        <f>IF($A412="","",$I412+SUMIF(WeeklySummary!$B$2:$B$1000,$A412,WeeklySummary!$G$2:$G$1000))</f>
        <v/>
      </c>
      <c r="C412" s="31">
        <f>IF($B412="","",MIN(100,INT(SQRT($B412))))</f>
        <v/>
      </c>
      <c r="D412" s="31">
        <f>IF($C412="","",($C412+1)^2)</f>
        <v/>
      </c>
      <c r="E412" s="31">
        <f>IF($D412="","",$D412-$B412)</f>
        <v/>
      </c>
      <c r="F412" s="31">
        <f>IF($A412="","",SUMIF(MonthlySummary!$B$2:$B$1000,$A412,MonthlySummary!$E$2:$E$1000))</f>
        <v/>
      </c>
      <c r="G412" s="31" t="n">
        <v>0</v>
      </c>
      <c r="H412" s="31">
        <f>IF($A412="","",$F412-IF($G412="",0,$G412))</f>
        <v/>
      </c>
      <c r="I412" s="31">
        <f>IF($A412="","",IFERROR(XLOOKUP($A412,SeedPlacement!$A$2:$A$1000,SeedPlacement!$N$2:$N$1000),0))</f>
        <v/>
      </c>
      <c r="J412" s="59" t="n"/>
    </row>
    <row r="413">
      <c r="A413" s="31">
        <f>IF(Members!$A413="","",Members!$A413)</f>
        <v/>
      </c>
      <c r="B413" s="31">
        <f>IF($A413="","",$I413+SUMIF(WeeklySummary!$B$2:$B$1000,$A413,WeeklySummary!$G$2:$G$1000))</f>
        <v/>
      </c>
      <c r="C413" s="31">
        <f>IF($B413="","",MIN(100,INT(SQRT($B413))))</f>
        <v/>
      </c>
      <c r="D413" s="31">
        <f>IF($C413="","",($C413+1)^2)</f>
        <v/>
      </c>
      <c r="E413" s="31">
        <f>IF($D413="","",$D413-$B413)</f>
        <v/>
      </c>
      <c r="F413" s="31">
        <f>IF($A413="","",SUMIF(MonthlySummary!$B$2:$B$1000,$A413,MonthlySummary!$E$2:$E$1000))</f>
        <v/>
      </c>
      <c r="G413" s="31" t="n">
        <v>0</v>
      </c>
      <c r="H413" s="31">
        <f>IF($A413="","",$F413-IF($G413="",0,$G413))</f>
        <v/>
      </c>
      <c r="I413" s="31">
        <f>IF($A413="","",IFERROR(XLOOKUP($A413,SeedPlacement!$A$2:$A$1000,SeedPlacement!$N$2:$N$1000),0))</f>
        <v/>
      </c>
      <c r="J413" s="59" t="n"/>
    </row>
    <row r="414">
      <c r="A414" s="31">
        <f>IF(Members!$A414="","",Members!$A414)</f>
        <v/>
      </c>
      <c r="B414" s="31">
        <f>IF($A414="","",$I414+SUMIF(WeeklySummary!$B$2:$B$1000,$A414,WeeklySummary!$G$2:$G$1000))</f>
        <v/>
      </c>
      <c r="C414" s="31">
        <f>IF($B414="","",MIN(100,INT(SQRT($B414))))</f>
        <v/>
      </c>
      <c r="D414" s="31">
        <f>IF($C414="","",($C414+1)^2)</f>
        <v/>
      </c>
      <c r="E414" s="31">
        <f>IF($D414="","",$D414-$B414)</f>
        <v/>
      </c>
      <c r="F414" s="31">
        <f>IF($A414="","",SUMIF(MonthlySummary!$B$2:$B$1000,$A414,MonthlySummary!$E$2:$E$1000))</f>
        <v/>
      </c>
      <c r="G414" s="31" t="n">
        <v>0</v>
      </c>
      <c r="H414" s="31">
        <f>IF($A414="","",$F414-IF($G414="",0,$G414))</f>
        <v/>
      </c>
      <c r="I414" s="31">
        <f>IF($A414="","",IFERROR(XLOOKUP($A414,SeedPlacement!$A$2:$A$1000,SeedPlacement!$N$2:$N$1000),0))</f>
        <v/>
      </c>
      <c r="J414" s="59" t="n"/>
    </row>
    <row r="415">
      <c r="A415" s="31">
        <f>IF(Members!$A415="","",Members!$A415)</f>
        <v/>
      </c>
      <c r="B415" s="31">
        <f>IF($A415="","",$I415+SUMIF(WeeklySummary!$B$2:$B$1000,$A415,WeeklySummary!$G$2:$G$1000))</f>
        <v/>
      </c>
      <c r="C415" s="31">
        <f>IF($B415="","",MIN(100,INT(SQRT($B415))))</f>
        <v/>
      </c>
      <c r="D415" s="31">
        <f>IF($C415="","",($C415+1)^2)</f>
        <v/>
      </c>
      <c r="E415" s="31">
        <f>IF($D415="","",$D415-$B415)</f>
        <v/>
      </c>
      <c r="F415" s="31">
        <f>IF($A415="","",SUMIF(MonthlySummary!$B$2:$B$1000,$A415,MonthlySummary!$E$2:$E$1000))</f>
        <v/>
      </c>
      <c r="G415" s="31" t="n">
        <v>0</v>
      </c>
      <c r="H415" s="31">
        <f>IF($A415="","",$F415-IF($G415="",0,$G415))</f>
        <v/>
      </c>
      <c r="I415" s="31">
        <f>IF($A415="","",IFERROR(XLOOKUP($A415,SeedPlacement!$A$2:$A$1000,SeedPlacement!$N$2:$N$1000),0))</f>
        <v/>
      </c>
      <c r="J415" s="59" t="n"/>
    </row>
    <row r="416">
      <c r="A416" s="31">
        <f>IF(Members!$A416="","",Members!$A416)</f>
        <v/>
      </c>
      <c r="B416" s="31">
        <f>IF($A416="","",$I416+SUMIF(WeeklySummary!$B$2:$B$1000,$A416,WeeklySummary!$G$2:$G$1000))</f>
        <v/>
      </c>
      <c r="C416" s="31">
        <f>IF($B416="","",MIN(100,INT(SQRT($B416))))</f>
        <v/>
      </c>
      <c r="D416" s="31">
        <f>IF($C416="","",($C416+1)^2)</f>
        <v/>
      </c>
      <c r="E416" s="31">
        <f>IF($D416="","",$D416-$B416)</f>
        <v/>
      </c>
      <c r="F416" s="31">
        <f>IF($A416="","",SUMIF(MonthlySummary!$B$2:$B$1000,$A416,MonthlySummary!$E$2:$E$1000))</f>
        <v/>
      </c>
      <c r="G416" s="31" t="n">
        <v>0</v>
      </c>
      <c r="H416" s="31">
        <f>IF($A416="","",$F416-IF($G416="",0,$G416))</f>
        <v/>
      </c>
      <c r="I416" s="31">
        <f>IF($A416="","",IFERROR(XLOOKUP($A416,SeedPlacement!$A$2:$A$1000,SeedPlacement!$N$2:$N$1000),0))</f>
        <v/>
      </c>
      <c r="J416" s="59" t="n"/>
    </row>
    <row r="417">
      <c r="A417" s="31">
        <f>IF(Members!$A417="","",Members!$A417)</f>
        <v/>
      </c>
      <c r="B417" s="31">
        <f>IF($A417="","",$I417+SUMIF(WeeklySummary!$B$2:$B$1000,$A417,WeeklySummary!$G$2:$G$1000))</f>
        <v/>
      </c>
      <c r="C417" s="31">
        <f>IF($B417="","",MIN(100,INT(SQRT($B417))))</f>
        <v/>
      </c>
      <c r="D417" s="31">
        <f>IF($C417="","",($C417+1)^2)</f>
        <v/>
      </c>
      <c r="E417" s="31">
        <f>IF($D417="","",$D417-$B417)</f>
        <v/>
      </c>
      <c r="F417" s="31">
        <f>IF($A417="","",SUMIF(MonthlySummary!$B$2:$B$1000,$A417,MonthlySummary!$E$2:$E$1000))</f>
        <v/>
      </c>
      <c r="G417" s="31" t="n">
        <v>0</v>
      </c>
      <c r="H417" s="31">
        <f>IF($A417="","",$F417-IF($G417="",0,$G417))</f>
        <v/>
      </c>
      <c r="I417" s="31">
        <f>IF($A417="","",IFERROR(XLOOKUP($A417,SeedPlacement!$A$2:$A$1000,SeedPlacement!$N$2:$N$1000),0))</f>
        <v/>
      </c>
      <c r="J417" s="59" t="n"/>
    </row>
    <row r="418">
      <c r="A418" s="31">
        <f>IF(Members!$A418="","",Members!$A418)</f>
        <v/>
      </c>
      <c r="B418" s="31">
        <f>IF($A418="","",$I418+SUMIF(WeeklySummary!$B$2:$B$1000,$A418,WeeklySummary!$G$2:$G$1000))</f>
        <v/>
      </c>
      <c r="C418" s="31">
        <f>IF($B418="","",MIN(100,INT(SQRT($B418))))</f>
        <v/>
      </c>
      <c r="D418" s="31">
        <f>IF($C418="","",($C418+1)^2)</f>
        <v/>
      </c>
      <c r="E418" s="31">
        <f>IF($D418="","",$D418-$B418)</f>
        <v/>
      </c>
      <c r="F418" s="31">
        <f>IF($A418="","",SUMIF(MonthlySummary!$B$2:$B$1000,$A418,MonthlySummary!$E$2:$E$1000))</f>
        <v/>
      </c>
      <c r="G418" s="31" t="n">
        <v>0</v>
      </c>
      <c r="H418" s="31">
        <f>IF($A418="","",$F418-IF($G418="",0,$G418))</f>
        <v/>
      </c>
      <c r="I418" s="31">
        <f>IF($A418="","",IFERROR(XLOOKUP($A418,SeedPlacement!$A$2:$A$1000,SeedPlacement!$N$2:$N$1000),0))</f>
        <v/>
      </c>
      <c r="J418" s="59" t="n"/>
    </row>
    <row r="419">
      <c r="A419" s="31">
        <f>IF(Members!$A419="","",Members!$A419)</f>
        <v/>
      </c>
      <c r="B419" s="31">
        <f>IF($A419="","",$I419+SUMIF(WeeklySummary!$B$2:$B$1000,$A419,WeeklySummary!$G$2:$G$1000))</f>
        <v/>
      </c>
      <c r="C419" s="31">
        <f>IF($B419="","",MIN(100,INT(SQRT($B419))))</f>
        <v/>
      </c>
      <c r="D419" s="31">
        <f>IF($C419="","",($C419+1)^2)</f>
        <v/>
      </c>
      <c r="E419" s="31">
        <f>IF($D419="","",$D419-$B419)</f>
        <v/>
      </c>
      <c r="F419" s="31">
        <f>IF($A419="","",SUMIF(MonthlySummary!$B$2:$B$1000,$A419,MonthlySummary!$E$2:$E$1000))</f>
        <v/>
      </c>
      <c r="G419" s="31" t="n">
        <v>0</v>
      </c>
      <c r="H419" s="31">
        <f>IF($A419="","",$F419-IF($G419="",0,$G419))</f>
        <v/>
      </c>
      <c r="I419" s="31">
        <f>IF($A419="","",IFERROR(XLOOKUP($A419,SeedPlacement!$A$2:$A$1000,SeedPlacement!$N$2:$N$1000),0))</f>
        <v/>
      </c>
      <c r="J419" s="59" t="n"/>
    </row>
    <row r="420">
      <c r="A420" s="31">
        <f>IF(Members!$A420="","",Members!$A420)</f>
        <v/>
      </c>
      <c r="B420" s="31">
        <f>IF($A420="","",$I420+SUMIF(WeeklySummary!$B$2:$B$1000,$A420,WeeklySummary!$G$2:$G$1000))</f>
        <v/>
      </c>
      <c r="C420" s="31">
        <f>IF($B420="","",MIN(100,INT(SQRT($B420))))</f>
        <v/>
      </c>
      <c r="D420" s="31">
        <f>IF($C420="","",($C420+1)^2)</f>
        <v/>
      </c>
      <c r="E420" s="31">
        <f>IF($D420="","",$D420-$B420)</f>
        <v/>
      </c>
      <c r="F420" s="31">
        <f>IF($A420="","",SUMIF(MonthlySummary!$B$2:$B$1000,$A420,MonthlySummary!$E$2:$E$1000))</f>
        <v/>
      </c>
      <c r="G420" s="31" t="n">
        <v>0</v>
      </c>
      <c r="H420" s="31">
        <f>IF($A420="","",$F420-IF($G420="",0,$G420))</f>
        <v/>
      </c>
      <c r="I420" s="31">
        <f>IF($A420="","",IFERROR(XLOOKUP($A420,SeedPlacement!$A$2:$A$1000,SeedPlacement!$N$2:$N$1000),0))</f>
        <v/>
      </c>
      <c r="J420" s="59" t="n"/>
    </row>
    <row r="421">
      <c r="A421" s="31">
        <f>IF(Members!$A421="","",Members!$A421)</f>
        <v/>
      </c>
      <c r="B421" s="31">
        <f>IF($A421="","",$I421+SUMIF(WeeklySummary!$B$2:$B$1000,$A421,WeeklySummary!$G$2:$G$1000))</f>
        <v/>
      </c>
      <c r="C421" s="31">
        <f>IF($B421="","",MIN(100,INT(SQRT($B421))))</f>
        <v/>
      </c>
      <c r="D421" s="31">
        <f>IF($C421="","",($C421+1)^2)</f>
        <v/>
      </c>
      <c r="E421" s="31">
        <f>IF($D421="","",$D421-$B421)</f>
        <v/>
      </c>
      <c r="F421" s="31">
        <f>IF($A421="","",SUMIF(MonthlySummary!$B$2:$B$1000,$A421,MonthlySummary!$E$2:$E$1000))</f>
        <v/>
      </c>
      <c r="G421" s="31" t="n">
        <v>0</v>
      </c>
      <c r="H421" s="31">
        <f>IF($A421="","",$F421-IF($G421="",0,$G421))</f>
        <v/>
      </c>
      <c r="I421" s="31">
        <f>IF($A421="","",IFERROR(XLOOKUP($A421,SeedPlacement!$A$2:$A$1000,SeedPlacement!$N$2:$N$1000),0))</f>
        <v/>
      </c>
      <c r="J421" s="59" t="n"/>
    </row>
    <row r="422">
      <c r="A422" s="31">
        <f>IF(Members!$A422="","",Members!$A422)</f>
        <v/>
      </c>
      <c r="B422" s="31">
        <f>IF($A422="","",$I422+SUMIF(WeeklySummary!$B$2:$B$1000,$A422,WeeklySummary!$G$2:$G$1000))</f>
        <v/>
      </c>
      <c r="C422" s="31">
        <f>IF($B422="","",MIN(100,INT(SQRT($B422))))</f>
        <v/>
      </c>
      <c r="D422" s="31">
        <f>IF($C422="","",($C422+1)^2)</f>
        <v/>
      </c>
      <c r="E422" s="31">
        <f>IF($D422="","",$D422-$B422)</f>
        <v/>
      </c>
      <c r="F422" s="31">
        <f>IF($A422="","",SUMIF(MonthlySummary!$B$2:$B$1000,$A422,MonthlySummary!$E$2:$E$1000))</f>
        <v/>
      </c>
      <c r="G422" s="31" t="n">
        <v>0</v>
      </c>
      <c r="H422" s="31">
        <f>IF($A422="","",$F422-IF($G422="",0,$G422))</f>
        <v/>
      </c>
      <c r="I422" s="31">
        <f>IF($A422="","",IFERROR(XLOOKUP($A422,SeedPlacement!$A$2:$A$1000,SeedPlacement!$N$2:$N$1000),0))</f>
        <v/>
      </c>
      <c r="J422" s="59" t="n"/>
    </row>
    <row r="423">
      <c r="A423" s="31">
        <f>IF(Members!$A423="","",Members!$A423)</f>
        <v/>
      </c>
      <c r="B423" s="31">
        <f>IF($A423="","",$I423+SUMIF(WeeklySummary!$B$2:$B$1000,$A423,WeeklySummary!$G$2:$G$1000))</f>
        <v/>
      </c>
      <c r="C423" s="31">
        <f>IF($B423="","",MIN(100,INT(SQRT($B423))))</f>
        <v/>
      </c>
      <c r="D423" s="31">
        <f>IF($C423="","",($C423+1)^2)</f>
        <v/>
      </c>
      <c r="E423" s="31">
        <f>IF($D423="","",$D423-$B423)</f>
        <v/>
      </c>
      <c r="F423" s="31">
        <f>IF($A423="","",SUMIF(MonthlySummary!$B$2:$B$1000,$A423,MonthlySummary!$E$2:$E$1000))</f>
        <v/>
      </c>
      <c r="G423" s="31" t="n">
        <v>0</v>
      </c>
      <c r="H423" s="31">
        <f>IF($A423="","",$F423-IF($G423="",0,$G423))</f>
        <v/>
      </c>
      <c r="I423" s="31">
        <f>IF($A423="","",IFERROR(XLOOKUP($A423,SeedPlacement!$A$2:$A$1000,SeedPlacement!$N$2:$N$1000),0))</f>
        <v/>
      </c>
      <c r="J423" s="59" t="n"/>
    </row>
    <row r="424">
      <c r="A424" s="31">
        <f>IF(Members!$A424="","",Members!$A424)</f>
        <v/>
      </c>
      <c r="B424" s="31">
        <f>IF($A424="","",$I424+SUMIF(WeeklySummary!$B$2:$B$1000,$A424,WeeklySummary!$G$2:$G$1000))</f>
        <v/>
      </c>
      <c r="C424" s="31">
        <f>IF($B424="","",MIN(100,INT(SQRT($B424))))</f>
        <v/>
      </c>
      <c r="D424" s="31">
        <f>IF($C424="","",($C424+1)^2)</f>
        <v/>
      </c>
      <c r="E424" s="31">
        <f>IF($D424="","",$D424-$B424)</f>
        <v/>
      </c>
      <c r="F424" s="31">
        <f>IF($A424="","",SUMIF(MonthlySummary!$B$2:$B$1000,$A424,MonthlySummary!$E$2:$E$1000))</f>
        <v/>
      </c>
      <c r="G424" s="31" t="n">
        <v>0</v>
      </c>
      <c r="H424" s="31">
        <f>IF($A424="","",$F424-IF($G424="",0,$G424))</f>
        <v/>
      </c>
      <c r="I424" s="31">
        <f>IF($A424="","",IFERROR(XLOOKUP($A424,SeedPlacement!$A$2:$A$1000,SeedPlacement!$N$2:$N$1000),0))</f>
        <v/>
      </c>
      <c r="J424" s="59" t="n"/>
    </row>
    <row r="425">
      <c r="A425" s="31">
        <f>IF(Members!$A425="","",Members!$A425)</f>
        <v/>
      </c>
      <c r="B425" s="31">
        <f>IF($A425="","",$I425+SUMIF(WeeklySummary!$B$2:$B$1000,$A425,WeeklySummary!$G$2:$G$1000))</f>
        <v/>
      </c>
      <c r="C425" s="31">
        <f>IF($B425="","",MIN(100,INT(SQRT($B425))))</f>
        <v/>
      </c>
      <c r="D425" s="31">
        <f>IF($C425="","",($C425+1)^2)</f>
        <v/>
      </c>
      <c r="E425" s="31">
        <f>IF($D425="","",$D425-$B425)</f>
        <v/>
      </c>
      <c r="F425" s="31">
        <f>IF($A425="","",SUMIF(MonthlySummary!$B$2:$B$1000,$A425,MonthlySummary!$E$2:$E$1000))</f>
        <v/>
      </c>
      <c r="G425" s="31" t="n">
        <v>0</v>
      </c>
      <c r="H425" s="31">
        <f>IF($A425="","",$F425-IF($G425="",0,$G425))</f>
        <v/>
      </c>
      <c r="I425" s="31">
        <f>IF($A425="","",IFERROR(XLOOKUP($A425,SeedPlacement!$A$2:$A$1000,SeedPlacement!$N$2:$N$1000),0))</f>
        <v/>
      </c>
      <c r="J425" s="59" t="n"/>
    </row>
    <row r="426">
      <c r="A426" s="31">
        <f>IF(Members!$A426="","",Members!$A426)</f>
        <v/>
      </c>
      <c r="B426" s="31">
        <f>IF($A426="","",$I426+SUMIF(WeeklySummary!$B$2:$B$1000,$A426,WeeklySummary!$G$2:$G$1000))</f>
        <v/>
      </c>
      <c r="C426" s="31">
        <f>IF($B426="","",MIN(100,INT(SQRT($B426))))</f>
        <v/>
      </c>
      <c r="D426" s="31">
        <f>IF($C426="","",($C426+1)^2)</f>
        <v/>
      </c>
      <c r="E426" s="31">
        <f>IF($D426="","",$D426-$B426)</f>
        <v/>
      </c>
      <c r="F426" s="31">
        <f>IF($A426="","",SUMIF(MonthlySummary!$B$2:$B$1000,$A426,MonthlySummary!$E$2:$E$1000))</f>
        <v/>
      </c>
      <c r="G426" s="31" t="n">
        <v>0</v>
      </c>
      <c r="H426" s="31">
        <f>IF($A426="","",$F426-IF($G426="",0,$G426))</f>
        <v/>
      </c>
      <c r="I426" s="31">
        <f>IF($A426="","",IFERROR(XLOOKUP($A426,SeedPlacement!$A$2:$A$1000,SeedPlacement!$N$2:$N$1000),0))</f>
        <v/>
      </c>
      <c r="J426" s="59" t="n"/>
    </row>
    <row r="427">
      <c r="A427" s="31">
        <f>IF(Members!$A427="","",Members!$A427)</f>
        <v/>
      </c>
      <c r="B427" s="31">
        <f>IF($A427="","",$I427+SUMIF(WeeklySummary!$B$2:$B$1000,$A427,WeeklySummary!$G$2:$G$1000))</f>
        <v/>
      </c>
      <c r="C427" s="31">
        <f>IF($B427="","",MIN(100,INT(SQRT($B427))))</f>
        <v/>
      </c>
      <c r="D427" s="31">
        <f>IF($C427="","",($C427+1)^2)</f>
        <v/>
      </c>
      <c r="E427" s="31">
        <f>IF($D427="","",$D427-$B427)</f>
        <v/>
      </c>
      <c r="F427" s="31">
        <f>IF($A427="","",SUMIF(MonthlySummary!$B$2:$B$1000,$A427,MonthlySummary!$E$2:$E$1000))</f>
        <v/>
      </c>
      <c r="G427" s="31" t="n">
        <v>0</v>
      </c>
      <c r="H427" s="31">
        <f>IF($A427="","",$F427-IF($G427="",0,$G427))</f>
        <v/>
      </c>
      <c r="I427" s="31">
        <f>IF($A427="","",IFERROR(XLOOKUP($A427,SeedPlacement!$A$2:$A$1000,SeedPlacement!$N$2:$N$1000),0))</f>
        <v/>
      </c>
      <c r="J427" s="59" t="n"/>
    </row>
    <row r="428">
      <c r="A428" s="31">
        <f>IF(Members!$A428="","",Members!$A428)</f>
        <v/>
      </c>
      <c r="B428" s="31">
        <f>IF($A428="","",$I428+SUMIF(WeeklySummary!$B$2:$B$1000,$A428,WeeklySummary!$G$2:$G$1000))</f>
        <v/>
      </c>
      <c r="C428" s="31">
        <f>IF($B428="","",MIN(100,INT(SQRT($B428))))</f>
        <v/>
      </c>
      <c r="D428" s="31">
        <f>IF($C428="","",($C428+1)^2)</f>
        <v/>
      </c>
      <c r="E428" s="31">
        <f>IF($D428="","",$D428-$B428)</f>
        <v/>
      </c>
      <c r="F428" s="31">
        <f>IF($A428="","",SUMIF(MonthlySummary!$B$2:$B$1000,$A428,MonthlySummary!$E$2:$E$1000))</f>
        <v/>
      </c>
      <c r="G428" s="31" t="n">
        <v>0</v>
      </c>
      <c r="H428" s="31">
        <f>IF($A428="","",$F428-IF($G428="",0,$G428))</f>
        <v/>
      </c>
      <c r="I428" s="31">
        <f>IF($A428="","",IFERROR(XLOOKUP($A428,SeedPlacement!$A$2:$A$1000,SeedPlacement!$N$2:$N$1000),0))</f>
        <v/>
      </c>
      <c r="J428" s="59" t="n"/>
    </row>
    <row r="429">
      <c r="A429" s="31">
        <f>IF(Members!$A429="","",Members!$A429)</f>
        <v/>
      </c>
      <c r="B429" s="31">
        <f>IF($A429="","",$I429+SUMIF(WeeklySummary!$B$2:$B$1000,$A429,WeeklySummary!$G$2:$G$1000))</f>
        <v/>
      </c>
      <c r="C429" s="31">
        <f>IF($B429="","",MIN(100,INT(SQRT($B429))))</f>
        <v/>
      </c>
      <c r="D429" s="31">
        <f>IF($C429="","",($C429+1)^2)</f>
        <v/>
      </c>
      <c r="E429" s="31">
        <f>IF($D429="","",$D429-$B429)</f>
        <v/>
      </c>
      <c r="F429" s="31">
        <f>IF($A429="","",SUMIF(MonthlySummary!$B$2:$B$1000,$A429,MonthlySummary!$E$2:$E$1000))</f>
        <v/>
      </c>
      <c r="G429" s="31" t="n">
        <v>0</v>
      </c>
      <c r="H429" s="31">
        <f>IF($A429="","",$F429-IF($G429="",0,$G429))</f>
        <v/>
      </c>
      <c r="I429" s="31">
        <f>IF($A429="","",IFERROR(XLOOKUP($A429,SeedPlacement!$A$2:$A$1000,SeedPlacement!$N$2:$N$1000),0))</f>
        <v/>
      </c>
      <c r="J429" s="59" t="n"/>
    </row>
    <row r="430">
      <c r="A430" s="31">
        <f>IF(Members!$A430="","",Members!$A430)</f>
        <v/>
      </c>
      <c r="B430" s="31">
        <f>IF($A430="","",$I430+SUMIF(WeeklySummary!$B$2:$B$1000,$A430,WeeklySummary!$G$2:$G$1000))</f>
        <v/>
      </c>
      <c r="C430" s="31">
        <f>IF($B430="","",MIN(100,INT(SQRT($B430))))</f>
        <v/>
      </c>
      <c r="D430" s="31">
        <f>IF($C430="","",($C430+1)^2)</f>
        <v/>
      </c>
      <c r="E430" s="31">
        <f>IF($D430="","",$D430-$B430)</f>
        <v/>
      </c>
      <c r="F430" s="31">
        <f>IF($A430="","",SUMIF(MonthlySummary!$B$2:$B$1000,$A430,MonthlySummary!$E$2:$E$1000))</f>
        <v/>
      </c>
      <c r="G430" s="31" t="n">
        <v>0</v>
      </c>
      <c r="H430" s="31">
        <f>IF($A430="","",$F430-IF($G430="",0,$G430))</f>
        <v/>
      </c>
      <c r="I430" s="31">
        <f>IF($A430="","",IFERROR(XLOOKUP($A430,SeedPlacement!$A$2:$A$1000,SeedPlacement!$N$2:$N$1000),0))</f>
        <v/>
      </c>
      <c r="J430" s="59" t="n"/>
    </row>
    <row r="431">
      <c r="A431" s="31">
        <f>IF(Members!$A431="","",Members!$A431)</f>
        <v/>
      </c>
      <c r="B431" s="31">
        <f>IF($A431="","",$I431+SUMIF(WeeklySummary!$B$2:$B$1000,$A431,WeeklySummary!$G$2:$G$1000))</f>
        <v/>
      </c>
      <c r="C431" s="31">
        <f>IF($B431="","",MIN(100,INT(SQRT($B431))))</f>
        <v/>
      </c>
      <c r="D431" s="31">
        <f>IF($C431="","",($C431+1)^2)</f>
        <v/>
      </c>
      <c r="E431" s="31">
        <f>IF($D431="","",$D431-$B431)</f>
        <v/>
      </c>
      <c r="F431" s="31">
        <f>IF($A431="","",SUMIF(MonthlySummary!$B$2:$B$1000,$A431,MonthlySummary!$E$2:$E$1000))</f>
        <v/>
      </c>
      <c r="G431" s="31" t="n">
        <v>0</v>
      </c>
      <c r="H431" s="31">
        <f>IF($A431="","",$F431-IF($G431="",0,$G431))</f>
        <v/>
      </c>
      <c r="I431" s="31">
        <f>IF($A431="","",IFERROR(XLOOKUP($A431,SeedPlacement!$A$2:$A$1000,SeedPlacement!$N$2:$N$1000),0))</f>
        <v/>
      </c>
      <c r="J431" s="59" t="n"/>
    </row>
    <row r="432">
      <c r="A432" s="31">
        <f>IF(Members!$A432="","",Members!$A432)</f>
        <v/>
      </c>
      <c r="B432" s="31">
        <f>IF($A432="","",$I432+SUMIF(WeeklySummary!$B$2:$B$1000,$A432,WeeklySummary!$G$2:$G$1000))</f>
        <v/>
      </c>
      <c r="C432" s="31">
        <f>IF($B432="","",MIN(100,INT(SQRT($B432))))</f>
        <v/>
      </c>
      <c r="D432" s="31">
        <f>IF($C432="","",($C432+1)^2)</f>
        <v/>
      </c>
      <c r="E432" s="31">
        <f>IF($D432="","",$D432-$B432)</f>
        <v/>
      </c>
      <c r="F432" s="31">
        <f>IF($A432="","",SUMIF(MonthlySummary!$B$2:$B$1000,$A432,MonthlySummary!$E$2:$E$1000))</f>
        <v/>
      </c>
      <c r="G432" s="31" t="n">
        <v>0</v>
      </c>
      <c r="H432" s="31">
        <f>IF($A432="","",$F432-IF($G432="",0,$G432))</f>
        <v/>
      </c>
      <c r="I432" s="31">
        <f>IF($A432="","",IFERROR(XLOOKUP($A432,SeedPlacement!$A$2:$A$1000,SeedPlacement!$N$2:$N$1000),0))</f>
        <v/>
      </c>
      <c r="J432" s="59" t="n"/>
    </row>
    <row r="433">
      <c r="A433" s="31">
        <f>IF(Members!$A433="","",Members!$A433)</f>
        <v/>
      </c>
      <c r="B433" s="31">
        <f>IF($A433="","",$I433+SUMIF(WeeklySummary!$B$2:$B$1000,$A433,WeeklySummary!$G$2:$G$1000))</f>
        <v/>
      </c>
      <c r="C433" s="31">
        <f>IF($B433="","",MIN(100,INT(SQRT($B433))))</f>
        <v/>
      </c>
      <c r="D433" s="31">
        <f>IF($C433="","",($C433+1)^2)</f>
        <v/>
      </c>
      <c r="E433" s="31">
        <f>IF($D433="","",$D433-$B433)</f>
        <v/>
      </c>
      <c r="F433" s="31">
        <f>IF($A433="","",SUMIF(MonthlySummary!$B$2:$B$1000,$A433,MonthlySummary!$E$2:$E$1000))</f>
        <v/>
      </c>
      <c r="G433" s="31" t="n">
        <v>0</v>
      </c>
      <c r="H433" s="31">
        <f>IF($A433="","",$F433-IF($G433="",0,$G433))</f>
        <v/>
      </c>
      <c r="I433" s="31">
        <f>IF($A433="","",IFERROR(XLOOKUP($A433,SeedPlacement!$A$2:$A$1000,SeedPlacement!$N$2:$N$1000),0))</f>
        <v/>
      </c>
      <c r="J433" s="59" t="n"/>
    </row>
    <row r="434">
      <c r="A434" s="31">
        <f>IF(Members!$A434="","",Members!$A434)</f>
        <v/>
      </c>
      <c r="B434" s="31">
        <f>IF($A434="","",$I434+SUMIF(WeeklySummary!$B$2:$B$1000,$A434,WeeklySummary!$G$2:$G$1000))</f>
        <v/>
      </c>
      <c r="C434" s="31">
        <f>IF($B434="","",MIN(100,INT(SQRT($B434))))</f>
        <v/>
      </c>
      <c r="D434" s="31">
        <f>IF($C434="","",($C434+1)^2)</f>
        <v/>
      </c>
      <c r="E434" s="31">
        <f>IF($D434="","",$D434-$B434)</f>
        <v/>
      </c>
      <c r="F434" s="31">
        <f>IF($A434="","",SUMIF(MonthlySummary!$B$2:$B$1000,$A434,MonthlySummary!$E$2:$E$1000))</f>
        <v/>
      </c>
      <c r="G434" s="31" t="n">
        <v>0</v>
      </c>
      <c r="H434" s="31">
        <f>IF($A434="","",$F434-IF($G434="",0,$G434))</f>
        <v/>
      </c>
      <c r="I434" s="31">
        <f>IF($A434="","",IFERROR(XLOOKUP($A434,SeedPlacement!$A$2:$A$1000,SeedPlacement!$N$2:$N$1000),0))</f>
        <v/>
      </c>
      <c r="J434" s="59" t="n"/>
    </row>
    <row r="435">
      <c r="A435" s="31">
        <f>IF(Members!$A435="","",Members!$A435)</f>
        <v/>
      </c>
      <c r="B435" s="31">
        <f>IF($A435="","",$I435+SUMIF(WeeklySummary!$B$2:$B$1000,$A435,WeeklySummary!$G$2:$G$1000))</f>
        <v/>
      </c>
      <c r="C435" s="31">
        <f>IF($B435="","",MIN(100,INT(SQRT($B435))))</f>
        <v/>
      </c>
      <c r="D435" s="31">
        <f>IF($C435="","",($C435+1)^2)</f>
        <v/>
      </c>
      <c r="E435" s="31">
        <f>IF($D435="","",$D435-$B435)</f>
        <v/>
      </c>
      <c r="F435" s="31">
        <f>IF($A435="","",SUMIF(MonthlySummary!$B$2:$B$1000,$A435,MonthlySummary!$E$2:$E$1000))</f>
        <v/>
      </c>
      <c r="G435" s="31" t="n">
        <v>0</v>
      </c>
      <c r="H435" s="31">
        <f>IF($A435="","",$F435-IF($G435="",0,$G435))</f>
        <v/>
      </c>
      <c r="I435" s="31">
        <f>IF($A435="","",IFERROR(XLOOKUP($A435,SeedPlacement!$A$2:$A$1000,SeedPlacement!$N$2:$N$1000),0))</f>
        <v/>
      </c>
      <c r="J435" s="59" t="n"/>
    </row>
    <row r="436">
      <c r="A436" s="31">
        <f>IF(Members!$A436="","",Members!$A436)</f>
        <v/>
      </c>
      <c r="B436" s="31">
        <f>IF($A436="","",$I436+SUMIF(WeeklySummary!$B$2:$B$1000,$A436,WeeklySummary!$G$2:$G$1000))</f>
        <v/>
      </c>
      <c r="C436" s="31">
        <f>IF($B436="","",MIN(100,INT(SQRT($B436))))</f>
        <v/>
      </c>
      <c r="D436" s="31">
        <f>IF($C436="","",($C436+1)^2)</f>
        <v/>
      </c>
      <c r="E436" s="31">
        <f>IF($D436="","",$D436-$B436)</f>
        <v/>
      </c>
      <c r="F436" s="31">
        <f>IF($A436="","",SUMIF(MonthlySummary!$B$2:$B$1000,$A436,MonthlySummary!$E$2:$E$1000))</f>
        <v/>
      </c>
      <c r="G436" s="31" t="n">
        <v>0</v>
      </c>
      <c r="H436" s="31">
        <f>IF($A436="","",$F436-IF($G436="",0,$G436))</f>
        <v/>
      </c>
      <c r="I436" s="31">
        <f>IF($A436="","",IFERROR(XLOOKUP($A436,SeedPlacement!$A$2:$A$1000,SeedPlacement!$N$2:$N$1000),0))</f>
        <v/>
      </c>
      <c r="J436" s="59" t="n"/>
    </row>
    <row r="437">
      <c r="A437" s="31">
        <f>IF(Members!$A437="","",Members!$A437)</f>
        <v/>
      </c>
      <c r="B437" s="31">
        <f>IF($A437="","",$I437+SUMIF(WeeklySummary!$B$2:$B$1000,$A437,WeeklySummary!$G$2:$G$1000))</f>
        <v/>
      </c>
      <c r="C437" s="31">
        <f>IF($B437="","",MIN(100,INT(SQRT($B437))))</f>
        <v/>
      </c>
      <c r="D437" s="31">
        <f>IF($C437="","",($C437+1)^2)</f>
        <v/>
      </c>
      <c r="E437" s="31">
        <f>IF($D437="","",$D437-$B437)</f>
        <v/>
      </c>
      <c r="F437" s="31">
        <f>IF($A437="","",SUMIF(MonthlySummary!$B$2:$B$1000,$A437,MonthlySummary!$E$2:$E$1000))</f>
        <v/>
      </c>
      <c r="G437" s="31" t="n">
        <v>0</v>
      </c>
      <c r="H437" s="31">
        <f>IF($A437="","",$F437-IF($G437="",0,$G437))</f>
        <v/>
      </c>
      <c r="I437" s="31">
        <f>IF($A437="","",IFERROR(XLOOKUP($A437,SeedPlacement!$A$2:$A$1000,SeedPlacement!$N$2:$N$1000),0))</f>
        <v/>
      </c>
      <c r="J437" s="59" t="n"/>
    </row>
    <row r="438">
      <c r="A438" s="31">
        <f>IF(Members!$A438="","",Members!$A438)</f>
        <v/>
      </c>
      <c r="B438" s="31">
        <f>IF($A438="","",$I438+SUMIF(WeeklySummary!$B$2:$B$1000,$A438,WeeklySummary!$G$2:$G$1000))</f>
        <v/>
      </c>
      <c r="C438" s="31">
        <f>IF($B438="","",MIN(100,INT(SQRT($B438))))</f>
        <v/>
      </c>
      <c r="D438" s="31">
        <f>IF($C438="","",($C438+1)^2)</f>
        <v/>
      </c>
      <c r="E438" s="31">
        <f>IF($D438="","",$D438-$B438)</f>
        <v/>
      </c>
      <c r="F438" s="31">
        <f>IF($A438="","",SUMIF(MonthlySummary!$B$2:$B$1000,$A438,MonthlySummary!$E$2:$E$1000))</f>
        <v/>
      </c>
      <c r="G438" s="31" t="n">
        <v>0</v>
      </c>
      <c r="H438" s="31">
        <f>IF($A438="","",$F438-IF($G438="",0,$G438))</f>
        <v/>
      </c>
      <c r="I438" s="31">
        <f>IF($A438="","",IFERROR(XLOOKUP($A438,SeedPlacement!$A$2:$A$1000,SeedPlacement!$N$2:$N$1000),0))</f>
        <v/>
      </c>
      <c r="J438" s="59" t="n"/>
    </row>
    <row r="439">
      <c r="A439" s="31">
        <f>IF(Members!$A439="","",Members!$A439)</f>
        <v/>
      </c>
      <c r="B439" s="31">
        <f>IF($A439="","",$I439+SUMIF(WeeklySummary!$B$2:$B$1000,$A439,WeeklySummary!$G$2:$G$1000))</f>
        <v/>
      </c>
      <c r="C439" s="31">
        <f>IF($B439="","",MIN(100,INT(SQRT($B439))))</f>
        <v/>
      </c>
      <c r="D439" s="31">
        <f>IF($C439="","",($C439+1)^2)</f>
        <v/>
      </c>
      <c r="E439" s="31">
        <f>IF($D439="","",$D439-$B439)</f>
        <v/>
      </c>
      <c r="F439" s="31">
        <f>IF($A439="","",SUMIF(MonthlySummary!$B$2:$B$1000,$A439,MonthlySummary!$E$2:$E$1000))</f>
        <v/>
      </c>
      <c r="G439" s="31" t="n">
        <v>0</v>
      </c>
      <c r="H439" s="31">
        <f>IF($A439="","",$F439-IF($G439="",0,$G439))</f>
        <v/>
      </c>
      <c r="I439" s="31">
        <f>IF($A439="","",IFERROR(XLOOKUP($A439,SeedPlacement!$A$2:$A$1000,SeedPlacement!$N$2:$N$1000),0))</f>
        <v/>
      </c>
      <c r="J439" s="59" t="n"/>
    </row>
    <row r="440">
      <c r="A440" s="31">
        <f>IF(Members!$A440="","",Members!$A440)</f>
        <v/>
      </c>
      <c r="B440" s="31">
        <f>IF($A440="","",$I440+SUMIF(WeeklySummary!$B$2:$B$1000,$A440,WeeklySummary!$G$2:$G$1000))</f>
        <v/>
      </c>
      <c r="C440" s="31">
        <f>IF($B440="","",MIN(100,INT(SQRT($B440))))</f>
        <v/>
      </c>
      <c r="D440" s="31">
        <f>IF($C440="","",($C440+1)^2)</f>
        <v/>
      </c>
      <c r="E440" s="31">
        <f>IF($D440="","",$D440-$B440)</f>
        <v/>
      </c>
      <c r="F440" s="31">
        <f>IF($A440="","",SUMIF(MonthlySummary!$B$2:$B$1000,$A440,MonthlySummary!$E$2:$E$1000))</f>
        <v/>
      </c>
      <c r="G440" s="31" t="n">
        <v>0</v>
      </c>
      <c r="H440" s="31">
        <f>IF($A440="","",$F440-IF($G440="",0,$G440))</f>
        <v/>
      </c>
      <c r="I440" s="31">
        <f>IF($A440="","",IFERROR(XLOOKUP($A440,SeedPlacement!$A$2:$A$1000,SeedPlacement!$N$2:$N$1000),0))</f>
        <v/>
      </c>
      <c r="J440" s="59" t="n"/>
    </row>
    <row r="441">
      <c r="A441" s="31">
        <f>IF(Members!$A441="","",Members!$A441)</f>
        <v/>
      </c>
      <c r="B441" s="31">
        <f>IF($A441="","",$I441+SUMIF(WeeklySummary!$B$2:$B$1000,$A441,WeeklySummary!$G$2:$G$1000))</f>
        <v/>
      </c>
      <c r="C441" s="31">
        <f>IF($B441="","",MIN(100,INT(SQRT($B441))))</f>
        <v/>
      </c>
      <c r="D441" s="31">
        <f>IF($C441="","",($C441+1)^2)</f>
        <v/>
      </c>
      <c r="E441" s="31">
        <f>IF($D441="","",$D441-$B441)</f>
        <v/>
      </c>
      <c r="F441" s="31">
        <f>IF($A441="","",SUMIF(MonthlySummary!$B$2:$B$1000,$A441,MonthlySummary!$E$2:$E$1000))</f>
        <v/>
      </c>
      <c r="G441" s="31" t="n">
        <v>0</v>
      </c>
      <c r="H441" s="31">
        <f>IF($A441="","",$F441-IF($G441="",0,$G441))</f>
        <v/>
      </c>
      <c r="I441" s="31">
        <f>IF($A441="","",IFERROR(XLOOKUP($A441,SeedPlacement!$A$2:$A$1000,SeedPlacement!$N$2:$N$1000),0))</f>
        <v/>
      </c>
      <c r="J441" s="59" t="n"/>
    </row>
    <row r="442">
      <c r="A442" s="31">
        <f>IF(Members!$A442="","",Members!$A442)</f>
        <v/>
      </c>
      <c r="B442" s="31">
        <f>IF($A442="","",$I442+SUMIF(WeeklySummary!$B$2:$B$1000,$A442,WeeklySummary!$G$2:$G$1000))</f>
        <v/>
      </c>
      <c r="C442" s="31">
        <f>IF($B442="","",MIN(100,INT(SQRT($B442))))</f>
        <v/>
      </c>
      <c r="D442" s="31">
        <f>IF($C442="","",($C442+1)^2)</f>
        <v/>
      </c>
      <c r="E442" s="31">
        <f>IF($D442="","",$D442-$B442)</f>
        <v/>
      </c>
      <c r="F442" s="31">
        <f>IF($A442="","",SUMIF(MonthlySummary!$B$2:$B$1000,$A442,MonthlySummary!$E$2:$E$1000))</f>
        <v/>
      </c>
      <c r="G442" s="31" t="n">
        <v>0</v>
      </c>
      <c r="H442" s="31">
        <f>IF($A442="","",$F442-IF($G442="",0,$G442))</f>
        <v/>
      </c>
      <c r="I442" s="31">
        <f>IF($A442="","",IFERROR(XLOOKUP($A442,SeedPlacement!$A$2:$A$1000,SeedPlacement!$N$2:$N$1000),0))</f>
        <v/>
      </c>
      <c r="J442" s="59" t="n"/>
    </row>
    <row r="443">
      <c r="A443" s="31">
        <f>IF(Members!$A443="","",Members!$A443)</f>
        <v/>
      </c>
      <c r="B443" s="31">
        <f>IF($A443="","",$I443+SUMIF(WeeklySummary!$B$2:$B$1000,$A443,WeeklySummary!$G$2:$G$1000))</f>
        <v/>
      </c>
      <c r="C443" s="31">
        <f>IF($B443="","",MIN(100,INT(SQRT($B443))))</f>
        <v/>
      </c>
      <c r="D443" s="31">
        <f>IF($C443="","",($C443+1)^2)</f>
        <v/>
      </c>
      <c r="E443" s="31">
        <f>IF($D443="","",$D443-$B443)</f>
        <v/>
      </c>
      <c r="F443" s="31">
        <f>IF($A443="","",SUMIF(MonthlySummary!$B$2:$B$1000,$A443,MonthlySummary!$E$2:$E$1000))</f>
        <v/>
      </c>
      <c r="G443" s="31" t="n">
        <v>0</v>
      </c>
      <c r="H443" s="31">
        <f>IF($A443="","",$F443-IF($G443="",0,$G443))</f>
        <v/>
      </c>
      <c r="I443" s="31">
        <f>IF($A443="","",IFERROR(XLOOKUP($A443,SeedPlacement!$A$2:$A$1000,SeedPlacement!$N$2:$N$1000),0))</f>
        <v/>
      </c>
      <c r="J443" s="59" t="n"/>
    </row>
    <row r="444">
      <c r="A444" s="31">
        <f>IF(Members!$A444="","",Members!$A444)</f>
        <v/>
      </c>
      <c r="B444" s="31">
        <f>IF($A444="","",$I444+SUMIF(WeeklySummary!$B$2:$B$1000,$A444,WeeklySummary!$G$2:$G$1000))</f>
        <v/>
      </c>
      <c r="C444" s="31">
        <f>IF($B444="","",MIN(100,INT(SQRT($B444))))</f>
        <v/>
      </c>
      <c r="D444" s="31">
        <f>IF($C444="","",($C444+1)^2)</f>
        <v/>
      </c>
      <c r="E444" s="31">
        <f>IF($D444="","",$D444-$B444)</f>
        <v/>
      </c>
      <c r="F444" s="31">
        <f>IF($A444="","",SUMIF(MonthlySummary!$B$2:$B$1000,$A444,MonthlySummary!$E$2:$E$1000))</f>
        <v/>
      </c>
      <c r="G444" s="31" t="n">
        <v>0</v>
      </c>
      <c r="H444" s="31">
        <f>IF($A444="","",$F444-IF($G444="",0,$G444))</f>
        <v/>
      </c>
      <c r="I444" s="31">
        <f>IF($A444="","",IFERROR(XLOOKUP($A444,SeedPlacement!$A$2:$A$1000,SeedPlacement!$N$2:$N$1000),0))</f>
        <v/>
      </c>
      <c r="J444" s="59" t="n"/>
    </row>
    <row r="445">
      <c r="A445" s="31">
        <f>IF(Members!$A445="","",Members!$A445)</f>
        <v/>
      </c>
      <c r="B445" s="31">
        <f>IF($A445="","",$I445+SUMIF(WeeklySummary!$B$2:$B$1000,$A445,WeeklySummary!$G$2:$G$1000))</f>
        <v/>
      </c>
      <c r="C445" s="31">
        <f>IF($B445="","",MIN(100,INT(SQRT($B445))))</f>
        <v/>
      </c>
      <c r="D445" s="31">
        <f>IF($C445="","",($C445+1)^2)</f>
        <v/>
      </c>
      <c r="E445" s="31">
        <f>IF($D445="","",$D445-$B445)</f>
        <v/>
      </c>
      <c r="F445" s="31">
        <f>IF($A445="","",SUMIF(MonthlySummary!$B$2:$B$1000,$A445,MonthlySummary!$E$2:$E$1000))</f>
        <v/>
      </c>
      <c r="G445" s="31" t="n">
        <v>0</v>
      </c>
      <c r="H445" s="31">
        <f>IF($A445="","",$F445-IF($G445="",0,$G445))</f>
        <v/>
      </c>
      <c r="I445" s="31">
        <f>IF($A445="","",IFERROR(XLOOKUP($A445,SeedPlacement!$A$2:$A$1000,SeedPlacement!$N$2:$N$1000),0))</f>
        <v/>
      </c>
      <c r="J445" s="59" t="n"/>
    </row>
    <row r="446">
      <c r="A446" s="31">
        <f>IF(Members!$A446="","",Members!$A446)</f>
        <v/>
      </c>
      <c r="B446" s="31">
        <f>IF($A446="","",$I446+SUMIF(WeeklySummary!$B$2:$B$1000,$A446,WeeklySummary!$G$2:$G$1000))</f>
        <v/>
      </c>
      <c r="C446" s="31">
        <f>IF($B446="","",MIN(100,INT(SQRT($B446))))</f>
        <v/>
      </c>
      <c r="D446" s="31">
        <f>IF($C446="","",($C446+1)^2)</f>
        <v/>
      </c>
      <c r="E446" s="31">
        <f>IF($D446="","",$D446-$B446)</f>
        <v/>
      </c>
      <c r="F446" s="31">
        <f>IF($A446="","",SUMIF(MonthlySummary!$B$2:$B$1000,$A446,MonthlySummary!$E$2:$E$1000))</f>
        <v/>
      </c>
      <c r="G446" s="31" t="n">
        <v>0</v>
      </c>
      <c r="H446" s="31">
        <f>IF($A446="","",$F446-IF($G446="",0,$G446))</f>
        <v/>
      </c>
      <c r="I446" s="31">
        <f>IF($A446="","",IFERROR(XLOOKUP($A446,SeedPlacement!$A$2:$A$1000,SeedPlacement!$N$2:$N$1000),0))</f>
        <v/>
      </c>
      <c r="J446" s="59" t="n"/>
    </row>
    <row r="447">
      <c r="A447" s="31">
        <f>IF(Members!$A447="","",Members!$A447)</f>
        <v/>
      </c>
      <c r="B447" s="31">
        <f>IF($A447="","",$I447+SUMIF(WeeklySummary!$B$2:$B$1000,$A447,WeeklySummary!$G$2:$G$1000))</f>
        <v/>
      </c>
      <c r="C447" s="31">
        <f>IF($B447="","",MIN(100,INT(SQRT($B447))))</f>
        <v/>
      </c>
      <c r="D447" s="31">
        <f>IF($C447="","",($C447+1)^2)</f>
        <v/>
      </c>
      <c r="E447" s="31">
        <f>IF($D447="","",$D447-$B447)</f>
        <v/>
      </c>
      <c r="F447" s="31">
        <f>IF($A447="","",SUMIF(MonthlySummary!$B$2:$B$1000,$A447,MonthlySummary!$E$2:$E$1000))</f>
        <v/>
      </c>
      <c r="G447" s="31" t="n">
        <v>0</v>
      </c>
      <c r="H447" s="31">
        <f>IF($A447="","",$F447-IF($G447="",0,$G447))</f>
        <v/>
      </c>
      <c r="I447" s="31">
        <f>IF($A447="","",IFERROR(XLOOKUP($A447,SeedPlacement!$A$2:$A$1000,SeedPlacement!$N$2:$N$1000),0))</f>
        <v/>
      </c>
      <c r="J447" s="59" t="n"/>
    </row>
    <row r="448">
      <c r="A448" s="31">
        <f>IF(Members!$A448="","",Members!$A448)</f>
        <v/>
      </c>
      <c r="B448" s="31">
        <f>IF($A448="","",$I448+SUMIF(WeeklySummary!$B$2:$B$1000,$A448,WeeklySummary!$G$2:$G$1000))</f>
        <v/>
      </c>
      <c r="C448" s="31">
        <f>IF($B448="","",MIN(100,INT(SQRT($B448))))</f>
        <v/>
      </c>
      <c r="D448" s="31">
        <f>IF($C448="","",($C448+1)^2)</f>
        <v/>
      </c>
      <c r="E448" s="31">
        <f>IF($D448="","",$D448-$B448)</f>
        <v/>
      </c>
      <c r="F448" s="31">
        <f>IF($A448="","",SUMIF(MonthlySummary!$B$2:$B$1000,$A448,MonthlySummary!$E$2:$E$1000))</f>
        <v/>
      </c>
      <c r="G448" s="31" t="n">
        <v>0</v>
      </c>
      <c r="H448" s="31">
        <f>IF($A448="","",$F448-IF($G448="",0,$G448))</f>
        <v/>
      </c>
      <c r="I448" s="31">
        <f>IF($A448="","",IFERROR(XLOOKUP($A448,SeedPlacement!$A$2:$A$1000,SeedPlacement!$N$2:$N$1000),0))</f>
        <v/>
      </c>
      <c r="J448" s="59" t="n"/>
    </row>
    <row r="449">
      <c r="A449" s="31">
        <f>IF(Members!$A449="","",Members!$A449)</f>
        <v/>
      </c>
      <c r="B449" s="31">
        <f>IF($A449="","",$I449+SUMIF(WeeklySummary!$B$2:$B$1000,$A449,WeeklySummary!$G$2:$G$1000))</f>
        <v/>
      </c>
      <c r="C449" s="31">
        <f>IF($B449="","",MIN(100,INT(SQRT($B449))))</f>
        <v/>
      </c>
      <c r="D449" s="31">
        <f>IF($C449="","",($C449+1)^2)</f>
        <v/>
      </c>
      <c r="E449" s="31">
        <f>IF($D449="","",$D449-$B449)</f>
        <v/>
      </c>
      <c r="F449" s="31">
        <f>IF($A449="","",SUMIF(MonthlySummary!$B$2:$B$1000,$A449,MonthlySummary!$E$2:$E$1000))</f>
        <v/>
      </c>
      <c r="G449" s="31" t="n">
        <v>0</v>
      </c>
      <c r="H449" s="31">
        <f>IF($A449="","",$F449-IF($G449="",0,$G449))</f>
        <v/>
      </c>
      <c r="I449" s="31">
        <f>IF($A449="","",IFERROR(XLOOKUP($A449,SeedPlacement!$A$2:$A$1000,SeedPlacement!$N$2:$N$1000),0))</f>
        <v/>
      </c>
      <c r="J449" s="59" t="n"/>
    </row>
    <row r="450">
      <c r="A450" s="31">
        <f>IF(Members!$A450="","",Members!$A450)</f>
        <v/>
      </c>
      <c r="B450" s="31">
        <f>IF($A450="","",$I450+SUMIF(WeeklySummary!$B$2:$B$1000,$A450,WeeklySummary!$G$2:$G$1000))</f>
        <v/>
      </c>
      <c r="C450" s="31">
        <f>IF($B450="","",MIN(100,INT(SQRT($B450))))</f>
        <v/>
      </c>
      <c r="D450" s="31">
        <f>IF($C450="","",($C450+1)^2)</f>
        <v/>
      </c>
      <c r="E450" s="31">
        <f>IF($D450="","",$D450-$B450)</f>
        <v/>
      </c>
      <c r="F450" s="31">
        <f>IF($A450="","",SUMIF(MonthlySummary!$B$2:$B$1000,$A450,MonthlySummary!$E$2:$E$1000))</f>
        <v/>
      </c>
      <c r="G450" s="31" t="n">
        <v>0</v>
      </c>
      <c r="H450" s="31">
        <f>IF($A450="","",$F450-IF($G450="",0,$G450))</f>
        <v/>
      </c>
      <c r="I450" s="31">
        <f>IF($A450="","",IFERROR(XLOOKUP($A450,SeedPlacement!$A$2:$A$1000,SeedPlacement!$N$2:$N$1000),0))</f>
        <v/>
      </c>
      <c r="J450" s="59" t="n"/>
    </row>
    <row r="451">
      <c r="A451" s="31">
        <f>IF(Members!$A451="","",Members!$A451)</f>
        <v/>
      </c>
      <c r="B451" s="31">
        <f>IF($A451="","",$I451+SUMIF(WeeklySummary!$B$2:$B$1000,$A451,WeeklySummary!$G$2:$G$1000))</f>
        <v/>
      </c>
      <c r="C451" s="31">
        <f>IF($B451="","",MIN(100,INT(SQRT($B451))))</f>
        <v/>
      </c>
      <c r="D451" s="31">
        <f>IF($C451="","",($C451+1)^2)</f>
        <v/>
      </c>
      <c r="E451" s="31">
        <f>IF($D451="","",$D451-$B451)</f>
        <v/>
      </c>
      <c r="F451" s="31">
        <f>IF($A451="","",SUMIF(MonthlySummary!$B$2:$B$1000,$A451,MonthlySummary!$E$2:$E$1000))</f>
        <v/>
      </c>
      <c r="G451" s="31" t="n">
        <v>0</v>
      </c>
      <c r="H451" s="31">
        <f>IF($A451="","",$F451-IF($G451="",0,$G451))</f>
        <v/>
      </c>
      <c r="I451" s="31">
        <f>IF($A451="","",IFERROR(XLOOKUP($A451,SeedPlacement!$A$2:$A$1000,SeedPlacement!$N$2:$N$1000),0))</f>
        <v/>
      </c>
      <c r="J451" s="59" t="n"/>
    </row>
    <row r="452">
      <c r="A452" s="31">
        <f>IF(Members!$A452="","",Members!$A452)</f>
        <v/>
      </c>
      <c r="B452" s="31">
        <f>IF($A452="","",$I452+SUMIF(WeeklySummary!$B$2:$B$1000,$A452,WeeklySummary!$G$2:$G$1000))</f>
        <v/>
      </c>
      <c r="C452" s="31">
        <f>IF($B452="","",MIN(100,INT(SQRT($B452))))</f>
        <v/>
      </c>
      <c r="D452" s="31">
        <f>IF($C452="","",($C452+1)^2)</f>
        <v/>
      </c>
      <c r="E452" s="31">
        <f>IF($D452="","",$D452-$B452)</f>
        <v/>
      </c>
      <c r="F452" s="31">
        <f>IF($A452="","",SUMIF(MonthlySummary!$B$2:$B$1000,$A452,MonthlySummary!$E$2:$E$1000))</f>
        <v/>
      </c>
      <c r="G452" s="31" t="n">
        <v>0</v>
      </c>
      <c r="H452" s="31">
        <f>IF($A452="","",$F452-IF($G452="",0,$G452))</f>
        <v/>
      </c>
      <c r="I452" s="31">
        <f>IF($A452="","",IFERROR(XLOOKUP($A452,SeedPlacement!$A$2:$A$1000,SeedPlacement!$N$2:$N$1000),0))</f>
        <v/>
      </c>
      <c r="J452" s="59" t="n"/>
    </row>
    <row r="453">
      <c r="A453" s="31">
        <f>IF(Members!$A453="","",Members!$A453)</f>
        <v/>
      </c>
      <c r="B453" s="31">
        <f>IF($A453="","",$I453+SUMIF(WeeklySummary!$B$2:$B$1000,$A453,WeeklySummary!$G$2:$G$1000))</f>
        <v/>
      </c>
      <c r="C453" s="31">
        <f>IF($B453="","",MIN(100,INT(SQRT($B453))))</f>
        <v/>
      </c>
      <c r="D453" s="31">
        <f>IF($C453="","",($C453+1)^2)</f>
        <v/>
      </c>
      <c r="E453" s="31">
        <f>IF($D453="","",$D453-$B453)</f>
        <v/>
      </c>
      <c r="F453" s="31">
        <f>IF($A453="","",SUMIF(MonthlySummary!$B$2:$B$1000,$A453,MonthlySummary!$E$2:$E$1000))</f>
        <v/>
      </c>
      <c r="G453" s="31" t="n">
        <v>0</v>
      </c>
      <c r="H453" s="31">
        <f>IF($A453="","",$F453-IF($G453="",0,$G453))</f>
        <v/>
      </c>
      <c r="I453" s="31">
        <f>IF($A453="","",IFERROR(XLOOKUP($A453,SeedPlacement!$A$2:$A$1000,SeedPlacement!$N$2:$N$1000),0))</f>
        <v/>
      </c>
      <c r="J453" s="59" t="n"/>
    </row>
    <row r="454">
      <c r="A454" s="31">
        <f>IF(Members!$A454="","",Members!$A454)</f>
        <v/>
      </c>
      <c r="B454" s="31">
        <f>IF($A454="","",$I454+SUMIF(WeeklySummary!$B$2:$B$1000,$A454,WeeklySummary!$G$2:$G$1000))</f>
        <v/>
      </c>
      <c r="C454" s="31">
        <f>IF($B454="","",MIN(100,INT(SQRT($B454))))</f>
        <v/>
      </c>
      <c r="D454" s="31">
        <f>IF($C454="","",($C454+1)^2)</f>
        <v/>
      </c>
      <c r="E454" s="31">
        <f>IF($D454="","",$D454-$B454)</f>
        <v/>
      </c>
      <c r="F454" s="31">
        <f>IF($A454="","",SUMIF(MonthlySummary!$B$2:$B$1000,$A454,MonthlySummary!$E$2:$E$1000))</f>
        <v/>
      </c>
      <c r="G454" s="31" t="n">
        <v>0</v>
      </c>
      <c r="H454" s="31">
        <f>IF($A454="","",$F454-IF($G454="",0,$G454))</f>
        <v/>
      </c>
      <c r="I454" s="31">
        <f>IF($A454="","",IFERROR(XLOOKUP($A454,SeedPlacement!$A$2:$A$1000,SeedPlacement!$N$2:$N$1000),0))</f>
        <v/>
      </c>
      <c r="J454" s="59" t="n"/>
    </row>
    <row r="455">
      <c r="A455" s="31">
        <f>IF(Members!$A455="","",Members!$A455)</f>
        <v/>
      </c>
      <c r="B455" s="31">
        <f>IF($A455="","",$I455+SUMIF(WeeklySummary!$B$2:$B$1000,$A455,WeeklySummary!$G$2:$G$1000))</f>
        <v/>
      </c>
      <c r="C455" s="31">
        <f>IF($B455="","",MIN(100,INT(SQRT($B455))))</f>
        <v/>
      </c>
      <c r="D455" s="31">
        <f>IF($C455="","",($C455+1)^2)</f>
        <v/>
      </c>
      <c r="E455" s="31">
        <f>IF($D455="","",$D455-$B455)</f>
        <v/>
      </c>
      <c r="F455" s="31">
        <f>IF($A455="","",SUMIF(MonthlySummary!$B$2:$B$1000,$A455,MonthlySummary!$E$2:$E$1000))</f>
        <v/>
      </c>
      <c r="G455" s="31" t="n">
        <v>0</v>
      </c>
      <c r="H455" s="31">
        <f>IF($A455="","",$F455-IF($G455="",0,$G455))</f>
        <v/>
      </c>
      <c r="I455" s="31">
        <f>IF($A455="","",IFERROR(XLOOKUP($A455,SeedPlacement!$A$2:$A$1000,SeedPlacement!$N$2:$N$1000),0))</f>
        <v/>
      </c>
      <c r="J455" s="59" t="n"/>
    </row>
    <row r="456">
      <c r="A456" s="31">
        <f>IF(Members!$A456="","",Members!$A456)</f>
        <v/>
      </c>
      <c r="B456" s="31">
        <f>IF($A456="","",$I456+SUMIF(WeeklySummary!$B$2:$B$1000,$A456,WeeklySummary!$G$2:$G$1000))</f>
        <v/>
      </c>
      <c r="C456" s="31">
        <f>IF($B456="","",MIN(100,INT(SQRT($B456))))</f>
        <v/>
      </c>
      <c r="D456" s="31">
        <f>IF($C456="","",($C456+1)^2)</f>
        <v/>
      </c>
      <c r="E456" s="31">
        <f>IF($D456="","",$D456-$B456)</f>
        <v/>
      </c>
      <c r="F456" s="31">
        <f>IF($A456="","",SUMIF(MonthlySummary!$B$2:$B$1000,$A456,MonthlySummary!$E$2:$E$1000))</f>
        <v/>
      </c>
      <c r="G456" s="31" t="n">
        <v>0</v>
      </c>
      <c r="H456" s="31">
        <f>IF($A456="","",$F456-IF($G456="",0,$G456))</f>
        <v/>
      </c>
      <c r="I456" s="31">
        <f>IF($A456="","",IFERROR(XLOOKUP($A456,SeedPlacement!$A$2:$A$1000,SeedPlacement!$N$2:$N$1000),0))</f>
        <v/>
      </c>
      <c r="J456" s="59" t="n"/>
    </row>
    <row r="457">
      <c r="A457" s="31">
        <f>IF(Members!$A457="","",Members!$A457)</f>
        <v/>
      </c>
      <c r="B457" s="31">
        <f>IF($A457="","",$I457+SUMIF(WeeklySummary!$B$2:$B$1000,$A457,WeeklySummary!$G$2:$G$1000))</f>
        <v/>
      </c>
      <c r="C457" s="31">
        <f>IF($B457="","",MIN(100,INT(SQRT($B457))))</f>
        <v/>
      </c>
      <c r="D457" s="31">
        <f>IF($C457="","",($C457+1)^2)</f>
        <v/>
      </c>
      <c r="E457" s="31">
        <f>IF($D457="","",$D457-$B457)</f>
        <v/>
      </c>
      <c r="F457" s="31">
        <f>IF($A457="","",SUMIF(MonthlySummary!$B$2:$B$1000,$A457,MonthlySummary!$E$2:$E$1000))</f>
        <v/>
      </c>
      <c r="G457" s="31" t="n">
        <v>0</v>
      </c>
      <c r="H457" s="31">
        <f>IF($A457="","",$F457-IF($G457="",0,$G457))</f>
        <v/>
      </c>
      <c r="I457" s="31">
        <f>IF($A457="","",IFERROR(XLOOKUP($A457,SeedPlacement!$A$2:$A$1000,SeedPlacement!$N$2:$N$1000),0))</f>
        <v/>
      </c>
      <c r="J457" s="59" t="n"/>
    </row>
    <row r="458">
      <c r="A458" s="31">
        <f>IF(Members!$A458="","",Members!$A458)</f>
        <v/>
      </c>
      <c r="B458" s="31">
        <f>IF($A458="","",$I458+SUMIF(WeeklySummary!$B$2:$B$1000,$A458,WeeklySummary!$G$2:$G$1000))</f>
        <v/>
      </c>
      <c r="C458" s="31">
        <f>IF($B458="","",MIN(100,INT(SQRT($B458))))</f>
        <v/>
      </c>
      <c r="D458" s="31">
        <f>IF($C458="","",($C458+1)^2)</f>
        <v/>
      </c>
      <c r="E458" s="31">
        <f>IF($D458="","",$D458-$B458)</f>
        <v/>
      </c>
      <c r="F458" s="31">
        <f>IF($A458="","",SUMIF(MonthlySummary!$B$2:$B$1000,$A458,MonthlySummary!$E$2:$E$1000))</f>
        <v/>
      </c>
      <c r="G458" s="31" t="n">
        <v>0</v>
      </c>
      <c r="H458" s="31">
        <f>IF($A458="","",$F458-IF($G458="",0,$G458))</f>
        <v/>
      </c>
      <c r="I458" s="31">
        <f>IF($A458="","",IFERROR(XLOOKUP($A458,SeedPlacement!$A$2:$A$1000,SeedPlacement!$N$2:$N$1000),0))</f>
        <v/>
      </c>
      <c r="J458" s="59" t="n"/>
    </row>
    <row r="459">
      <c r="A459" s="31">
        <f>IF(Members!$A459="","",Members!$A459)</f>
        <v/>
      </c>
      <c r="B459" s="31">
        <f>IF($A459="","",$I459+SUMIF(WeeklySummary!$B$2:$B$1000,$A459,WeeklySummary!$G$2:$G$1000))</f>
        <v/>
      </c>
      <c r="C459" s="31">
        <f>IF($B459="","",MIN(100,INT(SQRT($B459))))</f>
        <v/>
      </c>
      <c r="D459" s="31">
        <f>IF($C459="","",($C459+1)^2)</f>
        <v/>
      </c>
      <c r="E459" s="31">
        <f>IF($D459="","",$D459-$B459)</f>
        <v/>
      </c>
      <c r="F459" s="31">
        <f>IF($A459="","",SUMIF(MonthlySummary!$B$2:$B$1000,$A459,MonthlySummary!$E$2:$E$1000))</f>
        <v/>
      </c>
      <c r="G459" s="31" t="n">
        <v>0</v>
      </c>
      <c r="H459" s="31">
        <f>IF($A459="","",$F459-IF($G459="",0,$G459))</f>
        <v/>
      </c>
      <c r="I459" s="31">
        <f>IF($A459="","",IFERROR(XLOOKUP($A459,SeedPlacement!$A$2:$A$1000,SeedPlacement!$N$2:$N$1000),0))</f>
        <v/>
      </c>
      <c r="J459" s="59" t="n"/>
    </row>
    <row r="460">
      <c r="A460" s="31">
        <f>IF(Members!$A460="","",Members!$A460)</f>
        <v/>
      </c>
      <c r="B460" s="31">
        <f>IF($A460="","",$I460+SUMIF(WeeklySummary!$B$2:$B$1000,$A460,WeeklySummary!$G$2:$G$1000))</f>
        <v/>
      </c>
      <c r="C460" s="31">
        <f>IF($B460="","",MIN(100,INT(SQRT($B460))))</f>
        <v/>
      </c>
      <c r="D460" s="31">
        <f>IF($C460="","",($C460+1)^2)</f>
        <v/>
      </c>
      <c r="E460" s="31">
        <f>IF($D460="","",$D460-$B460)</f>
        <v/>
      </c>
      <c r="F460" s="31">
        <f>IF($A460="","",SUMIF(MonthlySummary!$B$2:$B$1000,$A460,MonthlySummary!$E$2:$E$1000))</f>
        <v/>
      </c>
      <c r="G460" s="31" t="n">
        <v>0</v>
      </c>
      <c r="H460" s="31">
        <f>IF($A460="","",$F460-IF($G460="",0,$G460))</f>
        <v/>
      </c>
      <c r="I460" s="31">
        <f>IF($A460="","",IFERROR(XLOOKUP($A460,SeedPlacement!$A$2:$A$1000,SeedPlacement!$N$2:$N$1000),0))</f>
        <v/>
      </c>
      <c r="J460" s="59" t="n"/>
    </row>
    <row r="461">
      <c r="A461" s="31">
        <f>IF(Members!$A461="","",Members!$A461)</f>
        <v/>
      </c>
      <c r="B461" s="31">
        <f>IF($A461="","",$I461+SUMIF(WeeklySummary!$B$2:$B$1000,$A461,WeeklySummary!$G$2:$G$1000))</f>
        <v/>
      </c>
      <c r="C461" s="31">
        <f>IF($B461="","",MIN(100,INT(SQRT($B461))))</f>
        <v/>
      </c>
      <c r="D461" s="31">
        <f>IF($C461="","",($C461+1)^2)</f>
        <v/>
      </c>
      <c r="E461" s="31">
        <f>IF($D461="","",$D461-$B461)</f>
        <v/>
      </c>
      <c r="F461" s="31">
        <f>IF($A461="","",SUMIF(MonthlySummary!$B$2:$B$1000,$A461,MonthlySummary!$E$2:$E$1000))</f>
        <v/>
      </c>
      <c r="G461" s="31" t="n">
        <v>0</v>
      </c>
      <c r="H461" s="31">
        <f>IF($A461="","",$F461-IF($G461="",0,$G461))</f>
        <v/>
      </c>
      <c r="I461" s="31">
        <f>IF($A461="","",IFERROR(XLOOKUP($A461,SeedPlacement!$A$2:$A$1000,SeedPlacement!$N$2:$N$1000),0))</f>
        <v/>
      </c>
      <c r="J461" s="59" t="n"/>
    </row>
    <row r="462">
      <c r="A462" s="31">
        <f>IF(Members!$A462="","",Members!$A462)</f>
        <v/>
      </c>
      <c r="B462" s="31">
        <f>IF($A462="","",$I462+SUMIF(WeeklySummary!$B$2:$B$1000,$A462,WeeklySummary!$G$2:$G$1000))</f>
        <v/>
      </c>
      <c r="C462" s="31">
        <f>IF($B462="","",MIN(100,INT(SQRT($B462))))</f>
        <v/>
      </c>
      <c r="D462" s="31">
        <f>IF($C462="","",($C462+1)^2)</f>
        <v/>
      </c>
      <c r="E462" s="31">
        <f>IF($D462="","",$D462-$B462)</f>
        <v/>
      </c>
      <c r="F462" s="31">
        <f>IF($A462="","",SUMIF(MonthlySummary!$B$2:$B$1000,$A462,MonthlySummary!$E$2:$E$1000))</f>
        <v/>
      </c>
      <c r="G462" s="31" t="n">
        <v>0</v>
      </c>
      <c r="H462" s="31">
        <f>IF($A462="","",$F462-IF($G462="",0,$G462))</f>
        <v/>
      </c>
      <c r="I462" s="31">
        <f>IF($A462="","",IFERROR(XLOOKUP($A462,SeedPlacement!$A$2:$A$1000,SeedPlacement!$N$2:$N$1000),0))</f>
        <v/>
      </c>
      <c r="J462" s="59" t="n"/>
    </row>
    <row r="463">
      <c r="A463" s="31">
        <f>IF(Members!$A463="","",Members!$A463)</f>
        <v/>
      </c>
      <c r="B463" s="31">
        <f>IF($A463="","",$I463+SUMIF(WeeklySummary!$B$2:$B$1000,$A463,WeeklySummary!$G$2:$G$1000))</f>
        <v/>
      </c>
      <c r="C463" s="31">
        <f>IF($B463="","",MIN(100,INT(SQRT($B463))))</f>
        <v/>
      </c>
      <c r="D463" s="31">
        <f>IF($C463="","",($C463+1)^2)</f>
        <v/>
      </c>
      <c r="E463" s="31">
        <f>IF($D463="","",$D463-$B463)</f>
        <v/>
      </c>
      <c r="F463" s="31">
        <f>IF($A463="","",SUMIF(MonthlySummary!$B$2:$B$1000,$A463,MonthlySummary!$E$2:$E$1000))</f>
        <v/>
      </c>
      <c r="G463" s="31" t="n">
        <v>0</v>
      </c>
      <c r="H463" s="31">
        <f>IF($A463="","",$F463-IF($G463="",0,$G463))</f>
        <v/>
      </c>
      <c r="I463" s="31">
        <f>IF($A463="","",IFERROR(XLOOKUP($A463,SeedPlacement!$A$2:$A$1000,SeedPlacement!$N$2:$N$1000),0))</f>
        <v/>
      </c>
      <c r="J463" s="59" t="n"/>
    </row>
    <row r="464">
      <c r="A464" s="31">
        <f>IF(Members!$A464="","",Members!$A464)</f>
        <v/>
      </c>
      <c r="B464" s="31">
        <f>IF($A464="","",$I464+SUMIF(WeeklySummary!$B$2:$B$1000,$A464,WeeklySummary!$G$2:$G$1000))</f>
        <v/>
      </c>
      <c r="C464" s="31">
        <f>IF($B464="","",MIN(100,INT(SQRT($B464))))</f>
        <v/>
      </c>
      <c r="D464" s="31">
        <f>IF($C464="","",($C464+1)^2)</f>
        <v/>
      </c>
      <c r="E464" s="31">
        <f>IF($D464="","",$D464-$B464)</f>
        <v/>
      </c>
      <c r="F464" s="31">
        <f>IF($A464="","",SUMIF(MonthlySummary!$B$2:$B$1000,$A464,MonthlySummary!$E$2:$E$1000))</f>
        <v/>
      </c>
      <c r="G464" s="31" t="n">
        <v>0</v>
      </c>
      <c r="H464" s="31">
        <f>IF($A464="","",$F464-IF($G464="",0,$G464))</f>
        <v/>
      </c>
      <c r="I464" s="31">
        <f>IF($A464="","",IFERROR(XLOOKUP($A464,SeedPlacement!$A$2:$A$1000,SeedPlacement!$N$2:$N$1000),0))</f>
        <v/>
      </c>
      <c r="J464" s="59" t="n"/>
    </row>
    <row r="465">
      <c r="A465" s="31">
        <f>IF(Members!$A465="","",Members!$A465)</f>
        <v/>
      </c>
      <c r="B465" s="31">
        <f>IF($A465="","",$I465+SUMIF(WeeklySummary!$B$2:$B$1000,$A465,WeeklySummary!$G$2:$G$1000))</f>
        <v/>
      </c>
      <c r="C465" s="31">
        <f>IF($B465="","",MIN(100,INT(SQRT($B465))))</f>
        <v/>
      </c>
      <c r="D465" s="31">
        <f>IF($C465="","",($C465+1)^2)</f>
        <v/>
      </c>
      <c r="E465" s="31">
        <f>IF($D465="","",$D465-$B465)</f>
        <v/>
      </c>
      <c r="F465" s="31">
        <f>IF($A465="","",SUMIF(MonthlySummary!$B$2:$B$1000,$A465,MonthlySummary!$E$2:$E$1000))</f>
        <v/>
      </c>
      <c r="G465" s="31" t="n">
        <v>0</v>
      </c>
      <c r="H465" s="31">
        <f>IF($A465="","",$F465-IF($G465="",0,$G465))</f>
        <v/>
      </c>
      <c r="I465" s="31">
        <f>IF($A465="","",IFERROR(XLOOKUP($A465,SeedPlacement!$A$2:$A$1000,SeedPlacement!$N$2:$N$1000),0))</f>
        <v/>
      </c>
      <c r="J465" s="59" t="n"/>
    </row>
    <row r="466">
      <c r="A466" s="31">
        <f>IF(Members!$A466="","",Members!$A466)</f>
        <v/>
      </c>
      <c r="B466" s="31">
        <f>IF($A466="","",$I466+SUMIF(WeeklySummary!$B$2:$B$1000,$A466,WeeklySummary!$G$2:$G$1000))</f>
        <v/>
      </c>
      <c r="C466" s="31">
        <f>IF($B466="","",MIN(100,INT(SQRT($B466))))</f>
        <v/>
      </c>
      <c r="D466" s="31">
        <f>IF($C466="","",($C466+1)^2)</f>
        <v/>
      </c>
      <c r="E466" s="31">
        <f>IF($D466="","",$D466-$B466)</f>
        <v/>
      </c>
      <c r="F466" s="31">
        <f>IF($A466="","",SUMIF(MonthlySummary!$B$2:$B$1000,$A466,MonthlySummary!$E$2:$E$1000))</f>
        <v/>
      </c>
      <c r="G466" s="31" t="n">
        <v>0</v>
      </c>
      <c r="H466" s="31">
        <f>IF($A466="","",$F466-IF($G466="",0,$G466))</f>
        <v/>
      </c>
      <c r="I466" s="31">
        <f>IF($A466="","",IFERROR(XLOOKUP($A466,SeedPlacement!$A$2:$A$1000,SeedPlacement!$N$2:$N$1000),0))</f>
        <v/>
      </c>
      <c r="J466" s="59" t="n"/>
    </row>
    <row r="467">
      <c r="A467" s="31">
        <f>IF(Members!$A467="","",Members!$A467)</f>
        <v/>
      </c>
      <c r="B467" s="31">
        <f>IF($A467="","",$I467+SUMIF(WeeklySummary!$B$2:$B$1000,$A467,WeeklySummary!$G$2:$G$1000))</f>
        <v/>
      </c>
      <c r="C467" s="31">
        <f>IF($B467="","",MIN(100,INT(SQRT($B467))))</f>
        <v/>
      </c>
      <c r="D467" s="31">
        <f>IF($C467="","",($C467+1)^2)</f>
        <v/>
      </c>
      <c r="E467" s="31">
        <f>IF($D467="","",$D467-$B467)</f>
        <v/>
      </c>
      <c r="F467" s="31">
        <f>IF($A467="","",SUMIF(MonthlySummary!$B$2:$B$1000,$A467,MonthlySummary!$E$2:$E$1000))</f>
        <v/>
      </c>
      <c r="G467" s="31" t="n">
        <v>0</v>
      </c>
      <c r="H467" s="31">
        <f>IF($A467="","",$F467-IF($G467="",0,$G467))</f>
        <v/>
      </c>
      <c r="I467" s="31">
        <f>IF($A467="","",IFERROR(XLOOKUP($A467,SeedPlacement!$A$2:$A$1000,SeedPlacement!$N$2:$N$1000),0))</f>
        <v/>
      </c>
      <c r="J467" s="59" t="n"/>
    </row>
    <row r="468">
      <c r="A468" s="31">
        <f>IF(Members!$A468="","",Members!$A468)</f>
        <v/>
      </c>
      <c r="B468" s="31">
        <f>IF($A468="","",$I468+SUMIF(WeeklySummary!$B$2:$B$1000,$A468,WeeklySummary!$G$2:$G$1000))</f>
        <v/>
      </c>
      <c r="C468" s="31">
        <f>IF($B468="","",MIN(100,INT(SQRT($B468))))</f>
        <v/>
      </c>
      <c r="D468" s="31">
        <f>IF($C468="","",($C468+1)^2)</f>
        <v/>
      </c>
      <c r="E468" s="31">
        <f>IF($D468="","",$D468-$B468)</f>
        <v/>
      </c>
      <c r="F468" s="31">
        <f>IF($A468="","",SUMIF(MonthlySummary!$B$2:$B$1000,$A468,MonthlySummary!$E$2:$E$1000))</f>
        <v/>
      </c>
      <c r="G468" s="31" t="n">
        <v>0</v>
      </c>
      <c r="H468" s="31">
        <f>IF($A468="","",$F468-IF($G468="",0,$G468))</f>
        <v/>
      </c>
      <c r="I468" s="31">
        <f>IF($A468="","",IFERROR(XLOOKUP($A468,SeedPlacement!$A$2:$A$1000,SeedPlacement!$N$2:$N$1000),0))</f>
        <v/>
      </c>
      <c r="J468" s="59" t="n"/>
    </row>
    <row r="469">
      <c r="A469" s="31">
        <f>IF(Members!$A469="","",Members!$A469)</f>
        <v/>
      </c>
      <c r="B469" s="31">
        <f>IF($A469="","",$I469+SUMIF(WeeklySummary!$B$2:$B$1000,$A469,WeeklySummary!$G$2:$G$1000))</f>
        <v/>
      </c>
      <c r="C469" s="31">
        <f>IF($B469="","",MIN(100,INT(SQRT($B469))))</f>
        <v/>
      </c>
      <c r="D469" s="31">
        <f>IF($C469="","",($C469+1)^2)</f>
        <v/>
      </c>
      <c r="E469" s="31">
        <f>IF($D469="","",$D469-$B469)</f>
        <v/>
      </c>
      <c r="F469" s="31">
        <f>IF($A469="","",SUMIF(MonthlySummary!$B$2:$B$1000,$A469,MonthlySummary!$E$2:$E$1000))</f>
        <v/>
      </c>
      <c r="G469" s="31" t="n">
        <v>0</v>
      </c>
      <c r="H469" s="31">
        <f>IF($A469="","",$F469-IF($G469="",0,$G469))</f>
        <v/>
      </c>
      <c r="I469" s="31">
        <f>IF($A469="","",IFERROR(XLOOKUP($A469,SeedPlacement!$A$2:$A$1000,SeedPlacement!$N$2:$N$1000),0))</f>
        <v/>
      </c>
      <c r="J469" s="59" t="n"/>
    </row>
    <row r="470">
      <c r="A470" s="31">
        <f>IF(Members!$A470="","",Members!$A470)</f>
        <v/>
      </c>
      <c r="B470" s="31">
        <f>IF($A470="","",$I470+SUMIF(WeeklySummary!$B$2:$B$1000,$A470,WeeklySummary!$G$2:$G$1000))</f>
        <v/>
      </c>
      <c r="C470" s="31">
        <f>IF($B470="","",MIN(100,INT(SQRT($B470))))</f>
        <v/>
      </c>
      <c r="D470" s="31">
        <f>IF($C470="","",($C470+1)^2)</f>
        <v/>
      </c>
      <c r="E470" s="31">
        <f>IF($D470="","",$D470-$B470)</f>
        <v/>
      </c>
      <c r="F470" s="31">
        <f>IF($A470="","",SUMIF(MonthlySummary!$B$2:$B$1000,$A470,MonthlySummary!$E$2:$E$1000))</f>
        <v/>
      </c>
      <c r="G470" s="31" t="n">
        <v>0</v>
      </c>
      <c r="H470" s="31">
        <f>IF($A470="","",$F470-IF($G470="",0,$G470))</f>
        <v/>
      </c>
      <c r="I470" s="31">
        <f>IF($A470="","",IFERROR(XLOOKUP($A470,SeedPlacement!$A$2:$A$1000,SeedPlacement!$N$2:$N$1000),0))</f>
        <v/>
      </c>
      <c r="J470" s="59" t="n"/>
    </row>
    <row r="471">
      <c r="A471" s="31">
        <f>IF(Members!$A471="","",Members!$A471)</f>
        <v/>
      </c>
      <c r="B471" s="31">
        <f>IF($A471="","",$I471+SUMIF(WeeklySummary!$B$2:$B$1000,$A471,WeeklySummary!$G$2:$G$1000))</f>
        <v/>
      </c>
      <c r="C471" s="31">
        <f>IF($B471="","",MIN(100,INT(SQRT($B471))))</f>
        <v/>
      </c>
      <c r="D471" s="31">
        <f>IF($C471="","",($C471+1)^2)</f>
        <v/>
      </c>
      <c r="E471" s="31">
        <f>IF($D471="","",$D471-$B471)</f>
        <v/>
      </c>
      <c r="F471" s="31">
        <f>IF($A471="","",SUMIF(MonthlySummary!$B$2:$B$1000,$A471,MonthlySummary!$E$2:$E$1000))</f>
        <v/>
      </c>
      <c r="G471" s="31" t="n">
        <v>0</v>
      </c>
      <c r="H471" s="31">
        <f>IF($A471="","",$F471-IF($G471="",0,$G471))</f>
        <v/>
      </c>
      <c r="I471" s="31">
        <f>IF($A471="","",IFERROR(XLOOKUP($A471,SeedPlacement!$A$2:$A$1000,SeedPlacement!$N$2:$N$1000),0))</f>
        <v/>
      </c>
      <c r="J471" s="59" t="n"/>
    </row>
    <row r="472">
      <c r="A472" s="31">
        <f>IF(Members!$A472="","",Members!$A472)</f>
        <v/>
      </c>
      <c r="B472" s="31">
        <f>IF($A472="","",$I472+SUMIF(WeeklySummary!$B$2:$B$1000,$A472,WeeklySummary!$G$2:$G$1000))</f>
        <v/>
      </c>
      <c r="C472" s="31">
        <f>IF($B472="","",MIN(100,INT(SQRT($B472))))</f>
        <v/>
      </c>
      <c r="D472" s="31">
        <f>IF($C472="","",($C472+1)^2)</f>
        <v/>
      </c>
      <c r="E472" s="31">
        <f>IF($D472="","",$D472-$B472)</f>
        <v/>
      </c>
      <c r="F472" s="31">
        <f>IF($A472="","",SUMIF(MonthlySummary!$B$2:$B$1000,$A472,MonthlySummary!$E$2:$E$1000))</f>
        <v/>
      </c>
      <c r="G472" s="31" t="n">
        <v>0</v>
      </c>
      <c r="H472" s="31">
        <f>IF($A472="","",$F472-IF($G472="",0,$G472))</f>
        <v/>
      </c>
      <c r="I472" s="31">
        <f>IF($A472="","",IFERROR(XLOOKUP($A472,SeedPlacement!$A$2:$A$1000,SeedPlacement!$N$2:$N$1000),0))</f>
        <v/>
      </c>
      <c r="J472" s="59" t="n"/>
    </row>
    <row r="473">
      <c r="A473" s="31">
        <f>IF(Members!$A473="","",Members!$A473)</f>
        <v/>
      </c>
      <c r="B473" s="31">
        <f>IF($A473="","",$I473+SUMIF(WeeklySummary!$B$2:$B$1000,$A473,WeeklySummary!$G$2:$G$1000))</f>
        <v/>
      </c>
      <c r="C473" s="31">
        <f>IF($B473="","",MIN(100,INT(SQRT($B473))))</f>
        <v/>
      </c>
      <c r="D473" s="31">
        <f>IF($C473="","",($C473+1)^2)</f>
        <v/>
      </c>
      <c r="E473" s="31">
        <f>IF($D473="","",$D473-$B473)</f>
        <v/>
      </c>
      <c r="F473" s="31">
        <f>IF($A473="","",SUMIF(MonthlySummary!$B$2:$B$1000,$A473,MonthlySummary!$E$2:$E$1000))</f>
        <v/>
      </c>
      <c r="G473" s="31" t="n">
        <v>0</v>
      </c>
      <c r="H473" s="31">
        <f>IF($A473="","",$F473-IF($G473="",0,$G473))</f>
        <v/>
      </c>
      <c r="I473" s="31">
        <f>IF($A473="","",IFERROR(XLOOKUP($A473,SeedPlacement!$A$2:$A$1000,SeedPlacement!$N$2:$N$1000),0))</f>
        <v/>
      </c>
      <c r="J473" s="59" t="n"/>
    </row>
    <row r="474">
      <c r="A474" s="31">
        <f>IF(Members!$A474="","",Members!$A474)</f>
        <v/>
      </c>
      <c r="B474" s="31">
        <f>IF($A474="","",$I474+SUMIF(WeeklySummary!$B$2:$B$1000,$A474,WeeklySummary!$G$2:$G$1000))</f>
        <v/>
      </c>
      <c r="C474" s="31">
        <f>IF($B474="","",MIN(100,INT(SQRT($B474))))</f>
        <v/>
      </c>
      <c r="D474" s="31">
        <f>IF($C474="","",($C474+1)^2)</f>
        <v/>
      </c>
      <c r="E474" s="31">
        <f>IF($D474="","",$D474-$B474)</f>
        <v/>
      </c>
      <c r="F474" s="31">
        <f>IF($A474="","",SUMIF(MonthlySummary!$B$2:$B$1000,$A474,MonthlySummary!$E$2:$E$1000))</f>
        <v/>
      </c>
      <c r="G474" s="31" t="n">
        <v>0</v>
      </c>
      <c r="H474" s="31">
        <f>IF($A474="","",$F474-IF($G474="",0,$G474))</f>
        <v/>
      </c>
      <c r="I474" s="31">
        <f>IF($A474="","",IFERROR(XLOOKUP($A474,SeedPlacement!$A$2:$A$1000,SeedPlacement!$N$2:$N$1000),0))</f>
        <v/>
      </c>
      <c r="J474" s="59" t="n"/>
    </row>
    <row r="475">
      <c r="A475" s="31">
        <f>IF(Members!$A475="","",Members!$A475)</f>
        <v/>
      </c>
      <c r="B475" s="31">
        <f>IF($A475="","",$I475+SUMIF(WeeklySummary!$B$2:$B$1000,$A475,WeeklySummary!$G$2:$G$1000))</f>
        <v/>
      </c>
      <c r="C475" s="31">
        <f>IF($B475="","",MIN(100,INT(SQRT($B475))))</f>
        <v/>
      </c>
      <c r="D475" s="31">
        <f>IF($C475="","",($C475+1)^2)</f>
        <v/>
      </c>
      <c r="E475" s="31">
        <f>IF($D475="","",$D475-$B475)</f>
        <v/>
      </c>
      <c r="F475" s="31">
        <f>IF($A475="","",SUMIF(MonthlySummary!$B$2:$B$1000,$A475,MonthlySummary!$E$2:$E$1000))</f>
        <v/>
      </c>
      <c r="G475" s="31" t="n">
        <v>0</v>
      </c>
      <c r="H475" s="31">
        <f>IF($A475="","",$F475-IF($G475="",0,$G475))</f>
        <v/>
      </c>
      <c r="I475" s="31">
        <f>IF($A475="","",IFERROR(XLOOKUP($A475,SeedPlacement!$A$2:$A$1000,SeedPlacement!$N$2:$N$1000),0))</f>
        <v/>
      </c>
      <c r="J475" s="59" t="n"/>
    </row>
    <row r="476">
      <c r="A476" s="31">
        <f>IF(Members!$A476="","",Members!$A476)</f>
        <v/>
      </c>
      <c r="B476" s="31">
        <f>IF($A476="","",$I476+SUMIF(WeeklySummary!$B$2:$B$1000,$A476,WeeklySummary!$G$2:$G$1000))</f>
        <v/>
      </c>
      <c r="C476" s="31">
        <f>IF($B476="","",MIN(100,INT(SQRT($B476))))</f>
        <v/>
      </c>
      <c r="D476" s="31">
        <f>IF($C476="","",($C476+1)^2)</f>
        <v/>
      </c>
      <c r="E476" s="31">
        <f>IF($D476="","",$D476-$B476)</f>
        <v/>
      </c>
      <c r="F476" s="31">
        <f>IF($A476="","",SUMIF(MonthlySummary!$B$2:$B$1000,$A476,MonthlySummary!$E$2:$E$1000))</f>
        <v/>
      </c>
      <c r="G476" s="31" t="n">
        <v>0</v>
      </c>
      <c r="H476" s="31">
        <f>IF($A476="","",$F476-IF($G476="",0,$G476))</f>
        <v/>
      </c>
      <c r="I476" s="31">
        <f>IF($A476="","",IFERROR(XLOOKUP($A476,SeedPlacement!$A$2:$A$1000,SeedPlacement!$N$2:$N$1000),0))</f>
        <v/>
      </c>
      <c r="J476" s="59" t="n"/>
    </row>
    <row r="477">
      <c r="A477" s="31">
        <f>IF(Members!$A477="","",Members!$A477)</f>
        <v/>
      </c>
      <c r="B477" s="31">
        <f>IF($A477="","",$I477+SUMIF(WeeklySummary!$B$2:$B$1000,$A477,WeeklySummary!$G$2:$G$1000))</f>
        <v/>
      </c>
      <c r="C477" s="31">
        <f>IF($B477="","",MIN(100,INT(SQRT($B477))))</f>
        <v/>
      </c>
      <c r="D477" s="31">
        <f>IF($C477="","",($C477+1)^2)</f>
        <v/>
      </c>
      <c r="E477" s="31">
        <f>IF($D477="","",$D477-$B477)</f>
        <v/>
      </c>
      <c r="F477" s="31">
        <f>IF($A477="","",SUMIF(MonthlySummary!$B$2:$B$1000,$A477,MonthlySummary!$E$2:$E$1000))</f>
        <v/>
      </c>
      <c r="G477" s="31" t="n">
        <v>0</v>
      </c>
      <c r="H477" s="31">
        <f>IF($A477="","",$F477-IF($G477="",0,$G477))</f>
        <v/>
      </c>
      <c r="I477" s="31">
        <f>IF($A477="","",IFERROR(XLOOKUP($A477,SeedPlacement!$A$2:$A$1000,SeedPlacement!$N$2:$N$1000),0))</f>
        <v/>
      </c>
      <c r="J477" s="59" t="n"/>
    </row>
    <row r="478">
      <c r="A478" s="31">
        <f>IF(Members!$A478="","",Members!$A478)</f>
        <v/>
      </c>
      <c r="B478" s="31">
        <f>IF($A478="","",$I478+SUMIF(WeeklySummary!$B$2:$B$1000,$A478,WeeklySummary!$G$2:$G$1000))</f>
        <v/>
      </c>
      <c r="C478" s="31">
        <f>IF($B478="","",MIN(100,INT(SQRT($B478))))</f>
        <v/>
      </c>
      <c r="D478" s="31">
        <f>IF($C478="","",($C478+1)^2)</f>
        <v/>
      </c>
      <c r="E478" s="31">
        <f>IF($D478="","",$D478-$B478)</f>
        <v/>
      </c>
      <c r="F478" s="31">
        <f>IF($A478="","",SUMIF(MonthlySummary!$B$2:$B$1000,$A478,MonthlySummary!$E$2:$E$1000))</f>
        <v/>
      </c>
      <c r="G478" s="31" t="n">
        <v>0</v>
      </c>
      <c r="H478" s="31">
        <f>IF($A478="","",$F478-IF($G478="",0,$G478))</f>
        <v/>
      </c>
      <c r="I478" s="31">
        <f>IF($A478="","",IFERROR(XLOOKUP($A478,SeedPlacement!$A$2:$A$1000,SeedPlacement!$N$2:$N$1000),0))</f>
        <v/>
      </c>
      <c r="J478" s="59" t="n"/>
    </row>
    <row r="479">
      <c r="A479" s="31">
        <f>IF(Members!$A479="","",Members!$A479)</f>
        <v/>
      </c>
      <c r="B479" s="31">
        <f>IF($A479="","",$I479+SUMIF(WeeklySummary!$B$2:$B$1000,$A479,WeeklySummary!$G$2:$G$1000))</f>
        <v/>
      </c>
      <c r="C479" s="31">
        <f>IF($B479="","",MIN(100,INT(SQRT($B479))))</f>
        <v/>
      </c>
      <c r="D479" s="31">
        <f>IF($C479="","",($C479+1)^2)</f>
        <v/>
      </c>
      <c r="E479" s="31">
        <f>IF($D479="","",$D479-$B479)</f>
        <v/>
      </c>
      <c r="F479" s="31">
        <f>IF($A479="","",SUMIF(MonthlySummary!$B$2:$B$1000,$A479,MonthlySummary!$E$2:$E$1000))</f>
        <v/>
      </c>
      <c r="G479" s="31" t="n">
        <v>0</v>
      </c>
      <c r="H479" s="31">
        <f>IF($A479="","",$F479-IF($G479="",0,$G479))</f>
        <v/>
      </c>
      <c r="I479" s="31">
        <f>IF($A479="","",IFERROR(XLOOKUP($A479,SeedPlacement!$A$2:$A$1000,SeedPlacement!$N$2:$N$1000),0))</f>
        <v/>
      </c>
      <c r="J479" s="59" t="n"/>
    </row>
    <row r="480">
      <c r="A480" s="31">
        <f>IF(Members!$A480="","",Members!$A480)</f>
        <v/>
      </c>
      <c r="B480" s="31">
        <f>IF($A480="","",$I480+SUMIF(WeeklySummary!$B$2:$B$1000,$A480,WeeklySummary!$G$2:$G$1000))</f>
        <v/>
      </c>
      <c r="C480" s="31">
        <f>IF($B480="","",MIN(100,INT(SQRT($B480))))</f>
        <v/>
      </c>
      <c r="D480" s="31">
        <f>IF($C480="","",($C480+1)^2)</f>
        <v/>
      </c>
      <c r="E480" s="31">
        <f>IF($D480="","",$D480-$B480)</f>
        <v/>
      </c>
      <c r="F480" s="31">
        <f>IF($A480="","",SUMIF(MonthlySummary!$B$2:$B$1000,$A480,MonthlySummary!$E$2:$E$1000))</f>
        <v/>
      </c>
      <c r="G480" s="31" t="n">
        <v>0</v>
      </c>
      <c r="H480" s="31">
        <f>IF($A480="","",$F480-IF($G480="",0,$G480))</f>
        <v/>
      </c>
      <c r="I480" s="31">
        <f>IF($A480="","",IFERROR(XLOOKUP($A480,SeedPlacement!$A$2:$A$1000,SeedPlacement!$N$2:$N$1000),0))</f>
        <v/>
      </c>
      <c r="J480" s="59" t="n"/>
    </row>
    <row r="481">
      <c r="A481" s="31">
        <f>IF(Members!$A481="","",Members!$A481)</f>
        <v/>
      </c>
      <c r="B481" s="31">
        <f>IF($A481="","",$I481+SUMIF(WeeklySummary!$B$2:$B$1000,$A481,WeeklySummary!$G$2:$G$1000))</f>
        <v/>
      </c>
      <c r="C481" s="31">
        <f>IF($B481="","",MIN(100,INT(SQRT($B481))))</f>
        <v/>
      </c>
      <c r="D481" s="31">
        <f>IF($C481="","",($C481+1)^2)</f>
        <v/>
      </c>
      <c r="E481" s="31">
        <f>IF($D481="","",$D481-$B481)</f>
        <v/>
      </c>
      <c r="F481" s="31">
        <f>IF($A481="","",SUMIF(MonthlySummary!$B$2:$B$1000,$A481,MonthlySummary!$E$2:$E$1000))</f>
        <v/>
      </c>
      <c r="G481" s="31" t="n">
        <v>0</v>
      </c>
      <c r="H481" s="31">
        <f>IF($A481="","",$F481-IF($G481="",0,$G481))</f>
        <v/>
      </c>
      <c r="I481" s="31">
        <f>IF($A481="","",IFERROR(XLOOKUP($A481,SeedPlacement!$A$2:$A$1000,SeedPlacement!$N$2:$N$1000),0))</f>
        <v/>
      </c>
      <c r="J481" s="59" t="n"/>
    </row>
    <row r="482">
      <c r="A482" s="31">
        <f>IF(Members!$A482="","",Members!$A482)</f>
        <v/>
      </c>
      <c r="B482" s="31">
        <f>IF($A482="","",$I482+SUMIF(WeeklySummary!$B$2:$B$1000,$A482,WeeklySummary!$G$2:$G$1000))</f>
        <v/>
      </c>
      <c r="C482" s="31">
        <f>IF($B482="","",MIN(100,INT(SQRT($B482))))</f>
        <v/>
      </c>
      <c r="D482" s="31">
        <f>IF($C482="","",($C482+1)^2)</f>
        <v/>
      </c>
      <c r="E482" s="31">
        <f>IF($D482="","",$D482-$B482)</f>
        <v/>
      </c>
      <c r="F482" s="31">
        <f>IF($A482="","",SUMIF(MonthlySummary!$B$2:$B$1000,$A482,MonthlySummary!$E$2:$E$1000))</f>
        <v/>
      </c>
      <c r="G482" s="31" t="n">
        <v>0</v>
      </c>
      <c r="H482" s="31">
        <f>IF($A482="","",$F482-IF($G482="",0,$G482))</f>
        <v/>
      </c>
      <c r="I482" s="31">
        <f>IF($A482="","",IFERROR(XLOOKUP($A482,SeedPlacement!$A$2:$A$1000,SeedPlacement!$N$2:$N$1000),0))</f>
        <v/>
      </c>
      <c r="J482" s="59" t="n"/>
    </row>
    <row r="483">
      <c r="A483" s="31">
        <f>IF(Members!$A483="","",Members!$A483)</f>
        <v/>
      </c>
      <c r="B483" s="31">
        <f>IF($A483="","",$I483+SUMIF(WeeklySummary!$B$2:$B$1000,$A483,WeeklySummary!$G$2:$G$1000))</f>
        <v/>
      </c>
      <c r="C483" s="31">
        <f>IF($B483="","",MIN(100,INT(SQRT($B483))))</f>
        <v/>
      </c>
      <c r="D483" s="31">
        <f>IF($C483="","",($C483+1)^2)</f>
        <v/>
      </c>
      <c r="E483" s="31">
        <f>IF($D483="","",$D483-$B483)</f>
        <v/>
      </c>
      <c r="F483" s="31">
        <f>IF($A483="","",SUMIF(MonthlySummary!$B$2:$B$1000,$A483,MonthlySummary!$E$2:$E$1000))</f>
        <v/>
      </c>
      <c r="G483" s="31" t="n">
        <v>0</v>
      </c>
      <c r="H483" s="31">
        <f>IF($A483="","",$F483-IF($G483="",0,$G483))</f>
        <v/>
      </c>
      <c r="I483" s="31">
        <f>IF($A483="","",IFERROR(XLOOKUP($A483,SeedPlacement!$A$2:$A$1000,SeedPlacement!$N$2:$N$1000),0))</f>
        <v/>
      </c>
      <c r="J483" s="59" t="n"/>
    </row>
    <row r="484">
      <c r="A484" s="31">
        <f>IF(Members!$A484="","",Members!$A484)</f>
        <v/>
      </c>
      <c r="B484" s="31">
        <f>IF($A484="","",$I484+SUMIF(WeeklySummary!$B$2:$B$1000,$A484,WeeklySummary!$G$2:$G$1000))</f>
        <v/>
      </c>
      <c r="C484" s="31">
        <f>IF($B484="","",MIN(100,INT(SQRT($B484))))</f>
        <v/>
      </c>
      <c r="D484" s="31">
        <f>IF($C484="","",($C484+1)^2)</f>
        <v/>
      </c>
      <c r="E484" s="31">
        <f>IF($D484="","",$D484-$B484)</f>
        <v/>
      </c>
      <c r="F484" s="31">
        <f>IF($A484="","",SUMIF(MonthlySummary!$B$2:$B$1000,$A484,MonthlySummary!$E$2:$E$1000))</f>
        <v/>
      </c>
      <c r="G484" s="31" t="n">
        <v>0</v>
      </c>
      <c r="H484" s="31">
        <f>IF($A484="","",$F484-IF($G484="",0,$G484))</f>
        <v/>
      </c>
      <c r="I484" s="31">
        <f>IF($A484="","",IFERROR(XLOOKUP($A484,SeedPlacement!$A$2:$A$1000,SeedPlacement!$N$2:$N$1000),0))</f>
        <v/>
      </c>
      <c r="J484" s="59" t="n"/>
    </row>
    <row r="485">
      <c r="A485" s="31">
        <f>IF(Members!$A485="","",Members!$A485)</f>
        <v/>
      </c>
      <c r="B485" s="31">
        <f>IF($A485="","",$I485+SUMIF(WeeklySummary!$B$2:$B$1000,$A485,WeeklySummary!$G$2:$G$1000))</f>
        <v/>
      </c>
      <c r="C485" s="31">
        <f>IF($B485="","",MIN(100,INT(SQRT($B485))))</f>
        <v/>
      </c>
      <c r="D485" s="31">
        <f>IF($C485="","",($C485+1)^2)</f>
        <v/>
      </c>
      <c r="E485" s="31">
        <f>IF($D485="","",$D485-$B485)</f>
        <v/>
      </c>
      <c r="F485" s="31">
        <f>IF($A485="","",SUMIF(MonthlySummary!$B$2:$B$1000,$A485,MonthlySummary!$E$2:$E$1000))</f>
        <v/>
      </c>
      <c r="G485" s="31" t="n">
        <v>0</v>
      </c>
      <c r="H485" s="31">
        <f>IF($A485="","",$F485-IF($G485="",0,$G485))</f>
        <v/>
      </c>
      <c r="I485" s="31">
        <f>IF($A485="","",IFERROR(XLOOKUP($A485,SeedPlacement!$A$2:$A$1000,SeedPlacement!$N$2:$N$1000),0))</f>
        <v/>
      </c>
      <c r="J485" s="59" t="n"/>
    </row>
    <row r="486">
      <c r="A486" s="31">
        <f>IF(Members!$A486="","",Members!$A486)</f>
        <v/>
      </c>
      <c r="B486" s="31">
        <f>IF($A486="","",$I486+SUMIF(WeeklySummary!$B$2:$B$1000,$A486,WeeklySummary!$G$2:$G$1000))</f>
        <v/>
      </c>
      <c r="C486" s="31">
        <f>IF($B486="","",MIN(100,INT(SQRT($B486))))</f>
        <v/>
      </c>
      <c r="D486" s="31">
        <f>IF($C486="","",($C486+1)^2)</f>
        <v/>
      </c>
      <c r="E486" s="31">
        <f>IF($D486="","",$D486-$B486)</f>
        <v/>
      </c>
      <c r="F486" s="31">
        <f>IF($A486="","",SUMIF(MonthlySummary!$B$2:$B$1000,$A486,MonthlySummary!$E$2:$E$1000))</f>
        <v/>
      </c>
      <c r="G486" s="31" t="n">
        <v>0</v>
      </c>
      <c r="H486" s="31">
        <f>IF($A486="","",$F486-IF($G486="",0,$G486))</f>
        <v/>
      </c>
      <c r="I486" s="31">
        <f>IF($A486="","",IFERROR(XLOOKUP($A486,SeedPlacement!$A$2:$A$1000,SeedPlacement!$N$2:$N$1000),0))</f>
        <v/>
      </c>
      <c r="J486" s="59" t="n"/>
    </row>
    <row r="487">
      <c r="A487" s="31">
        <f>IF(Members!$A487="","",Members!$A487)</f>
        <v/>
      </c>
      <c r="B487" s="31">
        <f>IF($A487="","",$I487+SUMIF(WeeklySummary!$B$2:$B$1000,$A487,WeeklySummary!$G$2:$G$1000))</f>
        <v/>
      </c>
      <c r="C487" s="31">
        <f>IF($B487="","",MIN(100,INT(SQRT($B487))))</f>
        <v/>
      </c>
      <c r="D487" s="31">
        <f>IF($C487="","",($C487+1)^2)</f>
        <v/>
      </c>
      <c r="E487" s="31">
        <f>IF($D487="","",$D487-$B487)</f>
        <v/>
      </c>
      <c r="F487" s="31">
        <f>IF($A487="","",SUMIF(MonthlySummary!$B$2:$B$1000,$A487,MonthlySummary!$E$2:$E$1000))</f>
        <v/>
      </c>
      <c r="G487" s="31" t="n">
        <v>0</v>
      </c>
      <c r="H487" s="31">
        <f>IF($A487="","",$F487-IF($G487="",0,$G487))</f>
        <v/>
      </c>
      <c r="I487" s="31">
        <f>IF($A487="","",IFERROR(XLOOKUP($A487,SeedPlacement!$A$2:$A$1000,SeedPlacement!$N$2:$N$1000),0))</f>
        <v/>
      </c>
      <c r="J487" s="59" t="n"/>
    </row>
    <row r="488">
      <c r="A488" s="31">
        <f>IF(Members!$A488="","",Members!$A488)</f>
        <v/>
      </c>
      <c r="B488" s="31">
        <f>IF($A488="","",$I488+SUMIF(WeeklySummary!$B$2:$B$1000,$A488,WeeklySummary!$G$2:$G$1000))</f>
        <v/>
      </c>
      <c r="C488" s="31">
        <f>IF($B488="","",MIN(100,INT(SQRT($B488))))</f>
        <v/>
      </c>
      <c r="D488" s="31">
        <f>IF($C488="","",($C488+1)^2)</f>
        <v/>
      </c>
      <c r="E488" s="31">
        <f>IF($D488="","",$D488-$B488)</f>
        <v/>
      </c>
      <c r="F488" s="31">
        <f>IF($A488="","",SUMIF(MonthlySummary!$B$2:$B$1000,$A488,MonthlySummary!$E$2:$E$1000))</f>
        <v/>
      </c>
      <c r="G488" s="31" t="n">
        <v>0</v>
      </c>
      <c r="H488" s="31">
        <f>IF($A488="","",$F488-IF($G488="",0,$G488))</f>
        <v/>
      </c>
      <c r="I488" s="31">
        <f>IF($A488="","",IFERROR(XLOOKUP($A488,SeedPlacement!$A$2:$A$1000,SeedPlacement!$N$2:$N$1000),0))</f>
        <v/>
      </c>
      <c r="J488" s="59" t="n"/>
    </row>
    <row r="489">
      <c r="A489" s="31">
        <f>IF(Members!$A489="","",Members!$A489)</f>
        <v/>
      </c>
      <c r="B489" s="31">
        <f>IF($A489="","",$I489+SUMIF(WeeklySummary!$B$2:$B$1000,$A489,WeeklySummary!$G$2:$G$1000))</f>
        <v/>
      </c>
      <c r="C489" s="31">
        <f>IF($B489="","",MIN(100,INT(SQRT($B489))))</f>
        <v/>
      </c>
      <c r="D489" s="31">
        <f>IF($C489="","",($C489+1)^2)</f>
        <v/>
      </c>
      <c r="E489" s="31">
        <f>IF($D489="","",$D489-$B489)</f>
        <v/>
      </c>
      <c r="F489" s="31">
        <f>IF($A489="","",SUMIF(MonthlySummary!$B$2:$B$1000,$A489,MonthlySummary!$E$2:$E$1000))</f>
        <v/>
      </c>
      <c r="G489" s="31" t="n">
        <v>0</v>
      </c>
      <c r="H489" s="31">
        <f>IF($A489="","",$F489-IF($G489="",0,$G489))</f>
        <v/>
      </c>
      <c r="I489" s="31">
        <f>IF($A489="","",IFERROR(XLOOKUP($A489,SeedPlacement!$A$2:$A$1000,SeedPlacement!$N$2:$N$1000),0))</f>
        <v/>
      </c>
      <c r="J489" s="59" t="n"/>
    </row>
    <row r="490">
      <c r="A490" s="31">
        <f>IF(Members!$A490="","",Members!$A490)</f>
        <v/>
      </c>
      <c r="B490" s="31">
        <f>IF($A490="","",$I490+SUMIF(WeeklySummary!$B$2:$B$1000,$A490,WeeklySummary!$G$2:$G$1000))</f>
        <v/>
      </c>
      <c r="C490" s="31">
        <f>IF($B490="","",MIN(100,INT(SQRT($B490))))</f>
        <v/>
      </c>
      <c r="D490" s="31">
        <f>IF($C490="","",($C490+1)^2)</f>
        <v/>
      </c>
      <c r="E490" s="31">
        <f>IF($D490="","",$D490-$B490)</f>
        <v/>
      </c>
      <c r="F490" s="31">
        <f>IF($A490="","",SUMIF(MonthlySummary!$B$2:$B$1000,$A490,MonthlySummary!$E$2:$E$1000))</f>
        <v/>
      </c>
      <c r="G490" s="31" t="n">
        <v>0</v>
      </c>
      <c r="H490" s="31">
        <f>IF($A490="","",$F490-IF($G490="",0,$G490))</f>
        <v/>
      </c>
      <c r="I490" s="31">
        <f>IF($A490="","",IFERROR(XLOOKUP($A490,SeedPlacement!$A$2:$A$1000,SeedPlacement!$N$2:$N$1000),0))</f>
        <v/>
      </c>
      <c r="J490" s="59" t="n"/>
    </row>
    <row r="491">
      <c r="A491" s="31">
        <f>IF(Members!$A491="","",Members!$A491)</f>
        <v/>
      </c>
      <c r="B491" s="31">
        <f>IF($A491="","",$I491+SUMIF(WeeklySummary!$B$2:$B$1000,$A491,WeeklySummary!$G$2:$G$1000))</f>
        <v/>
      </c>
      <c r="C491" s="31">
        <f>IF($B491="","",MIN(100,INT(SQRT($B491))))</f>
        <v/>
      </c>
      <c r="D491" s="31">
        <f>IF($C491="","",($C491+1)^2)</f>
        <v/>
      </c>
      <c r="E491" s="31">
        <f>IF($D491="","",$D491-$B491)</f>
        <v/>
      </c>
      <c r="F491" s="31">
        <f>IF($A491="","",SUMIF(MonthlySummary!$B$2:$B$1000,$A491,MonthlySummary!$E$2:$E$1000))</f>
        <v/>
      </c>
      <c r="G491" s="31" t="n">
        <v>0</v>
      </c>
      <c r="H491" s="31">
        <f>IF($A491="","",$F491-IF($G491="",0,$G491))</f>
        <v/>
      </c>
      <c r="I491" s="31">
        <f>IF($A491="","",IFERROR(XLOOKUP($A491,SeedPlacement!$A$2:$A$1000,SeedPlacement!$N$2:$N$1000),0))</f>
        <v/>
      </c>
      <c r="J491" s="59" t="n"/>
    </row>
    <row r="492">
      <c r="A492" s="31">
        <f>IF(Members!$A492="","",Members!$A492)</f>
        <v/>
      </c>
      <c r="B492" s="31">
        <f>IF($A492="","",$I492+SUMIF(WeeklySummary!$B$2:$B$1000,$A492,WeeklySummary!$G$2:$G$1000))</f>
        <v/>
      </c>
      <c r="C492" s="31">
        <f>IF($B492="","",MIN(100,INT(SQRT($B492))))</f>
        <v/>
      </c>
      <c r="D492" s="31">
        <f>IF($C492="","",($C492+1)^2)</f>
        <v/>
      </c>
      <c r="E492" s="31">
        <f>IF($D492="","",$D492-$B492)</f>
        <v/>
      </c>
      <c r="F492" s="31">
        <f>IF($A492="","",SUMIF(MonthlySummary!$B$2:$B$1000,$A492,MonthlySummary!$E$2:$E$1000))</f>
        <v/>
      </c>
      <c r="G492" s="31" t="n">
        <v>0</v>
      </c>
      <c r="H492" s="31">
        <f>IF($A492="","",$F492-IF($G492="",0,$G492))</f>
        <v/>
      </c>
      <c r="I492" s="31">
        <f>IF($A492="","",IFERROR(XLOOKUP($A492,SeedPlacement!$A$2:$A$1000,SeedPlacement!$N$2:$N$1000),0))</f>
        <v/>
      </c>
      <c r="J492" s="59" t="n"/>
    </row>
    <row r="493">
      <c r="A493" s="31">
        <f>IF(Members!$A493="","",Members!$A493)</f>
        <v/>
      </c>
      <c r="B493" s="31">
        <f>IF($A493="","",$I493+SUMIF(WeeklySummary!$B$2:$B$1000,$A493,WeeklySummary!$G$2:$G$1000))</f>
        <v/>
      </c>
      <c r="C493" s="31">
        <f>IF($B493="","",MIN(100,INT(SQRT($B493))))</f>
        <v/>
      </c>
      <c r="D493" s="31">
        <f>IF($C493="","",($C493+1)^2)</f>
        <v/>
      </c>
      <c r="E493" s="31">
        <f>IF($D493="","",$D493-$B493)</f>
        <v/>
      </c>
      <c r="F493" s="31">
        <f>IF($A493="","",SUMIF(MonthlySummary!$B$2:$B$1000,$A493,MonthlySummary!$E$2:$E$1000))</f>
        <v/>
      </c>
      <c r="G493" s="31" t="n">
        <v>0</v>
      </c>
      <c r="H493" s="31">
        <f>IF($A493="","",$F493-IF($G493="",0,$G493))</f>
        <v/>
      </c>
      <c r="I493" s="31">
        <f>IF($A493="","",IFERROR(XLOOKUP($A493,SeedPlacement!$A$2:$A$1000,SeedPlacement!$N$2:$N$1000),0))</f>
        <v/>
      </c>
      <c r="J493" s="59" t="n"/>
    </row>
    <row r="494">
      <c r="A494" s="31">
        <f>IF(Members!$A494="","",Members!$A494)</f>
        <v/>
      </c>
      <c r="B494" s="31">
        <f>IF($A494="","",$I494+SUMIF(WeeklySummary!$B$2:$B$1000,$A494,WeeklySummary!$G$2:$G$1000))</f>
        <v/>
      </c>
      <c r="C494" s="31">
        <f>IF($B494="","",MIN(100,INT(SQRT($B494))))</f>
        <v/>
      </c>
      <c r="D494" s="31">
        <f>IF($C494="","",($C494+1)^2)</f>
        <v/>
      </c>
      <c r="E494" s="31">
        <f>IF($D494="","",$D494-$B494)</f>
        <v/>
      </c>
      <c r="F494" s="31">
        <f>IF($A494="","",SUMIF(MonthlySummary!$B$2:$B$1000,$A494,MonthlySummary!$E$2:$E$1000))</f>
        <v/>
      </c>
      <c r="G494" s="31" t="n">
        <v>0</v>
      </c>
      <c r="H494" s="31">
        <f>IF($A494="","",$F494-IF($G494="",0,$G494))</f>
        <v/>
      </c>
      <c r="I494" s="31">
        <f>IF($A494="","",IFERROR(XLOOKUP($A494,SeedPlacement!$A$2:$A$1000,SeedPlacement!$N$2:$N$1000),0))</f>
        <v/>
      </c>
      <c r="J494" s="59" t="n"/>
    </row>
    <row r="495">
      <c r="A495" s="31">
        <f>IF(Members!$A495="","",Members!$A495)</f>
        <v/>
      </c>
      <c r="B495" s="31">
        <f>IF($A495="","",$I495+SUMIF(WeeklySummary!$B$2:$B$1000,$A495,WeeklySummary!$G$2:$G$1000))</f>
        <v/>
      </c>
      <c r="C495" s="31">
        <f>IF($B495="","",MIN(100,INT(SQRT($B495))))</f>
        <v/>
      </c>
      <c r="D495" s="31">
        <f>IF($C495="","",($C495+1)^2)</f>
        <v/>
      </c>
      <c r="E495" s="31">
        <f>IF($D495="","",$D495-$B495)</f>
        <v/>
      </c>
      <c r="F495" s="31">
        <f>IF($A495="","",SUMIF(MonthlySummary!$B$2:$B$1000,$A495,MonthlySummary!$E$2:$E$1000))</f>
        <v/>
      </c>
      <c r="G495" s="31" t="n">
        <v>0</v>
      </c>
      <c r="H495" s="31">
        <f>IF($A495="","",$F495-IF($G495="",0,$G495))</f>
        <v/>
      </c>
      <c r="I495" s="31">
        <f>IF($A495="","",IFERROR(XLOOKUP($A495,SeedPlacement!$A$2:$A$1000,SeedPlacement!$N$2:$N$1000),0))</f>
        <v/>
      </c>
      <c r="J495" s="59" t="n"/>
    </row>
    <row r="496">
      <c r="A496" s="31">
        <f>IF(Members!$A496="","",Members!$A496)</f>
        <v/>
      </c>
      <c r="B496" s="31">
        <f>IF($A496="","",$I496+SUMIF(WeeklySummary!$B$2:$B$1000,$A496,WeeklySummary!$G$2:$G$1000))</f>
        <v/>
      </c>
      <c r="C496" s="31">
        <f>IF($B496="","",MIN(100,INT(SQRT($B496))))</f>
        <v/>
      </c>
      <c r="D496" s="31">
        <f>IF($C496="","",($C496+1)^2)</f>
        <v/>
      </c>
      <c r="E496" s="31">
        <f>IF($D496="","",$D496-$B496)</f>
        <v/>
      </c>
      <c r="F496" s="31">
        <f>IF($A496="","",SUMIF(MonthlySummary!$B$2:$B$1000,$A496,MonthlySummary!$E$2:$E$1000))</f>
        <v/>
      </c>
      <c r="G496" s="31" t="n">
        <v>0</v>
      </c>
      <c r="H496" s="31">
        <f>IF($A496="","",$F496-IF($G496="",0,$G496))</f>
        <v/>
      </c>
      <c r="I496" s="31">
        <f>IF($A496="","",IFERROR(XLOOKUP($A496,SeedPlacement!$A$2:$A$1000,SeedPlacement!$N$2:$N$1000),0))</f>
        <v/>
      </c>
      <c r="J496" s="59" t="n"/>
    </row>
    <row r="497">
      <c r="A497" s="31">
        <f>IF(Members!$A497="","",Members!$A497)</f>
        <v/>
      </c>
      <c r="B497" s="31">
        <f>IF($A497="","",$I497+SUMIF(WeeklySummary!$B$2:$B$1000,$A497,WeeklySummary!$G$2:$G$1000))</f>
        <v/>
      </c>
      <c r="C497" s="31">
        <f>IF($B497="","",MIN(100,INT(SQRT($B497))))</f>
        <v/>
      </c>
      <c r="D497" s="31">
        <f>IF($C497="","",($C497+1)^2)</f>
        <v/>
      </c>
      <c r="E497" s="31">
        <f>IF($D497="","",$D497-$B497)</f>
        <v/>
      </c>
      <c r="F497" s="31">
        <f>IF($A497="","",SUMIF(MonthlySummary!$B$2:$B$1000,$A497,MonthlySummary!$E$2:$E$1000))</f>
        <v/>
      </c>
      <c r="G497" s="31" t="n">
        <v>0</v>
      </c>
      <c r="H497" s="31">
        <f>IF($A497="","",$F497-IF($G497="",0,$G497))</f>
        <v/>
      </c>
      <c r="I497" s="31">
        <f>IF($A497="","",IFERROR(XLOOKUP($A497,SeedPlacement!$A$2:$A$1000,SeedPlacement!$N$2:$N$1000),0))</f>
        <v/>
      </c>
      <c r="J497" s="59" t="n"/>
    </row>
    <row r="498">
      <c r="A498" s="31">
        <f>IF(Members!$A498="","",Members!$A498)</f>
        <v/>
      </c>
      <c r="B498" s="31">
        <f>IF($A498="","",$I498+SUMIF(WeeklySummary!$B$2:$B$1000,$A498,WeeklySummary!$G$2:$G$1000))</f>
        <v/>
      </c>
      <c r="C498" s="31">
        <f>IF($B498="","",MIN(100,INT(SQRT($B498))))</f>
        <v/>
      </c>
      <c r="D498" s="31">
        <f>IF($C498="","",($C498+1)^2)</f>
        <v/>
      </c>
      <c r="E498" s="31">
        <f>IF($D498="","",$D498-$B498)</f>
        <v/>
      </c>
      <c r="F498" s="31">
        <f>IF($A498="","",SUMIF(MonthlySummary!$B$2:$B$1000,$A498,MonthlySummary!$E$2:$E$1000))</f>
        <v/>
      </c>
      <c r="G498" s="31" t="n">
        <v>0</v>
      </c>
      <c r="H498" s="31">
        <f>IF($A498="","",$F498-IF($G498="",0,$G498))</f>
        <v/>
      </c>
      <c r="I498" s="31">
        <f>IF($A498="","",IFERROR(XLOOKUP($A498,SeedPlacement!$A$2:$A$1000,SeedPlacement!$N$2:$N$1000),0))</f>
        <v/>
      </c>
      <c r="J498" s="59" t="n"/>
    </row>
    <row r="499">
      <c r="A499" s="31">
        <f>IF(Members!$A499="","",Members!$A499)</f>
        <v/>
      </c>
      <c r="B499" s="31">
        <f>IF($A499="","",$I499+SUMIF(WeeklySummary!$B$2:$B$1000,$A499,WeeklySummary!$G$2:$G$1000))</f>
        <v/>
      </c>
      <c r="C499" s="31">
        <f>IF($B499="","",MIN(100,INT(SQRT($B499))))</f>
        <v/>
      </c>
      <c r="D499" s="31">
        <f>IF($C499="","",($C499+1)^2)</f>
        <v/>
      </c>
      <c r="E499" s="31">
        <f>IF($D499="","",$D499-$B499)</f>
        <v/>
      </c>
      <c r="F499" s="31">
        <f>IF($A499="","",SUMIF(MonthlySummary!$B$2:$B$1000,$A499,MonthlySummary!$E$2:$E$1000))</f>
        <v/>
      </c>
      <c r="G499" s="31" t="n">
        <v>0</v>
      </c>
      <c r="H499" s="31">
        <f>IF($A499="","",$F499-IF($G499="",0,$G499))</f>
        <v/>
      </c>
      <c r="I499" s="31">
        <f>IF($A499="","",IFERROR(XLOOKUP($A499,SeedPlacement!$A$2:$A$1000,SeedPlacement!$N$2:$N$1000),0))</f>
        <v/>
      </c>
      <c r="J499" s="59" t="n"/>
    </row>
    <row r="500">
      <c r="A500" s="31">
        <f>IF(Members!$A500="","",Members!$A500)</f>
        <v/>
      </c>
      <c r="B500" s="31">
        <f>IF($A500="","",$I500+SUMIF(WeeklySummary!$B$2:$B$1000,$A500,WeeklySummary!$G$2:$G$1000))</f>
        <v/>
      </c>
      <c r="C500" s="31">
        <f>IF($B500="","",MIN(100,INT(SQRT($B500))))</f>
        <v/>
      </c>
      <c r="D500" s="31">
        <f>IF($C500="","",($C500+1)^2)</f>
        <v/>
      </c>
      <c r="E500" s="31">
        <f>IF($D500="","",$D500-$B500)</f>
        <v/>
      </c>
      <c r="F500" s="31">
        <f>IF($A500="","",SUMIF(MonthlySummary!$B$2:$B$1000,$A500,MonthlySummary!$E$2:$E$1000))</f>
        <v/>
      </c>
      <c r="G500" s="31" t="n">
        <v>0</v>
      </c>
      <c r="H500" s="31">
        <f>IF($A500="","",$F500-IF($G500="",0,$G500))</f>
        <v/>
      </c>
      <c r="I500" s="31">
        <f>IF($A500="","",IFERROR(XLOOKUP($A500,SeedPlacement!$A$2:$A$1000,SeedPlacement!$N$2:$N$1000),0))</f>
        <v/>
      </c>
      <c r="J500" s="59" t="n"/>
    </row>
    <row r="501">
      <c r="A501" s="31">
        <f>IF(Members!$A501="","",Members!$A501)</f>
        <v/>
      </c>
      <c r="B501" s="31">
        <f>IF($A501="","",$I501+SUMIF(WeeklySummary!$B$2:$B$1000,$A501,WeeklySummary!$G$2:$G$1000))</f>
        <v/>
      </c>
      <c r="C501" s="31">
        <f>IF($B501="","",MIN(100,INT(SQRT($B501))))</f>
        <v/>
      </c>
      <c r="D501" s="31">
        <f>IF($C501="","",($C501+1)^2)</f>
        <v/>
      </c>
      <c r="E501" s="31">
        <f>IF($D501="","",$D501-$B501)</f>
        <v/>
      </c>
      <c r="F501" s="31">
        <f>IF($A501="","",SUMIF(MonthlySummary!$B$2:$B$1000,$A501,MonthlySummary!$E$2:$E$1000))</f>
        <v/>
      </c>
      <c r="G501" s="31" t="n">
        <v>0</v>
      </c>
      <c r="H501" s="31">
        <f>IF($A501="","",$F501-IF($G501="",0,$G501))</f>
        <v/>
      </c>
      <c r="I501" s="31">
        <f>IF($A501="","",IFERROR(XLOOKUP($A501,SeedPlacement!$A$2:$A$1000,SeedPlacement!$N$2:$N$1000),0))</f>
        <v/>
      </c>
      <c r="J501" s="59" t="n"/>
    </row>
    <row r="502">
      <c r="A502" s="31">
        <f>IF(Members!$A502="","",Members!$A502)</f>
        <v/>
      </c>
      <c r="B502" s="31">
        <f>IF($A502="","",$I502+SUMIF(WeeklySummary!$B$2:$B$1000,$A502,WeeklySummary!$G$2:$G$1000))</f>
        <v/>
      </c>
      <c r="C502" s="31">
        <f>IF($B502="","",MIN(100,INT(SQRT($B502))))</f>
        <v/>
      </c>
      <c r="D502" s="31">
        <f>IF($C502="","",($C502+1)^2)</f>
        <v/>
      </c>
      <c r="E502" s="31">
        <f>IF($D502="","",$D502-$B502)</f>
        <v/>
      </c>
      <c r="F502" s="31">
        <f>IF($A502="","",SUMIF(MonthlySummary!$B$2:$B$1000,$A502,MonthlySummary!$E$2:$E$1000))</f>
        <v/>
      </c>
      <c r="G502" s="31" t="n">
        <v>0</v>
      </c>
      <c r="H502" s="31">
        <f>IF($A502="","",$F502-IF($G502="",0,$G502))</f>
        <v/>
      </c>
      <c r="I502" s="31">
        <f>IF($A502="","",IFERROR(XLOOKUP($A502,SeedPlacement!$A$2:$A$1000,SeedPlacement!$N$2:$N$1000),0))</f>
        <v/>
      </c>
      <c r="J502" s="59" t="n"/>
    </row>
    <row r="503">
      <c r="A503" s="31">
        <f>IF(Members!$A503="","",Members!$A503)</f>
        <v/>
      </c>
      <c r="B503" s="31">
        <f>IF($A503="","",$I503+SUMIF(WeeklySummary!$B$2:$B$1000,$A503,WeeklySummary!$G$2:$G$1000))</f>
        <v/>
      </c>
      <c r="C503" s="31">
        <f>IF($B503="","",MIN(100,INT(SQRT($B503))))</f>
        <v/>
      </c>
      <c r="D503" s="31">
        <f>IF($C503="","",($C503+1)^2)</f>
        <v/>
      </c>
      <c r="E503" s="31">
        <f>IF($D503="","",$D503-$B503)</f>
        <v/>
      </c>
      <c r="F503" s="31">
        <f>IF($A503="","",SUMIF(MonthlySummary!$B$2:$B$1000,$A503,MonthlySummary!$E$2:$E$1000))</f>
        <v/>
      </c>
      <c r="G503" s="31" t="n">
        <v>0</v>
      </c>
      <c r="H503" s="31">
        <f>IF($A503="","",$F503-IF($G503="",0,$G503))</f>
        <v/>
      </c>
      <c r="I503" s="31">
        <f>IF($A503="","",IFERROR(XLOOKUP($A503,SeedPlacement!$A$2:$A$1000,SeedPlacement!$N$2:$N$1000),0))</f>
        <v/>
      </c>
      <c r="J503" s="59" t="n"/>
    </row>
    <row r="504">
      <c r="A504" s="31">
        <f>IF(Members!$A504="","",Members!$A504)</f>
        <v/>
      </c>
      <c r="B504" s="31">
        <f>IF($A504="","",$I504+SUMIF(WeeklySummary!$B$2:$B$1000,$A504,WeeklySummary!$G$2:$G$1000))</f>
        <v/>
      </c>
      <c r="C504" s="31">
        <f>IF($B504="","",MIN(100,INT(SQRT($B504))))</f>
        <v/>
      </c>
      <c r="D504" s="31">
        <f>IF($C504="","",($C504+1)^2)</f>
        <v/>
      </c>
      <c r="E504" s="31">
        <f>IF($D504="","",$D504-$B504)</f>
        <v/>
      </c>
      <c r="F504" s="31">
        <f>IF($A504="","",SUMIF(MonthlySummary!$B$2:$B$1000,$A504,MonthlySummary!$E$2:$E$1000))</f>
        <v/>
      </c>
      <c r="G504" s="31" t="n">
        <v>0</v>
      </c>
      <c r="H504" s="31">
        <f>IF($A504="","",$F504-IF($G504="",0,$G504))</f>
        <v/>
      </c>
      <c r="I504" s="31">
        <f>IF($A504="","",IFERROR(XLOOKUP($A504,SeedPlacement!$A$2:$A$1000,SeedPlacement!$N$2:$N$1000),0))</f>
        <v/>
      </c>
      <c r="J504" s="59" t="n"/>
    </row>
    <row r="505">
      <c r="A505" s="31">
        <f>IF(Members!$A505="","",Members!$A505)</f>
        <v/>
      </c>
      <c r="B505" s="31">
        <f>IF($A505="","",$I505+SUMIF(WeeklySummary!$B$2:$B$1000,$A505,WeeklySummary!$G$2:$G$1000))</f>
        <v/>
      </c>
      <c r="C505" s="31">
        <f>IF($B505="","",MIN(100,INT(SQRT($B505))))</f>
        <v/>
      </c>
      <c r="D505" s="31">
        <f>IF($C505="","",($C505+1)^2)</f>
        <v/>
      </c>
      <c r="E505" s="31">
        <f>IF($D505="","",$D505-$B505)</f>
        <v/>
      </c>
      <c r="F505" s="31">
        <f>IF($A505="","",SUMIF(MonthlySummary!$B$2:$B$1000,$A505,MonthlySummary!$E$2:$E$1000))</f>
        <v/>
      </c>
      <c r="G505" s="31" t="n">
        <v>0</v>
      </c>
      <c r="H505" s="31">
        <f>IF($A505="","",$F505-IF($G505="",0,$G505))</f>
        <v/>
      </c>
      <c r="I505" s="31">
        <f>IF($A505="","",IFERROR(XLOOKUP($A505,SeedPlacement!$A$2:$A$1000,SeedPlacement!$N$2:$N$1000),0))</f>
        <v/>
      </c>
      <c r="J505" s="59" t="n"/>
    </row>
    <row r="506">
      <c r="A506" s="31">
        <f>IF(Members!$A506="","",Members!$A506)</f>
        <v/>
      </c>
      <c r="B506" s="31">
        <f>IF($A506="","",$I506+SUMIF(WeeklySummary!$B$2:$B$1000,$A506,WeeklySummary!$G$2:$G$1000))</f>
        <v/>
      </c>
      <c r="C506" s="31">
        <f>IF($B506="","",MIN(100,INT(SQRT($B506))))</f>
        <v/>
      </c>
      <c r="D506" s="31">
        <f>IF($C506="","",($C506+1)^2)</f>
        <v/>
      </c>
      <c r="E506" s="31">
        <f>IF($D506="","",$D506-$B506)</f>
        <v/>
      </c>
      <c r="F506" s="31">
        <f>IF($A506="","",SUMIF(MonthlySummary!$B$2:$B$1000,$A506,MonthlySummary!$E$2:$E$1000))</f>
        <v/>
      </c>
      <c r="G506" s="31" t="n">
        <v>0</v>
      </c>
      <c r="H506" s="31">
        <f>IF($A506="","",$F506-IF($G506="",0,$G506))</f>
        <v/>
      </c>
      <c r="I506" s="31">
        <f>IF($A506="","",IFERROR(XLOOKUP($A506,SeedPlacement!$A$2:$A$1000,SeedPlacement!$N$2:$N$1000),0))</f>
        <v/>
      </c>
      <c r="J506" s="59" t="n"/>
    </row>
    <row r="507">
      <c r="A507" s="31">
        <f>IF(Members!$A507="","",Members!$A507)</f>
        <v/>
      </c>
      <c r="B507" s="31">
        <f>IF($A507="","",$I507+SUMIF(WeeklySummary!$B$2:$B$1000,$A507,WeeklySummary!$G$2:$G$1000))</f>
        <v/>
      </c>
      <c r="C507" s="31">
        <f>IF($B507="","",MIN(100,INT(SQRT($B507))))</f>
        <v/>
      </c>
      <c r="D507" s="31">
        <f>IF($C507="","",($C507+1)^2)</f>
        <v/>
      </c>
      <c r="E507" s="31">
        <f>IF($D507="","",$D507-$B507)</f>
        <v/>
      </c>
      <c r="F507" s="31">
        <f>IF($A507="","",SUMIF(MonthlySummary!$B$2:$B$1000,$A507,MonthlySummary!$E$2:$E$1000))</f>
        <v/>
      </c>
      <c r="G507" s="31" t="n">
        <v>0</v>
      </c>
      <c r="H507" s="31">
        <f>IF($A507="","",$F507-IF($G507="",0,$G507))</f>
        <v/>
      </c>
      <c r="I507" s="31">
        <f>IF($A507="","",IFERROR(XLOOKUP($A507,SeedPlacement!$A$2:$A$1000,SeedPlacement!$N$2:$N$1000),0))</f>
        <v/>
      </c>
      <c r="J507" s="59" t="n"/>
    </row>
    <row r="508">
      <c r="A508" s="31">
        <f>IF(Members!$A508="","",Members!$A508)</f>
        <v/>
      </c>
      <c r="B508" s="31">
        <f>IF($A508="","",$I508+SUMIF(WeeklySummary!$B$2:$B$1000,$A508,WeeklySummary!$G$2:$G$1000))</f>
        <v/>
      </c>
      <c r="C508" s="31">
        <f>IF($B508="","",MIN(100,INT(SQRT($B508))))</f>
        <v/>
      </c>
      <c r="D508" s="31">
        <f>IF($C508="","",($C508+1)^2)</f>
        <v/>
      </c>
      <c r="E508" s="31">
        <f>IF($D508="","",$D508-$B508)</f>
        <v/>
      </c>
      <c r="F508" s="31">
        <f>IF($A508="","",SUMIF(MonthlySummary!$B$2:$B$1000,$A508,MonthlySummary!$E$2:$E$1000))</f>
        <v/>
      </c>
      <c r="G508" s="31" t="n">
        <v>0</v>
      </c>
      <c r="H508" s="31">
        <f>IF($A508="","",$F508-IF($G508="",0,$G508))</f>
        <v/>
      </c>
      <c r="I508" s="31">
        <f>IF($A508="","",IFERROR(XLOOKUP($A508,SeedPlacement!$A$2:$A$1000,SeedPlacement!$N$2:$N$1000),0))</f>
        <v/>
      </c>
      <c r="J508" s="59" t="n"/>
    </row>
    <row r="509">
      <c r="A509" s="31">
        <f>IF(Members!$A509="","",Members!$A509)</f>
        <v/>
      </c>
      <c r="B509" s="31">
        <f>IF($A509="","",$I509+SUMIF(WeeklySummary!$B$2:$B$1000,$A509,WeeklySummary!$G$2:$G$1000))</f>
        <v/>
      </c>
      <c r="C509" s="31">
        <f>IF($B509="","",MIN(100,INT(SQRT($B509))))</f>
        <v/>
      </c>
      <c r="D509" s="31">
        <f>IF($C509="","",($C509+1)^2)</f>
        <v/>
      </c>
      <c r="E509" s="31">
        <f>IF($D509="","",$D509-$B509)</f>
        <v/>
      </c>
      <c r="F509" s="31">
        <f>IF($A509="","",SUMIF(MonthlySummary!$B$2:$B$1000,$A509,MonthlySummary!$E$2:$E$1000))</f>
        <v/>
      </c>
      <c r="G509" s="31" t="n">
        <v>0</v>
      </c>
      <c r="H509" s="31">
        <f>IF($A509="","",$F509-IF($G509="",0,$G509))</f>
        <v/>
      </c>
      <c r="I509" s="31">
        <f>IF($A509="","",IFERROR(XLOOKUP($A509,SeedPlacement!$A$2:$A$1000,SeedPlacement!$N$2:$N$1000),0))</f>
        <v/>
      </c>
      <c r="J509" s="59" t="n"/>
    </row>
    <row r="510">
      <c r="A510" s="31">
        <f>IF(Members!$A510="","",Members!$A510)</f>
        <v/>
      </c>
      <c r="B510" s="31">
        <f>IF($A510="","",$I510+SUMIF(WeeklySummary!$B$2:$B$1000,$A510,WeeklySummary!$G$2:$G$1000))</f>
        <v/>
      </c>
      <c r="C510" s="31">
        <f>IF($B510="","",MIN(100,INT(SQRT($B510))))</f>
        <v/>
      </c>
      <c r="D510" s="31">
        <f>IF($C510="","",($C510+1)^2)</f>
        <v/>
      </c>
      <c r="E510" s="31">
        <f>IF($D510="","",$D510-$B510)</f>
        <v/>
      </c>
      <c r="F510" s="31">
        <f>IF($A510="","",SUMIF(MonthlySummary!$B$2:$B$1000,$A510,MonthlySummary!$E$2:$E$1000))</f>
        <v/>
      </c>
      <c r="G510" s="31" t="n">
        <v>0</v>
      </c>
      <c r="H510" s="31">
        <f>IF($A510="","",$F510-IF($G510="",0,$G510))</f>
        <v/>
      </c>
      <c r="I510" s="31">
        <f>IF($A510="","",IFERROR(XLOOKUP($A510,SeedPlacement!$A$2:$A$1000,SeedPlacement!$N$2:$N$1000),0))</f>
        <v/>
      </c>
      <c r="J510" s="59" t="n"/>
    </row>
    <row r="511">
      <c r="A511" s="31">
        <f>IF(Members!$A511="","",Members!$A511)</f>
        <v/>
      </c>
      <c r="B511" s="31">
        <f>IF($A511="","",$I511+SUMIF(WeeklySummary!$B$2:$B$1000,$A511,WeeklySummary!$G$2:$G$1000))</f>
        <v/>
      </c>
      <c r="C511" s="31">
        <f>IF($B511="","",MIN(100,INT(SQRT($B511))))</f>
        <v/>
      </c>
      <c r="D511" s="31">
        <f>IF($C511="","",($C511+1)^2)</f>
        <v/>
      </c>
      <c r="E511" s="31">
        <f>IF($D511="","",$D511-$B511)</f>
        <v/>
      </c>
      <c r="F511" s="31">
        <f>IF($A511="","",SUMIF(MonthlySummary!$B$2:$B$1000,$A511,MonthlySummary!$E$2:$E$1000))</f>
        <v/>
      </c>
      <c r="G511" s="31" t="n">
        <v>0</v>
      </c>
      <c r="H511" s="31">
        <f>IF($A511="","",$F511-IF($G511="",0,$G511))</f>
        <v/>
      </c>
      <c r="I511" s="31">
        <f>IF($A511="","",IFERROR(XLOOKUP($A511,SeedPlacement!$A$2:$A$1000,SeedPlacement!$N$2:$N$1000),0))</f>
        <v/>
      </c>
      <c r="J511" s="59" t="n"/>
    </row>
    <row r="512">
      <c r="A512" s="31">
        <f>IF(Members!$A512="","",Members!$A512)</f>
        <v/>
      </c>
      <c r="B512" s="31">
        <f>IF($A512="","",$I512+SUMIF(WeeklySummary!$B$2:$B$1000,$A512,WeeklySummary!$G$2:$G$1000))</f>
        <v/>
      </c>
      <c r="C512" s="31">
        <f>IF($B512="","",MIN(100,INT(SQRT($B512))))</f>
        <v/>
      </c>
      <c r="D512" s="31">
        <f>IF($C512="","",($C512+1)^2)</f>
        <v/>
      </c>
      <c r="E512" s="31">
        <f>IF($D512="","",$D512-$B512)</f>
        <v/>
      </c>
      <c r="F512" s="31">
        <f>IF($A512="","",SUMIF(MonthlySummary!$B$2:$B$1000,$A512,MonthlySummary!$E$2:$E$1000))</f>
        <v/>
      </c>
      <c r="G512" s="31" t="n">
        <v>0</v>
      </c>
      <c r="H512" s="31">
        <f>IF($A512="","",$F512-IF($G512="",0,$G512))</f>
        <v/>
      </c>
      <c r="I512" s="31">
        <f>IF($A512="","",IFERROR(XLOOKUP($A512,SeedPlacement!$A$2:$A$1000,SeedPlacement!$N$2:$N$1000),0))</f>
        <v/>
      </c>
      <c r="J512" s="59" t="n"/>
    </row>
    <row r="513">
      <c r="A513" s="31">
        <f>IF(Members!$A513="","",Members!$A513)</f>
        <v/>
      </c>
      <c r="B513" s="31">
        <f>IF($A513="","",$I513+SUMIF(WeeklySummary!$B$2:$B$1000,$A513,WeeklySummary!$G$2:$G$1000))</f>
        <v/>
      </c>
      <c r="C513" s="31">
        <f>IF($B513="","",MIN(100,INT(SQRT($B513))))</f>
        <v/>
      </c>
      <c r="D513" s="31">
        <f>IF($C513="","",($C513+1)^2)</f>
        <v/>
      </c>
      <c r="E513" s="31">
        <f>IF($D513="","",$D513-$B513)</f>
        <v/>
      </c>
      <c r="F513" s="31">
        <f>IF($A513="","",SUMIF(MonthlySummary!$B$2:$B$1000,$A513,MonthlySummary!$E$2:$E$1000))</f>
        <v/>
      </c>
      <c r="G513" s="31" t="n">
        <v>0</v>
      </c>
      <c r="H513" s="31">
        <f>IF($A513="","",$F513-IF($G513="",0,$G513))</f>
        <v/>
      </c>
      <c r="I513" s="31">
        <f>IF($A513="","",IFERROR(XLOOKUP($A513,SeedPlacement!$A$2:$A$1000,SeedPlacement!$N$2:$N$1000),0))</f>
        <v/>
      </c>
      <c r="J513" s="59" t="n"/>
    </row>
    <row r="514">
      <c r="A514" s="31">
        <f>IF(Members!$A514="","",Members!$A514)</f>
        <v/>
      </c>
      <c r="B514" s="31">
        <f>IF($A514="","",$I514+SUMIF(WeeklySummary!$B$2:$B$1000,$A514,WeeklySummary!$G$2:$G$1000))</f>
        <v/>
      </c>
      <c r="C514" s="31">
        <f>IF($B514="","",MIN(100,INT(SQRT($B514))))</f>
        <v/>
      </c>
      <c r="D514" s="31">
        <f>IF($C514="","",($C514+1)^2)</f>
        <v/>
      </c>
      <c r="E514" s="31">
        <f>IF($D514="","",$D514-$B514)</f>
        <v/>
      </c>
      <c r="F514" s="31">
        <f>IF($A514="","",SUMIF(MonthlySummary!$B$2:$B$1000,$A514,MonthlySummary!$E$2:$E$1000))</f>
        <v/>
      </c>
      <c r="G514" s="31" t="n">
        <v>0</v>
      </c>
      <c r="H514" s="31">
        <f>IF($A514="","",$F514-IF($G514="",0,$G514))</f>
        <v/>
      </c>
      <c r="I514" s="31">
        <f>IF($A514="","",IFERROR(XLOOKUP($A514,SeedPlacement!$A$2:$A$1000,SeedPlacement!$N$2:$N$1000),0))</f>
        <v/>
      </c>
      <c r="J514" s="59" t="n"/>
    </row>
    <row r="515">
      <c r="A515" s="31">
        <f>IF(Members!$A515="","",Members!$A515)</f>
        <v/>
      </c>
      <c r="B515" s="31">
        <f>IF($A515="","",$I515+SUMIF(WeeklySummary!$B$2:$B$1000,$A515,WeeklySummary!$G$2:$G$1000))</f>
        <v/>
      </c>
      <c r="C515" s="31">
        <f>IF($B515="","",MIN(100,INT(SQRT($B515))))</f>
        <v/>
      </c>
      <c r="D515" s="31">
        <f>IF($C515="","",($C515+1)^2)</f>
        <v/>
      </c>
      <c r="E515" s="31">
        <f>IF($D515="","",$D515-$B515)</f>
        <v/>
      </c>
      <c r="F515" s="31">
        <f>IF($A515="","",SUMIF(MonthlySummary!$B$2:$B$1000,$A515,MonthlySummary!$E$2:$E$1000))</f>
        <v/>
      </c>
      <c r="G515" s="31" t="n">
        <v>0</v>
      </c>
      <c r="H515" s="31">
        <f>IF($A515="","",$F515-IF($G515="",0,$G515))</f>
        <v/>
      </c>
      <c r="I515" s="31">
        <f>IF($A515="","",IFERROR(XLOOKUP($A515,SeedPlacement!$A$2:$A$1000,SeedPlacement!$N$2:$N$1000),0))</f>
        <v/>
      </c>
      <c r="J515" s="59" t="n"/>
    </row>
    <row r="516">
      <c r="A516" s="31">
        <f>IF(Members!$A516="","",Members!$A516)</f>
        <v/>
      </c>
      <c r="B516" s="31">
        <f>IF($A516="","",$I516+SUMIF(WeeklySummary!$B$2:$B$1000,$A516,WeeklySummary!$G$2:$G$1000))</f>
        <v/>
      </c>
      <c r="C516" s="31">
        <f>IF($B516="","",MIN(100,INT(SQRT($B516))))</f>
        <v/>
      </c>
      <c r="D516" s="31">
        <f>IF($C516="","",($C516+1)^2)</f>
        <v/>
      </c>
      <c r="E516" s="31">
        <f>IF($D516="","",$D516-$B516)</f>
        <v/>
      </c>
      <c r="F516" s="31">
        <f>IF($A516="","",SUMIF(MonthlySummary!$B$2:$B$1000,$A516,MonthlySummary!$E$2:$E$1000))</f>
        <v/>
      </c>
      <c r="G516" s="31" t="n">
        <v>0</v>
      </c>
      <c r="H516" s="31">
        <f>IF($A516="","",$F516-IF($G516="",0,$G516))</f>
        <v/>
      </c>
      <c r="I516" s="31">
        <f>IF($A516="","",IFERROR(XLOOKUP($A516,SeedPlacement!$A$2:$A$1000,SeedPlacement!$N$2:$N$1000),0))</f>
        <v/>
      </c>
      <c r="J516" s="59" t="n"/>
    </row>
    <row r="517">
      <c r="A517" s="31">
        <f>IF(Members!$A517="","",Members!$A517)</f>
        <v/>
      </c>
      <c r="B517" s="31">
        <f>IF($A517="","",$I517+SUMIF(WeeklySummary!$B$2:$B$1000,$A517,WeeklySummary!$G$2:$G$1000))</f>
        <v/>
      </c>
      <c r="C517" s="31">
        <f>IF($B517="","",MIN(100,INT(SQRT($B517))))</f>
        <v/>
      </c>
      <c r="D517" s="31">
        <f>IF($C517="","",($C517+1)^2)</f>
        <v/>
      </c>
      <c r="E517" s="31">
        <f>IF($D517="","",$D517-$B517)</f>
        <v/>
      </c>
      <c r="F517" s="31">
        <f>IF($A517="","",SUMIF(MonthlySummary!$B$2:$B$1000,$A517,MonthlySummary!$E$2:$E$1000))</f>
        <v/>
      </c>
      <c r="G517" s="31" t="n">
        <v>0</v>
      </c>
      <c r="H517" s="31">
        <f>IF($A517="","",$F517-IF($G517="",0,$G517))</f>
        <v/>
      </c>
      <c r="I517" s="31">
        <f>IF($A517="","",IFERROR(XLOOKUP($A517,SeedPlacement!$A$2:$A$1000,SeedPlacement!$N$2:$N$1000),0))</f>
        <v/>
      </c>
      <c r="J517" s="59" t="n"/>
    </row>
    <row r="518">
      <c r="A518" s="31">
        <f>IF(Members!$A518="","",Members!$A518)</f>
        <v/>
      </c>
      <c r="B518" s="31">
        <f>IF($A518="","",$I518+SUMIF(WeeklySummary!$B$2:$B$1000,$A518,WeeklySummary!$G$2:$G$1000))</f>
        <v/>
      </c>
      <c r="C518" s="31">
        <f>IF($B518="","",MIN(100,INT(SQRT($B518))))</f>
        <v/>
      </c>
      <c r="D518" s="31">
        <f>IF($C518="","",($C518+1)^2)</f>
        <v/>
      </c>
      <c r="E518" s="31">
        <f>IF($D518="","",$D518-$B518)</f>
        <v/>
      </c>
      <c r="F518" s="31">
        <f>IF($A518="","",SUMIF(MonthlySummary!$B$2:$B$1000,$A518,MonthlySummary!$E$2:$E$1000))</f>
        <v/>
      </c>
      <c r="G518" s="31" t="n">
        <v>0</v>
      </c>
      <c r="H518" s="31">
        <f>IF($A518="","",$F518-IF($G518="",0,$G518))</f>
        <v/>
      </c>
      <c r="I518" s="31">
        <f>IF($A518="","",IFERROR(XLOOKUP($A518,SeedPlacement!$A$2:$A$1000,SeedPlacement!$N$2:$N$1000),0))</f>
        <v/>
      </c>
      <c r="J518" s="59" t="n"/>
    </row>
    <row r="519">
      <c r="A519" s="31">
        <f>IF(Members!$A519="","",Members!$A519)</f>
        <v/>
      </c>
      <c r="B519" s="31">
        <f>IF($A519="","",$I519+SUMIF(WeeklySummary!$B$2:$B$1000,$A519,WeeklySummary!$G$2:$G$1000))</f>
        <v/>
      </c>
      <c r="C519" s="31">
        <f>IF($B519="","",MIN(100,INT(SQRT($B519))))</f>
        <v/>
      </c>
      <c r="D519" s="31">
        <f>IF($C519="","",($C519+1)^2)</f>
        <v/>
      </c>
      <c r="E519" s="31">
        <f>IF($D519="","",$D519-$B519)</f>
        <v/>
      </c>
      <c r="F519" s="31">
        <f>IF($A519="","",SUMIF(MonthlySummary!$B$2:$B$1000,$A519,MonthlySummary!$E$2:$E$1000))</f>
        <v/>
      </c>
      <c r="G519" s="31" t="n">
        <v>0</v>
      </c>
      <c r="H519" s="31">
        <f>IF($A519="","",$F519-IF($G519="",0,$G519))</f>
        <v/>
      </c>
      <c r="I519" s="31">
        <f>IF($A519="","",IFERROR(XLOOKUP($A519,SeedPlacement!$A$2:$A$1000,SeedPlacement!$N$2:$N$1000),0))</f>
        <v/>
      </c>
      <c r="J519" s="59" t="n"/>
    </row>
    <row r="520">
      <c r="A520" s="31">
        <f>IF(Members!$A520="","",Members!$A520)</f>
        <v/>
      </c>
      <c r="B520" s="31">
        <f>IF($A520="","",$I520+SUMIF(WeeklySummary!$B$2:$B$1000,$A520,WeeklySummary!$G$2:$G$1000))</f>
        <v/>
      </c>
      <c r="C520" s="31">
        <f>IF($B520="","",MIN(100,INT(SQRT($B520))))</f>
        <v/>
      </c>
      <c r="D520" s="31">
        <f>IF($C520="","",($C520+1)^2)</f>
        <v/>
      </c>
      <c r="E520" s="31">
        <f>IF($D520="","",$D520-$B520)</f>
        <v/>
      </c>
      <c r="F520" s="31">
        <f>IF($A520="","",SUMIF(MonthlySummary!$B$2:$B$1000,$A520,MonthlySummary!$E$2:$E$1000))</f>
        <v/>
      </c>
      <c r="G520" s="31" t="n">
        <v>0</v>
      </c>
      <c r="H520" s="31">
        <f>IF($A520="","",$F520-IF($G520="",0,$G520))</f>
        <v/>
      </c>
      <c r="I520" s="31">
        <f>IF($A520="","",IFERROR(XLOOKUP($A520,SeedPlacement!$A$2:$A$1000,SeedPlacement!$N$2:$N$1000),0))</f>
        <v/>
      </c>
      <c r="J520" s="59" t="n"/>
    </row>
    <row r="521">
      <c r="A521" s="31">
        <f>IF(Members!$A521="","",Members!$A521)</f>
        <v/>
      </c>
      <c r="B521" s="31">
        <f>IF($A521="","",$I521+SUMIF(WeeklySummary!$B$2:$B$1000,$A521,WeeklySummary!$G$2:$G$1000))</f>
        <v/>
      </c>
      <c r="C521" s="31">
        <f>IF($B521="","",MIN(100,INT(SQRT($B521))))</f>
        <v/>
      </c>
      <c r="D521" s="31">
        <f>IF($C521="","",($C521+1)^2)</f>
        <v/>
      </c>
      <c r="E521" s="31">
        <f>IF($D521="","",$D521-$B521)</f>
        <v/>
      </c>
      <c r="F521" s="31">
        <f>IF($A521="","",SUMIF(MonthlySummary!$B$2:$B$1000,$A521,MonthlySummary!$E$2:$E$1000))</f>
        <v/>
      </c>
      <c r="G521" s="31" t="n">
        <v>0</v>
      </c>
      <c r="H521" s="31">
        <f>IF($A521="","",$F521-IF($G521="",0,$G521))</f>
        <v/>
      </c>
      <c r="I521" s="31">
        <f>IF($A521="","",IFERROR(XLOOKUP($A521,SeedPlacement!$A$2:$A$1000,SeedPlacement!$N$2:$N$1000),0))</f>
        <v/>
      </c>
      <c r="J521" s="59" t="n"/>
    </row>
    <row r="522">
      <c r="A522" s="31">
        <f>IF(Members!$A522="","",Members!$A522)</f>
        <v/>
      </c>
      <c r="B522" s="31">
        <f>IF($A522="","",$I522+SUMIF(WeeklySummary!$B$2:$B$1000,$A522,WeeklySummary!$G$2:$G$1000))</f>
        <v/>
      </c>
      <c r="C522" s="31">
        <f>IF($B522="","",MIN(100,INT(SQRT($B522))))</f>
        <v/>
      </c>
      <c r="D522" s="31">
        <f>IF($C522="","",($C522+1)^2)</f>
        <v/>
      </c>
      <c r="E522" s="31">
        <f>IF($D522="","",$D522-$B522)</f>
        <v/>
      </c>
      <c r="F522" s="31">
        <f>IF($A522="","",SUMIF(MonthlySummary!$B$2:$B$1000,$A522,MonthlySummary!$E$2:$E$1000))</f>
        <v/>
      </c>
      <c r="G522" s="31" t="n">
        <v>0</v>
      </c>
      <c r="H522" s="31">
        <f>IF($A522="","",$F522-IF($G522="",0,$G522))</f>
        <v/>
      </c>
      <c r="I522" s="31">
        <f>IF($A522="","",IFERROR(XLOOKUP($A522,SeedPlacement!$A$2:$A$1000,SeedPlacement!$N$2:$N$1000),0))</f>
        <v/>
      </c>
      <c r="J522" s="59" t="n"/>
    </row>
    <row r="523">
      <c r="A523" s="31">
        <f>IF(Members!$A523="","",Members!$A523)</f>
        <v/>
      </c>
      <c r="B523" s="31">
        <f>IF($A523="","",$I523+SUMIF(WeeklySummary!$B$2:$B$1000,$A523,WeeklySummary!$G$2:$G$1000))</f>
        <v/>
      </c>
      <c r="C523" s="31">
        <f>IF($B523="","",MIN(100,INT(SQRT($B523))))</f>
        <v/>
      </c>
      <c r="D523" s="31">
        <f>IF($C523="","",($C523+1)^2)</f>
        <v/>
      </c>
      <c r="E523" s="31">
        <f>IF($D523="","",$D523-$B523)</f>
        <v/>
      </c>
      <c r="F523" s="31">
        <f>IF($A523="","",SUMIF(MonthlySummary!$B$2:$B$1000,$A523,MonthlySummary!$E$2:$E$1000))</f>
        <v/>
      </c>
      <c r="G523" s="31" t="n">
        <v>0</v>
      </c>
      <c r="H523" s="31">
        <f>IF($A523="","",$F523-IF($G523="",0,$G523))</f>
        <v/>
      </c>
      <c r="I523" s="31">
        <f>IF($A523="","",IFERROR(XLOOKUP($A523,SeedPlacement!$A$2:$A$1000,SeedPlacement!$N$2:$N$1000),0))</f>
        <v/>
      </c>
      <c r="J523" s="59" t="n"/>
    </row>
    <row r="524">
      <c r="A524" s="31">
        <f>IF(Members!$A524="","",Members!$A524)</f>
        <v/>
      </c>
      <c r="B524" s="31">
        <f>IF($A524="","",$I524+SUMIF(WeeklySummary!$B$2:$B$1000,$A524,WeeklySummary!$G$2:$G$1000))</f>
        <v/>
      </c>
      <c r="C524" s="31">
        <f>IF($B524="","",MIN(100,INT(SQRT($B524))))</f>
        <v/>
      </c>
      <c r="D524" s="31">
        <f>IF($C524="","",($C524+1)^2)</f>
        <v/>
      </c>
      <c r="E524" s="31">
        <f>IF($D524="","",$D524-$B524)</f>
        <v/>
      </c>
      <c r="F524" s="31">
        <f>IF($A524="","",SUMIF(MonthlySummary!$B$2:$B$1000,$A524,MonthlySummary!$E$2:$E$1000))</f>
        <v/>
      </c>
      <c r="G524" s="31" t="n">
        <v>0</v>
      </c>
      <c r="H524" s="31">
        <f>IF($A524="","",$F524-IF($G524="",0,$G524))</f>
        <v/>
      </c>
      <c r="I524" s="31">
        <f>IF($A524="","",IFERROR(XLOOKUP($A524,SeedPlacement!$A$2:$A$1000,SeedPlacement!$N$2:$N$1000),0))</f>
        <v/>
      </c>
      <c r="J524" s="59" t="n"/>
    </row>
    <row r="525">
      <c r="A525" s="31">
        <f>IF(Members!$A525="","",Members!$A525)</f>
        <v/>
      </c>
      <c r="B525" s="31">
        <f>IF($A525="","",$I525+SUMIF(WeeklySummary!$B$2:$B$1000,$A525,WeeklySummary!$G$2:$G$1000))</f>
        <v/>
      </c>
      <c r="C525" s="31">
        <f>IF($B525="","",MIN(100,INT(SQRT($B525))))</f>
        <v/>
      </c>
      <c r="D525" s="31">
        <f>IF($C525="","",($C525+1)^2)</f>
        <v/>
      </c>
      <c r="E525" s="31">
        <f>IF($D525="","",$D525-$B525)</f>
        <v/>
      </c>
      <c r="F525" s="31">
        <f>IF($A525="","",SUMIF(MonthlySummary!$B$2:$B$1000,$A525,MonthlySummary!$E$2:$E$1000))</f>
        <v/>
      </c>
      <c r="G525" s="31" t="n">
        <v>0</v>
      </c>
      <c r="H525" s="31">
        <f>IF($A525="","",$F525-IF($G525="",0,$G525))</f>
        <v/>
      </c>
      <c r="I525" s="31">
        <f>IF($A525="","",IFERROR(XLOOKUP($A525,SeedPlacement!$A$2:$A$1000,SeedPlacement!$N$2:$N$1000),0))</f>
        <v/>
      </c>
      <c r="J525" s="59" t="n"/>
    </row>
    <row r="526">
      <c r="A526" s="31">
        <f>IF(Members!$A526="","",Members!$A526)</f>
        <v/>
      </c>
      <c r="B526" s="31">
        <f>IF($A526="","",$I526+SUMIF(WeeklySummary!$B$2:$B$1000,$A526,WeeklySummary!$G$2:$G$1000))</f>
        <v/>
      </c>
      <c r="C526" s="31">
        <f>IF($B526="","",MIN(100,INT(SQRT($B526))))</f>
        <v/>
      </c>
      <c r="D526" s="31">
        <f>IF($C526="","",($C526+1)^2)</f>
        <v/>
      </c>
      <c r="E526" s="31">
        <f>IF($D526="","",$D526-$B526)</f>
        <v/>
      </c>
      <c r="F526" s="31">
        <f>IF($A526="","",SUMIF(MonthlySummary!$B$2:$B$1000,$A526,MonthlySummary!$E$2:$E$1000))</f>
        <v/>
      </c>
      <c r="G526" s="31" t="n">
        <v>0</v>
      </c>
      <c r="H526" s="31">
        <f>IF($A526="","",$F526-IF($G526="",0,$G526))</f>
        <v/>
      </c>
      <c r="I526" s="31">
        <f>IF($A526="","",IFERROR(XLOOKUP($A526,SeedPlacement!$A$2:$A$1000,SeedPlacement!$N$2:$N$1000),0))</f>
        <v/>
      </c>
      <c r="J526" s="59" t="n"/>
    </row>
    <row r="527">
      <c r="A527" s="31">
        <f>IF(Members!$A527="","",Members!$A527)</f>
        <v/>
      </c>
      <c r="B527" s="31">
        <f>IF($A527="","",$I527+SUMIF(WeeklySummary!$B$2:$B$1000,$A527,WeeklySummary!$G$2:$G$1000))</f>
        <v/>
      </c>
      <c r="C527" s="31">
        <f>IF($B527="","",MIN(100,INT(SQRT($B527))))</f>
        <v/>
      </c>
      <c r="D527" s="31">
        <f>IF($C527="","",($C527+1)^2)</f>
        <v/>
      </c>
      <c r="E527" s="31">
        <f>IF($D527="","",$D527-$B527)</f>
        <v/>
      </c>
      <c r="F527" s="31">
        <f>IF($A527="","",SUMIF(MonthlySummary!$B$2:$B$1000,$A527,MonthlySummary!$E$2:$E$1000))</f>
        <v/>
      </c>
      <c r="G527" s="31" t="n">
        <v>0</v>
      </c>
      <c r="H527" s="31">
        <f>IF($A527="","",$F527-IF($G527="",0,$G527))</f>
        <v/>
      </c>
      <c r="I527" s="31">
        <f>IF($A527="","",IFERROR(XLOOKUP($A527,SeedPlacement!$A$2:$A$1000,SeedPlacement!$N$2:$N$1000),0))</f>
        <v/>
      </c>
      <c r="J527" s="59" t="n"/>
    </row>
    <row r="528">
      <c r="A528" s="31">
        <f>IF(Members!$A528="","",Members!$A528)</f>
        <v/>
      </c>
      <c r="B528" s="31">
        <f>IF($A528="","",$I528+SUMIF(WeeklySummary!$B$2:$B$1000,$A528,WeeklySummary!$G$2:$G$1000))</f>
        <v/>
      </c>
      <c r="C528" s="31">
        <f>IF($B528="","",MIN(100,INT(SQRT($B528))))</f>
        <v/>
      </c>
      <c r="D528" s="31">
        <f>IF($C528="","",($C528+1)^2)</f>
        <v/>
      </c>
      <c r="E528" s="31">
        <f>IF($D528="","",$D528-$B528)</f>
        <v/>
      </c>
      <c r="F528" s="31">
        <f>IF($A528="","",SUMIF(MonthlySummary!$B$2:$B$1000,$A528,MonthlySummary!$E$2:$E$1000))</f>
        <v/>
      </c>
      <c r="G528" s="31" t="n">
        <v>0</v>
      </c>
      <c r="H528" s="31">
        <f>IF($A528="","",$F528-IF($G528="",0,$G528))</f>
        <v/>
      </c>
      <c r="I528" s="31">
        <f>IF($A528="","",IFERROR(XLOOKUP($A528,SeedPlacement!$A$2:$A$1000,SeedPlacement!$N$2:$N$1000),0))</f>
        <v/>
      </c>
      <c r="J528" s="59" t="n"/>
    </row>
    <row r="529">
      <c r="A529" s="31">
        <f>IF(Members!$A529="","",Members!$A529)</f>
        <v/>
      </c>
      <c r="B529" s="31">
        <f>IF($A529="","",$I529+SUMIF(WeeklySummary!$B$2:$B$1000,$A529,WeeklySummary!$G$2:$G$1000))</f>
        <v/>
      </c>
      <c r="C529" s="31">
        <f>IF($B529="","",MIN(100,INT(SQRT($B529))))</f>
        <v/>
      </c>
      <c r="D529" s="31">
        <f>IF($C529="","",($C529+1)^2)</f>
        <v/>
      </c>
      <c r="E529" s="31">
        <f>IF($D529="","",$D529-$B529)</f>
        <v/>
      </c>
      <c r="F529" s="31">
        <f>IF($A529="","",SUMIF(MonthlySummary!$B$2:$B$1000,$A529,MonthlySummary!$E$2:$E$1000))</f>
        <v/>
      </c>
      <c r="G529" s="31" t="n">
        <v>0</v>
      </c>
      <c r="H529" s="31">
        <f>IF($A529="","",$F529-IF($G529="",0,$G529))</f>
        <v/>
      </c>
      <c r="I529" s="31">
        <f>IF($A529="","",IFERROR(XLOOKUP($A529,SeedPlacement!$A$2:$A$1000,SeedPlacement!$N$2:$N$1000),0))</f>
        <v/>
      </c>
      <c r="J529" s="59" t="n"/>
    </row>
    <row r="530">
      <c r="A530" s="31">
        <f>IF(Members!$A530="","",Members!$A530)</f>
        <v/>
      </c>
      <c r="B530" s="31">
        <f>IF($A530="","",$I530+SUMIF(WeeklySummary!$B$2:$B$1000,$A530,WeeklySummary!$G$2:$G$1000))</f>
        <v/>
      </c>
      <c r="C530" s="31">
        <f>IF($B530="","",MIN(100,INT(SQRT($B530))))</f>
        <v/>
      </c>
      <c r="D530" s="31">
        <f>IF($C530="","",($C530+1)^2)</f>
        <v/>
      </c>
      <c r="E530" s="31">
        <f>IF($D530="","",$D530-$B530)</f>
        <v/>
      </c>
      <c r="F530" s="31">
        <f>IF($A530="","",SUMIF(MonthlySummary!$B$2:$B$1000,$A530,MonthlySummary!$E$2:$E$1000))</f>
        <v/>
      </c>
      <c r="G530" s="31" t="n">
        <v>0</v>
      </c>
      <c r="H530" s="31">
        <f>IF($A530="","",$F530-IF($G530="",0,$G530))</f>
        <v/>
      </c>
      <c r="I530" s="31">
        <f>IF($A530="","",IFERROR(XLOOKUP($A530,SeedPlacement!$A$2:$A$1000,SeedPlacement!$N$2:$N$1000),0))</f>
        <v/>
      </c>
      <c r="J530" s="59" t="n"/>
    </row>
    <row r="531">
      <c r="A531" s="31">
        <f>IF(Members!$A531="","",Members!$A531)</f>
        <v/>
      </c>
      <c r="B531" s="31">
        <f>IF($A531="","",$I531+SUMIF(WeeklySummary!$B$2:$B$1000,$A531,WeeklySummary!$G$2:$G$1000))</f>
        <v/>
      </c>
      <c r="C531" s="31">
        <f>IF($B531="","",MIN(100,INT(SQRT($B531))))</f>
        <v/>
      </c>
      <c r="D531" s="31">
        <f>IF($C531="","",($C531+1)^2)</f>
        <v/>
      </c>
      <c r="E531" s="31">
        <f>IF($D531="","",$D531-$B531)</f>
        <v/>
      </c>
      <c r="F531" s="31">
        <f>IF($A531="","",SUMIF(MonthlySummary!$B$2:$B$1000,$A531,MonthlySummary!$E$2:$E$1000))</f>
        <v/>
      </c>
      <c r="G531" s="31" t="n">
        <v>0</v>
      </c>
      <c r="H531" s="31">
        <f>IF($A531="","",$F531-IF($G531="",0,$G531))</f>
        <v/>
      </c>
      <c r="I531" s="31">
        <f>IF($A531="","",IFERROR(XLOOKUP($A531,SeedPlacement!$A$2:$A$1000,SeedPlacement!$N$2:$N$1000),0))</f>
        <v/>
      </c>
      <c r="J531" s="59" t="n"/>
    </row>
    <row r="532">
      <c r="A532" s="31">
        <f>IF(Members!$A532="","",Members!$A532)</f>
        <v/>
      </c>
      <c r="B532" s="31">
        <f>IF($A532="","",$I532+SUMIF(WeeklySummary!$B$2:$B$1000,$A532,WeeklySummary!$G$2:$G$1000))</f>
        <v/>
      </c>
      <c r="C532" s="31">
        <f>IF($B532="","",MIN(100,INT(SQRT($B532))))</f>
        <v/>
      </c>
      <c r="D532" s="31">
        <f>IF($C532="","",($C532+1)^2)</f>
        <v/>
      </c>
      <c r="E532" s="31">
        <f>IF($D532="","",$D532-$B532)</f>
        <v/>
      </c>
      <c r="F532" s="31">
        <f>IF($A532="","",SUMIF(MonthlySummary!$B$2:$B$1000,$A532,MonthlySummary!$E$2:$E$1000))</f>
        <v/>
      </c>
      <c r="G532" s="31" t="n">
        <v>0</v>
      </c>
      <c r="H532" s="31">
        <f>IF($A532="","",$F532-IF($G532="",0,$G532))</f>
        <v/>
      </c>
      <c r="I532" s="31">
        <f>IF($A532="","",IFERROR(XLOOKUP($A532,SeedPlacement!$A$2:$A$1000,SeedPlacement!$N$2:$N$1000),0))</f>
        <v/>
      </c>
      <c r="J532" s="59" t="n"/>
    </row>
    <row r="533">
      <c r="A533" s="31">
        <f>IF(Members!$A533="","",Members!$A533)</f>
        <v/>
      </c>
      <c r="B533" s="31">
        <f>IF($A533="","",$I533+SUMIF(WeeklySummary!$B$2:$B$1000,$A533,WeeklySummary!$G$2:$G$1000))</f>
        <v/>
      </c>
      <c r="C533" s="31">
        <f>IF($B533="","",MIN(100,INT(SQRT($B533))))</f>
        <v/>
      </c>
      <c r="D533" s="31">
        <f>IF($C533="","",($C533+1)^2)</f>
        <v/>
      </c>
      <c r="E533" s="31">
        <f>IF($D533="","",$D533-$B533)</f>
        <v/>
      </c>
      <c r="F533" s="31">
        <f>IF($A533="","",SUMIF(MonthlySummary!$B$2:$B$1000,$A533,MonthlySummary!$E$2:$E$1000))</f>
        <v/>
      </c>
      <c r="G533" s="31" t="n">
        <v>0</v>
      </c>
      <c r="H533" s="31">
        <f>IF($A533="","",$F533-IF($G533="",0,$G533))</f>
        <v/>
      </c>
      <c r="I533" s="31">
        <f>IF($A533="","",IFERROR(XLOOKUP($A533,SeedPlacement!$A$2:$A$1000,SeedPlacement!$N$2:$N$1000),0))</f>
        <v/>
      </c>
      <c r="J533" s="59" t="n"/>
    </row>
    <row r="534">
      <c r="A534" s="31">
        <f>IF(Members!$A534="","",Members!$A534)</f>
        <v/>
      </c>
      <c r="B534" s="31">
        <f>IF($A534="","",$I534+SUMIF(WeeklySummary!$B$2:$B$1000,$A534,WeeklySummary!$G$2:$G$1000))</f>
        <v/>
      </c>
      <c r="C534" s="31">
        <f>IF($B534="","",MIN(100,INT(SQRT($B534))))</f>
        <v/>
      </c>
      <c r="D534" s="31">
        <f>IF($C534="","",($C534+1)^2)</f>
        <v/>
      </c>
      <c r="E534" s="31">
        <f>IF($D534="","",$D534-$B534)</f>
        <v/>
      </c>
      <c r="F534" s="31">
        <f>IF($A534="","",SUMIF(MonthlySummary!$B$2:$B$1000,$A534,MonthlySummary!$E$2:$E$1000))</f>
        <v/>
      </c>
      <c r="G534" s="31" t="n">
        <v>0</v>
      </c>
      <c r="H534" s="31">
        <f>IF($A534="","",$F534-IF($G534="",0,$G534))</f>
        <v/>
      </c>
      <c r="I534" s="31">
        <f>IF($A534="","",IFERROR(XLOOKUP($A534,SeedPlacement!$A$2:$A$1000,SeedPlacement!$N$2:$N$1000),0))</f>
        <v/>
      </c>
      <c r="J534" s="59" t="n"/>
    </row>
    <row r="535">
      <c r="A535" s="31">
        <f>IF(Members!$A535="","",Members!$A535)</f>
        <v/>
      </c>
      <c r="B535" s="31">
        <f>IF($A535="","",$I535+SUMIF(WeeklySummary!$B$2:$B$1000,$A535,WeeklySummary!$G$2:$G$1000))</f>
        <v/>
      </c>
      <c r="C535" s="31">
        <f>IF($B535="","",MIN(100,INT(SQRT($B535))))</f>
        <v/>
      </c>
      <c r="D535" s="31">
        <f>IF($C535="","",($C535+1)^2)</f>
        <v/>
      </c>
      <c r="E535" s="31">
        <f>IF($D535="","",$D535-$B535)</f>
        <v/>
      </c>
      <c r="F535" s="31">
        <f>IF($A535="","",SUMIF(MonthlySummary!$B$2:$B$1000,$A535,MonthlySummary!$E$2:$E$1000))</f>
        <v/>
      </c>
      <c r="G535" s="31" t="n">
        <v>0</v>
      </c>
      <c r="H535" s="31">
        <f>IF($A535="","",$F535-IF($G535="",0,$G535))</f>
        <v/>
      </c>
      <c r="I535" s="31">
        <f>IF($A535="","",IFERROR(XLOOKUP($A535,SeedPlacement!$A$2:$A$1000,SeedPlacement!$N$2:$N$1000),0))</f>
        <v/>
      </c>
      <c r="J535" s="59" t="n"/>
    </row>
    <row r="536">
      <c r="A536" s="31">
        <f>IF(Members!$A536="","",Members!$A536)</f>
        <v/>
      </c>
      <c r="B536" s="31">
        <f>IF($A536="","",$I536+SUMIF(WeeklySummary!$B$2:$B$1000,$A536,WeeklySummary!$G$2:$G$1000))</f>
        <v/>
      </c>
      <c r="C536" s="31">
        <f>IF($B536="","",MIN(100,INT(SQRT($B536))))</f>
        <v/>
      </c>
      <c r="D536" s="31">
        <f>IF($C536="","",($C536+1)^2)</f>
        <v/>
      </c>
      <c r="E536" s="31">
        <f>IF($D536="","",$D536-$B536)</f>
        <v/>
      </c>
      <c r="F536" s="31">
        <f>IF($A536="","",SUMIF(MonthlySummary!$B$2:$B$1000,$A536,MonthlySummary!$E$2:$E$1000))</f>
        <v/>
      </c>
      <c r="G536" s="31" t="n">
        <v>0</v>
      </c>
      <c r="H536" s="31">
        <f>IF($A536="","",$F536-IF($G536="",0,$G536))</f>
        <v/>
      </c>
      <c r="I536" s="31">
        <f>IF($A536="","",IFERROR(XLOOKUP($A536,SeedPlacement!$A$2:$A$1000,SeedPlacement!$N$2:$N$1000),0))</f>
        <v/>
      </c>
      <c r="J536" s="59" t="n"/>
    </row>
    <row r="537">
      <c r="A537" s="31">
        <f>IF(Members!$A537="","",Members!$A537)</f>
        <v/>
      </c>
      <c r="B537" s="31">
        <f>IF($A537="","",$I537+SUMIF(WeeklySummary!$B$2:$B$1000,$A537,WeeklySummary!$G$2:$G$1000))</f>
        <v/>
      </c>
      <c r="C537" s="31">
        <f>IF($B537="","",MIN(100,INT(SQRT($B537))))</f>
        <v/>
      </c>
      <c r="D537" s="31">
        <f>IF($C537="","",($C537+1)^2)</f>
        <v/>
      </c>
      <c r="E537" s="31">
        <f>IF($D537="","",$D537-$B537)</f>
        <v/>
      </c>
      <c r="F537" s="31">
        <f>IF($A537="","",SUMIF(MonthlySummary!$B$2:$B$1000,$A537,MonthlySummary!$E$2:$E$1000))</f>
        <v/>
      </c>
      <c r="G537" s="31" t="n">
        <v>0</v>
      </c>
      <c r="H537" s="31">
        <f>IF($A537="","",$F537-IF($G537="",0,$G537))</f>
        <v/>
      </c>
      <c r="I537" s="31">
        <f>IF($A537="","",IFERROR(XLOOKUP($A537,SeedPlacement!$A$2:$A$1000,SeedPlacement!$N$2:$N$1000),0))</f>
        <v/>
      </c>
      <c r="J537" s="59" t="n"/>
    </row>
    <row r="538">
      <c r="A538" s="31">
        <f>IF(Members!$A538="","",Members!$A538)</f>
        <v/>
      </c>
      <c r="B538" s="31">
        <f>IF($A538="","",$I538+SUMIF(WeeklySummary!$B$2:$B$1000,$A538,WeeklySummary!$G$2:$G$1000))</f>
        <v/>
      </c>
      <c r="C538" s="31">
        <f>IF($B538="","",MIN(100,INT(SQRT($B538))))</f>
        <v/>
      </c>
      <c r="D538" s="31">
        <f>IF($C538="","",($C538+1)^2)</f>
        <v/>
      </c>
      <c r="E538" s="31">
        <f>IF($D538="","",$D538-$B538)</f>
        <v/>
      </c>
      <c r="F538" s="31">
        <f>IF($A538="","",SUMIF(MonthlySummary!$B$2:$B$1000,$A538,MonthlySummary!$E$2:$E$1000))</f>
        <v/>
      </c>
      <c r="G538" s="31" t="n">
        <v>0</v>
      </c>
      <c r="H538" s="31">
        <f>IF($A538="","",$F538-IF($G538="",0,$G538))</f>
        <v/>
      </c>
      <c r="I538" s="31">
        <f>IF($A538="","",IFERROR(XLOOKUP($A538,SeedPlacement!$A$2:$A$1000,SeedPlacement!$N$2:$N$1000),0))</f>
        <v/>
      </c>
      <c r="J538" s="59" t="n"/>
    </row>
    <row r="539">
      <c r="A539" s="31">
        <f>IF(Members!$A539="","",Members!$A539)</f>
        <v/>
      </c>
      <c r="B539" s="31">
        <f>IF($A539="","",$I539+SUMIF(WeeklySummary!$B$2:$B$1000,$A539,WeeklySummary!$G$2:$G$1000))</f>
        <v/>
      </c>
      <c r="C539" s="31">
        <f>IF($B539="","",MIN(100,INT(SQRT($B539))))</f>
        <v/>
      </c>
      <c r="D539" s="31">
        <f>IF($C539="","",($C539+1)^2)</f>
        <v/>
      </c>
      <c r="E539" s="31">
        <f>IF($D539="","",$D539-$B539)</f>
        <v/>
      </c>
      <c r="F539" s="31">
        <f>IF($A539="","",SUMIF(MonthlySummary!$B$2:$B$1000,$A539,MonthlySummary!$E$2:$E$1000))</f>
        <v/>
      </c>
      <c r="G539" s="31" t="n">
        <v>0</v>
      </c>
      <c r="H539" s="31">
        <f>IF($A539="","",$F539-IF($G539="",0,$G539))</f>
        <v/>
      </c>
      <c r="I539" s="31">
        <f>IF($A539="","",IFERROR(XLOOKUP($A539,SeedPlacement!$A$2:$A$1000,SeedPlacement!$N$2:$N$1000),0))</f>
        <v/>
      </c>
      <c r="J539" s="59" t="n"/>
    </row>
    <row r="540">
      <c r="A540" s="31">
        <f>IF(Members!$A540="","",Members!$A540)</f>
        <v/>
      </c>
      <c r="B540" s="31">
        <f>IF($A540="","",$I540+SUMIF(WeeklySummary!$B$2:$B$1000,$A540,WeeklySummary!$G$2:$G$1000))</f>
        <v/>
      </c>
      <c r="C540" s="31">
        <f>IF($B540="","",MIN(100,INT(SQRT($B540))))</f>
        <v/>
      </c>
      <c r="D540" s="31">
        <f>IF($C540="","",($C540+1)^2)</f>
        <v/>
      </c>
      <c r="E540" s="31">
        <f>IF($D540="","",$D540-$B540)</f>
        <v/>
      </c>
      <c r="F540" s="31">
        <f>IF($A540="","",SUMIF(MonthlySummary!$B$2:$B$1000,$A540,MonthlySummary!$E$2:$E$1000))</f>
        <v/>
      </c>
      <c r="G540" s="31" t="n">
        <v>0</v>
      </c>
      <c r="H540" s="31">
        <f>IF($A540="","",$F540-IF($G540="",0,$G540))</f>
        <v/>
      </c>
      <c r="I540" s="31">
        <f>IF($A540="","",IFERROR(XLOOKUP($A540,SeedPlacement!$A$2:$A$1000,SeedPlacement!$N$2:$N$1000),0))</f>
        <v/>
      </c>
      <c r="J540" s="59" t="n"/>
    </row>
    <row r="541">
      <c r="A541" s="31">
        <f>IF(Members!$A541="","",Members!$A541)</f>
        <v/>
      </c>
      <c r="B541" s="31">
        <f>IF($A541="","",$I541+SUMIF(WeeklySummary!$B$2:$B$1000,$A541,WeeklySummary!$G$2:$G$1000))</f>
        <v/>
      </c>
      <c r="C541" s="31">
        <f>IF($B541="","",MIN(100,INT(SQRT($B541))))</f>
        <v/>
      </c>
      <c r="D541" s="31">
        <f>IF($C541="","",($C541+1)^2)</f>
        <v/>
      </c>
      <c r="E541" s="31">
        <f>IF($D541="","",$D541-$B541)</f>
        <v/>
      </c>
      <c r="F541" s="31">
        <f>IF($A541="","",SUMIF(MonthlySummary!$B$2:$B$1000,$A541,MonthlySummary!$E$2:$E$1000))</f>
        <v/>
      </c>
      <c r="G541" s="31" t="n">
        <v>0</v>
      </c>
      <c r="H541" s="31">
        <f>IF($A541="","",$F541-IF($G541="",0,$G541))</f>
        <v/>
      </c>
      <c r="I541" s="31">
        <f>IF($A541="","",IFERROR(XLOOKUP($A541,SeedPlacement!$A$2:$A$1000,SeedPlacement!$N$2:$N$1000),0))</f>
        <v/>
      </c>
      <c r="J541" s="59" t="n"/>
    </row>
    <row r="542">
      <c r="A542" s="31">
        <f>IF(Members!$A542="","",Members!$A542)</f>
        <v/>
      </c>
      <c r="B542" s="31">
        <f>IF($A542="","",$I542+SUMIF(WeeklySummary!$B$2:$B$1000,$A542,WeeklySummary!$G$2:$G$1000))</f>
        <v/>
      </c>
      <c r="C542" s="31">
        <f>IF($B542="","",MIN(100,INT(SQRT($B542))))</f>
        <v/>
      </c>
      <c r="D542" s="31">
        <f>IF($C542="","",($C542+1)^2)</f>
        <v/>
      </c>
      <c r="E542" s="31">
        <f>IF($D542="","",$D542-$B542)</f>
        <v/>
      </c>
      <c r="F542" s="31">
        <f>IF($A542="","",SUMIF(MonthlySummary!$B$2:$B$1000,$A542,MonthlySummary!$E$2:$E$1000))</f>
        <v/>
      </c>
      <c r="G542" s="31" t="n">
        <v>0</v>
      </c>
      <c r="H542" s="31">
        <f>IF($A542="","",$F542-IF($G542="",0,$G542))</f>
        <v/>
      </c>
      <c r="I542" s="31">
        <f>IF($A542="","",IFERROR(XLOOKUP($A542,SeedPlacement!$A$2:$A$1000,SeedPlacement!$N$2:$N$1000),0))</f>
        <v/>
      </c>
      <c r="J542" s="59" t="n"/>
    </row>
    <row r="543">
      <c r="A543" s="31">
        <f>IF(Members!$A543="","",Members!$A543)</f>
        <v/>
      </c>
      <c r="B543" s="31">
        <f>IF($A543="","",$I543+SUMIF(WeeklySummary!$B$2:$B$1000,$A543,WeeklySummary!$G$2:$G$1000))</f>
        <v/>
      </c>
      <c r="C543" s="31">
        <f>IF($B543="","",MIN(100,INT(SQRT($B543))))</f>
        <v/>
      </c>
      <c r="D543" s="31">
        <f>IF($C543="","",($C543+1)^2)</f>
        <v/>
      </c>
      <c r="E543" s="31">
        <f>IF($D543="","",$D543-$B543)</f>
        <v/>
      </c>
      <c r="F543" s="31">
        <f>IF($A543="","",SUMIF(MonthlySummary!$B$2:$B$1000,$A543,MonthlySummary!$E$2:$E$1000))</f>
        <v/>
      </c>
      <c r="G543" s="31" t="n">
        <v>0</v>
      </c>
      <c r="H543" s="31">
        <f>IF($A543="","",$F543-IF($G543="",0,$G543))</f>
        <v/>
      </c>
      <c r="I543" s="31">
        <f>IF($A543="","",IFERROR(XLOOKUP($A543,SeedPlacement!$A$2:$A$1000,SeedPlacement!$N$2:$N$1000),0))</f>
        <v/>
      </c>
      <c r="J543" s="59" t="n"/>
    </row>
    <row r="544">
      <c r="A544" s="31">
        <f>IF(Members!$A544="","",Members!$A544)</f>
        <v/>
      </c>
      <c r="B544" s="31">
        <f>IF($A544="","",$I544+SUMIF(WeeklySummary!$B$2:$B$1000,$A544,WeeklySummary!$G$2:$G$1000))</f>
        <v/>
      </c>
      <c r="C544" s="31">
        <f>IF($B544="","",MIN(100,INT(SQRT($B544))))</f>
        <v/>
      </c>
      <c r="D544" s="31">
        <f>IF($C544="","",($C544+1)^2)</f>
        <v/>
      </c>
      <c r="E544" s="31">
        <f>IF($D544="","",$D544-$B544)</f>
        <v/>
      </c>
      <c r="F544" s="31">
        <f>IF($A544="","",SUMIF(MonthlySummary!$B$2:$B$1000,$A544,MonthlySummary!$E$2:$E$1000))</f>
        <v/>
      </c>
      <c r="G544" s="31" t="n">
        <v>0</v>
      </c>
      <c r="H544" s="31">
        <f>IF($A544="","",$F544-IF($G544="",0,$G544))</f>
        <v/>
      </c>
      <c r="I544" s="31">
        <f>IF($A544="","",IFERROR(XLOOKUP($A544,SeedPlacement!$A$2:$A$1000,SeedPlacement!$N$2:$N$1000),0))</f>
        <v/>
      </c>
      <c r="J544" s="59" t="n"/>
    </row>
    <row r="545">
      <c r="A545" s="31">
        <f>IF(Members!$A545="","",Members!$A545)</f>
        <v/>
      </c>
      <c r="B545" s="31">
        <f>IF($A545="","",$I545+SUMIF(WeeklySummary!$B$2:$B$1000,$A545,WeeklySummary!$G$2:$G$1000))</f>
        <v/>
      </c>
      <c r="C545" s="31">
        <f>IF($B545="","",MIN(100,INT(SQRT($B545))))</f>
        <v/>
      </c>
      <c r="D545" s="31">
        <f>IF($C545="","",($C545+1)^2)</f>
        <v/>
      </c>
      <c r="E545" s="31">
        <f>IF($D545="","",$D545-$B545)</f>
        <v/>
      </c>
      <c r="F545" s="31">
        <f>IF($A545="","",SUMIF(MonthlySummary!$B$2:$B$1000,$A545,MonthlySummary!$E$2:$E$1000))</f>
        <v/>
      </c>
      <c r="G545" s="31" t="n">
        <v>0</v>
      </c>
      <c r="H545" s="31">
        <f>IF($A545="","",$F545-IF($G545="",0,$G545))</f>
        <v/>
      </c>
      <c r="I545" s="31">
        <f>IF($A545="","",IFERROR(XLOOKUP($A545,SeedPlacement!$A$2:$A$1000,SeedPlacement!$N$2:$N$1000),0))</f>
        <v/>
      </c>
      <c r="J545" s="59" t="n"/>
    </row>
    <row r="546">
      <c r="A546" s="31">
        <f>IF(Members!$A546="","",Members!$A546)</f>
        <v/>
      </c>
      <c r="B546" s="31">
        <f>IF($A546="","",$I546+SUMIF(WeeklySummary!$B$2:$B$1000,$A546,WeeklySummary!$G$2:$G$1000))</f>
        <v/>
      </c>
      <c r="C546" s="31">
        <f>IF($B546="","",MIN(100,INT(SQRT($B546))))</f>
        <v/>
      </c>
      <c r="D546" s="31">
        <f>IF($C546="","",($C546+1)^2)</f>
        <v/>
      </c>
      <c r="E546" s="31">
        <f>IF($D546="","",$D546-$B546)</f>
        <v/>
      </c>
      <c r="F546" s="31">
        <f>IF($A546="","",SUMIF(MonthlySummary!$B$2:$B$1000,$A546,MonthlySummary!$E$2:$E$1000))</f>
        <v/>
      </c>
      <c r="G546" s="31" t="n">
        <v>0</v>
      </c>
      <c r="H546" s="31">
        <f>IF($A546="","",$F546-IF($G546="",0,$G546))</f>
        <v/>
      </c>
      <c r="I546" s="31">
        <f>IF($A546="","",IFERROR(XLOOKUP($A546,SeedPlacement!$A$2:$A$1000,SeedPlacement!$N$2:$N$1000),0))</f>
        <v/>
      </c>
      <c r="J546" s="59" t="n"/>
    </row>
    <row r="547">
      <c r="A547" s="31">
        <f>IF(Members!$A547="","",Members!$A547)</f>
        <v/>
      </c>
      <c r="B547" s="31">
        <f>IF($A547="","",$I547+SUMIF(WeeklySummary!$B$2:$B$1000,$A547,WeeklySummary!$G$2:$G$1000))</f>
        <v/>
      </c>
      <c r="C547" s="31">
        <f>IF($B547="","",MIN(100,INT(SQRT($B547))))</f>
        <v/>
      </c>
      <c r="D547" s="31">
        <f>IF($C547="","",($C547+1)^2)</f>
        <v/>
      </c>
      <c r="E547" s="31">
        <f>IF($D547="","",$D547-$B547)</f>
        <v/>
      </c>
      <c r="F547" s="31">
        <f>IF($A547="","",SUMIF(MonthlySummary!$B$2:$B$1000,$A547,MonthlySummary!$E$2:$E$1000))</f>
        <v/>
      </c>
      <c r="G547" s="31" t="n">
        <v>0</v>
      </c>
      <c r="H547" s="31">
        <f>IF($A547="","",$F547-IF($G547="",0,$G547))</f>
        <v/>
      </c>
      <c r="I547" s="31">
        <f>IF($A547="","",IFERROR(XLOOKUP($A547,SeedPlacement!$A$2:$A$1000,SeedPlacement!$N$2:$N$1000),0))</f>
        <v/>
      </c>
      <c r="J547" s="59" t="n"/>
    </row>
    <row r="548">
      <c r="A548" s="31">
        <f>IF(Members!$A548="","",Members!$A548)</f>
        <v/>
      </c>
      <c r="B548" s="31">
        <f>IF($A548="","",$I548+SUMIF(WeeklySummary!$B$2:$B$1000,$A548,WeeklySummary!$G$2:$G$1000))</f>
        <v/>
      </c>
      <c r="C548" s="31">
        <f>IF($B548="","",MIN(100,INT(SQRT($B548))))</f>
        <v/>
      </c>
      <c r="D548" s="31">
        <f>IF($C548="","",($C548+1)^2)</f>
        <v/>
      </c>
      <c r="E548" s="31">
        <f>IF($D548="","",$D548-$B548)</f>
        <v/>
      </c>
      <c r="F548" s="31">
        <f>IF($A548="","",SUMIF(MonthlySummary!$B$2:$B$1000,$A548,MonthlySummary!$E$2:$E$1000))</f>
        <v/>
      </c>
      <c r="G548" s="31" t="n">
        <v>0</v>
      </c>
      <c r="H548" s="31">
        <f>IF($A548="","",$F548-IF($G548="",0,$G548))</f>
        <v/>
      </c>
      <c r="I548" s="31">
        <f>IF($A548="","",IFERROR(XLOOKUP($A548,SeedPlacement!$A$2:$A$1000,SeedPlacement!$N$2:$N$1000),0))</f>
        <v/>
      </c>
      <c r="J548" s="59" t="n"/>
    </row>
    <row r="549">
      <c r="A549" s="31">
        <f>IF(Members!$A549="","",Members!$A549)</f>
        <v/>
      </c>
      <c r="B549" s="31">
        <f>IF($A549="","",$I549+SUMIF(WeeklySummary!$B$2:$B$1000,$A549,WeeklySummary!$G$2:$G$1000))</f>
        <v/>
      </c>
      <c r="C549" s="31">
        <f>IF($B549="","",MIN(100,INT(SQRT($B549))))</f>
        <v/>
      </c>
      <c r="D549" s="31">
        <f>IF($C549="","",($C549+1)^2)</f>
        <v/>
      </c>
      <c r="E549" s="31">
        <f>IF($D549="","",$D549-$B549)</f>
        <v/>
      </c>
      <c r="F549" s="31">
        <f>IF($A549="","",SUMIF(MonthlySummary!$B$2:$B$1000,$A549,MonthlySummary!$E$2:$E$1000))</f>
        <v/>
      </c>
      <c r="G549" s="31" t="n">
        <v>0</v>
      </c>
      <c r="H549" s="31">
        <f>IF($A549="","",$F549-IF($G549="",0,$G549))</f>
        <v/>
      </c>
      <c r="I549" s="31">
        <f>IF($A549="","",IFERROR(XLOOKUP($A549,SeedPlacement!$A$2:$A$1000,SeedPlacement!$N$2:$N$1000),0))</f>
        <v/>
      </c>
      <c r="J549" s="59" t="n"/>
    </row>
    <row r="550">
      <c r="A550" s="31">
        <f>IF(Members!$A550="","",Members!$A550)</f>
        <v/>
      </c>
      <c r="B550" s="31">
        <f>IF($A550="","",$I550+SUMIF(WeeklySummary!$B$2:$B$1000,$A550,WeeklySummary!$G$2:$G$1000))</f>
        <v/>
      </c>
      <c r="C550" s="31">
        <f>IF($B550="","",MIN(100,INT(SQRT($B550))))</f>
        <v/>
      </c>
      <c r="D550" s="31">
        <f>IF($C550="","",($C550+1)^2)</f>
        <v/>
      </c>
      <c r="E550" s="31">
        <f>IF($D550="","",$D550-$B550)</f>
        <v/>
      </c>
      <c r="F550" s="31">
        <f>IF($A550="","",SUMIF(MonthlySummary!$B$2:$B$1000,$A550,MonthlySummary!$E$2:$E$1000))</f>
        <v/>
      </c>
      <c r="G550" s="31" t="n">
        <v>0</v>
      </c>
      <c r="H550" s="31">
        <f>IF($A550="","",$F550-IF($G550="",0,$G550))</f>
        <v/>
      </c>
      <c r="I550" s="31">
        <f>IF($A550="","",IFERROR(XLOOKUP($A550,SeedPlacement!$A$2:$A$1000,SeedPlacement!$N$2:$N$1000),0))</f>
        <v/>
      </c>
      <c r="J550" s="59" t="n"/>
    </row>
    <row r="551">
      <c r="A551" s="31">
        <f>IF(Members!$A551="","",Members!$A551)</f>
        <v/>
      </c>
      <c r="B551" s="31">
        <f>IF($A551="","",$I551+SUMIF(WeeklySummary!$B$2:$B$1000,$A551,WeeklySummary!$G$2:$G$1000))</f>
        <v/>
      </c>
      <c r="C551" s="31">
        <f>IF($B551="","",MIN(100,INT(SQRT($B551))))</f>
        <v/>
      </c>
      <c r="D551" s="31">
        <f>IF($C551="","",($C551+1)^2)</f>
        <v/>
      </c>
      <c r="E551" s="31">
        <f>IF($D551="","",$D551-$B551)</f>
        <v/>
      </c>
      <c r="F551" s="31">
        <f>IF($A551="","",SUMIF(MonthlySummary!$B$2:$B$1000,$A551,MonthlySummary!$E$2:$E$1000))</f>
        <v/>
      </c>
      <c r="G551" s="31" t="n">
        <v>0</v>
      </c>
      <c r="H551" s="31">
        <f>IF($A551="","",$F551-IF($G551="",0,$G551))</f>
        <v/>
      </c>
      <c r="I551" s="31">
        <f>IF($A551="","",IFERROR(XLOOKUP($A551,SeedPlacement!$A$2:$A$1000,SeedPlacement!$N$2:$N$1000),0))</f>
        <v/>
      </c>
      <c r="J551" s="59" t="n"/>
    </row>
    <row r="552">
      <c r="A552" s="31">
        <f>IF(Members!$A552="","",Members!$A552)</f>
        <v/>
      </c>
      <c r="B552" s="31">
        <f>IF($A552="","",$I552+SUMIF(WeeklySummary!$B$2:$B$1000,$A552,WeeklySummary!$G$2:$G$1000))</f>
        <v/>
      </c>
      <c r="C552" s="31">
        <f>IF($B552="","",MIN(100,INT(SQRT($B552))))</f>
        <v/>
      </c>
      <c r="D552" s="31">
        <f>IF($C552="","",($C552+1)^2)</f>
        <v/>
      </c>
      <c r="E552" s="31">
        <f>IF($D552="","",$D552-$B552)</f>
        <v/>
      </c>
      <c r="F552" s="31">
        <f>IF($A552="","",SUMIF(MonthlySummary!$B$2:$B$1000,$A552,MonthlySummary!$E$2:$E$1000))</f>
        <v/>
      </c>
      <c r="G552" s="31" t="n">
        <v>0</v>
      </c>
      <c r="H552" s="31">
        <f>IF($A552="","",$F552-IF($G552="",0,$G552))</f>
        <v/>
      </c>
      <c r="I552" s="31">
        <f>IF($A552="","",IFERROR(XLOOKUP($A552,SeedPlacement!$A$2:$A$1000,SeedPlacement!$N$2:$N$1000),0))</f>
        <v/>
      </c>
      <c r="J552" s="59" t="n"/>
    </row>
    <row r="553">
      <c r="A553" s="31">
        <f>IF(Members!$A553="","",Members!$A553)</f>
        <v/>
      </c>
      <c r="B553" s="31">
        <f>IF($A553="","",$I553+SUMIF(WeeklySummary!$B$2:$B$1000,$A553,WeeklySummary!$G$2:$G$1000))</f>
        <v/>
      </c>
      <c r="C553" s="31">
        <f>IF($B553="","",MIN(100,INT(SQRT($B553))))</f>
        <v/>
      </c>
      <c r="D553" s="31">
        <f>IF($C553="","",($C553+1)^2)</f>
        <v/>
      </c>
      <c r="E553" s="31">
        <f>IF($D553="","",$D553-$B553)</f>
        <v/>
      </c>
      <c r="F553" s="31">
        <f>IF($A553="","",SUMIF(MonthlySummary!$B$2:$B$1000,$A553,MonthlySummary!$E$2:$E$1000))</f>
        <v/>
      </c>
      <c r="G553" s="31" t="n">
        <v>0</v>
      </c>
      <c r="H553" s="31">
        <f>IF($A553="","",$F553-IF($G553="",0,$G553))</f>
        <v/>
      </c>
      <c r="I553" s="31">
        <f>IF($A553="","",IFERROR(XLOOKUP($A553,SeedPlacement!$A$2:$A$1000,SeedPlacement!$N$2:$N$1000),0))</f>
        <v/>
      </c>
      <c r="J553" s="59" t="n"/>
    </row>
    <row r="554">
      <c r="A554" s="31">
        <f>IF(Members!$A554="","",Members!$A554)</f>
        <v/>
      </c>
      <c r="B554" s="31">
        <f>IF($A554="","",$I554+SUMIF(WeeklySummary!$B$2:$B$1000,$A554,WeeklySummary!$G$2:$G$1000))</f>
        <v/>
      </c>
      <c r="C554" s="31">
        <f>IF($B554="","",MIN(100,INT(SQRT($B554))))</f>
        <v/>
      </c>
      <c r="D554" s="31">
        <f>IF($C554="","",($C554+1)^2)</f>
        <v/>
      </c>
      <c r="E554" s="31">
        <f>IF($D554="","",$D554-$B554)</f>
        <v/>
      </c>
      <c r="F554" s="31">
        <f>IF($A554="","",SUMIF(MonthlySummary!$B$2:$B$1000,$A554,MonthlySummary!$E$2:$E$1000))</f>
        <v/>
      </c>
      <c r="G554" s="31" t="n">
        <v>0</v>
      </c>
      <c r="H554" s="31">
        <f>IF($A554="","",$F554-IF($G554="",0,$G554))</f>
        <v/>
      </c>
      <c r="I554" s="31">
        <f>IF($A554="","",IFERROR(XLOOKUP($A554,SeedPlacement!$A$2:$A$1000,SeedPlacement!$N$2:$N$1000),0))</f>
        <v/>
      </c>
      <c r="J554" s="59" t="n"/>
    </row>
    <row r="555">
      <c r="A555" s="31">
        <f>IF(Members!$A555="","",Members!$A555)</f>
        <v/>
      </c>
      <c r="B555" s="31">
        <f>IF($A555="","",$I555+SUMIF(WeeklySummary!$B$2:$B$1000,$A555,WeeklySummary!$G$2:$G$1000))</f>
        <v/>
      </c>
      <c r="C555" s="31">
        <f>IF($B555="","",MIN(100,INT(SQRT($B555))))</f>
        <v/>
      </c>
      <c r="D555" s="31">
        <f>IF($C555="","",($C555+1)^2)</f>
        <v/>
      </c>
      <c r="E555" s="31">
        <f>IF($D555="","",$D555-$B555)</f>
        <v/>
      </c>
      <c r="F555" s="31">
        <f>IF($A555="","",SUMIF(MonthlySummary!$B$2:$B$1000,$A555,MonthlySummary!$E$2:$E$1000))</f>
        <v/>
      </c>
      <c r="G555" s="31" t="n">
        <v>0</v>
      </c>
      <c r="H555" s="31">
        <f>IF($A555="","",$F555-IF($G555="",0,$G555))</f>
        <v/>
      </c>
      <c r="I555" s="31">
        <f>IF($A555="","",IFERROR(XLOOKUP($A555,SeedPlacement!$A$2:$A$1000,SeedPlacement!$N$2:$N$1000),0))</f>
        <v/>
      </c>
      <c r="J555" s="59" t="n"/>
    </row>
    <row r="556">
      <c r="A556" s="31">
        <f>IF(Members!$A556="","",Members!$A556)</f>
        <v/>
      </c>
      <c r="B556" s="31">
        <f>IF($A556="","",$I556+SUMIF(WeeklySummary!$B$2:$B$1000,$A556,WeeklySummary!$G$2:$G$1000))</f>
        <v/>
      </c>
      <c r="C556" s="31">
        <f>IF($B556="","",MIN(100,INT(SQRT($B556))))</f>
        <v/>
      </c>
      <c r="D556" s="31">
        <f>IF($C556="","",($C556+1)^2)</f>
        <v/>
      </c>
      <c r="E556" s="31">
        <f>IF($D556="","",$D556-$B556)</f>
        <v/>
      </c>
      <c r="F556" s="31">
        <f>IF($A556="","",SUMIF(MonthlySummary!$B$2:$B$1000,$A556,MonthlySummary!$E$2:$E$1000))</f>
        <v/>
      </c>
      <c r="G556" s="31" t="n">
        <v>0</v>
      </c>
      <c r="H556" s="31">
        <f>IF($A556="","",$F556-IF($G556="",0,$G556))</f>
        <v/>
      </c>
      <c r="I556" s="31">
        <f>IF($A556="","",IFERROR(XLOOKUP($A556,SeedPlacement!$A$2:$A$1000,SeedPlacement!$N$2:$N$1000),0))</f>
        <v/>
      </c>
      <c r="J556" s="59" t="n"/>
    </row>
    <row r="557">
      <c r="A557" s="31">
        <f>IF(Members!$A557="","",Members!$A557)</f>
        <v/>
      </c>
      <c r="B557" s="31">
        <f>IF($A557="","",$I557+SUMIF(WeeklySummary!$B$2:$B$1000,$A557,WeeklySummary!$G$2:$G$1000))</f>
        <v/>
      </c>
      <c r="C557" s="31">
        <f>IF($B557="","",MIN(100,INT(SQRT($B557))))</f>
        <v/>
      </c>
      <c r="D557" s="31">
        <f>IF($C557="","",($C557+1)^2)</f>
        <v/>
      </c>
      <c r="E557" s="31">
        <f>IF($D557="","",$D557-$B557)</f>
        <v/>
      </c>
      <c r="F557" s="31">
        <f>IF($A557="","",SUMIF(MonthlySummary!$B$2:$B$1000,$A557,MonthlySummary!$E$2:$E$1000))</f>
        <v/>
      </c>
      <c r="G557" s="31" t="n">
        <v>0</v>
      </c>
      <c r="H557" s="31">
        <f>IF($A557="","",$F557-IF($G557="",0,$G557))</f>
        <v/>
      </c>
      <c r="I557" s="31">
        <f>IF($A557="","",IFERROR(XLOOKUP($A557,SeedPlacement!$A$2:$A$1000,SeedPlacement!$N$2:$N$1000),0))</f>
        <v/>
      </c>
      <c r="J557" s="59" t="n"/>
    </row>
    <row r="558">
      <c r="A558" s="31">
        <f>IF(Members!$A558="","",Members!$A558)</f>
        <v/>
      </c>
      <c r="B558" s="31">
        <f>IF($A558="","",$I558+SUMIF(WeeklySummary!$B$2:$B$1000,$A558,WeeklySummary!$G$2:$G$1000))</f>
        <v/>
      </c>
      <c r="C558" s="31">
        <f>IF($B558="","",MIN(100,INT(SQRT($B558))))</f>
        <v/>
      </c>
      <c r="D558" s="31">
        <f>IF($C558="","",($C558+1)^2)</f>
        <v/>
      </c>
      <c r="E558" s="31">
        <f>IF($D558="","",$D558-$B558)</f>
        <v/>
      </c>
      <c r="F558" s="31">
        <f>IF($A558="","",SUMIF(MonthlySummary!$B$2:$B$1000,$A558,MonthlySummary!$E$2:$E$1000))</f>
        <v/>
      </c>
      <c r="G558" s="31" t="n">
        <v>0</v>
      </c>
      <c r="H558" s="31">
        <f>IF($A558="","",$F558-IF($G558="",0,$G558))</f>
        <v/>
      </c>
      <c r="I558" s="31">
        <f>IF($A558="","",IFERROR(XLOOKUP($A558,SeedPlacement!$A$2:$A$1000,SeedPlacement!$N$2:$N$1000),0))</f>
        <v/>
      </c>
      <c r="J558" s="59" t="n"/>
    </row>
    <row r="559">
      <c r="A559" s="31">
        <f>IF(Members!$A559="","",Members!$A559)</f>
        <v/>
      </c>
      <c r="B559" s="31">
        <f>IF($A559="","",$I559+SUMIF(WeeklySummary!$B$2:$B$1000,$A559,WeeklySummary!$G$2:$G$1000))</f>
        <v/>
      </c>
      <c r="C559" s="31">
        <f>IF($B559="","",MIN(100,INT(SQRT($B559))))</f>
        <v/>
      </c>
      <c r="D559" s="31">
        <f>IF($C559="","",($C559+1)^2)</f>
        <v/>
      </c>
      <c r="E559" s="31">
        <f>IF($D559="","",$D559-$B559)</f>
        <v/>
      </c>
      <c r="F559" s="31">
        <f>IF($A559="","",SUMIF(MonthlySummary!$B$2:$B$1000,$A559,MonthlySummary!$E$2:$E$1000))</f>
        <v/>
      </c>
      <c r="G559" s="31" t="n">
        <v>0</v>
      </c>
      <c r="H559" s="31">
        <f>IF($A559="","",$F559-IF($G559="",0,$G559))</f>
        <v/>
      </c>
      <c r="I559" s="31">
        <f>IF($A559="","",IFERROR(XLOOKUP($A559,SeedPlacement!$A$2:$A$1000,SeedPlacement!$N$2:$N$1000),0))</f>
        <v/>
      </c>
      <c r="J559" s="59" t="n"/>
    </row>
    <row r="560">
      <c r="A560" s="31">
        <f>IF(Members!$A560="","",Members!$A560)</f>
        <v/>
      </c>
      <c r="B560" s="31">
        <f>IF($A560="","",$I560+SUMIF(WeeklySummary!$B$2:$B$1000,$A560,WeeklySummary!$G$2:$G$1000))</f>
        <v/>
      </c>
      <c r="C560" s="31">
        <f>IF($B560="","",MIN(100,INT(SQRT($B560))))</f>
        <v/>
      </c>
      <c r="D560" s="31">
        <f>IF($C560="","",($C560+1)^2)</f>
        <v/>
      </c>
      <c r="E560" s="31">
        <f>IF($D560="","",$D560-$B560)</f>
        <v/>
      </c>
      <c r="F560" s="31">
        <f>IF($A560="","",SUMIF(MonthlySummary!$B$2:$B$1000,$A560,MonthlySummary!$E$2:$E$1000))</f>
        <v/>
      </c>
      <c r="G560" s="31" t="n">
        <v>0</v>
      </c>
      <c r="H560" s="31">
        <f>IF($A560="","",$F560-IF($G560="",0,$G560))</f>
        <v/>
      </c>
      <c r="I560" s="31">
        <f>IF($A560="","",IFERROR(XLOOKUP($A560,SeedPlacement!$A$2:$A$1000,SeedPlacement!$N$2:$N$1000),0))</f>
        <v/>
      </c>
      <c r="J560" s="59" t="n"/>
    </row>
    <row r="561">
      <c r="A561" s="31">
        <f>IF(Members!$A561="","",Members!$A561)</f>
        <v/>
      </c>
      <c r="B561" s="31">
        <f>IF($A561="","",$I561+SUMIF(WeeklySummary!$B$2:$B$1000,$A561,WeeklySummary!$G$2:$G$1000))</f>
        <v/>
      </c>
      <c r="C561" s="31">
        <f>IF($B561="","",MIN(100,INT(SQRT($B561))))</f>
        <v/>
      </c>
      <c r="D561" s="31">
        <f>IF($C561="","",($C561+1)^2)</f>
        <v/>
      </c>
      <c r="E561" s="31">
        <f>IF($D561="","",$D561-$B561)</f>
        <v/>
      </c>
      <c r="F561" s="31">
        <f>IF($A561="","",SUMIF(MonthlySummary!$B$2:$B$1000,$A561,MonthlySummary!$E$2:$E$1000))</f>
        <v/>
      </c>
      <c r="G561" s="31" t="n">
        <v>0</v>
      </c>
      <c r="H561" s="31">
        <f>IF($A561="","",$F561-IF($G561="",0,$G561))</f>
        <v/>
      </c>
      <c r="I561" s="31">
        <f>IF($A561="","",IFERROR(XLOOKUP($A561,SeedPlacement!$A$2:$A$1000,SeedPlacement!$N$2:$N$1000),0))</f>
        <v/>
      </c>
      <c r="J561" s="59" t="n"/>
    </row>
    <row r="562">
      <c r="A562" s="31">
        <f>IF(Members!$A562="","",Members!$A562)</f>
        <v/>
      </c>
      <c r="B562" s="31">
        <f>IF($A562="","",$I562+SUMIF(WeeklySummary!$B$2:$B$1000,$A562,WeeklySummary!$G$2:$G$1000))</f>
        <v/>
      </c>
      <c r="C562" s="31">
        <f>IF($B562="","",MIN(100,INT(SQRT($B562))))</f>
        <v/>
      </c>
      <c r="D562" s="31">
        <f>IF($C562="","",($C562+1)^2)</f>
        <v/>
      </c>
      <c r="E562" s="31">
        <f>IF($D562="","",$D562-$B562)</f>
        <v/>
      </c>
      <c r="F562" s="31">
        <f>IF($A562="","",SUMIF(MonthlySummary!$B$2:$B$1000,$A562,MonthlySummary!$E$2:$E$1000))</f>
        <v/>
      </c>
      <c r="G562" s="31" t="n">
        <v>0</v>
      </c>
      <c r="H562" s="31">
        <f>IF($A562="","",$F562-IF($G562="",0,$G562))</f>
        <v/>
      </c>
      <c r="I562" s="31">
        <f>IF($A562="","",IFERROR(XLOOKUP($A562,SeedPlacement!$A$2:$A$1000,SeedPlacement!$N$2:$N$1000),0))</f>
        <v/>
      </c>
      <c r="J562" s="59" t="n"/>
    </row>
    <row r="563">
      <c r="A563" s="31">
        <f>IF(Members!$A563="","",Members!$A563)</f>
        <v/>
      </c>
      <c r="B563" s="31">
        <f>IF($A563="","",$I563+SUMIF(WeeklySummary!$B$2:$B$1000,$A563,WeeklySummary!$G$2:$G$1000))</f>
        <v/>
      </c>
      <c r="C563" s="31">
        <f>IF($B563="","",MIN(100,INT(SQRT($B563))))</f>
        <v/>
      </c>
      <c r="D563" s="31">
        <f>IF($C563="","",($C563+1)^2)</f>
        <v/>
      </c>
      <c r="E563" s="31">
        <f>IF($D563="","",$D563-$B563)</f>
        <v/>
      </c>
      <c r="F563" s="31">
        <f>IF($A563="","",SUMIF(MonthlySummary!$B$2:$B$1000,$A563,MonthlySummary!$E$2:$E$1000))</f>
        <v/>
      </c>
      <c r="G563" s="31" t="n">
        <v>0</v>
      </c>
      <c r="H563" s="31">
        <f>IF($A563="","",$F563-IF($G563="",0,$G563))</f>
        <v/>
      </c>
      <c r="I563" s="31">
        <f>IF($A563="","",IFERROR(XLOOKUP($A563,SeedPlacement!$A$2:$A$1000,SeedPlacement!$N$2:$N$1000),0))</f>
        <v/>
      </c>
      <c r="J563" s="59" t="n"/>
    </row>
    <row r="564">
      <c r="A564" s="31">
        <f>IF(Members!$A564="","",Members!$A564)</f>
        <v/>
      </c>
      <c r="B564" s="31">
        <f>IF($A564="","",$I564+SUMIF(WeeklySummary!$B$2:$B$1000,$A564,WeeklySummary!$G$2:$G$1000))</f>
        <v/>
      </c>
      <c r="C564" s="31">
        <f>IF($B564="","",MIN(100,INT(SQRT($B564))))</f>
        <v/>
      </c>
      <c r="D564" s="31">
        <f>IF($C564="","",($C564+1)^2)</f>
        <v/>
      </c>
      <c r="E564" s="31">
        <f>IF($D564="","",$D564-$B564)</f>
        <v/>
      </c>
      <c r="F564" s="31">
        <f>IF($A564="","",SUMIF(MonthlySummary!$B$2:$B$1000,$A564,MonthlySummary!$E$2:$E$1000))</f>
        <v/>
      </c>
      <c r="G564" s="31" t="n">
        <v>0</v>
      </c>
      <c r="H564" s="31">
        <f>IF($A564="","",$F564-IF($G564="",0,$G564))</f>
        <v/>
      </c>
      <c r="I564" s="31">
        <f>IF($A564="","",IFERROR(XLOOKUP($A564,SeedPlacement!$A$2:$A$1000,SeedPlacement!$N$2:$N$1000),0))</f>
        <v/>
      </c>
      <c r="J564" s="59" t="n"/>
    </row>
    <row r="565">
      <c r="A565" s="31">
        <f>IF(Members!$A565="","",Members!$A565)</f>
        <v/>
      </c>
      <c r="B565" s="31">
        <f>IF($A565="","",$I565+SUMIF(WeeklySummary!$B$2:$B$1000,$A565,WeeklySummary!$G$2:$G$1000))</f>
        <v/>
      </c>
      <c r="C565" s="31">
        <f>IF($B565="","",MIN(100,INT(SQRT($B565))))</f>
        <v/>
      </c>
      <c r="D565" s="31">
        <f>IF($C565="","",($C565+1)^2)</f>
        <v/>
      </c>
      <c r="E565" s="31">
        <f>IF($D565="","",$D565-$B565)</f>
        <v/>
      </c>
      <c r="F565" s="31">
        <f>IF($A565="","",SUMIF(MonthlySummary!$B$2:$B$1000,$A565,MonthlySummary!$E$2:$E$1000))</f>
        <v/>
      </c>
      <c r="G565" s="31" t="n">
        <v>0</v>
      </c>
      <c r="H565" s="31">
        <f>IF($A565="","",$F565-IF($G565="",0,$G565))</f>
        <v/>
      </c>
      <c r="I565" s="31">
        <f>IF($A565="","",IFERROR(XLOOKUP($A565,SeedPlacement!$A$2:$A$1000,SeedPlacement!$N$2:$N$1000),0))</f>
        <v/>
      </c>
      <c r="J565" s="59" t="n"/>
    </row>
    <row r="566">
      <c r="A566" s="31">
        <f>IF(Members!$A566="","",Members!$A566)</f>
        <v/>
      </c>
      <c r="B566" s="31">
        <f>IF($A566="","",$I566+SUMIF(WeeklySummary!$B$2:$B$1000,$A566,WeeklySummary!$G$2:$G$1000))</f>
        <v/>
      </c>
      <c r="C566" s="31">
        <f>IF($B566="","",MIN(100,INT(SQRT($B566))))</f>
        <v/>
      </c>
      <c r="D566" s="31">
        <f>IF($C566="","",($C566+1)^2)</f>
        <v/>
      </c>
      <c r="E566" s="31">
        <f>IF($D566="","",$D566-$B566)</f>
        <v/>
      </c>
      <c r="F566" s="31">
        <f>IF($A566="","",SUMIF(MonthlySummary!$B$2:$B$1000,$A566,MonthlySummary!$E$2:$E$1000))</f>
        <v/>
      </c>
      <c r="G566" s="31" t="n">
        <v>0</v>
      </c>
      <c r="H566" s="31">
        <f>IF($A566="","",$F566-IF($G566="",0,$G566))</f>
        <v/>
      </c>
      <c r="I566" s="31">
        <f>IF($A566="","",IFERROR(XLOOKUP($A566,SeedPlacement!$A$2:$A$1000,SeedPlacement!$N$2:$N$1000),0))</f>
        <v/>
      </c>
      <c r="J566" s="59" t="n"/>
    </row>
    <row r="567">
      <c r="A567" s="31">
        <f>IF(Members!$A567="","",Members!$A567)</f>
        <v/>
      </c>
      <c r="B567" s="31">
        <f>IF($A567="","",$I567+SUMIF(WeeklySummary!$B$2:$B$1000,$A567,WeeklySummary!$G$2:$G$1000))</f>
        <v/>
      </c>
      <c r="C567" s="31">
        <f>IF($B567="","",MIN(100,INT(SQRT($B567))))</f>
        <v/>
      </c>
      <c r="D567" s="31">
        <f>IF($C567="","",($C567+1)^2)</f>
        <v/>
      </c>
      <c r="E567" s="31">
        <f>IF($D567="","",$D567-$B567)</f>
        <v/>
      </c>
      <c r="F567" s="31">
        <f>IF($A567="","",SUMIF(MonthlySummary!$B$2:$B$1000,$A567,MonthlySummary!$E$2:$E$1000))</f>
        <v/>
      </c>
      <c r="G567" s="31" t="n">
        <v>0</v>
      </c>
      <c r="H567" s="31">
        <f>IF($A567="","",$F567-IF($G567="",0,$G567))</f>
        <v/>
      </c>
      <c r="I567" s="31">
        <f>IF($A567="","",IFERROR(XLOOKUP($A567,SeedPlacement!$A$2:$A$1000,SeedPlacement!$N$2:$N$1000),0))</f>
        <v/>
      </c>
      <c r="J567" s="59" t="n"/>
    </row>
    <row r="568">
      <c r="A568" s="31">
        <f>IF(Members!$A568="","",Members!$A568)</f>
        <v/>
      </c>
      <c r="B568" s="31">
        <f>IF($A568="","",$I568+SUMIF(WeeklySummary!$B$2:$B$1000,$A568,WeeklySummary!$G$2:$G$1000))</f>
        <v/>
      </c>
      <c r="C568" s="31">
        <f>IF($B568="","",MIN(100,INT(SQRT($B568))))</f>
        <v/>
      </c>
      <c r="D568" s="31">
        <f>IF($C568="","",($C568+1)^2)</f>
        <v/>
      </c>
      <c r="E568" s="31">
        <f>IF($D568="","",$D568-$B568)</f>
        <v/>
      </c>
      <c r="F568" s="31">
        <f>IF($A568="","",SUMIF(MonthlySummary!$B$2:$B$1000,$A568,MonthlySummary!$E$2:$E$1000))</f>
        <v/>
      </c>
      <c r="G568" s="31" t="n">
        <v>0</v>
      </c>
      <c r="H568" s="31">
        <f>IF($A568="","",$F568-IF($G568="",0,$G568))</f>
        <v/>
      </c>
      <c r="I568" s="31">
        <f>IF($A568="","",IFERROR(XLOOKUP($A568,SeedPlacement!$A$2:$A$1000,SeedPlacement!$N$2:$N$1000),0))</f>
        <v/>
      </c>
      <c r="J568" s="59" t="n"/>
    </row>
    <row r="569">
      <c r="A569" s="31">
        <f>IF(Members!$A569="","",Members!$A569)</f>
        <v/>
      </c>
      <c r="B569" s="31">
        <f>IF($A569="","",$I569+SUMIF(WeeklySummary!$B$2:$B$1000,$A569,WeeklySummary!$G$2:$G$1000))</f>
        <v/>
      </c>
      <c r="C569" s="31">
        <f>IF($B569="","",MIN(100,INT(SQRT($B569))))</f>
        <v/>
      </c>
      <c r="D569" s="31">
        <f>IF($C569="","",($C569+1)^2)</f>
        <v/>
      </c>
      <c r="E569" s="31">
        <f>IF($D569="","",$D569-$B569)</f>
        <v/>
      </c>
      <c r="F569" s="31">
        <f>IF($A569="","",SUMIF(MonthlySummary!$B$2:$B$1000,$A569,MonthlySummary!$E$2:$E$1000))</f>
        <v/>
      </c>
      <c r="G569" s="31" t="n">
        <v>0</v>
      </c>
      <c r="H569" s="31">
        <f>IF($A569="","",$F569-IF($G569="",0,$G569))</f>
        <v/>
      </c>
      <c r="I569" s="31">
        <f>IF($A569="","",IFERROR(XLOOKUP($A569,SeedPlacement!$A$2:$A$1000,SeedPlacement!$N$2:$N$1000),0))</f>
        <v/>
      </c>
      <c r="J569" s="59" t="n"/>
    </row>
    <row r="570">
      <c r="A570" s="31">
        <f>IF(Members!$A570="","",Members!$A570)</f>
        <v/>
      </c>
      <c r="B570" s="31">
        <f>IF($A570="","",$I570+SUMIF(WeeklySummary!$B$2:$B$1000,$A570,WeeklySummary!$G$2:$G$1000))</f>
        <v/>
      </c>
      <c r="C570" s="31">
        <f>IF($B570="","",MIN(100,INT(SQRT($B570))))</f>
        <v/>
      </c>
      <c r="D570" s="31">
        <f>IF($C570="","",($C570+1)^2)</f>
        <v/>
      </c>
      <c r="E570" s="31">
        <f>IF($D570="","",$D570-$B570)</f>
        <v/>
      </c>
      <c r="F570" s="31">
        <f>IF($A570="","",SUMIF(MonthlySummary!$B$2:$B$1000,$A570,MonthlySummary!$E$2:$E$1000))</f>
        <v/>
      </c>
      <c r="G570" s="31" t="n">
        <v>0</v>
      </c>
      <c r="H570" s="31">
        <f>IF($A570="","",$F570-IF($G570="",0,$G570))</f>
        <v/>
      </c>
      <c r="I570" s="31">
        <f>IF($A570="","",IFERROR(XLOOKUP($A570,SeedPlacement!$A$2:$A$1000,SeedPlacement!$N$2:$N$1000),0))</f>
        <v/>
      </c>
      <c r="J570" s="59" t="n"/>
    </row>
    <row r="571">
      <c r="A571" s="31">
        <f>IF(Members!$A571="","",Members!$A571)</f>
        <v/>
      </c>
      <c r="B571" s="31">
        <f>IF($A571="","",$I571+SUMIF(WeeklySummary!$B$2:$B$1000,$A571,WeeklySummary!$G$2:$G$1000))</f>
        <v/>
      </c>
      <c r="C571" s="31">
        <f>IF($B571="","",MIN(100,INT(SQRT($B571))))</f>
        <v/>
      </c>
      <c r="D571" s="31">
        <f>IF($C571="","",($C571+1)^2)</f>
        <v/>
      </c>
      <c r="E571" s="31">
        <f>IF($D571="","",$D571-$B571)</f>
        <v/>
      </c>
      <c r="F571" s="31">
        <f>IF($A571="","",SUMIF(MonthlySummary!$B$2:$B$1000,$A571,MonthlySummary!$E$2:$E$1000))</f>
        <v/>
      </c>
      <c r="G571" s="31" t="n">
        <v>0</v>
      </c>
      <c r="H571" s="31">
        <f>IF($A571="","",$F571-IF($G571="",0,$G571))</f>
        <v/>
      </c>
      <c r="I571" s="31">
        <f>IF($A571="","",IFERROR(XLOOKUP($A571,SeedPlacement!$A$2:$A$1000,SeedPlacement!$N$2:$N$1000),0))</f>
        <v/>
      </c>
      <c r="J571" s="59" t="n"/>
    </row>
    <row r="572">
      <c r="A572" s="31">
        <f>IF(Members!$A572="","",Members!$A572)</f>
        <v/>
      </c>
      <c r="B572" s="31">
        <f>IF($A572="","",$I572+SUMIF(WeeklySummary!$B$2:$B$1000,$A572,WeeklySummary!$G$2:$G$1000))</f>
        <v/>
      </c>
      <c r="C572" s="31">
        <f>IF($B572="","",MIN(100,INT(SQRT($B572))))</f>
        <v/>
      </c>
      <c r="D572" s="31">
        <f>IF($C572="","",($C572+1)^2)</f>
        <v/>
      </c>
      <c r="E572" s="31">
        <f>IF($D572="","",$D572-$B572)</f>
        <v/>
      </c>
      <c r="F572" s="31">
        <f>IF($A572="","",SUMIF(MonthlySummary!$B$2:$B$1000,$A572,MonthlySummary!$E$2:$E$1000))</f>
        <v/>
      </c>
      <c r="G572" s="31" t="n">
        <v>0</v>
      </c>
      <c r="H572" s="31">
        <f>IF($A572="","",$F572-IF($G572="",0,$G572))</f>
        <v/>
      </c>
      <c r="I572" s="31">
        <f>IF($A572="","",IFERROR(XLOOKUP($A572,SeedPlacement!$A$2:$A$1000,SeedPlacement!$N$2:$N$1000),0))</f>
        <v/>
      </c>
      <c r="J572" s="59" t="n"/>
    </row>
    <row r="573">
      <c r="A573" s="31">
        <f>IF(Members!$A573="","",Members!$A573)</f>
        <v/>
      </c>
      <c r="B573" s="31">
        <f>IF($A573="","",$I573+SUMIF(WeeklySummary!$B$2:$B$1000,$A573,WeeklySummary!$G$2:$G$1000))</f>
        <v/>
      </c>
      <c r="C573" s="31">
        <f>IF($B573="","",MIN(100,INT(SQRT($B573))))</f>
        <v/>
      </c>
      <c r="D573" s="31">
        <f>IF($C573="","",($C573+1)^2)</f>
        <v/>
      </c>
      <c r="E573" s="31">
        <f>IF($D573="","",$D573-$B573)</f>
        <v/>
      </c>
      <c r="F573" s="31">
        <f>IF($A573="","",SUMIF(MonthlySummary!$B$2:$B$1000,$A573,MonthlySummary!$E$2:$E$1000))</f>
        <v/>
      </c>
      <c r="G573" s="31" t="n">
        <v>0</v>
      </c>
      <c r="H573" s="31">
        <f>IF($A573="","",$F573-IF($G573="",0,$G573))</f>
        <v/>
      </c>
      <c r="I573" s="31">
        <f>IF($A573="","",IFERROR(XLOOKUP($A573,SeedPlacement!$A$2:$A$1000,SeedPlacement!$N$2:$N$1000),0))</f>
        <v/>
      </c>
      <c r="J573" s="59" t="n"/>
    </row>
    <row r="574">
      <c r="A574" s="31">
        <f>IF(Members!$A574="","",Members!$A574)</f>
        <v/>
      </c>
      <c r="B574" s="31">
        <f>IF($A574="","",$I574+SUMIF(WeeklySummary!$B$2:$B$1000,$A574,WeeklySummary!$G$2:$G$1000))</f>
        <v/>
      </c>
      <c r="C574" s="31">
        <f>IF($B574="","",MIN(100,INT(SQRT($B574))))</f>
        <v/>
      </c>
      <c r="D574" s="31">
        <f>IF($C574="","",($C574+1)^2)</f>
        <v/>
      </c>
      <c r="E574" s="31">
        <f>IF($D574="","",$D574-$B574)</f>
        <v/>
      </c>
      <c r="F574" s="31">
        <f>IF($A574="","",SUMIF(MonthlySummary!$B$2:$B$1000,$A574,MonthlySummary!$E$2:$E$1000))</f>
        <v/>
      </c>
      <c r="G574" s="31" t="n">
        <v>0</v>
      </c>
      <c r="H574" s="31">
        <f>IF($A574="","",$F574-IF($G574="",0,$G574))</f>
        <v/>
      </c>
      <c r="I574" s="31">
        <f>IF($A574="","",IFERROR(XLOOKUP($A574,SeedPlacement!$A$2:$A$1000,SeedPlacement!$N$2:$N$1000),0))</f>
        <v/>
      </c>
      <c r="J574" s="59" t="n"/>
    </row>
    <row r="575">
      <c r="A575" s="31">
        <f>IF(Members!$A575="","",Members!$A575)</f>
        <v/>
      </c>
      <c r="B575" s="31">
        <f>IF($A575="","",$I575+SUMIF(WeeklySummary!$B$2:$B$1000,$A575,WeeklySummary!$G$2:$G$1000))</f>
        <v/>
      </c>
      <c r="C575" s="31">
        <f>IF($B575="","",MIN(100,INT(SQRT($B575))))</f>
        <v/>
      </c>
      <c r="D575" s="31">
        <f>IF($C575="","",($C575+1)^2)</f>
        <v/>
      </c>
      <c r="E575" s="31">
        <f>IF($D575="","",$D575-$B575)</f>
        <v/>
      </c>
      <c r="F575" s="31">
        <f>IF($A575="","",SUMIF(MonthlySummary!$B$2:$B$1000,$A575,MonthlySummary!$E$2:$E$1000))</f>
        <v/>
      </c>
      <c r="G575" s="31" t="n">
        <v>0</v>
      </c>
      <c r="H575" s="31">
        <f>IF($A575="","",$F575-IF($G575="",0,$G575))</f>
        <v/>
      </c>
      <c r="I575" s="31">
        <f>IF($A575="","",IFERROR(XLOOKUP($A575,SeedPlacement!$A$2:$A$1000,SeedPlacement!$N$2:$N$1000),0))</f>
        <v/>
      </c>
      <c r="J575" s="59" t="n"/>
    </row>
    <row r="576">
      <c r="A576" s="31">
        <f>IF(Members!$A576="","",Members!$A576)</f>
        <v/>
      </c>
      <c r="B576" s="31">
        <f>IF($A576="","",$I576+SUMIF(WeeklySummary!$B$2:$B$1000,$A576,WeeklySummary!$G$2:$G$1000))</f>
        <v/>
      </c>
      <c r="C576" s="31">
        <f>IF($B576="","",MIN(100,INT(SQRT($B576))))</f>
        <v/>
      </c>
      <c r="D576" s="31">
        <f>IF($C576="","",($C576+1)^2)</f>
        <v/>
      </c>
      <c r="E576" s="31">
        <f>IF($D576="","",$D576-$B576)</f>
        <v/>
      </c>
      <c r="F576" s="31">
        <f>IF($A576="","",SUMIF(MonthlySummary!$B$2:$B$1000,$A576,MonthlySummary!$E$2:$E$1000))</f>
        <v/>
      </c>
      <c r="G576" s="31" t="n">
        <v>0</v>
      </c>
      <c r="H576" s="31">
        <f>IF($A576="","",$F576-IF($G576="",0,$G576))</f>
        <v/>
      </c>
      <c r="I576" s="31">
        <f>IF($A576="","",IFERROR(XLOOKUP($A576,SeedPlacement!$A$2:$A$1000,SeedPlacement!$N$2:$N$1000),0))</f>
        <v/>
      </c>
      <c r="J576" s="59" t="n"/>
    </row>
    <row r="577">
      <c r="A577" s="31">
        <f>IF(Members!$A577="","",Members!$A577)</f>
        <v/>
      </c>
      <c r="B577" s="31">
        <f>IF($A577="","",$I577+SUMIF(WeeklySummary!$B$2:$B$1000,$A577,WeeklySummary!$G$2:$G$1000))</f>
        <v/>
      </c>
      <c r="C577" s="31">
        <f>IF($B577="","",MIN(100,INT(SQRT($B577))))</f>
        <v/>
      </c>
      <c r="D577" s="31">
        <f>IF($C577="","",($C577+1)^2)</f>
        <v/>
      </c>
      <c r="E577" s="31">
        <f>IF($D577="","",$D577-$B577)</f>
        <v/>
      </c>
      <c r="F577" s="31">
        <f>IF($A577="","",SUMIF(MonthlySummary!$B$2:$B$1000,$A577,MonthlySummary!$E$2:$E$1000))</f>
        <v/>
      </c>
      <c r="G577" s="31" t="n">
        <v>0</v>
      </c>
      <c r="H577" s="31">
        <f>IF($A577="","",$F577-IF($G577="",0,$G577))</f>
        <v/>
      </c>
      <c r="I577" s="31">
        <f>IF($A577="","",IFERROR(XLOOKUP($A577,SeedPlacement!$A$2:$A$1000,SeedPlacement!$N$2:$N$1000),0))</f>
        <v/>
      </c>
      <c r="J577" s="59" t="n"/>
    </row>
    <row r="578">
      <c r="A578" s="31">
        <f>IF(Members!$A578="","",Members!$A578)</f>
        <v/>
      </c>
      <c r="B578" s="31">
        <f>IF($A578="","",$I578+SUMIF(WeeklySummary!$B$2:$B$1000,$A578,WeeklySummary!$G$2:$G$1000))</f>
        <v/>
      </c>
      <c r="C578" s="31">
        <f>IF($B578="","",MIN(100,INT(SQRT($B578))))</f>
        <v/>
      </c>
      <c r="D578" s="31">
        <f>IF($C578="","",($C578+1)^2)</f>
        <v/>
      </c>
      <c r="E578" s="31">
        <f>IF($D578="","",$D578-$B578)</f>
        <v/>
      </c>
      <c r="F578" s="31">
        <f>IF($A578="","",SUMIF(MonthlySummary!$B$2:$B$1000,$A578,MonthlySummary!$E$2:$E$1000))</f>
        <v/>
      </c>
      <c r="G578" s="31" t="n">
        <v>0</v>
      </c>
      <c r="H578" s="31">
        <f>IF($A578="","",$F578-IF($G578="",0,$G578))</f>
        <v/>
      </c>
      <c r="I578" s="31">
        <f>IF($A578="","",IFERROR(XLOOKUP($A578,SeedPlacement!$A$2:$A$1000,SeedPlacement!$N$2:$N$1000),0))</f>
        <v/>
      </c>
      <c r="J578" s="59" t="n"/>
    </row>
    <row r="579">
      <c r="A579" s="31">
        <f>IF(Members!$A579="","",Members!$A579)</f>
        <v/>
      </c>
      <c r="B579" s="31">
        <f>IF($A579="","",$I579+SUMIF(WeeklySummary!$B$2:$B$1000,$A579,WeeklySummary!$G$2:$G$1000))</f>
        <v/>
      </c>
      <c r="C579" s="31">
        <f>IF($B579="","",MIN(100,INT(SQRT($B579))))</f>
        <v/>
      </c>
      <c r="D579" s="31">
        <f>IF($C579="","",($C579+1)^2)</f>
        <v/>
      </c>
      <c r="E579" s="31">
        <f>IF($D579="","",$D579-$B579)</f>
        <v/>
      </c>
      <c r="F579" s="31">
        <f>IF($A579="","",SUMIF(MonthlySummary!$B$2:$B$1000,$A579,MonthlySummary!$E$2:$E$1000))</f>
        <v/>
      </c>
      <c r="G579" s="31" t="n">
        <v>0</v>
      </c>
      <c r="H579" s="31">
        <f>IF($A579="","",$F579-IF($G579="",0,$G579))</f>
        <v/>
      </c>
      <c r="I579" s="31">
        <f>IF($A579="","",IFERROR(XLOOKUP($A579,SeedPlacement!$A$2:$A$1000,SeedPlacement!$N$2:$N$1000),0))</f>
        <v/>
      </c>
      <c r="J579" s="59" t="n"/>
    </row>
    <row r="580">
      <c r="A580" s="31">
        <f>IF(Members!$A580="","",Members!$A580)</f>
        <v/>
      </c>
      <c r="B580" s="31">
        <f>IF($A580="","",$I580+SUMIF(WeeklySummary!$B$2:$B$1000,$A580,WeeklySummary!$G$2:$G$1000))</f>
        <v/>
      </c>
      <c r="C580" s="31">
        <f>IF($B580="","",MIN(100,INT(SQRT($B580))))</f>
        <v/>
      </c>
      <c r="D580" s="31">
        <f>IF($C580="","",($C580+1)^2)</f>
        <v/>
      </c>
      <c r="E580" s="31">
        <f>IF($D580="","",$D580-$B580)</f>
        <v/>
      </c>
      <c r="F580" s="31">
        <f>IF($A580="","",SUMIF(MonthlySummary!$B$2:$B$1000,$A580,MonthlySummary!$E$2:$E$1000))</f>
        <v/>
      </c>
      <c r="G580" s="31" t="n">
        <v>0</v>
      </c>
      <c r="H580" s="31">
        <f>IF($A580="","",$F580-IF($G580="",0,$G580))</f>
        <v/>
      </c>
      <c r="I580" s="31">
        <f>IF($A580="","",IFERROR(XLOOKUP($A580,SeedPlacement!$A$2:$A$1000,SeedPlacement!$N$2:$N$1000),0))</f>
        <v/>
      </c>
      <c r="J580" s="59" t="n"/>
    </row>
    <row r="581">
      <c r="A581" s="31">
        <f>IF(Members!$A581="","",Members!$A581)</f>
        <v/>
      </c>
      <c r="B581" s="31">
        <f>IF($A581="","",$I581+SUMIF(WeeklySummary!$B$2:$B$1000,$A581,WeeklySummary!$G$2:$G$1000))</f>
        <v/>
      </c>
      <c r="C581" s="31">
        <f>IF($B581="","",MIN(100,INT(SQRT($B581))))</f>
        <v/>
      </c>
      <c r="D581" s="31">
        <f>IF($C581="","",($C581+1)^2)</f>
        <v/>
      </c>
      <c r="E581" s="31">
        <f>IF($D581="","",$D581-$B581)</f>
        <v/>
      </c>
      <c r="F581" s="31">
        <f>IF($A581="","",SUMIF(MonthlySummary!$B$2:$B$1000,$A581,MonthlySummary!$E$2:$E$1000))</f>
        <v/>
      </c>
      <c r="G581" s="31" t="n">
        <v>0</v>
      </c>
      <c r="H581" s="31">
        <f>IF($A581="","",$F581-IF($G581="",0,$G581))</f>
        <v/>
      </c>
      <c r="I581" s="31">
        <f>IF($A581="","",IFERROR(XLOOKUP($A581,SeedPlacement!$A$2:$A$1000,SeedPlacement!$N$2:$N$1000),0))</f>
        <v/>
      </c>
      <c r="J581" s="59" t="n"/>
    </row>
    <row r="582">
      <c r="A582" s="31">
        <f>IF(Members!$A582="","",Members!$A582)</f>
        <v/>
      </c>
      <c r="B582" s="31">
        <f>IF($A582="","",$I582+SUMIF(WeeklySummary!$B$2:$B$1000,$A582,WeeklySummary!$G$2:$G$1000))</f>
        <v/>
      </c>
      <c r="C582" s="31">
        <f>IF($B582="","",MIN(100,INT(SQRT($B582))))</f>
        <v/>
      </c>
      <c r="D582" s="31">
        <f>IF($C582="","",($C582+1)^2)</f>
        <v/>
      </c>
      <c r="E582" s="31">
        <f>IF($D582="","",$D582-$B582)</f>
        <v/>
      </c>
      <c r="F582" s="31">
        <f>IF($A582="","",SUMIF(MonthlySummary!$B$2:$B$1000,$A582,MonthlySummary!$E$2:$E$1000))</f>
        <v/>
      </c>
      <c r="G582" s="31" t="n">
        <v>0</v>
      </c>
      <c r="H582" s="31">
        <f>IF($A582="","",$F582-IF($G582="",0,$G582))</f>
        <v/>
      </c>
      <c r="I582" s="31">
        <f>IF($A582="","",IFERROR(XLOOKUP($A582,SeedPlacement!$A$2:$A$1000,SeedPlacement!$N$2:$N$1000),0))</f>
        <v/>
      </c>
      <c r="J582" s="59" t="n"/>
    </row>
    <row r="583">
      <c r="A583" s="31">
        <f>IF(Members!$A583="","",Members!$A583)</f>
        <v/>
      </c>
      <c r="B583" s="31">
        <f>IF($A583="","",$I583+SUMIF(WeeklySummary!$B$2:$B$1000,$A583,WeeklySummary!$G$2:$G$1000))</f>
        <v/>
      </c>
      <c r="C583" s="31">
        <f>IF($B583="","",MIN(100,INT(SQRT($B583))))</f>
        <v/>
      </c>
      <c r="D583" s="31">
        <f>IF($C583="","",($C583+1)^2)</f>
        <v/>
      </c>
      <c r="E583" s="31">
        <f>IF($D583="","",$D583-$B583)</f>
        <v/>
      </c>
      <c r="F583" s="31">
        <f>IF($A583="","",SUMIF(MonthlySummary!$B$2:$B$1000,$A583,MonthlySummary!$E$2:$E$1000))</f>
        <v/>
      </c>
      <c r="G583" s="31" t="n">
        <v>0</v>
      </c>
      <c r="H583" s="31">
        <f>IF($A583="","",$F583-IF($G583="",0,$G583))</f>
        <v/>
      </c>
      <c r="I583" s="31">
        <f>IF($A583="","",IFERROR(XLOOKUP($A583,SeedPlacement!$A$2:$A$1000,SeedPlacement!$N$2:$N$1000),0))</f>
        <v/>
      </c>
      <c r="J583" s="59" t="n"/>
    </row>
    <row r="584">
      <c r="A584" s="31">
        <f>IF(Members!$A584="","",Members!$A584)</f>
        <v/>
      </c>
      <c r="B584" s="31">
        <f>IF($A584="","",$I584+SUMIF(WeeklySummary!$B$2:$B$1000,$A584,WeeklySummary!$G$2:$G$1000))</f>
        <v/>
      </c>
      <c r="C584" s="31">
        <f>IF($B584="","",MIN(100,INT(SQRT($B584))))</f>
        <v/>
      </c>
      <c r="D584" s="31">
        <f>IF($C584="","",($C584+1)^2)</f>
        <v/>
      </c>
      <c r="E584" s="31">
        <f>IF($D584="","",$D584-$B584)</f>
        <v/>
      </c>
      <c r="F584" s="31">
        <f>IF($A584="","",SUMIF(MonthlySummary!$B$2:$B$1000,$A584,MonthlySummary!$E$2:$E$1000))</f>
        <v/>
      </c>
      <c r="G584" s="31" t="n">
        <v>0</v>
      </c>
      <c r="H584" s="31">
        <f>IF($A584="","",$F584-IF($G584="",0,$G584))</f>
        <v/>
      </c>
      <c r="I584" s="31">
        <f>IF($A584="","",IFERROR(XLOOKUP($A584,SeedPlacement!$A$2:$A$1000,SeedPlacement!$N$2:$N$1000),0))</f>
        <v/>
      </c>
      <c r="J584" s="59" t="n"/>
    </row>
    <row r="585">
      <c r="A585" s="31">
        <f>IF(Members!$A585="","",Members!$A585)</f>
        <v/>
      </c>
      <c r="B585" s="31">
        <f>IF($A585="","",$I585+SUMIF(WeeklySummary!$B$2:$B$1000,$A585,WeeklySummary!$G$2:$G$1000))</f>
        <v/>
      </c>
      <c r="C585" s="31">
        <f>IF($B585="","",MIN(100,INT(SQRT($B585))))</f>
        <v/>
      </c>
      <c r="D585" s="31">
        <f>IF($C585="","",($C585+1)^2)</f>
        <v/>
      </c>
      <c r="E585" s="31">
        <f>IF($D585="","",$D585-$B585)</f>
        <v/>
      </c>
      <c r="F585" s="31">
        <f>IF($A585="","",SUMIF(MonthlySummary!$B$2:$B$1000,$A585,MonthlySummary!$E$2:$E$1000))</f>
        <v/>
      </c>
      <c r="G585" s="31" t="n">
        <v>0</v>
      </c>
      <c r="H585" s="31">
        <f>IF($A585="","",$F585-IF($G585="",0,$G585))</f>
        <v/>
      </c>
      <c r="I585" s="31">
        <f>IF($A585="","",IFERROR(XLOOKUP($A585,SeedPlacement!$A$2:$A$1000,SeedPlacement!$N$2:$N$1000),0))</f>
        <v/>
      </c>
      <c r="J585" s="59" t="n"/>
    </row>
    <row r="586">
      <c r="A586" s="31">
        <f>IF(Members!$A586="","",Members!$A586)</f>
        <v/>
      </c>
      <c r="B586" s="31">
        <f>IF($A586="","",$I586+SUMIF(WeeklySummary!$B$2:$B$1000,$A586,WeeklySummary!$G$2:$G$1000))</f>
        <v/>
      </c>
      <c r="C586" s="31">
        <f>IF($B586="","",MIN(100,INT(SQRT($B586))))</f>
        <v/>
      </c>
      <c r="D586" s="31">
        <f>IF($C586="","",($C586+1)^2)</f>
        <v/>
      </c>
      <c r="E586" s="31">
        <f>IF($D586="","",$D586-$B586)</f>
        <v/>
      </c>
      <c r="F586" s="31">
        <f>IF($A586="","",SUMIF(MonthlySummary!$B$2:$B$1000,$A586,MonthlySummary!$E$2:$E$1000))</f>
        <v/>
      </c>
      <c r="G586" s="31" t="n">
        <v>0</v>
      </c>
      <c r="H586" s="31">
        <f>IF($A586="","",$F586-IF($G586="",0,$G586))</f>
        <v/>
      </c>
      <c r="I586" s="31">
        <f>IF($A586="","",IFERROR(XLOOKUP($A586,SeedPlacement!$A$2:$A$1000,SeedPlacement!$N$2:$N$1000),0))</f>
        <v/>
      </c>
      <c r="J586" s="59" t="n"/>
    </row>
    <row r="587">
      <c r="A587" s="31">
        <f>IF(Members!$A587="","",Members!$A587)</f>
        <v/>
      </c>
      <c r="B587" s="31">
        <f>IF($A587="","",$I587+SUMIF(WeeklySummary!$B$2:$B$1000,$A587,WeeklySummary!$G$2:$G$1000))</f>
        <v/>
      </c>
      <c r="C587" s="31">
        <f>IF($B587="","",MIN(100,INT(SQRT($B587))))</f>
        <v/>
      </c>
      <c r="D587" s="31">
        <f>IF($C587="","",($C587+1)^2)</f>
        <v/>
      </c>
      <c r="E587" s="31">
        <f>IF($D587="","",$D587-$B587)</f>
        <v/>
      </c>
      <c r="F587" s="31">
        <f>IF($A587="","",SUMIF(MonthlySummary!$B$2:$B$1000,$A587,MonthlySummary!$E$2:$E$1000))</f>
        <v/>
      </c>
      <c r="G587" s="31" t="n">
        <v>0</v>
      </c>
      <c r="H587" s="31">
        <f>IF($A587="","",$F587-IF($G587="",0,$G587))</f>
        <v/>
      </c>
      <c r="I587" s="31">
        <f>IF($A587="","",IFERROR(XLOOKUP($A587,SeedPlacement!$A$2:$A$1000,SeedPlacement!$N$2:$N$1000),0))</f>
        <v/>
      </c>
      <c r="J587" s="59" t="n"/>
    </row>
    <row r="588">
      <c r="A588" s="31">
        <f>IF(Members!$A588="","",Members!$A588)</f>
        <v/>
      </c>
      <c r="B588" s="31">
        <f>IF($A588="","",$I588+SUMIF(WeeklySummary!$B$2:$B$1000,$A588,WeeklySummary!$G$2:$G$1000))</f>
        <v/>
      </c>
      <c r="C588" s="31">
        <f>IF($B588="","",MIN(100,INT(SQRT($B588))))</f>
        <v/>
      </c>
      <c r="D588" s="31">
        <f>IF($C588="","",($C588+1)^2)</f>
        <v/>
      </c>
      <c r="E588" s="31">
        <f>IF($D588="","",$D588-$B588)</f>
        <v/>
      </c>
      <c r="F588" s="31">
        <f>IF($A588="","",SUMIF(MonthlySummary!$B$2:$B$1000,$A588,MonthlySummary!$E$2:$E$1000))</f>
        <v/>
      </c>
      <c r="G588" s="31" t="n">
        <v>0</v>
      </c>
      <c r="H588" s="31">
        <f>IF($A588="","",$F588-IF($G588="",0,$G588))</f>
        <v/>
      </c>
      <c r="I588" s="31">
        <f>IF($A588="","",IFERROR(XLOOKUP($A588,SeedPlacement!$A$2:$A$1000,SeedPlacement!$N$2:$N$1000),0))</f>
        <v/>
      </c>
      <c r="J588" s="59" t="n"/>
    </row>
    <row r="589">
      <c r="A589" s="31">
        <f>IF(Members!$A589="","",Members!$A589)</f>
        <v/>
      </c>
      <c r="B589" s="31">
        <f>IF($A589="","",$I589+SUMIF(WeeklySummary!$B$2:$B$1000,$A589,WeeklySummary!$G$2:$G$1000))</f>
        <v/>
      </c>
      <c r="C589" s="31">
        <f>IF($B589="","",MIN(100,INT(SQRT($B589))))</f>
        <v/>
      </c>
      <c r="D589" s="31">
        <f>IF($C589="","",($C589+1)^2)</f>
        <v/>
      </c>
      <c r="E589" s="31">
        <f>IF($D589="","",$D589-$B589)</f>
        <v/>
      </c>
      <c r="F589" s="31">
        <f>IF($A589="","",SUMIF(MonthlySummary!$B$2:$B$1000,$A589,MonthlySummary!$E$2:$E$1000))</f>
        <v/>
      </c>
      <c r="G589" s="31" t="n">
        <v>0</v>
      </c>
      <c r="H589" s="31">
        <f>IF($A589="","",$F589-IF($G589="",0,$G589))</f>
        <v/>
      </c>
      <c r="I589" s="31">
        <f>IF($A589="","",IFERROR(XLOOKUP($A589,SeedPlacement!$A$2:$A$1000,SeedPlacement!$N$2:$N$1000),0))</f>
        <v/>
      </c>
      <c r="J589" s="59" t="n"/>
    </row>
    <row r="590">
      <c r="A590" s="31">
        <f>IF(Members!$A590="","",Members!$A590)</f>
        <v/>
      </c>
      <c r="B590" s="31">
        <f>IF($A590="","",$I590+SUMIF(WeeklySummary!$B$2:$B$1000,$A590,WeeklySummary!$G$2:$G$1000))</f>
        <v/>
      </c>
      <c r="C590" s="31">
        <f>IF($B590="","",MIN(100,INT(SQRT($B590))))</f>
        <v/>
      </c>
      <c r="D590" s="31">
        <f>IF($C590="","",($C590+1)^2)</f>
        <v/>
      </c>
      <c r="E590" s="31">
        <f>IF($D590="","",$D590-$B590)</f>
        <v/>
      </c>
      <c r="F590" s="31">
        <f>IF($A590="","",SUMIF(MonthlySummary!$B$2:$B$1000,$A590,MonthlySummary!$E$2:$E$1000))</f>
        <v/>
      </c>
      <c r="G590" s="31" t="n">
        <v>0</v>
      </c>
      <c r="H590" s="31">
        <f>IF($A590="","",$F590-IF($G590="",0,$G590))</f>
        <v/>
      </c>
      <c r="I590" s="31">
        <f>IF($A590="","",IFERROR(XLOOKUP($A590,SeedPlacement!$A$2:$A$1000,SeedPlacement!$N$2:$N$1000),0))</f>
        <v/>
      </c>
      <c r="J590" s="59" t="n"/>
    </row>
    <row r="591">
      <c r="A591" s="31">
        <f>IF(Members!$A591="","",Members!$A591)</f>
        <v/>
      </c>
      <c r="B591" s="31">
        <f>IF($A591="","",$I591+SUMIF(WeeklySummary!$B$2:$B$1000,$A591,WeeklySummary!$G$2:$G$1000))</f>
        <v/>
      </c>
      <c r="C591" s="31">
        <f>IF($B591="","",MIN(100,INT(SQRT($B591))))</f>
        <v/>
      </c>
      <c r="D591" s="31">
        <f>IF($C591="","",($C591+1)^2)</f>
        <v/>
      </c>
      <c r="E591" s="31">
        <f>IF($D591="","",$D591-$B591)</f>
        <v/>
      </c>
      <c r="F591" s="31">
        <f>IF($A591="","",SUMIF(MonthlySummary!$B$2:$B$1000,$A591,MonthlySummary!$E$2:$E$1000))</f>
        <v/>
      </c>
      <c r="G591" s="31" t="n">
        <v>0</v>
      </c>
      <c r="H591" s="31">
        <f>IF($A591="","",$F591-IF($G591="",0,$G591))</f>
        <v/>
      </c>
      <c r="I591" s="31">
        <f>IF($A591="","",IFERROR(XLOOKUP($A591,SeedPlacement!$A$2:$A$1000,SeedPlacement!$N$2:$N$1000),0))</f>
        <v/>
      </c>
      <c r="J591" s="59" t="n"/>
    </row>
    <row r="592">
      <c r="A592" s="31">
        <f>IF(Members!$A592="","",Members!$A592)</f>
        <v/>
      </c>
      <c r="B592" s="31">
        <f>IF($A592="","",$I592+SUMIF(WeeklySummary!$B$2:$B$1000,$A592,WeeklySummary!$G$2:$G$1000))</f>
        <v/>
      </c>
      <c r="C592" s="31">
        <f>IF($B592="","",MIN(100,INT(SQRT($B592))))</f>
        <v/>
      </c>
      <c r="D592" s="31">
        <f>IF($C592="","",($C592+1)^2)</f>
        <v/>
      </c>
      <c r="E592" s="31">
        <f>IF($D592="","",$D592-$B592)</f>
        <v/>
      </c>
      <c r="F592" s="31">
        <f>IF($A592="","",SUMIF(MonthlySummary!$B$2:$B$1000,$A592,MonthlySummary!$E$2:$E$1000))</f>
        <v/>
      </c>
      <c r="G592" s="31" t="n">
        <v>0</v>
      </c>
      <c r="H592" s="31">
        <f>IF($A592="","",$F592-IF($G592="",0,$G592))</f>
        <v/>
      </c>
      <c r="I592" s="31">
        <f>IF($A592="","",IFERROR(XLOOKUP($A592,SeedPlacement!$A$2:$A$1000,SeedPlacement!$N$2:$N$1000),0))</f>
        <v/>
      </c>
      <c r="J592" s="59" t="n"/>
    </row>
    <row r="593">
      <c r="A593" s="31">
        <f>IF(Members!$A593="","",Members!$A593)</f>
        <v/>
      </c>
      <c r="B593" s="31">
        <f>IF($A593="","",$I593+SUMIF(WeeklySummary!$B$2:$B$1000,$A593,WeeklySummary!$G$2:$G$1000))</f>
        <v/>
      </c>
      <c r="C593" s="31">
        <f>IF($B593="","",MIN(100,INT(SQRT($B593))))</f>
        <v/>
      </c>
      <c r="D593" s="31">
        <f>IF($C593="","",($C593+1)^2)</f>
        <v/>
      </c>
      <c r="E593" s="31">
        <f>IF($D593="","",$D593-$B593)</f>
        <v/>
      </c>
      <c r="F593" s="31">
        <f>IF($A593="","",SUMIF(MonthlySummary!$B$2:$B$1000,$A593,MonthlySummary!$E$2:$E$1000))</f>
        <v/>
      </c>
      <c r="G593" s="31" t="n">
        <v>0</v>
      </c>
      <c r="H593" s="31">
        <f>IF($A593="","",$F593-IF($G593="",0,$G593))</f>
        <v/>
      </c>
      <c r="I593" s="31">
        <f>IF($A593="","",IFERROR(XLOOKUP($A593,SeedPlacement!$A$2:$A$1000,SeedPlacement!$N$2:$N$1000),0))</f>
        <v/>
      </c>
      <c r="J593" s="59" t="n"/>
    </row>
    <row r="594">
      <c r="A594" s="31">
        <f>IF(Members!$A594="","",Members!$A594)</f>
        <v/>
      </c>
      <c r="B594" s="31">
        <f>IF($A594="","",$I594+SUMIF(WeeklySummary!$B$2:$B$1000,$A594,WeeklySummary!$G$2:$G$1000))</f>
        <v/>
      </c>
      <c r="C594" s="31">
        <f>IF($B594="","",MIN(100,INT(SQRT($B594))))</f>
        <v/>
      </c>
      <c r="D594" s="31">
        <f>IF($C594="","",($C594+1)^2)</f>
        <v/>
      </c>
      <c r="E594" s="31">
        <f>IF($D594="","",$D594-$B594)</f>
        <v/>
      </c>
      <c r="F594" s="31">
        <f>IF($A594="","",SUMIF(MonthlySummary!$B$2:$B$1000,$A594,MonthlySummary!$E$2:$E$1000))</f>
        <v/>
      </c>
      <c r="G594" s="31" t="n">
        <v>0</v>
      </c>
      <c r="H594" s="31">
        <f>IF($A594="","",$F594-IF($G594="",0,$G594))</f>
        <v/>
      </c>
      <c r="I594" s="31">
        <f>IF($A594="","",IFERROR(XLOOKUP($A594,SeedPlacement!$A$2:$A$1000,SeedPlacement!$N$2:$N$1000),0))</f>
        <v/>
      </c>
      <c r="J594" s="59" t="n"/>
    </row>
    <row r="595">
      <c r="A595" s="31">
        <f>IF(Members!$A595="","",Members!$A595)</f>
        <v/>
      </c>
      <c r="B595" s="31">
        <f>IF($A595="","",$I595+SUMIF(WeeklySummary!$B$2:$B$1000,$A595,WeeklySummary!$G$2:$G$1000))</f>
        <v/>
      </c>
      <c r="C595" s="31">
        <f>IF($B595="","",MIN(100,INT(SQRT($B595))))</f>
        <v/>
      </c>
      <c r="D595" s="31">
        <f>IF($C595="","",($C595+1)^2)</f>
        <v/>
      </c>
      <c r="E595" s="31">
        <f>IF($D595="","",$D595-$B595)</f>
        <v/>
      </c>
      <c r="F595" s="31">
        <f>IF($A595="","",SUMIF(MonthlySummary!$B$2:$B$1000,$A595,MonthlySummary!$E$2:$E$1000))</f>
        <v/>
      </c>
      <c r="G595" s="31" t="n">
        <v>0</v>
      </c>
      <c r="H595" s="31">
        <f>IF($A595="","",$F595-IF($G595="",0,$G595))</f>
        <v/>
      </c>
      <c r="I595" s="31">
        <f>IF($A595="","",IFERROR(XLOOKUP($A595,SeedPlacement!$A$2:$A$1000,SeedPlacement!$N$2:$N$1000),0))</f>
        <v/>
      </c>
      <c r="J595" s="59" t="n"/>
    </row>
    <row r="596">
      <c r="A596" s="31">
        <f>IF(Members!$A596="","",Members!$A596)</f>
        <v/>
      </c>
      <c r="B596" s="31">
        <f>IF($A596="","",$I596+SUMIF(WeeklySummary!$B$2:$B$1000,$A596,WeeklySummary!$G$2:$G$1000))</f>
        <v/>
      </c>
      <c r="C596" s="31">
        <f>IF($B596="","",MIN(100,INT(SQRT($B596))))</f>
        <v/>
      </c>
      <c r="D596" s="31">
        <f>IF($C596="","",($C596+1)^2)</f>
        <v/>
      </c>
      <c r="E596" s="31">
        <f>IF($D596="","",$D596-$B596)</f>
        <v/>
      </c>
      <c r="F596" s="31">
        <f>IF($A596="","",SUMIF(MonthlySummary!$B$2:$B$1000,$A596,MonthlySummary!$E$2:$E$1000))</f>
        <v/>
      </c>
      <c r="G596" s="31" t="n">
        <v>0</v>
      </c>
      <c r="H596" s="31">
        <f>IF($A596="","",$F596-IF($G596="",0,$G596))</f>
        <v/>
      </c>
      <c r="I596" s="31">
        <f>IF($A596="","",IFERROR(XLOOKUP($A596,SeedPlacement!$A$2:$A$1000,SeedPlacement!$N$2:$N$1000),0))</f>
        <v/>
      </c>
      <c r="J596" s="59" t="n"/>
    </row>
    <row r="597">
      <c r="A597" s="31">
        <f>IF(Members!$A597="","",Members!$A597)</f>
        <v/>
      </c>
      <c r="B597" s="31">
        <f>IF($A597="","",$I597+SUMIF(WeeklySummary!$B$2:$B$1000,$A597,WeeklySummary!$G$2:$G$1000))</f>
        <v/>
      </c>
      <c r="C597" s="31">
        <f>IF($B597="","",MIN(100,INT(SQRT($B597))))</f>
        <v/>
      </c>
      <c r="D597" s="31">
        <f>IF($C597="","",($C597+1)^2)</f>
        <v/>
      </c>
      <c r="E597" s="31">
        <f>IF($D597="","",$D597-$B597)</f>
        <v/>
      </c>
      <c r="F597" s="31">
        <f>IF($A597="","",SUMIF(MonthlySummary!$B$2:$B$1000,$A597,MonthlySummary!$E$2:$E$1000))</f>
        <v/>
      </c>
      <c r="G597" s="31" t="n">
        <v>0</v>
      </c>
      <c r="H597" s="31">
        <f>IF($A597="","",$F597-IF($G597="",0,$G597))</f>
        <v/>
      </c>
      <c r="I597" s="31">
        <f>IF($A597="","",IFERROR(XLOOKUP($A597,SeedPlacement!$A$2:$A$1000,SeedPlacement!$N$2:$N$1000),0))</f>
        <v/>
      </c>
      <c r="J597" s="59" t="n"/>
    </row>
    <row r="598">
      <c r="A598" s="31">
        <f>IF(Members!$A598="","",Members!$A598)</f>
        <v/>
      </c>
      <c r="B598" s="31">
        <f>IF($A598="","",$I598+SUMIF(WeeklySummary!$B$2:$B$1000,$A598,WeeklySummary!$G$2:$G$1000))</f>
        <v/>
      </c>
      <c r="C598" s="31">
        <f>IF($B598="","",MIN(100,INT(SQRT($B598))))</f>
        <v/>
      </c>
      <c r="D598" s="31">
        <f>IF($C598="","",($C598+1)^2)</f>
        <v/>
      </c>
      <c r="E598" s="31">
        <f>IF($D598="","",$D598-$B598)</f>
        <v/>
      </c>
      <c r="F598" s="31">
        <f>IF($A598="","",SUMIF(MonthlySummary!$B$2:$B$1000,$A598,MonthlySummary!$E$2:$E$1000))</f>
        <v/>
      </c>
      <c r="G598" s="31" t="n">
        <v>0</v>
      </c>
      <c r="H598" s="31">
        <f>IF($A598="","",$F598-IF($G598="",0,$G598))</f>
        <v/>
      </c>
      <c r="I598" s="31">
        <f>IF($A598="","",IFERROR(XLOOKUP($A598,SeedPlacement!$A$2:$A$1000,SeedPlacement!$N$2:$N$1000),0))</f>
        <v/>
      </c>
      <c r="J598" s="59" t="n"/>
    </row>
    <row r="599">
      <c r="A599" s="31">
        <f>IF(Members!$A599="","",Members!$A599)</f>
        <v/>
      </c>
      <c r="B599" s="31">
        <f>IF($A599="","",$I599+SUMIF(WeeklySummary!$B$2:$B$1000,$A599,WeeklySummary!$G$2:$G$1000))</f>
        <v/>
      </c>
      <c r="C599" s="31">
        <f>IF($B599="","",MIN(100,INT(SQRT($B599))))</f>
        <v/>
      </c>
      <c r="D599" s="31">
        <f>IF($C599="","",($C599+1)^2)</f>
        <v/>
      </c>
      <c r="E599" s="31">
        <f>IF($D599="","",$D599-$B599)</f>
        <v/>
      </c>
      <c r="F599" s="31">
        <f>IF($A599="","",SUMIF(MonthlySummary!$B$2:$B$1000,$A599,MonthlySummary!$E$2:$E$1000))</f>
        <v/>
      </c>
      <c r="G599" s="31" t="n">
        <v>0</v>
      </c>
      <c r="H599" s="31">
        <f>IF($A599="","",$F599-IF($G599="",0,$G599))</f>
        <v/>
      </c>
      <c r="I599" s="31">
        <f>IF($A599="","",IFERROR(XLOOKUP($A599,SeedPlacement!$A$2:$A$1000,SeedPlacement!$N$2:$N$1000),0))</f>
        <v/>
      </c>
      <c r="J599" s="59" t="n"/>
    </row>
    <row r="600">
      <c r="A600" s="31">
        <f>IF(Members!$A600="","",Members!$A600)</f>
        <v/>
      </c>
      <c r="B600" s="31">
        <f>IF($A600="","",$I600+SUMIF(WeeklySummary!$B$2:$B$1000,$A600,WeeklySummary!$G$2:$G$1000))</f>
        <v/>
      </c>
      <c r="C600" s="31">
        <f>IF($B600="","",MIN(100,INT(SQRT($B600))))</f>
        <v/>
      </c>
      <c r="D600" s="31">
        <f>IF($C600="","",($C600+1)^2)</f>
        <v/>
      </c>
      <c r="E600" s="31">
        <f>IF($D600="","",$D600-$B600)</f>
        <v/>
      </c>
      <c r="F600" s="31">
        <f>IF($A600="","",SUMIF(MonthlySummary!$B$2:$B$1000,$A600,MonthlySummary!$E$2:$E$1000))</f>
        <v/>
      </c>
      <c r="G600" s="31" t="n">
        <v>0</v>
      </c>
      <c r="H600" s="31">
        <f>IF($A600="","",$F600-IF($G600="",0,$G600))</f>
        <v/>
      </c>
      <c r="I600" s="31">
        <f>IF($A600="","",IFERROR(XLOOKUP($A600,SeedPlacement!$A$2:$A$1000,SeedPlacement!$N$2:$N$1000),0))</f>
        <v/>
      </c>
      <c r="J600" s="59" t="n"/>
    </row>
    <row r="601">
      <c r="A601" s="31">
        <f>IF(Members!$A601="","",Members!$A601)</f>
        <v/>
      </c>
      <c r="B601" s="31">
        <f>IF($A601="","",$I601+SUMIF(WeeklySummary!$B$2:$B$1000,$A601,WeeklySummary!$G$2:$G$1000))</f>
        <v/>
      </c>
      <c r="C601" s="31">
        <f>IF($B601="","",MIN(100,INT(SQRT($B601))))</f>
        <v/>
      </c>
      <c r="D601" s="31">
        <f>IF($C601="","",($C601+1)^2)</f>
        <v/>
      </c>
      <c r="E601" s="31">
        <f>IF($D601="","",$D601-$B601)</f>
        <v/>
      </c>
      <c r="F601" s="31">
        <f>IF($A601="","",SUMIF(MonthlySummary!$B$2:$B$1000,$A601,MonthlySummary!$E$2:$E$1000))</f>
        <v/>
      </c>
      <c r="G601" s="31" t="n">
        <v>0</v>
      </c>
      <c r="H601" s="31">
        <f>IF($A601="","",$F601-IF($G601="",0,$G601))</f>
        <v/>
      </c>
      <c r="I601" s="31">
        <f>IF($A601="","",IFERROR(XLOOKUP($A601,SeedPlacement!$A$2:$A$1000,SeedPlacement!$N$2:$N$1000),0))</f>
        <v/>
      </c>
      <c r="J601" s="59" t="n"/>
    </row>
    <row r="602">
      <c r="A602" s="31">
        <f>IF(Members!$A602="","",Members!$A602)</f>
        <v/>
      </c>
      <c r="B602" s="31">
        <f>IF($A602="","",$I602+SUMIF(WeeklySummary!$B$2:$B$1000,$A602,WeeklySummary!$G$2:$G$1000))</f>
        <v/>
      </c>
      <c r="C602" s="31">
        <f>IF($B602="","",MIN(100,INT(SQRT($B602))))</f>
        <v/>
      </c>
      <c r="D602" s="31">
        <f>IF($C602="","",($C602+1)^2)</f>
        <v/>
      </c>
      <c r="E602" s="31">
        <f>IF($D602="","",$D602-$B602)</f>
        <v/>
      </c>
      <c r="F602" s="31">
        <f>IF($A602="","",SUMIF(MonthlySummary!$B$2:$B$1000,$A602,MonthlySummary!$E$2:$E$1000))</f>
        <v/>
      </c>
      <c r="G602" s="31" t="n">
        <v>0</v>
      </c>
      <c r="H602" s="31">
        <f>IF($A602="","",$F602-IF($G602="",0,$G602))</f>
        <v/>
      </c>
      <c r="I602" s="31">
        <f>IF($A602="","",IFERROR(XLOOKUP($A602,SeedPlacement!$A$2:$A$1000,SeedPlacement!$N$2:$N$1000),0))</f>
        <v/>
      </c>
      <c r="J602" s="59" t="n"/>
    </row>
    <row r="603">
      <c r="A603" s="31">
        <f>IF(Members!$A603="","",Members!$A603)</f>
        <v/>
      </c>
      <c r="B603" s="31">
        <f>IF($A603="","",$I603+SUMIF(WeeklySummary!$B$2:$B$1000,$A603,WeeklySummary!$G$2:$G$1000))</f>
        <v/>
      </c>
      <c r="C603" s="31">
        <f>IF($B603="","",MIN(100,INT(SQRT($B603))))</f>
        <v/>
      </c>
      <c r="D603" s="31">
        <f>IF($C603="","",($C603+1)^2)</f>
        <v/>
      </c>
      <c r="E603" s="31">
        <f>IF($D603="","",$D603-$B603)</f>
        <v/>
      </c>
      <c r="F603" s="31">
        <f>IF($A603="","",SUMIF(MonthlySummary!$B$2:$B$1000,$A603,MonthlySummary!$E$2:$E$1000))</f>
        <v/>
      </c>
      <c r="G603" s="31" t="n">
        <v>0</v>
      </c>
      <c r="H603" s="31">
        <f>IF($A603="","",$F603-IF($G603="",0,$G603))</f>
        <v/>
      </c>
      <c r="I603" s="31">
        <f>IF($A603="","",IFERROR(XLOOKUP($A603,SeedPlacement!$A$2:$A$1000,SeedPlacement!$N$2:$N$1000),0))</f>
        <v/>
      </c>
      <c r="J603" s="59" t="n"/>
    </row>
    <row r="604">
      <c r="A604" s="31">
        <f>IF(Members!$A604="","",Members!$A604)</f>
        <v/>
      </c>
      <c r="B604" s="31">
        <f>IF($A604="","",$I604+SUMIF(WeeklySummary!$B$2:$B$1000,$A604,WeeklySummary!$G$2:$G$1000))</f>
        <v/>
      </c>
      <c r="C604" s="31">
        <f>IF($B604="","",MIN(100,INT(SQRT($B604))))</f>
        <v/>
      </c>
      <c r="D604" s="31">
        <f>IF($C604="","",($C604+1)^2)</f>
        <v/>
      </c>
      <c r="E604" s="31">
        <f>IF($D604="","",$D604-$B604)</f>
        <v/>
      </c>
      <c r="F604" s="31">
        <f>IF($A604="","",SUMIF(MonthlySummary!$B$2:$B$1000,$A604,MonthlySummary!$E$2:$E$1000))</f>
        <v/>
      </c>
      <c r="G604" s="31" t="n">
        <v>0</v>
      </c>
      <c r="H604" s="31">
        <f>IF($A604="","",$F604-IF($G604="",0,$G604))</f>
        <v/>
      </c>
      <c r="I604" s="31">
        <f>IF($A604="","",IFERROR(XLOOKUP($A604,SeedPlacement!$A$2:$A$1000,SeedPlacement!$N$2:$N$1000),0))</f>
        <v/>
      </c>
      <c r="J604" s="59" t="n"/>
    </row>
    <row r="605">
      <c r="A605" s="31">
        <f>IF(Members!$A605="","",Members!$A605)</f>
        <v/>
      </c>
      <c r="B605" s="31">
        <f>IF($A605="","",$I605+SUMIF(WeeklySummary!$B$2:$B$1000,$A605,WeeklySummary!$G$2:$G$1000))</f>
        <v/>
      </c>
      <c r="C605" s="31">
        <f>IF($B605="","",MIN(100,INT(SQRT($B605))))</f>
        <v/>
      </c>
      <c r="D605" s="31">
        <f>IF($C605="","",($C605+1)^2)</f>
        <v/>
      </c>
      <c r="E605" s="31">
        <f>IF($D605="","",$D605-$B605)</f>
        <v/>
      </c>
      <c r="F605" s="31">
        <f>IF($A605="","",SUMIF(MonthlySummary!$B$2:$B$1000,$A605,MonthlySummary!$E$2:$E$1000))</f>
        <v/>
      </c>
      <c r="G605" s="31" t="n">
        <v>0</v>
      </c>
      <c r="H605" s="31">
        <f>IF($A605="","",$F605-IF($G605="",0,$G605))</f>
        <v/>
      </c>
      <c r="I605" s="31">
        <f>IF($A605="","",IFERROR(XLOOKUP($A605,SeedPlacement!$A$2:$A$1000,SeedPlacement!$N$2:$N$1000),0))</f>
        <v/>
      </c>
      <c r="J605" s="59" t="n"/>
    </row>
    <row r="606">
      <c r="A606" s="31">
        <f>IF(Members!$A606="","",Members!$A606)</f>
        <v/>
      </c>
      <c r="B606" s="31">
        <f>IF($A606="","",$I606+SUMIF(WeeklySummary!$B$2:$B$1000,$A606,WeeklySummary!$G$2:$G$1000))</f>
        <v/>
      </c>
      <c r="C606" s="31">
        <f>IF($B606="","",MIN(100,INT(SQRT($B606))))</f>
        <v/>
      </c>
      <c r="D606" s="31">
        <f>IF($C606="","",($C606+1)^2)</f>
        <v/>
      </c>
      <c r="E606" s="31">
        <f>IF($D606="","",$D606-$B606)</f>
        <v/>
      </c>
      <c r="F606" s="31">
        <f>IF($A606="","",SUMIF(MonthlySummary!$B$2:$B$1000,$A606,MonthlySummary!$E$2:$E$1000))</f>
        <v/>
      </c>
      <c r="G606" s="31" t="n">
        <v>0</v>
      </c>
      <c r="H606" s="31">
        <f>IF($A606="","",$F606-IF($G606="",0,$G606))</f>
        <v/>
      </c>
      <c r="I606" s="31">
        <f>IF($A606="","",IFERROR(XLOOKUP($A606,SeedPlacement!$A$2:$A$1000,SeedPlacement!$N$2:$N$1000),0))</f>
        <v/>
      </c>
      <c r="J606" s="59" t="n"/>
    </row>
    <row r="607">
      <c r="A607" s="31">
        <f>IF(Members!$A607="","",Members!$A607)</f>
        <v/>
      </c>
      <c r="B607" s="31">
        <f>IF($A607="","",$I607+SUMIF(WeeklySummary!$B$2:$B$1000,$A607,WeeklySummary!$G$2:$G$1000))</f>
        <v/>
      </c>
      <c r="C607" s="31">
        <f>IF($B607="","",MIN(100,INT(SQRT($B607))))</f>
        <v/>
      </c>
      <c r="D607" s="31">
        <f>IF($C607="","",($C607+1)^2)</f>
        <v/>
      </c>
      <c r="E607" s="31">
        <f>IF($D607="","",$D607-$B607)</f>
        <v/>
      </c>
      <c r="F607" s="31">
        <f>IF($A607="","",SUMIF(MonthlySummary!$B$2:$B$1000,$A607,MonthlySummary!$E$2:$E$1000))</f>
        <v/>
      </c>
      <c r="G607" s="31" t="n">
        <v>0</v>
      </c>
      <c r="H607" s="31">
        <f>IF($A607="","",$F607-IF($G607="",0,$G607))</f>
        <v/>
      </c>
      <c r="I607" s="31">
        <f>IF($A607="","",IFERROR(XLOOKUP($A607,SeedPlacement!$A$2:$A$1000,SeedPlacement!$N$2:$N$1000),0))</f>
        <v/>
      </c>
      <c r="J607" s="59" t="n"/>
    </row>
    <row r="608">
      <c r="A608" s="31">
        <f>IF(Members!$A608="","",Members!$A608)</f>
        <v/>
      </c>
      <c r="B608" s="31">
        <f>IF($A608="","",$I608+SUMIF(WeeklySummary!$B$2:$B$1000,$A608,WeeklySummary!$G$2:$G$1000))</f>
        <v/>
      </c>
      <c r="C608" s="31">
        <f>IF($B608="","",MIN(100,INT(SQRT($B608))))</f>
        <v/>
      </c>
      <c r="D608" s="31">
        <f>IF($C608="","",($C608+1)^2)</f>
        <v/>
      </c>
      <c r="E608" s="31">
        <f>IF($D608="","",$D608-$B608)</f>
        <v/>
      </c>
      <c r="F608" s="31">
        <f>IF($A608="","",SUMIF(MonthlySummary!$B$2:$B$1000,$A608,MonthlySummary!$E$2:$E$1000))</f>
        <v/>
      </c>
      <c r="G608" s="31" t="n">
        <v>0</v>
      </c>
      <c r="H608" s="31">
        <f>IF($A608="","",$F608-IF($G608="",0,$G608))</f>
        <v/>
      </c>
      <c r="I608" s="31">
        <f>IF($A608="","",IFERROR(XLOOKUP($A608,SeedPlacement!$A$2:$A$1000,SeedPlacement!$N$2:$N$1000),0))</f>
        <v/>
      </c>
      <c r="J608" s="59" t="n"/>
    </row>
    <row r="609">
      <c r="A609" s="31">
        <f>IF(Members!$A609="","",Members!$A609)</f>
        <v/>
      </c>
      <c r="B609" s="31">
        <f>IF($A609="","",$I609+SUMIF(WeeklySummary!$B$2:$B$1000,$A609,WeeklySummary!$G$2:$G$1000))</f>
        <v/>
      </c>
      <c r="C609" s="31">
        <f>IF($B609="","",MIN(100,INT(SQRT($B609))))</f>
        <v/>
      </c>
      <c r="D609" s="31">
        <f>IF($C609="","",($C609+1)^2)</f>
        <v/>
      </c>
      <c r="E609" s="31">
        <f>IF($D609="","",$D609-$B609)</f>
        <v/>
      </c>
      <c r="F609" s="31">
        <f>IF($A609="","",SUMIF(MonthlySummary!$B$2:$B$1000,$A609,MonthlySummary!$E$2:$E$1000))</f>
        <v/>
      </c>
      <c r="G609" s="31" t="n">
        <v>0</v>
      </c>
      <c r="H609" s="31">
        <f>IF($A609="","",$F609-IF($G609="",0,$G609))</f>
        <v/>
      </c>
      <c r="I609" s="31">
        <f>IF($A609="","",IFERROR(XLOOKUP($A609,SeedPlacement!$A$2:$A$1000,SeedPlacement!$N$2:$N$1000),0))</f>
        <v/>
      </c>
      <c r="J609" s="59" t="n"/>
    </row>
    <row r="610">
      <c r="A610" s="31">
        <f>IF(Members!$A610="","",Members!$A610)</f>
        <v/>
      </c>
      <c r="B610" s="31">
        <f>IF($A610="","",$I610+SUMIF(WeeklySummary!$B$2:$B$1000,$A610,WeeklySummary!$G$2:$G$1000))</f>
        <v/>
      </c>
      <c r="C610" s="31">
        <f>IF($B610="","",MIN(100,INT(SQRT($B610))))</f>
        <v/>
      </c>
      <c r="D610" s="31">
        <f>IF($C610="","",($C610+1)^2)</f>
        <v/>
      </c>
      <c r="E610" s="31">
        <f>IF($D610="","",$D610-$B610)</f>
        <v/>
      </c>
      <c r="F610" s="31">
        <f>IF($A610="","",SUMIF(MonthlySummary!$B$2:$B$1000,$A610,MonthlySummary!$E$2:$E$1000))</f>
        <v/>
      </c>
      <c r="G610" s="31" t="n">
        <v>0</v>
      </c>
      <c r="H610" s="31">
        <f>IF($A610="","",$F610-IF($G610="",0,$G610))</f>
        <v/>
      </c>
      <c r="I610" s="31">
        <f>IF($A610="","",IFERROR(XLOOKUP($A610,SeedPlacement!$A$2:$A$1000,SeedPlacement!$N$2:$N$1000),0))</f>
        <v/>
      </c>
      <c r="J610" s="59" t="n"/>
    </row>
    <row r="611">
      <c r="A611" s="31">
        <f>IF(Members!$A611="","",Members!$A611)</f>
        <v/>
      </c>
      <c r="B611" s="31">
        <f>IF($A611="","",$I611+SUMIF(WeeklySummary!$B$2:$B$1000,$A611,WeeklySummary!$G$2:$G$1000))</f>
        <v/>
      </c>
      <c r="C611" s="31">
        <f>IF($B611="","",MIN(100,INT(SQRT($B611))))</f>
        <v/>
      </c>
      <c r="D611" s="31">
        <f>IF($C611="","",($C611+1)^2)</f>
        <v/>
      </c>
      <c r="E611" s="31">
        <f>IF($D611="","",$D611-$B611)</f>
        <v/>
      </c>
      <c r="F611" s="31">
        <f>IF($A611="","",SUMIF(MonthlySummary!$B$2:$B$1000,$A611,MonthlySummary!$E$2:$E$1000))</f>
        <v/>
      </c>
      <c r="G611" s="31" t="n">
        <v>0</v>
      </c>
      <c r="H611" s="31">
        <f>IF($A611="","",$F611-IF($G611="",0,$G611))</f>
        <v/>
      </c>
      <c r="I611" s="31">
        <f>IF($A611="","",IFERROR(XLOOKUP($A611,SeedPlacement!$A$2:$A$1000,SeedPlacement!$N$2:$N$1000),0))</f>
        <v/>
      </c>
      <c r="J611" s="59" t="n"/>
    </row>
    <row r="612">
      <c r="A612" s="31">
        <f>IF(Members!$A612="","",Members!$A612)</f>
        <v/>
      </c>
      <c r="B612" s="31">
        <f>IF($A612="","",$I612+SUMIF(WeeklySummary!$B$2:$B$1000,$A612,WeeklySummary!$G$2:$G$1000))</f>
        <v/>
      </c>
      <c r="C612" s="31">
        <f>IF($B612="","",MIN(100,INT(SQRT($B612))))</f>
        <v/>
      </c>
      <c r="D612" s="31">
        <f>IF($C612="","",($C612+1)^2)</f>
        <v/>
      </c>
      <c r="E612" s="31">
        <f>IF($D612="","",$D612-$B612)</f>
        <v/>
      </c>
      <c r="F612" s="31">
        <f>IF($A612="","",SUMIF(MonthlySummary!$B$2:$B$1000,$A612,MonthlySummary!$E$2:$E$1000))</f>
        <v/>
      </c>
      <c r="G612" s="31" t="n">
        <v>0</v>
      </c>
      <c r="H612" s="31">
        <f>IF($A612="","",$F612-IF($G612="",0,$G612))</f>
        <v/>
      </c>
      <c r="I612" s="31">
        <f>IF($A612="","",IFERROR(XLOOKUP($A612,SeedPlacement!$A$2:$A$1000,SeedPlacement!$N$2:$N$1000),0))</f>
        <v/>
      </c>
      <c r="J612" s="59" t="n"/>
    </row>
    <row r="613">
      <c r="A613" s="31">
        <f>IF(Members!$A613="","",Members!$A613)</f>
        <v/>
      </c>
      <c r="B613" s="31">
        <f>IF($A613="","",$I613+SUMIF(WeeklySummary!$B$2:$B$1000,$A613,WeeklySummary!$G$2:$G$1000))</f>
        <v/>
      </c>
      <c r="C613" s="31">
        <f>IF($B613="","",MIN(100,INT(SQRT($B613))))</f>
        <v/>
      </c>
      <c r="D613" s="31">
        <f>IF($C613="","",($C613+1)^2)</f>
        <v/>
      </c>
      <c r="E613" s="31">
        <f>IF($D613="","",$D613-$B613)</f>
        <v/>
      </c>
      <c r="F613" s="31">
        <f>IF($A613="","",SUMIF(MonthlySummary!$B$2:$B$1000,$A613,MonthlySummary!$E$2:$E$1000))</f>
        <v/>
      </c>
      <c r="G613" s="31" t="n">
        <v>0</v>
      </c>
      <c r="H613" s="31">
        <f>IF($A613="","",$F613-IF($G613="",0,$G613))</f>
        <v/>
      </c>
      <c r="I613" s="31">
        <f>IF($A613="","",IFERROR(XLOOKUP($A613,SeedPlacement!$A$2:$A$1000,SeedPlacement!$N$2:$N$1000),0))</f>
        <v/>
      </c>
      <c r="J613" s="59" t="n"/>
    </row>
    <row r="614">
      <c r="A614" s="31">
        <f>IF(Members!$A614="","",Members!$A614)</f>
        <v/>
      </c>
      <c r="B614" s="31">
        <f>IF($A614="","",$I614+SUMIF(WeeklySummary!$B$2:$B$1000,$A614,WeeklySummary!$G$2:$G$1000))</f>
        <v/>
      </c>
      <c r="C614" s="31">
        <f>IF($B614="","",MIN(100,INT(SQRT($B614))))</f>
        <v/>
      </c>
      <c r="D614" s="31">
        <f>IF($C614="","",($C614+1)^2)</f>
        <v/>
      </c>
      <c r="E614" s="31">
        <f>IF($D614="","",$D614-$B614)</f>
        <v/>
      </c>
      <c r="F614" s="31">
        <f>IF($A614="","",SUMIF(MonthlySummary!$B$2:$B$1000,$A614,MonthlySummary!$E$2:$E$1000))</f>
        <v/>
      </c>
      <c r="G614" s="31" t="n">
        <v>0</v>
      </c>
      <c r="H614" s="31">
        <f>IF($A614="","",$F614-IF($G614="",0,$G614))</f>
        <v/>
      </c>
      <c r="I614" s="31">
        <f>IF($A614="","",IFERROR(XLOOKUP($A614,SeedPlacement!$A$2:$A$1000,SeedPlacement!$N$2:$N$1000),0))</f>
        <v/>
      </c>
      <c r="J614" s="59" t="n"/>
    </row>
    <row r="615">
      <c r="A615" s="31">
        <f>IF(Members!$A615="","",Members!$A615)</f>
        <v/>
      </c>
      <c r="B615" s="31">
        <f>IF($A615="","",$I615+SUMIF(WeeklySummary!$B$2:$B$1000,$A615,WeeklySummary!$G$2:$G$1000))</f>
        <v/>
      </c>
      <c r="C615" s="31">
        <f>IF($B615="","",MIN(100,INT(SQRT($B615))))</f>
        <v/>
      </c>
      <c r="D615" s="31">
        <f>IF($C615="","",($C615+1)^2)</f>
        <v/>
      </c>
      <c r="E615" s="31">
        <f>IF($D615="","",$D615-$B615)</f>
        <v/>
      </c>
      <c r="F615" s="31">
        <f>IF($A615="","",SUMIF(MonthlySummary!$B$2:$B$1000,$A615,MonthlySummary!$E$2:$E$1000))</f>
        <v/>
      </c>
      <c r="G615" s="31" t="n">
        <v>0</v>
      </c>
      <c r="H615" s="31">
        <f>IF($A615="","",$F615-IF($G615="",0,$G615))</f>
        <v/>
      </c>
      <c r="I615" s="31">
        <f>IF($A615="","",IFERROR(XLOOKUP($A615,SeedPlacement!$A$2:$A$1000,SeedPlacement!$N$2:$N$1000),0))</f>
        <v/>
      </c>
      <c r="J615" s="59" t="n"/>
    </row>
    <row r="616">
      <c r="A616" s="31">
        <f>IF(Members!$A616="","",Members!$A616)</f>
        <v/>
      </c>
      <c r="B616" s="31">
        <f>IF($A616="","",$I616+SUMIF(WeeklySummary!$B$2:$B$1000,$A616,WeeklySummary!$G$2:$G$1000))</f>
        <v/>
      </c>
      <c r="C616" s="31">
        <f>IF($B616="","",MIN(100,INT(SQRT($B616))))</f>
        <v/>
      </c>
      <c r="D616" s="31">
        <f>IF($C616="","",($C616+1)^2)</f>
        <v/>
      </c>
      <c r="E616" s="31">
        <f>IF($D616="","",$D616-$B616)</f>
        <v/>
      </c>
      <c r="F616" s="31">
        <f>IF($A616="","",SUMIF(MonthlySummary!$B$2:$B$1000,$A616,MonthlySummary!$E$2:$E$1000))</f>
        <v/>
      </c>
      <c r="G616" s="31" t="n">
        <v>0</v>
      </c>
      <c r="H616" s="31">
        <f>IF($A616="","",$F616-IF($G616="",0,$G616))</f>
        <v/>
      </c>
      <c r="I616" s="31">
        <f>IF($A616="","",IFERROR(XLOOKUP($A616,SeedPlacement!$A$2:$A$1000,SeedPlacement!$N$2:$N$1000),0))</f>
        <v/>
      </c>
      <c r="J616" s="59" t="n"/>
    </row>
    <row r="617">
      <c r="A617" s="31">
        <f>IF(Members!$A617="","",Members!$A617)</f>
        <v/>
      </c>
      <c r="B617" s="31">
        <f>IF($A617="","",$I617+SUMIF(WeeklySummary!$B$2:$B$1000,$A617,WeeklySummary!$G$2:$G$1000))</f>
        <v/>
      </c>
      <c r="C617" s="31">
        <f>IF($B617="","",MIN(100,INT(SQRT($B617))))</f>
        <v/>
      </c>
      <c r="D617" s="31">
        <f>IF($C617="","",($C617+1)^2)</f>
        <v/>
      </c>
      <c r="E617" s="31">
        <f>IF($D617="","",$D617-$B617)</f>
        <v/>
      </c>
      <c r="F617" s="31">
        <f>IF($A617="","",SUMIF(MonthlySummary!$B$2:$B$1000,$A617,MonthlySummary!$E$2:$E$1000))</f>
        <v/>
      </c>
      <c r="G617" s="31" t="n">
        <v>0</v>
      </c>
      <c r="H617" s="31">
        <f>IF($A617="","",$F617-IF($G617="",0,$G617))</f>
        <v/>
      </c>
      <c r="I617" s="31">
        <f>IF($A617="","",IFERROR(XLOOKUP($A617,SeedPlacement!$A$2:$A$1000,SeedPlacement!$N$2:$N$1000),0))</f>
        <v/>
      </c>
      <c r="J617" s="59" t="n"/>
    </row>
    <row r="618">
      <c r="A618" s="31">
        <f>IF(Members!$A618="","",Members!$A618)</f>
        <v/>
      </c>
      <c r="B618" s="31">
        <f>IF($A618="","",$I618+SUMIF(WeeklySummary!$B$2:$B$1000,$A618,WeeklySummary!$G$2:$G$1000))</f>
        <v/>
      </c>
      <c r="C618" s="31">
        <f>IF($B618="","",MIN(100,INT(SQRT($B618))))</f>
        <v/>
      </c>
      <c r="D618" s="31">
        <f>IF($C618="","",($C618+1)^2)</f>
        <v/>
      </c>
      <c r="E618" s="31">
        <f>IF($D618="","",$D618-$B618)</f>
        <v/>
      </c>
      <c r="F618" s="31">
        <f>IF($A618="","",SUMIF(MonthlySummary!$B$2:$B$1000,$A618,MonthlySummary!$E$2:$E$1000))</f>
        <v/>
      </c>
      <c r="G618" s="31" t="n">
        <v>0</v>
      </c>
      <c r="H618" s="31">
        <f>IF($A618="","",$F618-IF($G618="",0,$G618))</f>
        <v/>
      </c>
      <c r="I618" s="31">
        <f>IF($A618="","",IFERROR(XLOOKUP($A618,SeedPlacement!$A$2:$A$1000,SeedPlacement!$N$2:$N$1000),0))</f>
        <v/>
      </c>
      <c r="J618" s="59" t="n"/>
    </row>
    <row r="619">
      <c r="A619" s="31">
        <f>IF(Members!$A619="","",Members!$A619)</f>
        <v/>
      </c>
      <c r="B619" s="31">
        <f>IF($A619="","",$I619+SUMIF(WeeklySummary!$B$2:$B$1000,$A619,WeeklySummary!$G$2:$G$1000))</f>
        <v/>
      </c>
      <c r="C619" s="31">
        <f>IF($B619="","",MIN(100,INT(SQRT($B619))))</f>
        <v/>
      </c>
      <c r="D619" s="31">
        <f>IF($C619="","",($C619+1)^2)</f>
        <v/>
      </c>
      <c r="E619" s="31">
        <f>IF($D619="","",$D619-$B619)</f>
        <v/>
      </c>
      <c r="F619" s="31">
        <f>IF($A619="","",SUMIF(MonthlySummary!$B$2:$B$1000,$A619,MonthlySummary!$E$2:$E$1000))</f>
        <v/>
      </c>
      <c r="G619" s="31" t="n">
        <v>0</v>
      </c>
      <c r="H619" s="31">
        <f>IF($A619="","",$F619-IF($G619="",0,$G619))</f>
        <v/>
      </c>
      <c r="I619" s="31">
        <f>IF($A619="","",IFERROR(XLOOKUP($A619,SeedPlacement!$A$2:$A$1000,SeedPlacement!$N$2:$N$1000),0))</f>
        <v/>
      </c>
      <c r="J619" s="59" t="n"/>
    </row>
    <row r="620">
      <c r="A620" s="31">
        <f>IF(Members!$A620="","",Members!$A620)</f>
        <v/>
      </c>
      <c r="B620" s="31">
        <f>IF($A620="","",$I620+SUMIF(WeeklySummary!$B$2:$B$1000,$A620,WeeklySummary!$G$2:$G$1000))</f>
        <v/>
      </c>
      <c r="C620" s="31">
        <f>IF($B620="","",MIN(100,INT(SQRT($B620))))</f>
        <v/>
      </c>
      <c r="D620" s="31">
        <f>IF($C620="","",($C620+1)^2)</f>
        <v/>
      </c>
      <c r="E620" s="31">
        <f>IF($D620="","",$D620-$B620)</f>
        <v/>
      </c>
      <c r="F620" s="31">
        <f>IF($A620="","",SUMIF(MonthlySummary!$B$2:$B$1000,$A620,MonthlySummary!$E$2:$E$1000))</f>
        <v/>
      </c>
      <c r="G620" s="31" t="n">
        <v>0</v>
      </c>
      <c r="H620" s="31">
        <f>IF($A620="","",$F620-IF($G620="",0,$G620))</f>
        <v/>
      </c>
      <c r="I620" s="31">
        <f>IF($A620="","",IFERROR(XLOOKUP($A620,SeedPlacement!$A$2:$A$1000,SeedPlacement!$N$2:$N$1000),0))</f>
        <v/>
      </c>
      <c r="J620" s="59" t="n"/>
    </row>
    <row r="621">
      <c r="A621" s="31">
        <f>IF(Members!$A621="","",Members!$A621)</f>
        <v/>
      </c>
      <c r="B621" s="31">
        <f>IF($A621="","",$I621+SUMIF(WeeklySummary!$B$2:$B$1000,$A621,WeeklySummary!$G$2:$G$1000))</f>
        <v/>
      </c>
      <c r="C621" s="31">
        <f>IF($B621="","",MIN(100,INT(SQRT($B621))))</f>
        <v/>
      </c>
      <c r="D621" s="31">
        <f>IF($C621="","",($C621+1)^2)</f>
        <v/>
      </c>
      <c r="E621" s="31">
        <f>IF($D621="","",$D621-$B621)</f>
        <v/>
      </c>
      <c r="F621" s="31">
        <f>IF($A621="","",SUMIF(MonthlySummary!$B$2:$B$1000,$A621,MonthlySummary!$E$2:$E$1000))</f>
        <v/>
      </c>
      <c r="G621" s="31" t="n">
        <v>0</v>
      </c>
      <c r="H621" s="31">
        <f>IF($A621="","",$F621-IF($G621="",0,$G621))</f>
        <v/>
      </c>
      <c r="I621" s="31">
        <f>IF($A621="","",IFERROR(XLOOKUP($A621,SeedPlacement!$A$2:$A$1000,SeedPlacement!$N$2:$N$1000),0))</f>
        <v/>
      </c>
      <c r="J621" s="59" t="n"/>
    </row>
    <row r="622">
      <c r="A622" s="31">
        <f>IF(Members!$A622="","",Members!$A622)</f>
        <v/>
      </c>
      <c r="B622" s="31">
        <f>IF($A622="","",$I622+SUMIF(WeeklySummary!$B$2:$B$1000,$A622,WeeklySummary!$G$2:$G$1000))</f>
        <v/>
      </c>
      <c r="C622" s="31">
        <f>IF($B622="","",MIN(100,INT(SQRT($B622))))</f>
        <v/>
      </c>
      <c r="D622" s="31">
        <f>IF($C622="","",($C622+1)^2)</f>
        <v/>
      </c>
      <c r="E622" s="31">
        <f>IF($D622="","",$D622-$B622)</f>
        <v/>
      </c>
      <c r="F622" s="31">
        <f>IF($A622="","",SUMIF(MonthlySummary!$B$2:$B$1000,$A622,MonthlySummary!$E$2:$E$1000))</f>
        <v/>
      </c>
      <c r="G622" s="31" t="n">
        <v>0</v>
      </c>
      <c r="H622" s="31">
        <f>IF($A622="","",$F622-IF($G622="",0,$G622))</f>
        <v/>
      </c>
      <c r="I622" s="31">
        <f>IF($A622="","",IFERROR(XLOOKUP($A622,SeedPlacement!$A$2:$A$1000,SeedPlacement!$N$2:$N$1000),0))</f>
        <v/>
      </c>
      <c r="J622" s="59" t="n"/>
    </row>
    <row r="623">
      <c r="A623" s="31">
        <f>IF(Members!$A623="","",Members!$A623)</f>
        <v/>
      </c>
      <c r="B623" s="31">
        <f>IF($A623="","",$I623+SUMIF(WeeklySummary!$B$2:$B$1000,$A623,WeeklySummary!$G$2:$G$1000))</f>
        <v/>
      </c>
      <c r="C623" s="31">
        <f>IF($B623="","",MIN(100,INT(SQRT($B623))))</f>
        <v/>
      </c>
      <c r="D623" s="31">
        <f>IF($C623="","",($C623+1)^2)</f>
        <v/>
      </c>
      <c r="E623" s="31">
        <f>IF($D623="","",$D623-$B623)</f>
        <v/>
      </c>
      <c r="F623" s="31">
        <f>IF($A623="","",SUMIF(MonthlySummary!$B$2:$B$1000,$A623,MonthlySummary!$E$2:$E$1000))</f>
        <v/>
      </c>
      <c r="G623" s="31" t="n">
        <v>0</v>
      </c>
      <c r="H623" s="31">
        <f>IF($A623="","",$F623-IF($G623="",0,$G623))</f>
        <v/>
      </c>
      <c r="I623" s="31">
        <f>IF($A623="","",IFERROR(XLOOKUP($A623,SeedPlacement!$A$2:$A$1000,SeedPlacement!$N$2:$N$1000),0))</f>
        <v/>
      </c>
      <c r="J623" s="59" t="n"/>
    </row>
    <row r="624">
      <c r="A624" s="31">
        <f>IF(Members!$A624="","",Members!$A624)</f>
        <v/>
      </c>
      <c r="B624" s="31">
        <f>IF($A624="","",$I624+SUMIF(WeeklySummary!$B$2:$B$1000,$A624,WeeklySummary!$G$2:$G$1000))</f>
        <v/>
      </c>
      <c r="C624" s="31">
        <f>IF($B624="","",MIN(100,INT(SQRT($B624))))</f>
        <v/>
      </c>
      <c r="D624" s="31">
        <f>IF($C624="","",($C624+1)^2)</f>
        <v/>
      </c>
      <c r="E624" s="31">
        <f>IF($D624="","",$D624-$B624)</f>
        <v/>
      </c>
      <c r="F624" s="31">
        <f>IF($A624="","",SUMIF(MonthlySummary!$B$2:$B$1000,$A624,MonthlySummary!$E$2:$E$1000))</f>
        <v/>
      </c>
      <c r="G624" s="31" t="n">
        <v>0</v>
      </c>
      <c r="H624" s="31">
        <f>IF($A624="","",$F624-IF($G624="",0,$G624))</f>
        <v/>
      </c>
      <c r="I624" s="31">
        <f>IF($A624="","",IFERROR(XLOOKUP($A624,SeedPlacement!$A$2:$A$1000,SeedPlacement!$N$2:$N$1000),0))</f>
        <v/>
      </c>
      <c r="J624" s="59" t="n"/>
    </row>
    <row r="625">
      <c r="A625" s="31">
        <f>IF(Members!$A625="","",Members!$A625)</f>
        <v/>
      </c>
      <c r="B625" s="31">
        <f>IF($A625="","",$I625+SUMIF(WeeklySummary!$B$2:$B$1000,$A625,WeeklySummary!$G$2:$G$1000))</f>
        <v/>
      </c>
      <c r="C625" s="31">
        <f>IF($B625="","",MIN(100,INT(SQRT($B625))))</f>
        <v/>
      </c>
      <c r="D625" s="31">
        <f>IF($C625="","",($C625+1)^2)</f>
        <v/>
      </c>
      <c r="E625" s="31">
        <f>IF($D625="","",$D625-$B625)</f>
        <v/>
      </c>
      <c r="F625" s="31">
        <f>IF($A625="","",SUMIF(MonthlySummary!$B$2:$B$1000,$A625,MonthlySummary!$E$2:$E$1000))</f>
        <v/>
      </c>
      <c r="G625" s="31" t="n">
        <v>0</v>
      </c>
      <c r="H625" s="31">
        <f>IF($A625="","",$F625-IF($G625="",0,$G625))</f>
        <v/>
      </c>
      <c r="I625" s="31">
        <f>IF($A625="","",IFERROR(XLOOKUP($A625,SeedPlacement!$A$2:$A$1000,SeedPlacement!$N$2:$N$1000),0))</f>
        <v/>
      </c>
      <c r="J625" s="59" t="n"/>
    </row>
    <row r="626">
      <c r="A626" s="31">
        <f>IF(Members!$A626="","",Members!$A626)</f>
        <v/>
      </c>
      <c r="B626" s="31">
        <f>IF($A626="","",$I626+SUMIF(WeeklySummary!$B$2:$B$1000,$A626,WeeklySummary!$G$2:$G$1000))</f>
        <v/>
      </c>
      <c r="C626" s="31">
        <f>IF($B626="","",MIN(100,INT(SQRT($B626))))</f>
        <v/>
      </c>
      <c r="D626" s="31">
        <f>IF($C626="","",($C626+1)^2)</f>
        <v/>
      </c>
      <c r="E626" s="31">
        <f>IF($D626="","",$D626-$B626)</f>
        <v/>
      </c>
      <c r="F626" s="31">
        <f>IF($A626="","",SUMIF(MonthlySummary!$B$2:$B$1000,$A626,MonthlySummary!$E$2:$E$1000))</f>
        <v/>
      </c>
      <c r="G626" s="31" t="n">
        <v>0</v>
      </c>
      <c r="H626" s="31">
        <f>IF($A626="","",$F626-IF($G626="",0,$G626))</f>
        <v/>
      </c>
      <c r="I626" s="31">
        <f>IF($A626="","",IFERROR(XLOOKUP($A626,SeedPlacement!$A$2:$A$1000,SeedPlacement!$N$2:$N$1000),0))</f>
        <v/>
      </c>
      <c r="J626" s="59" t="n"/>
    </row>
    <row r="627">
      <c r="A627" s="31">
        <f>IF(Members!$A627="","",Members!$A627)</f>
        <v/>
      </c>
      <c r="B627" s="31">
        <f>IF($A627="","",$I627+SUMIF(WeeklySummary!$B$2:$B$1000,$A627,WeeklySummary!$G$2:$G$1000))</f>
        <v/>
      </c>
      <c r="C627" s="31">
        <f>IF($B627="","",MIN(100,INT(SQRT($B627))))</f>
        <v/>
      </c>
      <c r="D627" s="31">
        <f>IF($C627="","",($C627+1)^2)</f>
        <v/>
      </c>
      <c r="E627" s="31">
        <f>IF($D627="","",$D627-$B627)</f>
        <v/>
      </c>
      <c r="F627" s="31">
        <f>IF($A627="","",SUMIF(MonthlySummary!$B$2:$B$1000,$A627,MonthlySummary!$E$2:$E$1000))</f>
        <v/>
      </c>
      <c r="G627" s="31" t="n">
        <v>0</v>
      </c>
      <c r="H627" s="31">
        <f>IF($A627="","",$F627-IF($G627="",0,$G627))</f>
        <v/>
      </c>
      <c r="I627" s="31">
        <f>IF($A627="","",IFERROR(XLOOKUP($A627,SeedPlacement!$A$2:$A$1000,SeedPlacement!$N$2:$N$1000),0))</f>
        <v/>
      </c>
      <c r="J627" s="59" t="n"/>
    </row>
    <row r="628">
      <c r="A628" s="31">
        <f>IF(Members!$A628="","",Members!$A628)</f>
        <v/>
      </c>
      <c r="B628" s="31">
        <f>IF($A628="","",$I628+SUMIF(WeeklySummary!$B$2:$B$1000,$A628,WeeklySummary!$G$2:$G$1000))</f>
        <v/>
      </c>
      <c r="C628" s="31">
        <f>IF($B628="","",MIN(100,INT(SQRT($B628))))</f>
        <v/>
      </c>
      <c r="D628" s="31">
        <f>IF($C628="","",($C628+1)^2)</f>
        <v/>
      </c>
      <c r="E628" s="31">
        <f>IF($D628="","",$D628-$B628)</f>
        <v/>
      </c>
      <c r="F628" s="31">
        <f>IF($A628="","",SUMIF(MonthlySummary!$B$2:$B$1000,$A628,MonthlySummary!$E$2:$E$1000))</f>
        <v/>
      </c>
      <c r="G628" s="31" t="n">
        <v>0</v>
      </c>
      <c r="H628" s="31">
        <f>IF($A628="","",$F628-IF($G628="",0,$G628))</f>
        <v/>
      </c>
      <c r="I628" s="31">
        <f>IF($A628="","",IFERROR(XLOOKUP($A628,SeedPlacement!$A$2:$A$1000,SeedPlacement!$N$2:$N$1000),0))</f>
        <v/>
      </c>
      <c r="J628" s="59" t="n"/>
    </row>
    <row r="629">
      <c r="A629" s="31">
        <f>IF(Members!$A629="","",Members!$A629)</f>
        <v/>
      </c>
      <c r="B629" s="31">
        <f>IF($A629="","",$I629+SUMIF(WeeklySummary!$B$2:$B$1000,$A629,WeeklySummary!$G$2:$G$1000))</f>
        <v/>
      </c>
      <c r="C629" s="31">
        <f>IF($B629="","",MIN(100,INT(SQRT($B629))))</f>
        <v/>
      </c>
      <c r="D629" s="31">
        <f>IF($C629="","",($C629+1)^2)</f>
        <v/>
      </c>
      <c r="E629" s="31">
        <f>IF($D629="","",$D629-$B629)</f>
        <v/>
      </c>
      <c r="F629" s="31">
        <f>IF($A629="","",SUMIF(MonthlySummary!$B$2:$B$1000,$A629,MonthlySummary!$E$2:$E$1000))</f>
        <v/>
      </c>
      <c r="G629" s="31" t="n">
        <v>0</v>
      </c>
      <c r="H629" s="31">
        <f>IF($A629="","",$F629-IF($G629="",0,$G629))</f>
        <v/>
      </c>
      <c r="I629" s="31">
        <f>IF($A629="","",IFERROR(XLOOKUP($A629,SeedPlacement!$A$2:$A$1000,SeedPlacement!$N$2:$N$1000),0))</f>
        <v/>
      </c>
      <c r="J629" s="59" t="n"/>
    </row>
    <row r="630">
      <c r="A630" s="31">
        <f>IF(Members!$A630="","",Members!$A630)</f>
        <v/>
      </c>
      <c r="B630" s="31">
        <f>IF($A630="","",$I630+SUMIF(WeeklySummary!$B$2:$B$1000,$A630,WeeklySummary!$G$2:$G$1000))</f>
        <v/>
      </c>
      <c r="C630" s="31">
        <f>IF($B630="","",MIN(100,INT(SQRT($B630))))</f>
        <v/>
      </c>
      <c r="D630" s="31">
        <f>IF($C630="","",($C630+1)^2)</f>
        <v/>
      </c>
      <c r="E630" s="31">
        <f>IF($D630="","",$D630-$B630)</f>
        <v/>
      </c>
      <c r="F630" s="31">
        <f>IF($A630="","",SUMIF(MonthlySummary!$B$2:$B$1000,$A630,MonthlySummary!$E$2:$E$1000))</f>
        <v/>
      </c>
      <c r="G630" s="31" t="n">
        <v>0</v>
      </c>
      <c r="H630" s="31">
        <f>IF($A630="","",$F630-IF($G630="",0,$G630))</f>
        <v/>
      </c>
      <c r="I630" s="31">
        <f>IF($A630="","",IFERROR(XLOOKUP($A630,SeedPlacement!$A$2:$A$1000,SeedPlacement!$N$2:$N$1000),0))</f>
        <v/>
      </c>
      <c r="J630" s="59" t="n"/>
    </row>
    <row r="631">
      <c r="A631" s="31">
        <f>IF(Members!$A631="","",Members!$A631)</f>
        <v/>
      </c>
      <c r="B631" s="31">
        <f>IF($A631="","",$I631+SUMIF(WeeklySummary!$B$2:$B$1000,$A631,WeeklySummary!$G$2:$G$1000))</f>
        <v/>
      </c>
      <c r="C631" s="31">
        <f>IF($B631="","",MIN(100,INT(SQRT($B631))))</f>
        <v/>
      </c>
      <c r="D631" s="31">
        <f>IF($C631="","",($C631+1)^2)</f>
        <v/>
      </c>
      <c r="E631" s="31">
        <f>IF($D631="","",$D631-$B631)</f>
        <v/>
      </c>
      <c r="F631" s="31">
        <f>IF($A631="","",SUMIF(MonthlySummary!$B$2:$B$1000,$A631,MonthlySummary!$E$2:$E$1000))</f>
        <v/>
      </c>
      <c r="G631" s="31" t="n">
        <v>0</v>
      </c>
      <c r="H631" s="31">
        <f>IF($A631="","",$F631-IF($G631="",0,$G631))</f>
        <v/>
      </c>
      <c r="I631" s="31">
        <f>IF($A631="","",IFERROR(XLOOKUP($A631,SeedPlacement!$A$2:$A$1000,SeedPlacement!$N$2:$N$1000),0))</f>
        <v/>
      </c>
      <c r="J631" s="59" t="n"/>
    </row>
    <row r="632">
      <c r="A632" s="31">
        <f>IF(Members!$A632="","",Members!$A632)</f>
        <v/>
      </c>
      <c r="B632" s="31">
        <f>IF($A632="","",$I632+SUMIF(WeeklySummary!$B$2:$B$1000,$A632,WeeklySummary!$G$2:$G$1000))</f>
        <v/>
      </c>
      <c r="C632" s="31">
        <f>IF($B632="","",MIN(100,INT(SQRT($B632))))</f>
        <v/>
      </c>
      <c r="D632" s="31">
        <f>IF($C632="","",($C632+1)^2)</f>
        <v/>
      </c>
      <c r="E632" s="31">
        <f>IF($D632="","",$D632-$B632)</f>
        <v/>
      </c>
      <c r="F632" s="31">
        <f>IF($A632="","",SUMIF(MonthlySummary!$B$2:$B$1000,$A632,MonthlySummary!$E$2:$E$1000))</f>
        <v/>
      </c>
      <c r="G632" s="31" t="n">
        <v>0</v>
      </c>
      <c r="H632" s="31">
        <f>IF($A632="","",$F632-IF($G632="",0,$G632))</f>
        <v/>
      </c>
      <c r="I632" s="31">
        <f>IF($A632="","",IFERROR(XLOOKUP($A632,SeedPlacement!$A$2:$A$1000,SeedPlacement!$N$2:$N$1000),0))</f>
        <v/>
      </c>
      <c r="J632" s="59" t="n"/>
    </row>
    <row r="633">
      <c r="A633" s="31">
        <f>IF(Members!$A633="","",Members!$A633)</f>
        <v/>
      </c>
      <c r="B633" s="31">
        <f>IF($A633="","",$I633+SUMIF(WeeklySummary!$B$2:$B$1000,$A633,WeeklySummary!$G$2:$G$1000))</f>
        <v/>
      </c>
      <c r="C633" s="31">
        <f>IF($B633="","",MIN(100,INT(SQRT($B633))))</f>
        <v/>
      </c>
      <c r="D633" s="31">
        <f>IF($C633="","",($C633+1)^2)</f>
        <v/>
      </c>
      <c r="E633" s="31">
        <f>IF($D633="","",$D633-$B633)</f>
        <v/>
      </c>
      <c r="F633" s="31">
        <f>IF($A633="","",SUMIF(MonthlySummary!$B$2:$B$1000,$A633,MonthlySummary!$E$2:$E$1000))</f>
        <v/>
      </c>
      <c r="G633" s="31" t="n">
        <v>0</v>
      </c>
      <c r="H633" s="31">
        <f>IF($A633="","",$F633-IF($G633="",0,$G633))</f>
        <v/>
      </c>
      <c r="I633" s="31">
        <f>IF($A633="","",IFERROR(XLOOKUP($A633,SeedPlacement!$A$2:$A$1000,SeedPlacement!$N$2:$N$1000),0))</f>
        <v/>
      </c>
      <c r="J633" s="59" t="n"/>
    </row>
    <row r="634">
      <c r="A634" s="31">
        <f>IF(Members!$A634="","",Members!$A634)</f>
        <v/>
      </c>
      <c r="B634" s="31">
        <f>IF($A634="","",$I634+SUMIF(WeeklySummary!$B$2:$B$1000,$A634,WeeklySummary!$G$2:$G$1000))</f>
        <v/>
      </c>
      <c r="C634" s="31">
        <f>IF($B634="","",MIN(100,INT(SQRT($B634))))</f>
        <v/>
      </c>
      <c r="D634" s="31">
        <f>IF($C634="","",($C634+1)^2)</f>
        <v/>
      </c>
      <c r="E634" s="31">
        <f>IF($D634="","",$D634-$B634)</f>
        <v/>
      </c>
      <c r="F634" s="31">
        <f>IF($A634="","",SUMIF(MonthlySummary!$B$2:$B$1000,$A634,MonthlySummary!$E$2:$E$1000))</f>
        <v/>
      </c>
      <c r="G634" s="31" t="n">
        <v>0</v>
      </c>
      <c r="H634" s="31">
        <f>IF($A634="","",$F634-IF($G634="",0,$G634))</f>
        <v/>
      </c>
      <c r="I634" s="31">
        <f>IF($A634="","",IFERROR(XLOOKUP($A634,SeedPlacement!$A$2:$A$1000,SeedPlacement!$N$2:$N$1000),0))</f>
        <v/>
      </c>
      <c r="J634" s="59" t="n"/>
    </row>
    <row r="635">
      <c r="A635" s="31">
        <f>IF(Members!$A635="","",Members!$A635)</f>
        <v/>
      </c>
      <c r="B635" s="31">
        <f>IF($A635="","",$I635+SUMIF(WeeklySummary!$B$2:$B$1000,$A635,WeeklySummary!$G$2:$G$1000))</f>
        <v/>
      </c>
      <c r="C635" s="31">
        <f>IF($B635="","",MIN(100,INT(SQRT($B635))))</f>
        <v/>
      </c>
      <c r="D635" s="31">
        <f>IF($C635="","",($C635+1)^2)</f>
        <v/>
      </c>
      <c r="E635" s="31">
        <f>IF($D635="","",$D635-$B635)</f>
        <v/>
      </c>
      <c r="F635" s="31">
        <f>IF($A635="","",SUMIF(MonthlySummary!$B$2:$B$1000,$A635,MonthlySummary!$E$2:$E$1000))</f>
        <v/>
      </c>
      <c r="G635" s="31" t="n">
        <v>0</v>
      </c>
      <c r="H635" s="31">
        <f>IF($A635="","",$F635-IF($G635="",0,$G635))</f>
        <v/>
      </c>
      <c r="I635" s="31">
        <f>IF($A635="","",IFERROR(XLOOKUP($A635,SeedPlacement!$A$2:$A$1000,SeedPlacement!$N$2:$N$1000),0))</f>
        <v/>
      </c>
      <c r="J635" s="59" t="n"/>
    </row>
    <row r="636">
      <c r="A636" s="31">
        <f>IF(Members!$A636="","",Members!$A636)</f>
        <v/>
      </c>
      <c r="B636" s="31">
        <f>IF($A636="","",$I636+SUMIF(WeeklySummary!$B$2:$B$1000,$A636,WeeklySummary!$G$2:$G$1000))</f>
        <v/>
      </c>
      <c r="C636" s="31">
        <f>IF($B636="","",MIN(100,INT(SQRT($B636))))</f>
        <v/>
      </c>
      <c r="D636" s="31">
        <f>IF($C636="","",($C636+1)^2)</f>
        <v/>
      </c>
      <c r="E636" s="31">
        <f>IF($D636="","",$D636-$B636)</f>
        <v/>
      </c>
      <c r="F636" s="31">
        <f>IF($A636="","",SUMIF(MonthlySummary!$B$2:$B$1000,$A636,MonthlySummary!$E$2:$E$1000))</f>
        <v/>
      </c>
      <c r="G636" s="31" t="n">
        <v>0</v>
      </c>
      <c r="H636" s="31">
        <f>IF($A636="","",$F636-IF($G636="",0,$G636))</f>
        <v/>
      </c>
      <c r="I636" s="31">
        <f>IF($A636="","",IFERROR(XLOOKUP($A636,SeedPlacement!$A$2:$A$1000,SeedPlacement!$N$2:$N$1000),0))</f>
        <v/>
      </c>
      <c r="J636" s="59" t="n"/>
    </row>
    <row r="637">
      <c r="A637" s="31">
        <f>IF(Members!$A637="","",Members!$A637)</f>
        <v/>
      </c>
      <c r="B637" s="31">
        <f>IF($A637="","",$I637+SUMIF(WeeklySummary!$B$2:$B$1000,$A637,WeeklySummary!$G$2:$G$1000))</f>
        <v/>
      </c>
      <c r="C637" s="31">
        <f>IF($B637="","",MIN(100,INT(SQRT($B637))))</f>
        <v/>
      </c>
      <c r="D637" s="31">
        <f>IF($C637="","",($C637+1)^2)</f>
        <v/>
      </c>
      <c r="E637" s="31">
        <f>IF($D637="","",$D637-$B637)</f>
        <v/>
      </c>
      <c r="F637" s="31">
        <f>IF($A637="","",SUMIF(MonthlySummary!$B$2:$B$1000,$A637,MonthlySummary!$E$2:$E$1000))</f>
        <v/>
      </c>
      <c r="G637" s="31" t="n">
        <v>0</v>
      </c>
      <c r="H637" s="31">
        <f>IF($A637="","",$F637-IF($G637="",0,$G637))</f>
        <v/>
      </c>
      <c r="I637" s="31">
        <f>IF($A637="","",IFERROR(XLOOKUP($A637,SeedPlacement!$A$2:$A$1000,SeedPlacement!$N$2:$N$1000),0))</f>
        <v/>
      </c>
      <c r="J637" s="59" t="n"/>
    </row>
    <row r="638">
      <c r="A638" s="31">
        <f>IF(Members!$A638="","",Members!$A638)</f>
        <v/>
      </c>
      <c r="B638" s="31">
        <f>IF($A638="","",$I638+SUMIF(WeeklySummary!$B$2:$B$1000,$A638,WeeklySummary!$G$2:$G$1000))</f>
        <v/>
      </c>
      <c r="C638" s="31">
        <f>IF($B638="","",MIN(100,INT(SQRT($B638))))</f>
        <v/>
      </c>
      <c r="D638" s="31">
        <f>IF($C638="","",($C638+1)^2)</f>
        <v/>
      </c>
      <c r="E638" s="31">
        <f>IF($D638="","",$D638-$B638)</f>
        <v/>
      </c>
      <c r="F638" s="31">
        <f>IF($A638="","",SUMIF(MonthlySummary!$B$2:$B$1000,$A638,MonthlySummary!$E$2:$E$1000))</f>
        <v/>
      </c>
      <c r="G638" s="31" t="n">
        <v>0</v>
      </c>
      <c r="H638" s="31">
        <f>IF($A638="","",$F638-IF($G638="",0,$G638))</f>
        <v/>
      </c>
      <c r="I638" s="31">
        <f>IF($A638="","",IFERROR(XLOOKUP($A638,SeedPlacement!$A$2:$A$1000,SeedPlacement!$N$2:$N$1000),0))</f>
        <v/>
      </c>
      <c r="J638" s="59" t="n"/>
    </row>
    <row r="639">
      <c r="A639" s="31">
        <f>IF(Members!$A639="","",Members!$A639)</f>
        <v/>
      </c>
      <c r="B639" s="31">
        <f>IF($A639="","",$I639+SUMIF(WeeklySummary!$B$2:$B$1000,$A639,WeeklySummary!$G$2:$G$1000))</f>
        <v/>
      </c>
      <c r="C639" s="31">
        <f>IF($B639="","",MIN(100,INT(SQRT($B639))))</f>
        <v/>
      </c>
      <c r="D639" s="31">
        <f>IF($C639="","",($C639+1)^2)</f>
        <v/>
      </c>
      <c r="E639" s="31">
        <f>IF($D639="","",$D639-$B639)</f>
        <v/>
      </c>
      <c r="F639" s="31">
        <f>IF($A639="","",SUMIF(MonthlySummary!$B$2:$B$1000,$A639,MonthlySummary!$E$2:$E$1000))</f>
        <v/>
      </c>
      <c r="G639" s="31" t="n">
        <v>0</v>
      </c>
      <c r="H639" s="31">
        <f>IF($A639="","",$F639-IF($G639="",0,$G639))</f>
        <v/>
      </c>
      <c r="I639" s="31">
        <f>IF($A639="","",IFERROR(XLOOKUP($A639,SeedPlacement!$A$2:$A$1000,SeedPlacement!$N$2:$N$1000),0))</f>
        <v/>
      </c>
      <c r="J639" s="59" t="n"/>
    </row>
    <row r="640">
      <c r="A640" s="31">
        <f>IF(Members!$A640="","",Members!$A640)</f>
        <v/>
      </c>
      <c r="B640" s="31">
        <f>IF($A640="","",$I640+SUMIF(WeeklySummary!$B$2:$B$1000,$A640,WeeklySummary!$G$2:$G$1000))</f>
        <v/>
      </c>
      <c r="C640" s="31">
        <f>IF($B640="","",MIN(100,INT(SQRT($B640))))</f>
        <v/>
      </c>
      <c r="D640" s="31">
        <f>IF($C640="","",($C640+1)^2)</f>
        <v/>
      </c>
      <c r="E640" s="31">
        <f>IF($D640="","",$D640-$B640)</f>
        <v/>
      </c>
      <c r="F640" s="31">
        <f>IF($A640="","",SUMIF(MonthlySummary!$B$2:$B$1000,$A640,MonthlySummary!$E$2:$E$1000))</f>
        <v/>
      </c>
      <c r="G640" s="31" t="n">
        <v>0</v>
      </c>
      <c r="H640" s="31">
        <f>IF($A640="","",$F640-IF($G640="",0,$G640))</f>
        <v/>
      </c>
      <c r="I640" s="31">
        <f>IF($A640="","",IFERROR(XLOOKUP($A640,SeedPlacement!$A$2:$A$1000,SeedPlacement!$N$2:$N$1000),0))</f>
        <v/>
      </c>
      <c r="J640" s="59" t="n"/>
    </row>
    <row r="641">
      <c r="A641" s="31">
        <f>IF(Members!$A641="","",Members!$A641)</f>
        <v/>
      </c>
      <c r="B641" s="31">
        <f>IF($A641="","",$I641+SUMIF(WeeklySummary!$B$2:$B$1000,$A641,WeeklySummary!$G$2:$G$1000))</f>
        <v/>
      </c>
      <c r="C641" s="31">
        <f>IF($B641="","",MIN(100,INT(SQRT($B641))))</f>
        <v/>
      </c>
      <c r="D641" s="31">
        <f>IF($C641="","",($C641+1)^2)</f>
        <v/>
      </c>
      <c r="E641" s="31">
        <f>IF($D641="","",$D641-$B641)</f>
        <v/>
      </c>
      <c r="F641" s="31">
        <f>IF($A641="","",SUMIF(MonthlySummary!$B$2:$B$1000,$A641,MonthlySummary!$E$2:$E$1000))</f>
        <v/>
      </c>
      <c r="G641" s="31" t="n">
        <v>0</v>
      </c>
      <c r="H641" s="31">
        <f>IF($A641="","",$F641-IF($G641="",0,$G641))</f>
        <v/>
      </c>
      <c r="I641" s="31">
        <f>IF($A641="","",IFERROR(XLOOKUP($A641,SeedPlacement!$A$2:$A$1000,SeedPlacement!$N$2:$N$1000),0))</f>
        <v/>
      </c>
      <c r="J641" s="59" t="n"/>
    </row>
    <row r="642">
      <c r="A642" s="31">
        <f>IF(Members!$A642="","",Members!$A642)</f>
        <v/>
      </c>
      <c r="B642" s="31">
        <f>IF($A642="","",$I642+SUMIF(WeeklySummary!$B$2:$B$1000,$A642,WeeklySummary!$G$2:$G$1000))</f>
        <v/>
      </c>
      <c r="C642" s="31">
        <f>IF($B642="","",MIN(100,INT(SQRT($B642))))</f>
        <v/>
      </c>
      <c r="D642" s="31">
        <f>IF($C642="","",($C642+1)^2)</f>
        <v/>
      </c>
      <c r="E642" s="31">
        <f>IF($D642="","",$D642-$B642)</f>
        <v/>
      </c>
      <c r="F642" s="31">
        <f>IF($A642="","",SUMIF(MonthlySummary!$B$2:$B$1000,$A642,MonthlySummary!$E$2:$E$1000))</f>
        <v/>
      </c>
      <c r="G642" s="31" t="n">
        <v>0</v>
      </c>
      <c r="H642" s="31">
        <f>IF($A642="","",$F642-IF($G642="",0,$G642))</f>
        <v/>
      </c>
      <c r="I642" s="31">
        <f>IF($A642="","",IFERROR(XLOOKUP($A642,SeedPlacement!$A$2:$A$1000,SeedPlacement!$N$2:$N$1000),0))</f>
        <v/>
      </c>
      <c r="J642" s="59" t="n"/>
    </row>
    <row r="643">
      <c r="A643" s="31">
        <f>IF(Members!$A643="","",Members!$A643)</f>
        <v/>
      </c>
      <c r="B643" s="31">
        <f>IF($A643="","",$I643+SUMIF(WeeklySummary!$B$2:$B$1000,$A643,WeeklySummary!$G$2:$G$1000))</f>
        <v/>
      </c>
      <c r="C643" s="31">
        <f>IF($B643="","",MIN(100,INT(SQRT($B643))))</f>
        <v/>
      </c>
      <c r="D643" s="31">
        <f>IF($C643="","",($C643+1)^2)</f>
        <v/>
      </c>
      <c r="E643" s="31">
        <f>IF($D643="","",$D643-$B643)</f>
        <v/>
      </c>
      <c r="F643" s="31">
        <f>IF($A643="","",SUMIF(MonthlySummary!$B$2:$B$1000,$A643,MonthlySummary!$E$2:$E$1000))</f>
        <v/>
      </c>
      <c r="G643" s="31" t="n">
        <v>0</v>
      </c>
      <c r="H643" s="31">
        <f>IF($A643="","",$F643-IF($G643="",0,$G643))</f>
        <v/>
      </c>
      <c r="I643" s="31">
        <f>IF($A643="","",IFERROR(XLOOKUP($A643,SeedPlacement!$A$2:$A$1000,SeedPlacement!$N$2:$N$1000),0))</f>
        <v/>
      </c>
      <c r="J643" s="59" t="n"/>
    </row>
    <row r="644">
      <c r="A644" s="31">
        <f>IF(Members!$A644="","",Members!$A644)</f>
        <v/>
      </c>
      <c r="B644" s="31">
        <f>IF($A644="","",$I644+SUMIF(WeeklySummary!$B$2:$B$1000,$A644,WeeklySummary!$G$2:$G$1000))</f>
        <v/>
      </c>
      <c r="C644" s="31">
        <f>IF($B644="","",MIN(100,INT(SQRT($B644))))</f>
        <v/>
      </c>
      <c r="D644" s="31">
        <f>IF($C644="","",($C644+1)^2)</f>
        <v/>
      </c>
      <c r="E644" s="31">
        <f>IF($D644="","",$D644-$B644)</f>
        <v/>
      </c>
      <c r="F644" s="31">
        <f>IF($A644="","",SUMIF(MonthlySummary!$B$2:$B$1000,$A644,MonthlySummary!$E$2:$E$1000))</f>
        <v/>
      </c>
      <c r="G644" s="31" t="n">
        <v>0</v>
      </c>
      <c r="H644" s="31">
        <f>IF($A644="","",$F644-IF($G644="",0,$G644))</f>
        <v/>
      </c>
      <c r="I644" s="31">
        <f>IF($A644="","",IFERROR(XLOOKUP($A644,SeedPlacement!$A$2:$A$1000,SeedPlacement!$N$2:$N$1000),0))</f>
        <v/>
      </c>
      <c r="J644" s="59" t="n"/>
    </row>
    <row r="645">
      <c r="A645" s="31">
        <f>IF(Members!$A645="","",Members!$A645)</f>
        <v/>
      </c>
      <c r="B645" s="31">
        <f>IF($A645="","",$I645+SUMIF(WeeklySummary!$B$2:$B$1000,$A645,WeeklySummary!$G$2:$G$1000))</f>
        <v/>
      </c>
      <c r="C645" s="31">
        <f>IF($B645="","",MIN(100,INT(SQRT($B645))))</f>
        <v/>
      </c>
      <c r="D645" s="31">
        <f>IF($C645="","",($C645+1)^2)</f>
        <v/>
      </c>
      <c r="E645" s="31">
        <f>IF($D645="","",$D645-$B645)</f>
        <v/>
      </c>
      <c r="F645" s="31">
        <f>IF($A645="","",SUMIF(MonthlySummary!$B$2:$B$1000,$A645,MonthlySummary!$E$2:$E$1000))</f>
        <v/>
      </c>
      <c r="G645" s="31" t="n">
        <v>0</v>
      </c>
      <c r="H645" s="31">
        <f>IF($A645="","",$F645-IF($G645="",0,$G645))</f>
        <v/>
      </c>
      <c r="I645" s="31">
        <f>IF($A645="","",IFERROR(XLOOKUP($A645,SeedPlacement!$A$2:$A$1000,SeedPlacement!$N$2:$N$1000),0))</f>
        <v/>
      </c>
      <c r="J645" s="59" t="n"/>
    </row>
    <row r="646">
      <c r="A646" s="31">
        <f>IF(Members!$A646="","",Members!$A646)</f>
        <v/>
      </c>
      <c r="B646" s="31">
        <f>IF($A646="","",$I646+SUMIF(WeeklySummary!$B$2:$B$1000,$A646,WeeklySummary!$G$2:$G$1000))</f>
        <v/>
      </c>
      <c r="C646" s="31">
        <f>IF($B646="","",MIN(100,INT(SQRT($B646))))</f>
        <v/>
      </c>
      <c r="D646" s="31">
        <f>IF($C646="","",($C646+1)^2)</f>
        <v/>
      </c>
      <c r="E646" s="31">
        <f>IF($D646="","",$D646-$B646)</f>
        <v/>
      </c>
      <c r="F646" s="31">
        <f>IF($A646="","",SUMIF(MonthlySummary!$B$2:$B$1000,$A646,MonthlySummary!$E$2:$E$1000))</f>
        <v/>
      </c>
      <c r="G646" s="31" t="n">
        <v>0</v>
      </c>
      <c r="H646" s="31">
        <f>IF($A646="","",$F646-IF($G646="",0,$G646))</f>
        <v/>
      </c>
      <c r="I646" s="31">
        <f>IF($A646="","",IFERROR(XLOOKUP($A646,SeedPlacement!$A$2:$A$1000,SeedPlacement!$N$2:$N$1000),0))</f>
        <v/>
      </c>
      <c r="J646" s="59" t="n"/>
    </row>
    <row r="647">
      <c r="A647" s="31">
        <f>IF(Members!$A647="","",Members!$A647)</f>
        <v/>
      </c>
      <c r="B647" s="31">
        <f>IF($A647="","",$I647+SUMIF(WeeklySummary!$B$2:$B$1000,$A647,WeeklySummary!$G$2:$G$1000))</f>
        <v/>
      </c>
      <c r="C647" s="31">
        <f>IF($B647="","",MIN(100,INT(SQRT($B647))))</f>
        <v/>
      </c>
      <c r="D647" s="31">
        <f>IF($C647="","",($C647+1)^2)</f>
        <v/>
      </c>
      <c r="E647" s="31">
        <f>IF($D647="","",$D647-$B647)</f>
        <v/>
      </c>
      <c r="F647" s="31">
        <f>IF($A647="","",SUMIF(MonthlySummary!$B$2:$B$1000,$A647,MonthlySummary!$E$2:$E$1000))</f>
        <v/>
      </c>
      <c r="G647" s="31" t="n">
        <v>0</v>
      </c>
      <c r="H647" s="31">
        <f>IF($A647="","",$F647-IF($G647="",0,$G647))</f>
        <v/>
      </c>
      <c r="I647" s="31">
        <f>IF($A647="","",IFERROR(XLOOKUP($A647,SeedPlacement!$A$2:$A$1000,SeedPlacement!$N$2:$N$1000),0))</f>
        <v/>
      </c>
      <c r="J647" s="59" t="n"/>
    </row>
    <row r="648">
      <c r="A648" s="31">
        <f>IF(Members!$A648="","",Members!$A648)</f>
        <v/>
      </c>
      <c r="B648" s="31">
        <f>IF($A648="","",$I648+SUMIF(WeeklySummary!$B$2:$B$1000,$A648,WeeklySummary!$G$2:$G$1000))</f>
        <v/>
      </c>
      <c r="C648" s="31">
        <f>IF($B648="","",MIN(100,INT(SQRT($B648))))</f>
        <v/>
      </c>
      <c r="D648" s="31">
        <f>IF($C648="","",($C648+1)^2)</f>
        <v/>
      </c>
      <c r="E648" s="31">
        <f>IF($D648="","",$D648-$B648)</f>
        <v/>
      </c>
      <c r="F648" s="31">
        <f>IF($A648="","",SUMIF(MonthlySummary!$B$2:$B$1000,$A648,MonthlySummary!$E$2:$E$1000))</f>
        <v/>
      </c>
      <c r="G648" s="31" t="n">
        <v>0</v>
      </c>
      <c r="H648" s="31">
        <f>IF($A648="","",$F648-IF($G648="",0,$G648))</f>
        <v/>
      </c>
      <c r="I648" s="31">
        <f>IF($A648="","",IFERROR(XLOOKUP($A648,SeedPlacement!$A$2:$A$1000,SeedPlacement!$N$2:$N$1000),0))</f>
        <v/>
      </c>
      <c r="J648" s="59" t="n"/>
    </row>
    <row r="649">
      <c r="A649" s="31">
        <f>IF(Members!$A649="","",Members!$A649)</f>
        <v/>
      </c>
      <c r="B649" s="31">
        <f>IF($A649="","",$I649+SUMIF(WeeklySummary!$B$2:$B$1000,$A649,WeeklySummary!$G$2:$G$1000))</f>
        <v/>
      </c>
      <c r="C649" s="31">
        <f>IF($B649="","",MIN(100,INT(SQRT($B649))))</f>
        <v/>
      </c>
      <c r="D649" s="31">
        <f>IF($C649="","",($C649+1)^2)</f>
        <v/>
      </c>
      <c r="E649" s="31">
        <f>IF($D649="","",$D649-$B649)</f>
        <v/>
      </c>
      <c r="F649" s="31">
        <f>IF($A649="","",SUMIF(MonthlySummary!$B$2:$B$1000,$A649,MonthlySummary!$E$2:$E$1000))</f>
        <v/>
      </c>
      <c r="G649" s="31" t="n">
        <v>0</v>
      </c>
      <c r="H649" s="31">
        <f>IF($A649="","",$F649-IF($G649="",0,$G649))</f>
        <v/>
      </c>
      <c r="I649" s="31">
        <f>IF($A649="","",IFERROR(XLOOKUP($A649,SeedPlacement!$A$2:$A$1000,SeedPlacement!$N$2:$N$1000),0))</f>
        <v/>
      </c>
      <c r="J649" s="59" t="n"/>
    </row>
    <row r="650">
      <c r="A650" s="31">
        <f>IF(Members!$A650="","",Members!$A650)</f>
        <v/>
      </c>
      <c r="B650" s="31">
        <f>IF($A650="","",$I650+SUMIF(WeeklySummary!$B$2:$B$1000,$A650,WeeklySummary!$G$2:$G$1000))</f>
        <v/>
      </c>
      <c r="C650" s="31">
        <f>IF($B650="","",MIN(100,INT(SQRT($B650))))</f>
        <v/>
      </c>
      <c r="D650" s="31">
        <f>IF($C650="","",($C650+1)^2)</f>
        <v/>
      </c>
      <c r="E650" s="31">
        <f>IF($D650="","",$D650-$B650)</f>
        <v/>
      </c>
      <c r="F650" s="31">
        <f>IF($A650="","",SUMIF(MonthlySummary!$B$2:$B$1000,$A650,MonthlySummary!$E$2:$E$1000))</f>
        <v/>
      </c>
      <c r="G650" s="31" t="n">
        <v>0</v>
      </c>
      <c r="H650" s="31">
        <f>IF($A650="","",$F650-IF($G650="",0,$G650))</f>
        <v/>
      </c>
      <c r="I650" s="31">
        <f>IF($A650="","",IFERROR(XLOOKUP($A650,SeedPlacement!$A$2:$A$1000,SeedPlacement!$N$2:$N$1000),0))</f>
        <v/>
      </c>
      <c r="J650" s="59" t="n"/>
    </row>
    <row r="651">
      <c r="A651" s="31">
        <f>IF(Members!$A651="","",Members!$A651)</f>
        <v/>
      </c>
      <c r="B651" s="31">
        <f>IF($A651="","",$I651+SUMIF(WeeklySummary!$B$2:$B$1000,$A651,WeeklySummary!$G$2:$G$1000))</f>
        <v/>
      </c>
      <c r="C651" s="31">
        <f>IF($B651="","",MIN(100,INT(SQRT($B651))))</f>
        <v/>
      </c>
      <c r="D651" s="31">
        <f>IF($C651="","",($C651+1)^2)</f>
        <v/>
      </c>
      <c r="E651" s="31">
        <f>IF($D651="","",$D651-$B651)</f>
        <v/>
      </c>
      <c r="F651" s="31">
        <f>IF($A651="","",SUMIF(MonthlySummary!$B$2:$B$1000,$A651,MonthlySummary!$E$2:$E$1000))</f>
        <v/>
      </c>
      <c r="G651" s="31" t="n">
        <v>0</v>
      </c>
      <c r="H651" s="31">
        <f>IF($A651="","",$F651-IF($G651="",0,$G651))</f>
        <v/>
      </c>
      <c r="I651" s="31">
        <f>IF($A651="","",IFERROR(XLOOKUP($A651,SeedPlacement!$A$2:$A$1000,SeedPlacement!$N$2:$N$1000),0))</f>
        <v/>
      </c>
      <c r="J651" s="59" t="n"/>
    </row>
    <row r="652">
      <c r="A652" s="31">
        <f>IF(Members!$A652="","",Members!$A652)</f>
        <v/>
      </c>
      <c r="B652" s="31">
        <f>IF($A652="","",$I652+SUMIF(WeeklySummary!$B$2:$B$1000,$A652,WeeklySummary!$G$2:$G$1000))</f>
        <v/>
      </c>
      <c r="C652" s="31">
        <f>IF($B652="","",MIN(100,INT(SQRT($B652))))</f>
        <v/>
      </c>
      <c r="D652" s="31">
        <f>IF($C652="","",($C652+1)^2)</f>
        <v/>
      </c>
      <c r="E652" s="31">
        <f>IF($D652="","",$D652-$B652)</f>
        <v/>
      </c>
      <c r="F652" s="31">
        <f>IF($A652="","",SUMIF(MonthlySummary!$B$2:$B$1000,$A652,MonthlySummary!$E$2:$E$1000))</f>
        <v/>
      </c>
      <c r="G652" s="31" t="n">
        <v>0</v>
      </c>
      <c r="H652" s="31">
        <f>IF($A652="","",$F652-IF($G652="",0,$G652))</f>
        <v/>
      </c>
      <c r="I652" s="31">
        <f>IF($A652="","",IFERROR(XLOOKUP($A652,SeedPlacement!$A$2:$A$1000,SeedPlacement!$N$2:$N$1000),0))</f>
        <v/>
      </c>
      <c r="J652" s="59" t="n"/>
    </row>
    <row r="653">
      <c r="A653" s="31">
        <f>IF(Members!$A653="","",Members!$A653)</f>
        <v/>
      </c>
      <c r="B653" s="31">
        <f>IF($A653="","",$I653+SUMIF(WeeklySummary!$B$2:$B$1000,$A653,WeeklySummary!$G$2:$G$1000))</f>
        <v/>
      </c>
      <c r="C653" s="31">
        <f>IF($B653="","",MIN(100,INT(SQRT($B653))))</f>
        <v/>
      </c>
      <c r="D653" s="31">
        <f>IF($C653="","",($C653+1)^2)</f>
        <v/>
      </c>
      <c r="E653" s="31">
        <f>IF($D653="","",$D653-$B653)</f>
        <v/>
      </c>
      <c r="F653" s="31">
        <f>IF($A653="","",SUMIF(MonthlySummary!$B$2:$B$1000,$A653,MonthlySummary!$E$2:$E$1000))</f>
        <v/>
      </c>
      <c r="G653" s="31" t="n">
        <v>0</v>
      </c>
      <c r="H653" s="31">
        <f>IF($A653="","",$F653-IF($G653="",0,$G653))</f>
        <v/>
      </c>
      <c r="I653" s="31">
        <f>IF($A653="","",IFERROR(XLOOKUP($A653,SeedPlacement!$A$2:$A$1000,SeedPlacement!$N$2:$N$1000),0))</f>
        <v/>
      </c>
      <c r="J653" s="59" t="n"/>
    </row>
    <row r="654">
      <c r="A654" s="31">
        <f>IF(Members!$A654="","",Members!$A654)</f>
        <v/>
      </c>
      <c r="B654" s="31">
        <f>IF($A654="","",$I654+SUMIF(WeeklySummary!$B$2:$B$1000,$A654,WeeklySummary!$G$2:$G$1000))</f>
        <v/>
      </c>
      <c r="C654" s="31">
        <f>IF($B654="","",MIN(100,INT(SQRT($B654))))</f>
        <v/>
      </c>
      <c r="D654" s="31">
        <f>IF($C654="","",($C654+1)^2)</f>
        <v/>
      </c>
      <c r="E654" s="31">
        <f>IF($D654="","",$D654-$B654)</f>
        <v/>
      </c>
      <c r="F654" s="31">
        <f>IF($A654="","",SUMIF(MonthlySummary!$B$2:$B$1000,$A654,MonthlySummary!$E$2:$E$1000))</f>
        <v/>
      </c>
      <c r="G654" s="31" t="n">
        <v>0</v>
      </c>
      <c r="H654" s="31">
        <f>IF($A654="","",$F654-IF($G654="",0,$G654))</f>
        <v/>
      </c>
      <c r="I654" s="31">
        <f>IF($A654="","",IFERROR(XLOOKUP($A654,SeedPlacement!$A$2:$A$1000,SeedPlacement!$N$2:$N$1000),0))</f>
        <v/>
      </c>
      <c r="J654" s="59" t="n"/>
    </row>
    <row r="655">
      <c r="A655" s="31">
        <f>IF(Members!$A655="","",Members!$A655)</f>
        <v/>
      </c>
      <c r="B655" s="31">
        <f>IF($A655="","",$I655+SUMIF(WeeklySummary!$B$2:$B$1000,$A655,WeeklySummary!$G$2:$G$1000))</f>
        <v/>
      </c>
      <c r="C655" s="31">
        <f>IF($B655="","",MIN(100,INT(SQRT($B655))))</f>
        <v/>
      </c>
      <c r="D655" s="31">
        <f>IF($C655="","",($C655+1)^2)</f>
        <v/>
      </c>
      <c r="E655" s="31">
        <f>IF($D655="","",$D655-$B655)</f>
        <v/>
      </c>
      <c r="F655" s="31">
        <f>IF($A655="","",SUMIF(MonthlySummary!$B$2:$B$1000,$A655,MonthlySummary!$E$2:$E$1000))</f>
        <v/>
      </c>
      <c r="G655" s="31" t="n">
        <v>0</v>
      </c>
      <c r="H655" s="31">
        <f>IF($A655="","",$F655-IF($G655="",0,$G655))</f>
        <v/>
      </c>
      <c r="I655" s="31">
        <f>IF($A655="","",IFERROR(XLOOKUP($A655,SeedPlacement!$A$2:$A$1000,SeedPlacement!$N$2:$N$1000),0))</f>
        <v/>
      </c>
      <c r="J655" s="59" t="n"/>
    </row>
    <row r="656">
      <c r="A656" s="31">
        <f>IF(Members!$A656="","",Members!$A656)</f>
        <v/>
      </c>
      <c r="B656" s="31">
        <f>IF($A656="","",$I656+SUMIF(WeeklySummary!$B$2:$B$1000,$A656,WeeklySummary!$G$2:$G$1000))</f>
        <v/>
      </c>
      <c r="C656" s="31">
        <f>IF($B656="","",MIN(100,INT(SQRT($B656))))</f>
        <v/>
      </c>
      <c r="D656" s="31">
        <f>IF($C656="","",($C656+1)^2)</f>
        <v/>
      </c>
      <c r="E656" s="31">
        <f>IF($D656="","",$D656-$B656)</f>
        <v/>
      </c>
      <c r="F656" s="31">
        <f>IF($A656="","",SUMIF(MonthlySummary!$B$2:$B$1000,$A656,MonthlySummary!$E$2:$E$1000))</f>
        <v/>
      </c>
      <c r="G656" s="31" t="n">
        <v>0</v>
      </c>
      <c r="H656" s="31">
        <f>IF($A656="","",$F656-IF($G656="",0,$G656))</f>
        <v/>
      </c>
      <c r="I656" s="31">
        <f>IF($A656="","",IFERROR(XLOOKUP($A656,SeedPlacement!$A$2:$A$1000,SeedPlacement!$N$2:$N$1000),0))</f>
        <v/>
      </c>
      <c r="J656" s="59" t="n"/>
    </row>
    <row r="657">
      <c r="A657" s="31">
        <f>IF(Members!$A657="","",Members!$A657)</f>
        <v/>
      </c>
      <c r="B657" s="31">
        <f>IF($A657="","",$I657+SUMIF(WeeklySummary!$B$2:$B$1000,$A657,WeeklySummary!$G$2:$G$1000))</f>
        <v/>
      </c>
      <c r="C657" s="31">
        <f>IF($B657="","",MIN(100,INT(SQRT($B657))))</f>
        <v/>
      </c>
      <c r="D657" s="31">
        <f>IF($C657="","",($C657+1)^2)</f>
        <v/>
      </c>
      <c r="E657" s="31">
        <f>IF($D657="","",$D657-$B657)</f>
        <v/>
      </c>
      <c r="F657" s="31">
        <f>IF($A657="","",SUMIF(MonthlySummary!$B$2:$B$1000,$A657,MonthlySummary!$E$2:$E$1000))</f>
        <v/>
      </c>
      <c r="G657" s="31" t="n">
        <v>0</v>
      </c>
      <c r="H657" s="31">
        <f>IF($A657="","",$F657-IF($G657="",0,$G657))</f>
        <v/>
      </c>
      <c r="I657" s="31">
        <f>IF($A657="","",IFERROR(XLOOKUP($A657,SeedPlacement!$A$2:$A$1000,SeedPlacement!$N$2:$N$1000),0))</f>
        <v/>
      </c>
      <c r="J657" s="59" t="n"/>
    </row>
    <row r="658">
      <c r="A658" s="31">
        <f>IF(Members!$A658="","",Members!$A658)</f>
        <v/>
      </c>
      <c r="B658" s="31">
        <f>IF($A658="","",$I658+SUMIF(WeeklySummary!$B$2:$B$1000,$A658,WeeklySummary!$G$2:$G$1000))</f>
        <v/>
      </c>
      <c r="C658" s="31">
        <f>IF($B658="","",MIN(100,INT(SQRT($B658))))</f>
        <v/>
      </c>
      <c r="D658" s="31">
        <f>IF($C658="","",($C658+1)^2)</f>
        <v/>
      </c>
      <c r="E658" s="31">
        <f>IF($D658="","",$D658-$B658)</f>
        <v/>
      </c>
      <c r="F658" s="31">
        <f>IF($A658="","",SUMIF(MonthlySummary!$B$2:$B$1000,$A658,MonthlySummary!$E$2:$E$1000))</f>
        <v/>
      </c>
      <c r="G658" s="31" t="n">
        <v>0</v>
      </c>
      <c r="H658" s="31">
        <f>IF($A658="","",$F658-IF($G658="",0,$G658))</f>
        <v/>
      </c>
      <c r="I658" s="31">
        <f>IF($A658="","",IFERROR(XLOOKUP($A658,SeedPlacement!$A$2:$A$1000,SeedPlacement!$N$2:$N$1000),0))</f>
        <v/>
      </c>
      <c r="J658" s="59" t="n"/>
    </row>
    <row r="659">
      <c r="A659" s="31">
        <f>IF(Members!$A659="","",Members!$A659)</f>
        <v/>
      </c>
      <c r="B659" s="31">
        <f>IF($A659="","",$I659+SUMIF(WeeklySummary!$B$2:$B$1000,$A659,WeeklySummary!$G$2:$G$1000))</f>
        <v/>
      </c>
      <c r="C659" s="31">
        <f>IF($B659="","",MIN(100,INT(SQRT($B659))))</f>
        <v/>
      </c>
      <c r="D659" s="31">
        <f>IF($C659="","",($C659+1)^2)</f>
        <v/>
      </c>
      <c r="E659" s="31">
        <f>IF($D659="","",$D659-$B659)</f>
        <v/>
      </c>
      <c r="F659" s="31">
        <f>IF($A659="","",SUMIF(MonthlySummary!$B$2:$B$1000,$A659,MonthlySummary!$E$2:$E$1000))</f>
        <v/>
      </c>
      <c r="G659" s="31" t="n">
        <v>0</v>
      </c>
      <c r="H659" s="31">
        <f>IF($A659="","",$F659-IF($G659="",0,$G659))</f>
        <v/>
      </c>
      <c r="I659" s="31">
        <f>IF($A659="","",IFERROR(XLOOKUP($A659,SeedPlacement!$A$2:$A$1000,SeedPlacement!$N$2:$N$1000),0))</f>
        <v/>
      </c>
      <c r="J659" s="59" t="n"/>
    </row>
    <row r="660">
      <c r="A660" s="31">
        <f>IF(Members!$A660="","",Members!$A660)</f>
        <v/>
      </c>
      <c r="B660" s="31">
        <f>IF($A660="","",$I660+SUMIF(WeeklySummary!$B$2:$B$1000,$A660,WeeklySummary!$G$2:$G$1000))</f>
        <v/>
      </c>
      <c r="C660" s="31">
        <f>IF($B660="","",MIN(100,INT(SQRT($B660))))</f>
        <v/>
      </c>
      <c r="D660" s="31">
        <f>IF($C660="","",($C660+1)^2)</f>
        <v/>
      </c>
      <c r="E660" s="31">
        <f>IF($D660="","",$D660-$B660)</f>
        <v/>
      </c>
      <c r="F660" s="31">
        <f>IF($A660="","",SUMIF(MonthlySummary!$B$2:$B$1000,$A660,MonthlySummary!$E$2:$E$1000))</f>
        <v/>
      </c>
      <c r="G660" s="31" t="n">
        <v>0</v>
      </c>
      <c r="H660" s="31">
        <f>IF($A660="","",$F660-IF($G660="",0,$G660))</f>
        <v/>
      </c>
      <c r="I660" s="31">
        <f>IF($A660="","",IFERROR(XLOOKUP($A660,SeedPlacement!$A$2:$A$1000,SeedPlacement!$N$2:$N$1000),0))</f>
        <v/>
      </c>
      <c r="J660" s="59" t="n"/>
    </row>
    <row r="661">
      <c r="A661" s="31">
        <f>IF(Members!$A661="","",Members!$A661)</f>
        <v/>
      </c>
      <c r="B661" s="31">
        <f>IF($A661="","",$I661+SUMIF(WeeklySummary!$B$2:$B$1000,$A661,WeeklySummary!$G$2:$G$1000))</f>
        <v/>
      </c>
      <c r="C661" s="31">
        <f>IF($B661="","",MIN(100,INT(SQRT($B661))))</f>
        <v/>
      </c>
      <c r="D661" s="31">
        <f>IF($C661="","",($C661+1)^2)</f>
        <v/>
      </c>
      <c r="E661" s="31">
        <f>IF($D661="","",$D661-$B661)</f>
        <v/>
      </c>
      <c r="F661" s="31">
        <f>IF($A661="","",SUMIF(MonthlySummary!$B$2:$B$1000,$A661,MonthlySummary!$E$2:$E$1000))</f>
        <v/>
      </c>
      <c r="G661" s="31" t="n">
        <v>0</v>
      </c>
      <c r="H661" s="31">
        <f>IF($A661="","",$F661-IF($G661="",0,$G661))</f>
        <v/>
      </c>
      <c r="I661" s="31">
        <f>IF($A661="","",IFERROR(XLOOKUP($A661,SeedPlacement!$A$2:$A$1000,SeedPlacement!$N$2:$N$1000),0))</f>
        <v/>
      </c>
      <c r="J661" s="59" t="n"/>
    </row>
    <row r="662">
      <c r="A662" s="31">
        <f>IF(Members!$A662="","",Members!$A662)</f>
        <v/>
      </c>
      <c r="B662" s="31">
        <f>IF($A662="","",$I662+SUMIF(WeeklySummary!$B$2:$B$1000,$A662,WeeklySummary!$G$2:$G$1000))</f>
        <v/>
      </c>
      <c r="C662" s="31">
        <f>IF($B662="","",MIN(100,INT(SQRT($B662))))</f>
        <v/>
      </c>
      <c r="D662" s="31">
        <f>IF($C662="","",($C662+1)^2)</f>
        <v/>
      </c>
      <c r="E662" s="31">
        <f>IF($D662="","",$D662-$B662)</f>
        <v/>
      </c>
      <c r="F662" s="31">
        <f>IF($A662="","",SUMIF(MonthlySummary!$B$2:$B$1000,$A662,MonthlySummary!$E$2:$E$1000))</f>
        <v/>
      </c>
      <c r="G662" s="31" t="n">
        <v>0</v>
      </c>
      <c r="H662" s="31">
        <f>IF($A662="","",$F662-IF($G662="",0,$G662))</f>
        <v/>
      </c>
      <c r="I662" s="31">
        <f>IF($A662="","",IFERROR(XLOOKUP($A662,SeedPlacement!$A$2:$A$1000,SeedPlacement!$N$2:$N$1000),0))</f>
        <v/>
      </c>
      <c r="J662" s="59" t="n"/>
    </row>
    <row r="663">
      <c r="A663" s="31">
        <f>IF(Members!$A663="","",Members!$A663)</f>
        <v/>
      </c>
      <c r="B663" s="31">
        <f>IF($A663="","",$I663+SUMIF(WeeklySummary!$B$2:$B$1000,$A663,WeeklySummary!$G$2:$G$1000))</f>
        <v/>
      </c>
      <c r="C663" s="31">
        <f>IF($B663="","",MIN(100,INT(SQRT($B663))))</f>
        <v/>
      </c>
      <c r="D663" s="31">
        <f>IF($C663="","",($C663+1)^2)</f>
        <v/>
      </c>
      <c r="E663" s="31">
        <f>IF($D663="","",$D663-$B663)</f>
        <v/>
      </c>
      <c r="F663" s="31">
        <f>IF($A663="","",SUMIF(MonthlySummary!$B$2:$B$1000,$A663,MonthlySummary!$E$2:$E$1000))</f>
        <v/>
      </c>
      <c r="G663" s="31" t="n">
        <v>0</v>
      </c>
      <c r="H663" s="31">
        <f>IF($A663="","",$F663-IF($G663="",0,$G663))</f>
        <v/>
      </c>
      <c r="I663" s="31">
        <f>IF($A663="","",IFERROR(XLOOKUP($A663,SeedPlacement!$A$2:$A$1000,SeedPlacement!$N$2:$N$1000),0))</f>
        <v/>
      </c>
      <c r="J663" s="59" t="n"/>
    </row>
    <row r="664">
      <c r="A664" s="31">
        <f>IF(Members!$A664="","",Members!$A664)</f>
        <v/>
      </c>
      <c r="B664" s="31">
        <f>IF($A664="","",$I664+SUMIF(WeeklySummary!$B$2:$B$1000,$A664,WeeklySummary!$G$2:$G$1000))</f>
        <v/>
      </c>
      <c r="C664" s="31">
        <f>IF($B664="","",MIN(100,INT(SQRT($B664))))</f>
        <v/>
      </c>
      <c r="D664" s="31">
        <f>IF($C664="","",($C664+1)^2)</f>
        <v/>
      </c>
      <c r="E664" s="31">
        <f>IF($D664="","",$D664-$B664)</f>
        <v/>
      </c>
      <c r="F664" s="31">
        <f>IF($A664="","",SUMIF(MonthlySummary!$B$2:$B$1000,$A664,MonthlySummary!$E$2:$E$1000))</f>
        <v/>
      </c>
      <c r="G664" s="31" t="n">
        <v>0</v>
      </c>
      <c r="H664" s="31">
        <f>IF($A664="","",$F664-IF($G664="",0,$G664))</f>
        <v/>
      </c>
      <c r="I664" s="31">
        <f>IF($A664="","",IFERROR(XLOOKUP($A664,SeedPlacement!$A$2:$A$1000,SeedPlacement!$N$2:$N$1000),0))</f>
        <v/>
      </c>
      <c r="J664" s="59" t="n"/>
    </row>
    <row r="665">
      <c r="A665" s="31">
        <f>IF(Members!$A665="","",Members!$A665)</f>
        <v/>
      </c>
      <c r="B665" s="31">
        <f>IF($A665="","",$I665+SUMIF(WeeklySummary!$B$2:$B$1000,$A665,WeeklySummary!$G$2:$G$1000))</f>
        <v/>
      </c>
      <c r="C665" s="31">
        <f>IF($B665="","",MIN(100,INT(SQRT($B665))))</f>
        <v/>
      </c>
      <c r="D665" s="31">
        <f>IF($C665="","",($C665+1)^2)</f>
        <v/>
      </c>
      <c r="E665" s="31">
        <f>IF($D665="","",$D665-$B665)</f>
        <v/>
      </c>
      <c r="F665" s="31">
        <f>IF($A665="","",SUMIF(MonthlySummary!$B$2:$B$1000,$A665,MonthlySummary!$E$2:$E$1000))</f>
        <v/>
      </c>
      <c r="G665" s="31" t="n">
        <v>0</v>
      </c>
      <c r="H665" s="31">
        <f>IF($A665="","",$F665-IF($G665="",0,$G665))</f>
        <v/>
      </c>
      <c r="I665" s="31">
        <f>IF($A665="","",IFERROR(XLOOKUP($A665,SeedPlacement!$A$2:$A$1000,SeedPlacement!$N$2:$N$1000),0))</f>
        <v/>
      </c>
      <c r="J665" s="59" t="n"/>
    </row>
    <row r="666">
      <c r="A666" s="31">
        <f>IF(Members!$A666="","",Members!$A666)</f>
        <v/>
      </c>
      <c r="B666" s="31">
        <f>IF($A666="","",$I666+SUMIF(WeeklySummary!$B$2:$B$1000,$A666,WeeklySummary!$G$2:$G$1000))</f>
        <v/>
      </c>
      <c r="C666" s="31">
        <f>IF($B666="","",MIN(100,INT(SQRT($B666))))</f>
        <v/>
      </c>
      <c r="D666" s="31">
        <f>IF($C666="","",($C666+1)^2)</f>
        <v/>
      </c>
      <c r="E666" s="31">
        <f>IF($D666="","",$D666-$B666)</f>
        <v/>
      </c>
      <c r="F666" s="31">
        <f>IF($A666="","",SUMIF(MonthlySummary!$B$2:$B$1000,$A666,MonthlySummary!$E$2:$E$1000))</f>
        <v/>
      </c>
      <c r="G666" s="31" t="n">
        <v>0</v>
      </c>
      <c r="H666" s="31">
        <f>IF($A666="","",$F666-IF($G666="",0,$G666))</f>
        <v/>
      </c>
      <c r="I666" s="31">
        <f>IF($A666="","",IFERROR(XLOOKUP($A666,SeedPlacement!$A$2:$A$1000,SeedPlacement!$N$2:$N$1000),0))</f>
        <v/>
      </c>
      <c r="J666" s="59" t="n"/>
    </row>
    <row r="667">
      <c r="A667" s="31">
        <f>IF(Members!$A667="","",Members!$A667)</f>
        <v/>
      </c>
      <c r="B667" s="31">
        <f>IF($A667="","",$I667+SUMIF(WeeklySummary!$B$2:$B$1000,$A667,WeeklySummary!$G$2:$G$1000))</f>
        <v/>
      </c>
      <c r="C667" s="31">
        <f>IF($B667="","",MIN(100,INT(SQRT($B667))))</f>
        <v/>
      </c>
      <c r="D667" s="31">
        <f>IF($C667="","",($C667+1)^2)</f>
        <v/>
      </c>
      <c r="E667" s="31">
        <f>IF($D667="","",$D667-$B667)</f>
        <v/>
      </c>
      <c r="F667" s="31">
        <f>IF($A667="","",SUMIF(MonthlySummary!$B$2:$B$1000,$A667,MonthlySummary!$E$2:$E$1000))</f>
        <v/>
      </c>
      <c r="G667" s="31" t="n">
        <v>0</v>
      </c>
      <c r="H667" s="31">
        <f>IF($A667="","",$F667-IF($G667="",0,$G667))</f>
        <v/>
      </c>
      <c r="I667" s="31">
        <f>IF($A667="","",IFERROR(XLOOKUP($A667,SeedPlacement!$A$2:$A$1000,SeedPlacement!$N$2:$N$1000),0))</f>
        <v/>
      </c>
      <c r="J667" s="59" t="n"/>
    </row>
    <row r="668">
      <c r="A668" s="31">
        <f>IF(Members!$A668="","",Members!$A668)</f>
        <v/>
      </c>
      <c r="B668" s="31">
        <f>IF($A668="","",$I668+SUMIF(WeeklySummary!$B$2:$B$1000,$A668,WeeklySummary!$G$2:$G$1000))</f>
        <v/>
      </c>
      <c r="C668" s="31">
        <f>IF($B668="","",MIN(100,INT(SQRT($B668))))</f>
        <v/>
      </c>
      <c r="D668" s="31">
        <f>IF($C668="","",($C668+1)^2)</f>
        <v/>
      </c>
      <c r="E668" s="31">
        <f>IF($D668="","",$D668-$B668)</f>
        <v/>
      </c>
      <c r="F668" s="31">
        <f>IF($A668="","",SUMIF(MonthlySummary!$B$2:$B$1000,$A668,MonthlySummary!$E$2:$E$1000))</f>
        <v/>
      </c>
      <c r="G668" s="31" t="n">
        <v>0</v>
      </c>
      <c r="H668" s="31">
        <f>IF($A668="","",$F668-IF($G668="",0,$G668))</f>
        <v/>
      </c>
      <c r="I668" s="31">
        <f>IF($A668="","",IFERROR(XLOOKUP($A668,SeedPlacement!$A$2:$A$1000,SeedPlacement!$N$2:$N$1000),0))</f>
        <v/>
      </c>
      <c r="J668" s="59" t="n"/>
    </row>
    <row r="669">
      <c r="A669" s="31">
        <f>IF(Members!$A669="","",Members!$A669)</f>
        <v/>
      </c>
      <c r="B669" s="31">
        <f>IF($A669="","",$I669+SUMIF(WeeklySummary!$B$2:$B$1000,$A669,WeeklySummary!$G$2:$G$1000))</f>
        <v/>
      </c>
      <c r="C669" s="31">
        <f>IF($B669="","",MIN(100,INT(SQRT($B669))))</f>
        <v/>
      </c>
      <c r="D669" s="31">
        <f>IF($C669="","",($C669+1)^2)</f>
        <v/>
      </c>
      <c r="E669" s="31">
        <f>IF($D669="","",$D669-$B669)</f>
        <v/>
      </c>
      <c r="F669" s="31">
        <f>IF($A669="","",SUMIF(MonthlySummary!$B$2:$B$1000,$A669,MonthlySummary!$E$2:$E$1000))</f>
        <v/>
      </c>
      <c r="G669" s="31" t="n">
        <v>0</v>
      </c>
      <c r="H669" s="31">
        <f>IF($A669="","",$F669-IF($G669="",0,$G669))</f>
        <v/>
      </c>
      <c r="I669" s="31">
        <f>IF($A669="","",IFERROR(XLOOKUP($A669,SeedPlacement!$A$2:$A$1000,SeedPlacement!$N$2:$N$1000),0))</f>
        <v/>
      </c>
      <c r="J669" s="59" t="n"/>
    </row>
    <row r="670">
      <c r="A670" s="31">
        <f>IF(Members!$A670="","",Members!$A670)</f>
        <v/>
      </c>
      <c r="B670" s="31">
        <f>IF($A670="","",$I670+SUMIF(WeeklySummary!$B$2:$B$1000,$A670,WeeklySummary!$G$2:$G$1000))</f>
        <v/>
      </c>
      <c r="C670" s="31">
        <f>IF($B670="","",MIN(100,INT(SQRT($B670))))</f>
        <v/>
      </c>
      <c r="D670" s="31">
        <f>IF($C670="","",($C670+1)^2)</f>
        <v/>
      </c>
      <c r="E670" s="31">
        <f>IF($D670="","",$D670-$B670)</f>
        <v/>
      </c>
      <c r="F670" s="31">
        <f>IF($A670="","",SUMIF(MonthlySummary!$B$2:$B$1000,$A670,MonthlySummary!$E$2:$E$1000))</f>
        <v/>
      </c>
      <c r="G670" s="31" t="n">
        <v>0</v>
      </c>
      <c r="H670" s="31">
        <f>IF($A670="","",$F670-IF($G670="",0,$G670))</f>
        <v/>
      </c>
      <c r="I670" s="31">
        <f>IF($A670="","",IFERROR(XLOOKUP($A670,SeedPlacement!$A$2:$A$1000,SeedPlacement!$N$2:$N$1000),0))</f>
        <v/>
      </c>
      <c r="J670" s="59" t="n"/>
    </row>
    <row r="671">
      <c r="A671" s="31">
        <f>IF(Members!$A671="","",Members!$A671)</f>
        <v/>
      </c>
      <c r="B671" s="31">
        <f>IF($A671="","",$I671+SUMIF(WeeklySummary!$B$2:$B$1000,$A671,WeeklySummary!$G$2:$G$1000))</f>
        <v/>
      </c>
      <c r="C671" s="31">
        <f>IF($B671="","",MIN(100,INT(SQRT($B671))))</f>
        <v/>
      </c>
      <c r="D671" s="31">
        <f>IF($C671="","",($C671+1)^2)</f>
        <v/>
      </c>
      <c r="E671" s="31">
        <f>IF($D671="","",$D671-$B671)</f>
        <v/>
      </c>
      <c r="F671" s="31">
        <f>IF($A671="","",SUMIF(MonthlySummary!$B$2:$B$1000,$A671,MonthlySummary!$E$2:$E$1000))</f>
        <v/>
      </c>
      <c r="G671" s="31" t="n">
        <v>0</v>
      </c>
      <c r="H671" s="31">
        <f>IF($A671="","",$F671-IF($G671="",0,$G671))</f>
        <v/>
      </c>
      <c r="I671" s="31">
        <f>IF($A671="","",IFERROR(XLOOKUP($A671,SeedPlacement!$A$2:$A$1000,SeedPlacement!$N$2:$N$1000),0))</f>
        <v/>
      </c>
      <c r="J671" s="59" t="n"/>
    </row>
    <row r="672">
      <c r="A672" s="31">
        <f>IF(Members!$A672="","",Members!$A672)</f>
        <v/>
      </c>
      <c r="B672" s="31">
        <f>IF($A672="","",$I672+SUMIF(WeeklySummary!$B$2:$B$1000,$A672,WeeklySummary!$G$2:$G$1000))</f>
        <v/>
      </c>
      <c r="C672" s="31">
        <f>IF($B672="","",MIN(100,INT(SQRT($B672))))</f>
        <v/>
      </c>
      <c r="D672" s="31">
        <f>IF($C672="","",($C672+1)^2)</f>
        <v/>
      </c>
      <c r="E672" s="31">
        <f>IF($D672="","",$D672-$B672)</f>
        <v/>
      </c>
      <c r="F672" s="31">
        <f>IF($A672="","",SUMIF(MonthlySummary!$B$2:$B$1000,$A672,MonthlySummary!$E$2:$E$1000))</f>
        <v/>
      </c>
      <c r="G672" s="31" t="n">
        <v>0</v>
      </c>
      <c r="H672" s="31">
        <f>IF($A672="","",$F672-IF($G672="",0,$G672))</f>
        <v/>
      </c>
      <c r="I672" s="31">
        <f>IF($A672="","",IFERROR(XLOOKUP($A672,SeedPlacement!$A$2:$A$1000,SeedPlacement!$N$2:$N$1000),0))</f>
        <v/>
      </c>
      <c r="J672" s="59" t="n"/>
    </row>
    <row r="673">
      <c r="A673" s="31">
        <f>IF(Members!$A673="","",Members!$A673)</f>
        <v/>
      </c>
      <c r="B673" s="31">
        <f>IF($A673="","",$I673+SUMIF(WeeklySummary!$B$2:$B$1000,$A673,WeeklySummary!$G$2:$G$1000))</f>
        <v/>
      </c>
      <c r="C673" s="31">
        <f>IF($B673="","",MIN(100,INT(SQRT($B673))))</f>
        <v/>
      </c>
      <c r="D673" s="31">
        <f>IF($C673="","",($C673+1)^2)</f>
        <v/>
      </c>
      <c r="E673" s="31">
        <f>IF($D673="","",$D673-$B673)</f>
        <v/>
      </c>
      <c r="F673" s="31">
        <f>IF($A673="","",SUMIF(MonthlySummary!$B$2:$B$1000,$A673,MonthlySummary!$E$2:$E$1000))</f>
        <v/>
      </c>
      <c r="G673" s="31" t="n">
        <v>0</v>
      </c>
      <c r="H673" s="31">
        <f>IF($A673="","",$F673-IF($G673="",0,$G673))</f>
        <v/>
      </c>
      <c r="I673" s="31">
        <f>IF($A673="","",IFERROR(XLOOKUP($A673,SeedPlacement!$A$2:$A$1000,SeedPlacement!$N$2:$N$1000),0))</f>
        <v/>
      </c>
      <c r="J673" s="59" t="n"/>
    </row>
    <row r="674">
      <c r="A674" s="31">
        <f>IF(Members!$A674="","",Members!$A674)</f>
        <v/>
      </c>
      <c r="B674" s="31">
        <f>IF($A674="","",$I674+SUMIF(WeeklySummary!$B$2:$B$1000,$A674,WeeklySummary!$G$2:$G$1000))</f>
        <v/>
      </c>
      <c r="C674" s="31">
        <f>IF($B674="","",MIN(100,INT(SQRT($B674))))</f>
        <v/>
      </c>
      <c r="D674" s="31">
        <f>IF($C674="","",($C674+1)^2)</f>
        <v/>
      </c>
      <c r="E674" s="31">
        <f>IF($D674="","",$D674-$B674)</f>
        <v/>
      </c>
      <c r="F674" s="31">
        <f>IF($A674="","",SUMIF(MonthlySummary!$B$2:$B$1000,$A674,MonthlySummary!$E$2:$E$1000))</f>
        <v/>
      </c>
      <c r="G674" s="31" t="n">
        <v>0</v>
      </c>
      <c r="H674" s="31">
        <f>IF($A674="","",$F674-IF($G674="",0,$G674))</f>
        <v/>
      </c>
      <c r="I674" s="31">
        <f>IF($A674="","",IFERROR(XLOOKUP($A674,SeedPlacement!$A$2:$A$1000,SeedPlacement!$N$2:$N$1000),0))</f>
        <v/>
      </c>
      <c r="J674" s="59" t="n"/>
    </row>
    <row r="675">
      <c r="A675" s="31">
        <f>IF(Members!$A675="","",Members!$A675)</f>
        <v/>
      </c>
      <c r="B675" s="31">
        <f>IF($A675="","",$I675+SUMIF(WeeklySummary!$B$2:$B$1000,$A675,WeeklySummary!$G$2:$G$1000))</f>
        <v/>
      </c>
      <c r="C675" s="31">
        <f>IF($B675="","",MIN(100,INT(SQRT($B675))))</f>
        <v/>
      </c>
      <c r="D675" s="31">
        <f>IF($C675="","",($C675+1)^2)</f>
        <v/>
      </c>
      <c r="E675" s="31">
        <f>IF($D675="","",$D675-$B675)</f>
        <v/>
      </c>
      <c r="F675" s="31">
        <f>IF($A675="","",SUMIF(MonthlySummary!$B$2:$B$1000,$A675,MonthlySummary!$E$2:$E$1000))</f>
        <v/>
      </c>
      <c r="G675" s="31" t="n">
        <v>0</v>
      </c>
      <c r="H675" s="31">
        <f>IF($A675="","",$F675-IF($G675="",0,$G675))</f>
        <v/>
      </c>
      <c r="I675" s="31">
        <f>IF($A675="","",IFERROR(XLOOKUP($A675,SeedPlacement!$A$2:$A$1000,SeedPlacement!$N$2:$N$1000),0))</f>
        <v/>
      </c>
      <c r="J675" s="59" t="n"/>
    </row>
    <row r="676">
      <c r="A676" s="31">
        <f>IF(Members!$A676="","",Members!$A676)</f>
        <v/>
      </c>
      <c r="B676" s="31">
        <f>IF($A676="","",$I676+SUMIF(WeeklySummary!$B$2:$B$1000,$A676,WeeklySummary!$G$2:$G$1000))</f>
        <v/>
      </c>
      <c r="C676" s="31">
        <f>IF($B676="","",MIN(100,INT(SQRT($B676))))</f>
        <v/>
      </c>
      <c r="D676" s="31">
        <f>IF($C676="","",($C676+1)^2)</f>
        <v/>
      </c>
      <c r="E676" s="31">
        <f>IF($D676="","",$D676-$B676)</f>
        <v/>
      </c>
      <c r="F676" s="31">
        <f>IF($A676="","",SUMIF(MonthlySummary!$B$2:$B$1000,$A676,MonthlySummary!$E$2:$E$1000))</f>
        <v/>
      </c>
      <c r="G676" s="31" t="n">
        <v>0</v>
      </c>
      <c r="H676" s="31">
        <f>IF($A676="","",$F676-IF($G676="",0,$G676))</f>
        <v/>
      </c>
      <c r="I676" s="31">
        <f>IF($A676="","",IFERROR(XLOOKUP($A676,SeedPlacement!$A$2:$A$1000,SeedPlacement!$N$2:$N$1000),0))</f>
        <v/>
      </c>
      <c r="J676" s="59" t="n"/>
    </row>
    <row r="677">
      <c r="A677" s="31">
        <f>IF(Members!$A677="","",Members!$A677)</f>
        <v/>
      </c>
      <c r="B677" s="31">
        <f>IF($A677="","",$I677+SUMIF(WeeklySummary!$B$2:$B$1000,$A677,WeeklySummary!$G$2:$G$1000))</f>
        <v/>
      </c>
      <c r="C677" s="31">
        <f>IF($B677="","",MIN(100,INT(SQRT($B677))))</f>
        <v/>
      </c>
      <c r="D677" s="31">
        <f>IF($C677="","",($C677+1)^2)</f>
        <v/>
      </c>
      <c r="E677" s="31">
        <f>IF($D677="","",$D677-$B677)</f>
        <v/>
      </c>
      <c r="F677" s="31">
        <f>IF($A677="","",SUMIF(MonthlySummary!$B$2:$B$1000,$A677,MonthlySummary!$E$2:$E$1000))</f>
        <v/>
      </c>
      <c r="G677" s="31" t="n">
        <v>0</v>
      </c>
      <c r="H677" s="31">
        <f>IF($A677="","",$F677-IF($G677="",0,$G677))</f>
        <v/>
      </c>
      <c r="I677" s="31">
        <f>IF($A677="","",IFERROR(XLOOKUP($A677,SeedPlacement!$A$2:$A$1000,SeedPlacement!$N$2:$N$1000),0))</f>
        <v/>
      </c>
      <c r="J677" s="59" t="n"/>
    </row>
    <row r="678">
      <c r="A678" s="31">
        <f>IF(Members!$A678="","",Members!$A678)</f>
        <v/>
      </c>
      <c r="B678" s="31">
        <f>IF($A678="","",$I678+SUMIF(WeeklySummary!$B$2:$B$1000,$A678,WeeklySummary!$G$2:$G$1000))</f>
        <v/>
      </c>
      <c r="C678" s="31">
        <f>IF($B678="","",MIN(100,INT(SQRT($B678))))</f>
        <v/>
      </c>
      <c r="D678" s="31">
        <f>IF($C678="","",($C678+1)^2)</f>
        <v/>
      </c>
      <c r="E678" s="31">
        <f>IF($D678="","",$D678-$B678)</f>
        <v/>
      </c>
      <c r="F678" s="31">
        <f>IF($A678="","",SUMIF(MonthlySummary!$B$2:$B$1000,$A678,MonthlySummary!$E$2:$E$1000))</f>
        <v/>
      </c>
      <c r="G678" s="31" t="n">
        <v>0</v>
      </c>
      <c r="H678" s="31">
        <f>IF($A678="","",$F678-IF($G678="",0,$G678))</f>
        <v/>
      </c>
      <c r="I678" s="31">
        <f>IF($A678="","",IFERROR(XLOOKUP($A678,SeedPlacement!$A$2:$A$1000,SeedPlacement!$N$2:$N$1000),0))</f>
        <v/>
      </c>
      <c r="J678" s="59" t="n"/>
    </row>
    <row r="679">
      <c r="A679" s="31">
        <f>IF(Members!$A679="","",Members!$A679)</f>
        <v/>
      </c>
      <c r="B679" s="31">
        <f>IF($A679="","",$I679+SUMIF(WeeklySummary!$B$2:$B$1000,$A679,WeeklySummary!$G$2:$G$1000))</f>
        <v/>
      </c>
      <c r="C679" s="31">
        <f>IF($B679="","",MIN(100,INT(SQRT($B679))))</f>
        <v/>
      </c>
      <c r="D679" s="31">
        <f>IF($C679="","",($C679+1)^2)</f>
        <v/>
      </c>
      <c r="E679" s="31">
        <f>IF($D679="","",$D679-$B679)</f>
        <v/>
      </c>
      <c r="F679" s="31">
        <f>IF($A679="","",SUMIF(MonthlySummary!$B$2:$B$1000,$A679,MonthlySummary!$E$2:$E$1000))</f>
        <v/>
      </c>
      <c r="G679" s="31" t="n">
        <v>0</v>
      </c>
      <c r="H679" s="31">
        <f>IF($A679="","",$F679-IF($G679="",0,$G679))</f>
        <v/>
      </c>
      <c r="I679" s="31">
        <f>IF($A679="","",IFERROR(XLOOKUP($A679,SeedPlacement!$A$2:$A$1000,SeedPlacement!$N$2:$N$1000),0))</f>
        <v/>
      </c>
      <c r="J679" s="59" t="n"/>
    </row>
    <row r="680">
      <c r="A680" s="31">
        <f>IF(Members!$A680="","",Members!$A680)</f>
        <v/>
      </c>
      <c r="B680" s="31">
        <f>IF($A680="","",$I680+SUMIF(WeeklySummary!$B$2:$B$1000,$A680,WeeklySummary!$G$2:$G$1000))</f>
        <v/>
      </c>
      <c r="C680" s="31">
        <f>IF($B680="","",MIN(100,INT(SQRT($B680))))</f>
        <v/>
      </c>
      <c r="D680" s="31">
        <f>IF($C680="","",($C680+1)^2)</f>
        <v/>
      </c>
      <c r="E680" s="31">
        <f>IF($D680="","",$D680-$B680)</f>
        <v/>
      </c>
      <c r="F680" s="31">
        <f>IF($A680="","",SUMIF(MonthlySummary!$B$2:$B$1000,$A680,MonthlySummary!$E$2:$E$1000))</f>
        <v/>
      </c>
      <c r="G680" s="31" t="n">
        <v>0</v>
      </c>
      <c r="H680" s="31">
        <f>IF($A680="","",$F680-IF($G680="",0,$G680))</f>
        <v/>
      </c>
      <c r="I680" s="31">
        <f>IF($A680="","",IFERROR(XLOOKUP($A680,SeedPlacement!$A$2:$A$1000,SeedPlacement!$N$2:$N$1000),0))</f>
        <v/>
      </c>
      <c r="J680" s="59" t="n"/>
    </row>
    <row r="681">
      <c r="A681" s="31">
        <f>IF(Members!$A681="","",Members!$A681)</f>
        <v/>
      </c>
      <c r="B681" s="31">
        <f>IF($A681="","",$I681+SUMIF(WeeklySummary!$B$2:$B$1000,$A681,WeeklySummary!$G$2:$G$1000))</f>
        <v/>
      </c>
      <c r="C681" s="31">
        <f>IF($B681="","",MIN(100,INT(SQRT($B681))))</f>
        <v/>
      </c>
      <c r="D681" s="31">
        <f>IF($C681="","",($C681+1)^2)</f>
        <v/>
      </c>
      <c r="E681" s="31">
        <f>IF($D681="","",$D681-$B681)</f>
        <v/>
      </c>
      <c r="F681" s="31">
        <f>IF($A681="","",SUMIF(MonthlySummary!$B$2:$B$1000,$A681,MonthlySummary!$E$2:$E$1000))</f>
        <v/>
      </c>
      <c r="G681" s="31" t="n">
        <v>0</v>
      </c>
      <c r="H681" s="31">
        <f>IF($A681="","",$F681-IF($G681="",0,$G681))</f>
        <v/>
      </c>
      <c r="I681" s="31">
        <f>IF($A681="","",IFERROR(XLOOKUP($A681,SeedPlacement!$A$2:$A$1000,SeedPlacement!$N$2:$N$1000),0))</f>
        <v/>
      </c>
      <c r="J681" s="59" t="n"/>
    </row>
    <row r="682">
      <c r="A682" s="31">
        <f>IF(Members!$A682="","",Members!$A682)</f>
        <v/>
      </c>
      <c r="B682" s="31">
        <f>IF($A682="","",$I682+SUMIF(WeeklySummary!$B$2:$B$1000,$A682,WeeklySummary!$G$2:$G$1000))</f>
        <v/>
      </c>
      <c r="C682" s="31">
        <f>IF($B682="","",MIN(100,INT(SQRT($B682))))</f>
        <v/>
      </c>
      <c r="D682" s="31">
        <f>IF($C682="","",($C682+1)^2)</f>
        <v/>
      </c>
      <c r="E682" s="31">
        <f>IF($D682="","",$D682-$B682)</f>
        <v/>
      </c>
      <c r="F682" s="31">
        <f>IF($A682="","",SUMIF(MonthlySummary!$B$2:$B$1000,$A682,MonthlySummary!$E$2:$E$1000))</f>
        <v/>
      </c>
      <c r="G682" s="31" t="n">
        <v>0</v>
      </c>
      <c r="H682" s="31">
        <f>IF($A682="","",$F682-IF($G682="",0,$G682))</f>
        <v/>
      </c>
      <c r="I682" s="31">
        <f>IF($A682="","",IFERROR(XLOOKUP($A682,SeedPlacement!$A$2:$A$1000,SeedPlacement!$N$2:$N$1000),0))</f>
        <v/>
      </c>
      <c r="J682" s="59" t="n"/>
    </row>
    <row r="683">
      <c r="A683" s="31">
        <f>IF(Members!$A683="","",Members!$A683)</f>
        <v/>
      </c>
      <c r="B683" s="31">
        <f>IF($A683="","",$I683+SUMIF(WeeklySummary!$B$2:$B$1000,$A683,WeeklySummary!$G$2:$G$1000))</f>
        <v/>
      </c>
      <c r="C683" s="31">
        <f>IF($B683="","",MIN(100,INT(SQRT($B683))))</f>
        <v/>
      </c>
      <c r="D683" s="31">
        <f>IF($C683="","",($C683+1)^2)</f>
        <v/>
      </c>
      <c r="E683" s="31">
        <f>IF($D683="","",$D683-$B683)</f>
        <v/>
      </c>
      <c r="F683" s="31">
        <f>IF($A683="","",SUMIF(MonthlySummary!$B$2:$B$1000,$A683,MonthlySummary!$E$2:$E$1000))</f>
        <v/>
      </c>
      <c r="G683" s="31" t="n">
        <v>0</v>
      </c>
      <c r="H683" s="31">
        <f>IF($A683="","",$F683-IF($G683="",0,$G683))</f>
        <v/>
      </c>
      <c r="I683" s="31">
        <f>IF($A683="","",IFERROR(XLOOKUP($A683,SeedPlacement!$A$2:$A$1000,SeedPlacement!$N$2:$N$1000),0))</f>
        <v/>
      </c>
      <c r="J683" s="59" t="n"/>
    </row>
    <row r="684">
      <c r="A684" s="31">
        <f>IF(Members!$A684="","",Members!$A684)</f>
        <v/>
      </c>
      <c r="B684" s="31">
        <f>IF($A684="","",$I684+SUMIF(WeeklySummary!$B$2:$B$1000,$A684,WeeklySummary!$G$2:$G$1000))</f>
        <v/>
      </c>
      <c r="C684" s="31">
        <f>IF($B684="","",MIN(100,INT(SQRT($B684))))</f>
        <v/>
      </c>
      <c r="D684" s="31">
        <f>IF($C684="","",($C684+1)^2)</f>
        <v/>
      </c>
      <c r="E684" s="31">
        <f>IF($D684="","",$D684-$B684)</f>
        <v/>
      </c>
      <c r="F684" s="31">
        <f>IF($A684="","",SUMIF(MonthlySummary!$B$2:$B$1000,$A684,MonthlySummary!$E$2:$E$1000))</f>
        <v/>
      </c>
      <c r="G684" s="31" t="n">
        <v>0</v>
      </c>
      <c r="H684" s="31">
        <f>IF($A684="","",$F684-IF($G684="",0,$G684))</f>
        <v/>
      </c>
      <c r="I684" s="31">
        <f>IF($A684="","",IFERROR(XLOOKUP($A684,SeedPlacement!$A$2:$A$1000,SeedPlacement!$N$2:$N$1000),0))</f>
        <v/>
      </c>
      <c r="J684" s="59" t="n"/>
    </row>
    <row r="685">
      <c r="A685" s="31">
        <f>IF(Members!$A685="","",Members!$A685)</f>
        <v/>
      </c>
      <c r="B685" s="31">
        <f>IF($A685="","",$I685+SUMIF(WeeklySummary!$B$2:$B$1000,$A685,WeeklySummary!$G$2:$G$1000))</f>
        <v/>
      </c>
      <c r="C685" s="31">
        <f>IF($B685="","",MIN(100,INT(SQRT($B685))))</f>
        <v/>
      </c>
      <c r="D685" s="31">
        <f>IF($C685="","",($C685+1)^2)</f>
        <v/>
      </c>
      <c r="E685" s="31">
        <f>IF($D685="","",$D685-$B685)</f>
        <v/>
      </c>
      <c r="F685" s="31">
        <f>IF($A685="","",SUMIF(MonthlySummary!$B$2:$B$1000,$A685,MonthlySummary!$E$2:$E$1000))</f>
        <v/>
      </c>
      <c r="G685" s="31" t="n">
        <v>0</v>
      </c>
      <c r="H685" s="31">
        <f>IF($A685="","",$F685-IF($G685="",0,$G685))</f>
        <v/>
      </c>
      <c r="I685" s="31">
        <f>IF($A685="","",IFERROR(XLOOKUP($A685,SeedPlacement!$A$2:$A$1000,SeedPlacement!$N$2:$N$1000),0))</f>
        <v/>
      </c>
      <c r="J685" s="59" t="n"/>
    </row>
    <row r="686">
      <c r="A686" s="31">
        <f>IF(Members!$A686="","",Members!$A686)</f>
        <v/>
      </c>
      <c r="B686" s="31">
        <f>IF($A686="","",$I686+SUMIF(WeeklySummary!$B$2:$B$1000,$A686,WeeklySummary!$G$2:$G$1000))</f>
        <v/>
      </c>
      <c r="C686" s="31">
        <f>IF($B686="","",MIN(100,INT(SQRT($B686))))</f>
        <v/>
      </c>
      <c r="D686" s="31">
        <f>IF($C686="","",($C686+1)^2)</f>
        <v/>
      </c>
      <c r="E686" s="31">
        <f>IF($D686="","",$D686-$B686)</f>
        <v/>
      </c>
      <c r="F686" s="31">
        <f>IF($A686="","",SUMIF(MonthlySummary!$B$2:$B$1000,$A686,MonthlySummary!$E$2:$E$1000))</f>
        <v/>
      </c>
      <c r="G686" s="31" t="n">
        <v>0</v>
      </c>
      <c r="H686" s="31">
        <f>IF($A686="","",$F686-IF($G686="",0,$G686))</f>
        <v/>
      </c>
      <c r="I686" s="31">
        <f>IF($A686="","",IFERROR(XLOOKUP($A686,SeedPlacement!$A$2:$A$1000,SeedPlacement!$N$2:$N$1000),0))</f>
        <v/>
      </c>
      <c r="J686" s="59" t="n"/>
    </row>
    <row r="687">
      <c r="A687" s="31">
        <f>IF(Members!$A687="","",Members!$A687)</f>
        <v/>
      </c>
      <c r="B687" s="31">
        <f>IF($A687="","",$I687+SUMIF(WeeklySummary!$B$2:$B$1000,$A687,WeeklySummary!$G$2:$G$1000))</f>
        <v/>
      </c>
      <c r="C687" s="31">
        <f>IF($B687="","",MIN(100,INT(SQRT($B687))))</f>
        <v/>
      </c>
      <c r="D687" s="31">
        <f>IF($C687="","",($C687+1)^2)</f>
        <v/>
      </c>
      <c r="E687" s="31">
        <f>IF($D687="","",$D687-$B687)</f>
        <v/>
      </c>
      <c r="F687" s="31">
        <f>IF($A687="","",SUMIF(MonthlySummary!$B$2:$B$1000,$A687,MonthlySummary!$E$2:$E$1000))</f>
        <v/>
      </c>
      <c r="G687" s="31" t="n">
        <v>0</v>
      </c>
      <c r="H687" s="31">
        <f>IF($A687="","",$F687-IF($G687="",0,$G687))</f>
        <v/>
      </c>
      <c r="I687" s="31">
        <f>IF($A687="","",IFERROR(XLOOKUP($A687,SeedPlacement!$A$2:$A$1000,SeedPlacement!$N$2:$N$1000),0))</f>
        <v/>
      </c>
      <c r="J687" s="59" t="n"/>
    </row>
    <row r="688">
      <c r="A688" s="31">
        <f>IF(Members!$A688="","",Members!$A688)</f>
        <v/>
      </c>
      <c r="B688" s="31">
        <f>IF($A688="","",$I688+SUMIF(WeeklySummary!$B$2:$B$1000,$A688,WeeklySummary!$G$2:$G$1000))</f>
        <v/>
      </c>
      <c r="C688" s="31">
        <f>IF($B688="","",MIN(100,INT(SQRT($B688))))</f>
        <v/>
      </c>
      <c r="D688" s="31">
        <f>IF($C688="","",($C688+1)^2)</f>
        <v/>
      </c>
      <c r="E688" s="31">
        <f>IF($D688="","",$D688-$B688)</f>
        <v/>
      </c>
      <c r="F688" s="31">
        <f>IF($A688="","",SUMIF(MonthlySummary!$B$2:$B$1000,$A688,MonthlySummary!$E$2:$E$1000))</f>
        <v/>
      </c>
      <c r="G688" s="31" t="n">
        <v>0</v>
      </c>
      <c r="H688" s="31">
        <f>IF($A688="","",$F688-IF($G688="",0,$G688))</f>
        <v/>
      </c>
      <c r="I688" s="31">
        <f>IF($A688="","",IFERROR(XLOOKUP($A688,SeedPlacement!$A$2:$A$1000,SeedPlacement!$N$2:$N$1000),0))</f>
        <v/>
      </c>
      <c r="J688" s="59" t="n"/>
    </row>
    <row r="689">
      <c r="A689" s="31">
        <f>IF(Members!$A689="","",Members!$A689)</f>
        <v/>
      </c>
      <c r="B689" s="31">
        <f>IF($A689="","",$I689+SUMIF(WeeklySummary!$B$2:$B$1000,$A689,WeeklySummary!$G$2:$G$1000))</f>
        <v/>
      </c>
      <c r="C689" s="31">
        <f>IF($B689="","",MIN(100,INT(SQRT($B689))))</f>
        <v/>
      </c>
      <c r="D689" s="31">
        <f>IF($C689="","",($C689+1)^2)</f>
        <v/>
      </c>
      <c r="E689" s="31">
        <f>IF($D689="","",$D689-$B689)</f>
        <v/>
      </c>
      <c r="F689" s="31">
        <f>IF($A689="","",SUMIF(MonthlySummary!$B$2:$B$1000,$A689,MonthlySummary!$E$2:$E$1000))</f>
        <v/>
      </c>
      <c r="G689" s="31" t="n">
        <v>0</v>
      </c>
      <c r="H689" s="31">
        <f>IF($A689="","",$F689-IF($G689="",0,$G689))</f>
        <v/>
      </c>
      <c r="I689" s="31">
        <f>IF($A689="","",IFERROR(XLOOKUP($A689,SeedPlacement!$A$2:$A$1000,SeedPlacement!$N$2:$N$1000),0))</f>
        <v/>
      </c>
      <c r="J689" s="59" t="n"/>
    </row>
    <row r="690">
      <c r="A690" s="31">
        <f>IF(Members!$A690="","",Members!$A690)</f>
        <v/>
      </c>
      <c r="B690" s="31">
        <f>IF($A690="","",$I690+SUMIF(WeeklySummary!$B$2:$B$1000,$A690,WeeklySummary!$G$2:$G$1000))</f>
        <v/>
      </c>
      <c r="C690" s="31">
        <f>IF($B690="","",MIN(100,INT(SQRT($B690))))</f>
        <v/>
      </c>
      <c r="D690" s="31">
        <f>IF($C690="","",($C690+1)^2)</f>
        <v/>
      </c>
      <c r="E690" s="31">
        <f>IF($D690="","",$D690-$B690)</f>
        <v/>
      </c>
      <c r="F690" s="31">
        <f>IF($A690="","",SUMIF(MonthlySummary!$B$2:$B$1000,$A690,MonthlySummary!$E$2:$E$1000))</f>
        <v/>
      </c>
      <c r="G690" s="31" t="n">
        <v>0</v>
      </c>
      <c r="H690" s="31">
        <f>IF($A690="","",$F690-IF($G690="",0,$G690))</f>
        <v/>
      </c>
      <c r="I690" s="31">
        <f>IF($A690="","",IFERROR(XLOOKUP($A690,SeedPlacement!$A$2:$A$1000,SeedPlacement!$N$2:$N$1000),0))</f>
        <v/>
      </c>
      <c r="J690" s="59" t="n"/>
    </row>
    <row r="691">
      <c r="A691" s="31">
        <f>IF(Members!$A691="","",Members!$A691)</f>
        <v/>
      </c>
      <c r="B691" s="31">
        <f>IF($A691="","",$I691+SUMIF(WeeklySummary!$B$2:$B$1000,$A691,WeeklySummary!$G$2:$G$1000))</f>
        <v/>
      </c>
      <c r="C691" s="31">
        <f>IF($B691="","",MIN(100,INT(SQRT($B691))))</f>
        <v/>
      </c>
      <c r="D691" s="31">
        <f>IF($C691="","",($C691+1)^2)</f>
        <v/>
      </c>
      <c r="E691" s="31">
        <f>IF($D691="","",$D691-$B691)</f>
        <v/>
      </c>
      <c r="F691" s="31">
        <f>IF($A691="","",SUMIF(MonthlySummary!$B$2:$B$1000,$A691,MonthlySummary!$E$2:$E$1000))</f>
        <v/>
      </c>
      <c r="G691" s="31" t="n">
        <v>0</v>
      </c>
      <c r="H691" s="31">
        <f>IF($A691="","",$F691-IF($G691="",0,$G691))</f>
        <v/>
      </c>
      <c r="I691" s="31">
        <f>IF($A691="","",IFERROR(XLOOKUP($A691,SeedPlacement!$A$2:$A$1000,SeedPlacement!$N$2:$N$1000),0))</f>
        <v/>
      </c>
      <c r="J691" s="59" t="n"/>
    </row>
    <row r="692">
      <c r="A692" s="31">
        <f>IF(Members!$A692="","",Members!$A692)</f>
        <v/>
      </c>
      <c r="B692" s="31">
        <f>IF($A692="","",$I692+SUMIF(WeeklySummary!$B$2:$B$1000,$A692,WeeklySummary!$G$2:$G$1000))</f>
        <v/>
      </c>
      <c r="C692" s="31">
        <f>IF($B692="","",MIN(100,INT(SQRT($B692))))</f>
        <v/>
      </c>
      <c r="D692" s="31">
        <f>IF($C692="","",($C692+1)^2)</f>
        <v/>
      </c>
      <c r="E692" s="31">
        <f>IF($D692="","",$D692-$B692)</f>
        <v/>
      </c>
      <c r="F692" s="31">
        <f>IF($A692="","",SUMIF(MonthlySummary!$B$2:$B$1000,$A692,MonthlySummary!$E$2:$E$1000))</f>
        <v/>
      </c>
      <c r="G692" s="31" t="n">
        <v>0</v>
      </c>
      <c r="H692" s="31">
        <f>IF($A692="","",$F692-IF($G692="",0,$G692))</f>
        <v/>
      </c>
      <c r="I692" s="31">
        <f>IF($A692="","",IFERROR(XLOOKUP($A692,SeedPlacement!$A$2:$A$1000,SeedPlacement!$N$2:$N$1000),0))</f>
        <v/>
      </c>
      <c r="J692" s="59" t="n"/>
    </row>
    <row r="693">
      <c r="A693" s="31">
        <f>IF(Members!$A693="","",Members!$A693)</f>
        <v/>
      </c>
      <c r="B693" s="31">
        <f>IF($A693="","",$I693+SUMIF(WeeklySummary!$B$2:$B$1000,$A693,WeeklySummary!$G$2:$G$1000))</f>
        <v/>
      </c>
      <c r="C693" s="31">
        <f>IF($B693="","",MIN(100,INT(SQRT($B693))))</f>
        <v/>
      </c>
      <c r="D693" s="31">
        <f>IF($C693="","",($C693+1)^2)</f>
        <v/>
      </c>
      <c r="E693" s="31">
        <f>IF($D693="","",$D693-$B693)</f>
        <v/>
      </c>
      <c r="F693" s="31">
        <f>IF($A693="","",SUMIF(MonthlySummary!$B$2:$B$1000,$A693,MonthlySummary!$E$2:$E$1000))</f>
        <v/>
      </c>
      <c r="G693" s="31" t="n">
        <v>0</v>
      </c>
      <c r="H693" s="31">
        <f>IF($A693="","",$F693-IF($G693="",0,$G693))</f>
        <v/>
      </c>
      <c r="I693" s="31">
        <f>IF($A693="","",IFERROR(XLOOKUP($A693,SeedPlacement!$A$2:$A$1000,SeedPlacement!$N$2:$N$1000),0))</f>
        <v/>
      </c>
      <c r="J693" s="59" t="n"/>
    </row>
    <row r="694">
      <c r="A694" s="31">
        <f>IF(Members!$A694="","",Members!$A694)</f>
        <v/>
      </c>
      <c r="B694" s="31">
        <f>IF($A694="","",$I694+SUMIF(WeeklySummary!$B$2:$B$1000,$A694,WeeklySummary!$G$2:$G$1000))</f>
        <v/>
      </c>
      <c r="C694" s="31">
        <f>IF($B694="","",MIN(100,INT(SQRT($B694))))</f>
        <v/>
      </c>
      <c r="D694" s="31">
        <f>IF($C694="","",($C694+1)^2)</f>
        <v/>
      </c>
      <c r="E694" s="31">
        <f>IF($D694="","",$D694-$B694)</f>
        <v/>
      </c>
      <c r="F694" s="31">
        <f>IF($A694="","",SUMIF(MonthlySummary!$B$2:$B$1000,$A694,MonthlySummary!$E$2:$E$1000))</f>
        <v/>
      </c>
      <c r="G694" s="31" t="n">
        <v>0</v>
      </c>
      <c r="H694" s="31">
        <f>IF($A694="","",$F694-IF($G694="",0,$G694))</f>
        <v/>
      </c>
      <c r="I694" s="31">
        <f>IF($A694="","",IFERROR(XLOOKUP($A694,SeedPlacement!$A$2:$A$1000,SeedPlacement!$N$2:$N$1000),0))</f>
        <v/>
      </c>
      <c r="J694" s="59" t="n"/>
    </row>
    <row r="695">
      <c r="A695" s="31">
        <f>IF(Members!$A695="","",Members!$A695)</f>
        <v/>
      </c>
      <c r="B695" s="31">
        <f>IF($A695="","",$I695+SUMIF(WeeklySummary!$B$2:$B$1000,$A695,WeeklySummary!$G$2:$G$1000))</f>
        <v/>
      </c>
      <c r="C695" s="31">
        <f>IF($B695="","",MIN(100,INT(SQRT($B695))))</f>
        <v/>
      </c>
      <c r="D695" s="31">
        <f>IF($C695="","",($C695+1)^2)</f>
        <v/>
      </c>
      <c r="E695" s="31">
        <f>IF($D695="","",$D695-$B695)</f>
        <v/>
      </c>
      <c r="F695" s="31">
        <f>IF($A695="","",SUMIF(MonthlySummary!$B$2:$B$1000,$A695,MonthlySummary!$E$2:$E$1000))</f>
        <v/>
      </c>
      <c r="G695" s="31" t="n">
        <v>0</v>
      </c>
      <c r="H695" s="31">
        <f>IF($A695="","",$F695-IF($G695="",0,$G695))</f>
        <v/>
      </c>
      <c r="I695" s="31">
        <f>IF($A695="","",IFERROR(XLOOKUP($A695,SeedPlacement!$A$2:$A$1000,SeedPlacement!$N$2:$N$1000),0))</f>
        <v/>
      </c>
      <c r="J695" s="59" t="n"/>
    </row>
    <row r="696">
      <c r="A696" s="31">
        <f>IF(Members!$A696="","",Members!$A696)</f>
        <v/>
      </c>
      <c r="B696" s="31">
        <f>IF($A696="","",$I696+SUMIF(WeeklySummary!$B$2:$B$1000,$A696,WeeklySummary!$G$2:$G$1000))</f>
        <v/>
      </c>
      <c r="C696" s="31">
        <f>IF($B696="","",MIN(100,INT(SQRT($B696))))</f>
        <v/>
      </c>
      <c r="D696" s="31">
        <f>IF($C696="","",($C696+1)^2)</f>
        <v/>
      </c>
      <c r="E696" s="31">
        <f>IF($D696="","",$D696-$B696)</f>
        <v/>
      </c>
      <c r="F696" s="31">
        <f>IF($A696="","",SUMIF(MonthlySummary!$B$2:$B$1000,$A696,MonthlySummary!$E$2:$E$1000))</f>
        <v/>
      </c>
      <c r="G696" s="31" t="n">
        <v>0</v>
      </c>
      <c r="H696" s="31">
        <f>IF($A696="","",$F696-IF($G696="",0,$G696))</f>
        <v/>
      </c>
      <c r="I696" s="31">
        <f>IF($A696="","",IFERROR(XLOOKUP($A696,SeedPlacement!$A$2:$A$1000,SeedPlacement!$N$2:$N$1000),0))</f>
        <v/>
      </c>
      <c r="J696" s="59" t="n"/>
    </row>
    <row r="697">
      <c r="A697" s="31">
        <f>IF(Members!$A697="","",Members!$A697)</f>
        <v/>
      </c>
      <c r="B697" s="31">
        <f>IF($A697="","",$I697+SUMIF(WeeklySummary!$B$2:$B$1000,$A697,WeeklySummary!$G$2:$G$1000))</f>
        <v/>
      </c>
      <c r="C697" s="31">
        <f>IF($B697="","",MIN(100,INT(SQRT($B697))))</f>
        <v/>
      </c>
      <c r="D697" s="31">
        <f>IF($C697="","",($C697+1)^2)</f>
        <v/>
      </c>
      <c r="E697" s="31">
        <f>IF($D697="","",$D697-$B697)</f>
        <v/>
      </c>
      <c r="F697" s="31">
        <f>IF($A697="","",SUMIF(MonthlySummary!$B$2:$B$1000,$A697,MonthlySummary!$E$2:$E$1000))</f>
        <v/>
      </c>
      <c r="G697" s="31" t="n">
        <v>0</v>
      </c>
      <c r="H697" s="31">
        <f>IF($A697="","",$F697-IF($G697="",0,$G697))</f>
        <v/>
      </c>
      <c r="I697" s="31">
        <f>IF($A697="","",IFERROR(XLOOKUP($A697,SeedPlacement!$A$2:$A$1000,SeedPlacement!$N$2:$N$1000),0))</f>
        <v/>
      </c>
      <c r="J697" s="59" t="n"/>
    </row>
    <row r="698">
      <c r="A698" s="31">
        <f>IF(Members!$A698="","",Members!$A698)</f>
        <v/>
      </c>
      <c r="B698" s="31">
        <f>IF($A698="","",$I698+SUMIF(WeeklySummary!$B$2:$B$1000,$A698,WeeklySummary!$G$2:$G$1000))</f>
        <v/>
      </c>
      <c r="C698" s="31">
        <f>IF($B698="","",MIN(100,INT(SQRT($B698))))</f>
        <v/>
      </c>
      <c r="D698" s="31">
        <f>IF($C698="","",($C698+1)^2)</f>
        <v/>
      </c>
      <c r="E698" s="31">
        <f>IF($D698="","",$D698-$B698)</f>
        <v/>
      </c>
      <c r="F698" s="31">
        <f>IF($A698="","",SUMIF(MonthlySummary!$B$2:$B$1000,$A698,MonthlySummary!$E$2:$E$1000))</f>
        <v/>
      </c>
      <c r="G698" s="31" t="n">
        <v>0</v>
      </c>
      <c r="H698" s="31">
        <f>IF($A698="","",$F698-IF($G698="",0,$G698))</f>
        <v/>
      </c>
      <c r="I698" s="31">
        <f>IF($A698="","",IFERROR(XLOOKUP($A698,SeedPlacement!$A$2:$A$1000,SeedPlacement!$N$2:$N$1000),0))</f>
        <v/>
      </c>
      <c r="J698" s="59" t="n"/>
    </row>
    <row r="699">
      <c r="A699" s="31">
        <f>IF(Members!$A699="","",Members!$A699)</f>
        <v/>
      </c>
      <c r="B699" s="31">
        <f>IF($A699="","",$I699+SUMIF(WeeklySummary!$B$2:$B$1000,$A699,WeeklySummary!$G$2:$G$1000))</f>
        <v/>
      </c>
      <c r="C699" s="31">
        <f>IF($B699="","",MIN(100,INT(SQRT($B699))))</f>
        <v/>
      </c>
      <c r="D699" s="31">
        <f>IF($C699="","",($C699+1)^2)</f>
        <v/>
      </c>
      <c r="E699" s="31">
        <f>IF($D699="","",$D699-$B699)</f>
        <v/>
      </c>
      <c r="F699" s="31">
        <f>IF($A699="","",SUMIF(MonthlySummary!$B$2:$B$1000,$A699,MonthlySummary!$E$2:$E$1000))</f>
        <v/>
      </c>
      <c r="G699" s="31" t="n">
        <v>0</v>
      </c>
      <c r="H699" s="31">
        <f>IF($A699="","",$F699-IF($G699="",0,$G699))</f>
        <v/>
      </c>
      <c r="I699" s="31">
        <f>IF($A699="","",IFERROR(XLOOKUP($A699,SeedPlacement!$A$2:$A$1000,SeedPlacement!$N$2:$N$1000),0))</f>
        <v/>
      </c>
      <c r="J699" s="59" t="n"/>
    </row>
    <row r="700">
      <c r="A700" s="31">
        <f>IF(Members!$A700="","",Members!$A700)</f>
        <v/>
      </c>
      <c r="B700" s="31">
        <f>IF($A700="","",$I700+SUMIF(WeeklySummary!$B$2:$B$1000,$A700,WeeklySummary!$G$2:$G$1000))</f>
        <v/>
      </c>
      <c r="C700" s="31">
        <f>IF($B700="","",MIN(100,INT(SQRT($B700))))</f>
        <v/>
      </c>
      <c r="D700" s="31">
        <f>IF($C700="","",($C700+1)^2)</f>
        <v/>
      </c>
      <c r="E700" s="31">
        <f>IF($D700="","",$D700-$B700)</f>
        <v/>
      </c>
      <c r="F700" s="31">
        <f>IF($A700="","",SUMIF(MonthlySummary!$B$2:$B$1000,$A700,MonthlySummary!$E$2:$E$1000))</f>
        <v/>
      </c>
      <c r="G700" s="31" t="n">
        <v>0</v>
      </c>
      <c r="H700" s="31">
        <f>IF($A700="","",$F700-IF($G700="",0,$G700))</f>
        <v/>
      </c>
      <c r="I700" s="31">
        <f>IF($A700="","",IFERROR(XLOOKUP($A700,SeedPlacement!$A$2:$A$1000,SeedPlacement!$N$2:$N$1000),0))</f>
        <v/>
      </c>
      <c r="J700" s="59" t="n"/>
    </row>
    <row r="701">
      <c r="A701" s="31">
        <f>IF(Members!$A701="","",Members!$A701)</f>
        <v/>
      </c>
      <c r="B701" s="31">
        <f>IF($A701="","",$I701+SUMIF(WeeklySummary!$B$2:$B$1000,$A701,WeeklySummary!$G$2:$G$1000))</f>
        <v/>
      </c>
      <c r="C701" s="31">
        <f>IF($B701="","",MIN(100,INT(SQRT($B701))))</f>
        <v/>
      </c>
      <c r="D701" s="31">
        <f>IF($C701="","",($C701+1)^2)</f>
        <v/>
      </c>
      <c r="E701" s="31">
        <f>IF($D701="","",$D701-$B701)</f>
        <v/>
      </c>
      <c r="F701" s="31">
        <f>IF($A701="","",SUMIF(MonthlySummary!$B$2:$B$1000,$A701,MonthlySummary!$E$2:$E$1000))</f>
        <v/>
      </c>
      <c r="G701" s="31" t="n">
        <v>0</v>
      </c>
      <c r="H701" s="31">
        <f>IF($A701="","",$F701-IF($G701="",0,$G701))</f>
        <v/>
      </c>
      <c r="I701" s="31">
        <f>IF($A701="","",IFERROR(XLOOKUP($A701,SeedPlacement!$A$2:$A$1000,SeedPlacement!$N$2:$N$1000),0))</f>
        <v/>
      </c>
      <c r="J701" s="59" t="n"/>
    </row>
    <row r="702">
      <c r="A702" s="31">
        <f>IF(Members!$A702="","",Members!$A702)</f>
        <v/>
      </c>
      <c r="B702" s="31">
        <f>IF($A702="","",$I702+SUMIF(WeeklySummary!$B$2:$B$1000,$A702,WeeklySummary!$G$2:$G$1000))</f>
        <v/>
      </c>
      <c r="C702" s="31">
        <f>IF($B702="","",MIN(100,INT(SQRT($B702))))</f>
        <v/>
      </c>
      <c r="D702" s="31">
        <f>IF($C702="","",($C702+1)^2)</f>
        <v/>
      </c>
      <c r="E702" s="31">
        <f>IF($D702="","",$D702-$B702)</f>
        <v/>
      </c>
      <c r="F702" s="31">
        <f>IF($A702="","",SUMIF(MonthlySummary!$B$2:$B$1000,$A702,MonthlySummary!$E$2:$E$1000))</f>
        <v/>
      </c>
      <c r="G702" s="31" t="n">
        <v>0</v>
      </c>
      <c r="H702" s="31">
        <f>IF($A702="","",$F702-IF($G702="",0,$G702))</f>
        <v/>
      </c>
      <c r="I702" s="31">
        <f>IF($A702="","",IFERROR(XLOOKUP($A702,SeedPlacement!$A$2:$A$1000,SeedPlacement!$N$2:$N$1000),0))</f>
        <v/>
      </c>
      <c r="J702" s="59" t="n"/>
    </row>
    <row r="703">
      <c r="A703" s="31">
        <f>IF(Members!$A703="","",Members!$A703)</f>
        <v/>
      </c>
      <c r="B703" s="31">
        <f>IF($A703="","",$I703+SUMIF(WeeklySummary!$B$2:$B$1000,$A703,WeeklySummary!$G$2:$G$1000))</f>
        <v/>
      </c>
      <c r="C703" s="31">
        <f>IF($B703="","",MIN(100,INT(SQRT($B703))))</f>
        <v/>
      </c>
      <c r="D703" s="31">
        <f>IF($C703="","",($C703+1)^2)</f>
        <v/>
      </c>
      <c r="E703" s="31">
        <f>IF($D703="","",$D703-$B703)</f>
        <v/>
      </c>
      <c r="F703" s="31">
        <f>IF($A703="","",SUMIF(MonthlySummary!$B$2:$B$1000,$A703,MonthlySummary!$E$2:$E$1000))</f>
        <v/>
      </c>
      <c r="G703" s="31" t="n">
        <v>0</v>
      </c>
      <c r="H703" s="31">
        <f>IF($A703="","",$F703-IF($G703="",0,$G703))</f>
        <v/>
      </c>
      <c r="I703" s="31">
        <f>IF($A703="","",IFERROR(XLOOKUP($A703,SeedPlacement!$A$2:$A$1000,SeedPlacement!$N$2:$N$1000),0))</f>
        <v/>
      </c>
      <c r="J703" s="59" t="n"/>
    </row>
    <row r="704">
      <c r="A704" s="31">
        <f>IF(Members!$A704="","",Members!$A704)</f>
        <v/>
      </c>
      <c r="B704" s="31">
        <f>IF($A704="","",$I704+SUMIF(WeeklySummary!$B$2:$B$1000,$A704,WeeklySummary!$G$2:$G$1000))</f>
        <v/>
      </c>
      <c r="C704" s="31">
        <f>IF($B704="","",MIN(100,INT(SQRT($B704))))</f>
        <v/>
      </c>
      <c r="D704" s="31">
        <f>IF($C704="","",($C704+1)^2)</f>
        <v/>
      </c>
      <c r="E704" s="31">
        <f>IF($D704="","",$D704-$B704)</f>
        <v/>
      </c>
      <c r="F704" s="31">
        <f>IF($A704="","",SUMIF(MonthlySummary!$B$2:$B$1000,$A704,MonthlySummary!$E$2:$E$1000))</f>
        <v/>
      </c>
      <c r="G704" s="31" t="n">
        <v>0</v>
      </c>
      <c r="H704" s="31">
        <f>IF($A704="","",$F704-IF($G704="",0,$G704))</f>
        <v/>
      </c>
      <c r="I704" s="31">
        <f>IF($A704="","",IFERROR(XLOOKUP($A704,SeedPlacement!$A$2:$A$1000,SeedPlacement!$N$2:$N$1000),0))</f>
        <v/>
      </c>
      <c r="J704" s="59" t="n"/>
    </row>
    <row r="705">
      <c r="A705" s="31">
        <f>IF(Members!$A705="","",Members!$A705)</f>
        <v/>
      </c>
      <c r="B705" s="31">
        <f>IF($A705="","",$I705+SUMIF(WeeklySummary!$B$2:$B$1000,$A705,WeeklySummary!$G$2:$G$1000))</f>
        <v/>
      </c>
      <c r="C705" s="31">
        <f>IF($B705="","",MIN(100,INT(SQRT($B705))))</f>
        <v/>
      </c>
      <c r="D705" s="31">
        <f>IF($C705="","",($C705+1)^2)</f>
        <v/>
      </c>
      <c r="E705" s="31">
        <f>IF($D705="","",$D705-$B705)</f>
        <v/>
      </c>
      <c r="F705" s="31">
        <f>IF($A705="","",SUMIF(MonthlySummary!$B$2:$B$1000,$A705,MonthlySummary!$E$2:$E$1000))</f>
        <v/>
      </c>
      <c r="G705" s="31" t="n">
        <v>0</v>
      </c>
      <c r="H705" s="31">
        <f>IF($A705="","",$F705-IF($G705="",0,$G705))</f>
        <v/>
      </c>
      <c r="I705" s="31">
        <f>IF($A705="","",IFERROR(XLOOKUP($A705,SeedPlacement!$A$2:$A$1000,SeedPlacement!$N$2:$N$1000),0))</f>
        <v/>
      </c>
      <c r="J705" s="59" t="n"/>
    </row>
    <row r="706">
      <c r="A706" s="31">
        <f>IF(Members!$A706="","",Members!$A706)</f>
        <v/>
      </c>
      <c r="B706" s="31">
        <f>IF($A706="","",$I706+SUMIF(WeeklySummary!$B$2:$B$1000,$A706,WeeklySummary!$G$2:$G$1000))</f>
        <v/>
      </c>
      <c r="C706" s="31">
        <f>IF($B706="","",MIN(100,INT(SQRT($B706))))</f>
        <v/>
      </c>
      <c r="D706" s="31">
        <f>IF($C706="","",($C706+1)^2)</f>
        <v/>
      </c>
      <c r="E706" s="31">
        <f>IF($D706="","",$D706-$B706)</f>
        <v/>
      </c>
      <c r="F706" s="31">
        <f>IF($A706="","",SUMIF(MonthlySummary!$B$2:$B$1000,$A706,MonthlySummary!$E$2:$E$1000))</f>
        <v/>
      </c>
      <c r="G706" s="31" t="n">
        <v>0</v>
      </c>
      <c r="H706" s="31">
        <f>IF($A706="","",$F706-IF($G706="",0,$G706))</f>
        <v/>
      </c>
      <c r="I706" s="31">
        <f>IF($A706="","",IFERROR(XLOOKUP($A706,SeedPlacement!$A$2:$A$1000,SeedPlacement!$N$2:$N$1000),0))</f>
        <v/>
      </c>
      <c r="J706" s="59" t="n"/>
    </row>
    <row r="707">
      <c r="A707" s="31">
        <f>IF(Members!$A707="","",Members!$A707)</f>
        <v/>
      </c>
      <c r="B707" s="31">
        <f>IF($A707="","",$I707+SUMIF(WeeklySummary!$B$2:$B$1000,$A707,WeeklySummary!$G$2:$G$1000))</f>
        <v/>
      </c>
      <c r="C707" s="31">
        <f>IF($B707="","",MIN(100,INT(SQRT($B707))))</f>
        <v/>
      </c>
      <c r="D707" s="31">
        <f>IF($C707="","",($C707+1)^2)</f>
        <v/>
      </c>
      <c r="E707" s="31">
        <f>IF($D707="","",$D707-$B707)</f>
        <v/>
      </c>
      <c r="F707" s="31">
        <f>IF($A707="","",SUMIF(MonthlySummary!$B$2:$B$1000,$A707,MonthlySummary!$E$2:$E$1000))</f>
        <v/>
      </c>
      <c r="G707" s="31" t="n">
        <v>0</v>
      </c>
      <c r="H707" s="31">
        <f>IF($A707="","",$F707-IF($G707="",0,$G707))</f>
        <v/>
      </c>
      <c r="I707" s="31">
        <f>IF($A707="","",IFERROR(XLOOKUP($A707,SeedPlacement!$A$2:$A$1000,SeedPlacement!$N$2:$N$1000),0))</f>
        <v/>
      </c>
      <c r="J707" s="59" t="n"/>
    </row>
    <row r="708">
      <c r="A708" s="31">
        <f>IF(Members!$A708="","",Members!$A708)</f>
        <v/>
      </c>
      <c r="B708" s="31">
        <f>IF($A708="","",$I708+SUMIF(WeeklySummary!$B$2:$B$1000,$A708,WeeklySummary!$G$2:$G$1000))</f>
        <v/>
      </c>
      <c r="C708" s="31">
        <f>IF($B708="","",MIN(100,INT(SQRT($B708))))</f>
        <v/>
      </c>
      <c r="D708" s="31">
        <f>IF($C708="","",($C708+1)^2)</f>
        <v/>
      </c>
      <c r="E708" s="31">
        <f>IF($D708="","",$D708-$B708)</f>
        <v/>
      </c>
      <c r="F708" s="31">
        <f>IF($A708="","",SUMIF(MonthlySummary!$B$2:$B$1000,$A708,MonthlySummary!$E$2:$E$1000))</f>
        <v/>
      </c>
      <c r="G708" s="31" t="n">
        <v>0</v>
      </c>
      <c r="H708" s="31">
        <f>IF($A708="","",$F708-IF($G708="",0,$G708))</f>
        <v/>
      </c>
      <c r="I708" s="31">
        <f>IF($A708="","",IFERROR(XLOOKUP($A708,SeedPlacement!$A$2:$A$1000,SeedPlacement!$N$2:$N$1000),0))</f>
        <v/>
      </c>
      <c r="J708" s="59" t="n"/>
    </row>
    <row r="709">
      <c r="A709" s="31">
        <f>IF(Members!$A709="","",Members!$A709)</f>
        <v/>
      </c>
      <c r="B709" s="31">
        <f>IF($A709="","",$I709+SUMIF(WeeklySummary!$B$2:$B$1000,$A709,WeeklySummary!$G$2:$G$1000))</f>
        <v/>
      </c>
      <c r="C709" s="31">
        <f>IF($B709="","",MIN(100,INT(SQRT($B709))))</f>
        <v/>
      </c>
      <c r="D709" s="31">
        <f>IF($C709="","",($C709+1)^2)</f>
        <v/>
      </c>
      <c r="E709" s="31">
        <f>IF($D709="","",$D709-$B709)</f>
        <v/>
      </c>
      <c r="F709" s="31">
        <f>IF($A709="","",SUMIF(MonthlySummary!$B$2:$B$1000,$A709,MonthlySummary!$E$2:$E$1000))</f>
        <v/>
      </c>
      <c r="G709" s="31" t="n">
        <v>0</v>
      </c>
      <c r="H709" s="31">
        <f>IF($A709="","",$F709-IF($G709="",0,$G709))</f>
        <v/>
      </c>
      <c r="I709" s="31">
        <f>IF($A709="","",IFERROR(XLOOKUP($A709,SeedPlacement!$A$2:$A$1000,SeedPlacement!$N$2:$N$1000),0))</f>
        <v/>
      </c>
      <c r="J709" s="59" t="n"/>
    </row>
    <row r="710">
      <c r="A710" s="31">
        <f>IF(Members!$A710="","",Members!$A710)</f>
        <v/>
      </c>
      <c r="B710" s="31">
        <f>IF($A710="","",$I710+SUMIF(WeeklySummary!$B$2:$B$1000,$A710,WeeklySummary!$G$2:$G$1000))</f>
        <v/>
      </c>
      <c r="C710" s="31">
        <f>IF($B710="","",MIN(100,INT(SQRT($B710))))</f>
        <v/>
      </c>
      <c r="D710" s="31">
        <f>IF($C710="","",($C710+1)^2)</f>
        <v/>
      </c>
      <c r="E710" s="31">
        <f>IF($D710="","",$D710-$B710)</f>
        <v/>
      </c>
      <c r="F710" s="31">
        <f>IF($A710="","",SUMIF(MonthlySummary!$B$2:$B$1000,$A710,MonthlySummary!$E$2:$E$1000))</f>
        <v/>
      </c>
      <c r="G710" s="31" t="n">
        <v>0</v>
      </c>
      <c r="H710" s="31">
        <f>IF($A710="","",$F710-IF($G710="",0,$G710))</f>
        <v/>
      </c>
      <c r="I710" s="31">
        <f>IF($A710="","",IFERROR(XLOOKUP($A710,SeedPlacement!$A$2:$A$1000,SeedPlacement!$N$2:$N$1000),0))</f>
        <v/>
      </c>
      <c r="J710" s="59" t="n"/>
    </row>
    <row r="711">
      <c r="A711" s="31">
        <f>IF(Members!$A711="","",Members!$A711)</f>
        <v/>
      </c>
      <c r="B711" s="31">
        <f>IF($A711="","",$I711+SUMIF(WeeklySummary!$B$2:$B$1000,$A711,WeeklySummary!$G$2:$G$1000))</f>
        <v/>
      </c>
      <c r="C711" s="31">
        <f>IF($B711="","",MIN(100,INT(SQRT($B711))))</f>
        <v/>
      </c>
      <c r="D711" s="31">
        <f>IF($C711="","",($C711+1)^2)</f>
        <v/>
      </c>
      <c r="E711" s="31">
        <f>IF($D711="","",$D711-$B711)</f>
        <v/>
      </c>
      <c r="F711" s="31">
        <f>IF($A711="","",SUMIF(MonthlySummary!$B$2:$B$1000,$A711,MonthlySummary!$E$2:$E$1000))</f>
        <v/>
      </c>
      <c r="G711" s="31" t="n">
        <v>0</v>
      </c>
      <c r="H711" s="31">
        <f>IF($A711="","",$F711-IF($G711="",0,$G711))</f>
        <v/>
      </c>
      <c r="I711" s="31">
        <f>IF($A711="","",IFERROR(XLOOKUP($A711,SeedPlacement!$A$2:$A$1000,SeedPlacement!$N$2:$N$1000),0))</f>
        <v/>
      </c>
      <c r="J711" s="59" t="n"/>
    </row>
    <row r="712">
      <c r="A712" s="31">
        <f>IF(Members!$A712="","",Members!$A712)</f>
        <v/>
      </c>
      <c r="B712" s="31">
        <f>IF($A712="","",$I712+SUMIF(WeeklySummary!$B$2:$B$1000,$A712,WeeklySummary!$G$2:$G$1000))</f>
        <v/>
      </c>
      <c r="C712" s="31">
        <f>IF($B712="","",MIN(100,INT(SQRT($B712))))</f>
        <v/>
      </c>
      <c r="D712" s="31">
        <f>IF($C712="","",($C712+1)^2)</f>
        <v/>
      </c>
      <c r="E712" s="31">
        <f>IF($D712="","",$D712-$B712)</f>
        <v/>
      </c>
      <c r="F712" s="31">
        <f>IF($A712="","",SUMIF(MonthlySummary!$B$2:$B$1000,$A712,MonthlySummary!$E$2:$E$1000))</f>
        <v/>
      </c>
      <c r="G712" s="31" t="n">
        <v>0</v>
      </c>
      <c r="H712" s="31">
        <f>IF($A712="","",$F712-IF($G712="",0,$G712))</f>
        <v/>
      </c>
      <c r="I712" s="31">
        <f>IF($A712="","",IFERROR(XLOOKUP($A712,SeedPlacement!$A$2:$A$1000,SeedPlacement!$N$2:$N$1000),0))</f>
        <v/>
      </c>
      <c r="J712" s="59" t="n"/>
    </row>
    <row r="713">
      <c r="A713" s="31">
        <f>IF(Members!$A713="","",Members!$A713)</f>
        <v/>
      </c>
      <c r="B713" s="31">
        <f>IF($A713="","",$I713+SUMIF(WeeklySummary!$B$2:$B$1000,$A713,WeeklySummary!$G$2:$G$1000))</f>
        <v/>
      </c>
      <c r="C713" s="31">
        <f>IF($B713="","",MIN(100,INT(SQRT($B713))))</f>
        <v/>
      </c>
      <c r="D713" s="31">
        <f>IF($C713="","",($C713+1)^2)</f>
        <v/>
      </c>
      <c r="E713" s="31">
        <f>IF($D713="","",$D713-$B713)</f>
        <v/>
      </c>
      <c r="F713" s="31">
        <f>IF($A713="","",SUMIF(MonthlySummary!$B$2:$B$1000,$A713,MonthlySummary!$E$2:$E$1000))</f>
        <v/>
      </c>
      <c r="G713" s="31" t="n">
        <v>0</v>
      </c>
      <c r="H713" s="31">
        <f>IF($A713="","",$F713-IF($G713="",0,$G713))</f>
        <v/>
      </c>
      <c r="I713" s="31">
        <f>IF($A713="","",IFERROR(XLOOKUP($A713,SeedPlacement!$A$2:$A$1000,SeedPlacement!$N$2:$N$1000),0))</f>
        <v/>
      </c>
      <c r="J713" s="59" t="n"/>
    </row>
    <row r="714">
      <c r="A714" s="31">
        <f>IF(Members!$A714="","",Members!$A714)</f>
        <v/>
      </c>
      <c r="B714" s="31">
        <f>IF($A714="","",$I714+SUMIF(WeeklySummary!$B$2:$B$1000,$A714,WeeklySummary!$G$2:$G$1000))</f>
        <v/>
      </c>
      <c r="C714" s="31">
        <f>IF($B714="","",MIN(100,INT(SQRT($B714))))</f>
        <v/>
      </c>
      <c r="D714" s="31">
        <f>IF($C714="","",($C714+1)^2)</f>
        <v/>
      </c>
      <c r="E714" s="31">
        <f>IF($D714="","",$D714-$B714)</f>
        <v/>
      </c>
      <c r="F714" s="31">
        <f>IF($A714="","",SUMIF(MonthlySummary!$B$2:$B$1000,$A714,MonthlySummary!$E$2:$E$1000))</f>
        <v/>
      </c>
      <c r="G714" s="31" t="n">
        <v>0</v>
      </c>
      <c r="H714" s="31">
        <f>IF($A714="","",$F714-IF($G714="",0,$G714))</f>
        <v/>
      </c>
      <c r="I714" s="31">
        <f>IF($A714="","",IFERROR(XLOOKUP($A714,SeedPlacement!$A$2:$A$1000,SeedPlacement!$N$2:$N$1000),0))</f>
        <v/>
      </c>
      <c r="J714" s="59" t="n"/>
    </row>
    <row r="715">
      <c r="A715" s="31">
        <f>IF(Members!$A715="","",Members!$A715)</f>
        <v/>
      </c>
      <c r="B715" s="31">
        <f>IF($A715="","",$I715+SUMIF(WeeklySummary!$B$2:$B$1000,$A715,WeeklySummary!$G$2:$G$1000))</f>
        <v/>
      </c>
      <c r="C715" s="31">
        <f>IF($B715="","",MIN(100,INT(SQRT($B715))))</f>
        <v/>
      </c>
      <c r="D715" s="31">
        <f>IF($C715="","",($C715+1)^2)</f>
        <v/>
      </c>
      <c r="E715" s="31">
        <f>IF($D715="","",$D715-$B715)</f>
        <v/>
      </c>
      <c r="F715" s="31">
        <f>IF($A715="","",SUMIF(MonthlySummary!$B$2:$B$1000,$A715,MonthlySummary!$E$2:$E$1000))</f>
        <v/>
      </c>
      <c r="G715" s="31" t="n">
        <v>0</v>
      </c>
      <c r="H715" s="31">
        <f>IF($A715="","",$F715-IF($G715="",0,$G715))</f>
        <v/>
      </c>
      <c r="I715" s="31">
        <f>IF($A715="","",IFERROR(XLOOKUP($A715,SeedPlacement!$A$2:$A$1000,SeedPlacement!$N$2:$N$1000),0))</f>
        <v/>
      </c>
      <c r="J715" s="59" t="n"/>
    </row>
    <row r="716">
      <c r="A716" s="31">
        <f>IF(Members!$A716="","",Members!$A716)</f>
        <v/>
      </c>
      <c r="B716" s="31">
        <f>IF($A716="","",$I716+SUMIF(WeeklySummary!$B$2:$B$1000,$A716,WeeklySummary!$G$2:$G$1000))</f>
        <v/>
      </c>
      <c r="C716" s="31">
        <f>IF($B716="","",MIN(100,INT(SQRT($B716))))</f>
        <v/>
      </c>
      <c r="D716" s="31">
        <f>IF($C716="","",($C716+1)^2)</f>
        <v/>
      </c>
      <c r="E716" s="31">
        <f>IF($D716="","",$D716-$B716)</f>
        <v/>
      </c>
      <c r="F716" s="31">
        <f>IF($A716="","",SUMIF(MonthlySummary!$B$2:$B$1000,$A716,MonthlySummary!$E$2:$E$1000))</f>
        <v/>
      </c>
      <c r="G716" s="31" t="n">
        <v>0</v>
      </c>
      <c r="H716" s="31">
        <f>IF($A716="","",$F716-IF($G716="",0,$G716))</f>
        <v/>
      </c>
      <c r="I716" s="31">
        <f>IF($A716="","",IFERROR(XLOOKUP($A716,SeedPlacement!$A$2:$A$1000,SeedPlacement!$N$2:$N$1000),0))</f>
        <v/>
      </c>
      <c r="J716" s="59" t="n"/>
    </row>
    <row r="717">
      <c r="A717" s="31">
        <f>IF(Members!$A717="","",Members!$A717)</f>
        <v/>
      </c>
      <c r="B717" s="31">
        <f>IF($A717="","",$I717+SUMIF(WeeklySummary!$B$2:$B$1000,$A717,WeeklySummary!$G$2:$G$1000))</f>
        <v/>
      </c>
      <c r="C717" s="31">
        <f>IF($B717="","",MIN(100,INT(SQRT($B717))))</f>
        <v/>
      </c>
      <c r="D717" s="31">
        <f>IF($C717="","",($C717+1)^2)</f>
        <v/>
      </c>
      <c r="E717" s="31">
        <f>IF($D717="","",$D717-$B717)</f>
        <v/>
      </c>
      <c r="F717" s="31">
        <f>IF($A717="","",SUMIF(MonthlySummary!$B$2:$B$1000,$A717,MonthlySummary!$E$2:$E$1000))</f>
        <v/>
      </c>
      <c r="G717" s="31" t="n">
        <v>0</v>
      </c>
      <c r="H717" s="31">
        <f>IF($A717="","",$F717-IF($G717="",0,$G717))</f>
        <v/>
      </c>
      <c r="I717" s="31">
        <f>IF($A717="","",IFERROR(XLOOKUP($A717,SeedPlacement!$A$2:$A$1000,SeedPlacement!$N$2:$N$1000),0))</f>
        <v/>
      </c>
      <c r="J717" s="59" t="n"/>
    </row>
    <row r="718">
      <c r="A718" s="31">
        <f>IF(Members!$A718="","",Members!$A718)</f>
        <v/>
      </c>
      <c r="B718" s="31">
        <f>IF($A718="","",$I718+SUMIF(WeeklySummary!$B$2:$B$1000,$A718,WeeklySummary!$G$2:$G$1000))</f>
        <v/>
      </c>
      <c r="C718" s="31">
        <f>IF($B718="","",MIN(100,INT(SQRT($B718))))</f>
        <v/>
      </c>
      <c r="D718" s="31">
        <f>IF($C718="","",($C718+1)^2)</f>
        <v/>
      </c>
      <c r="E718" s="31">
        <f>IF($D718="","",$D718-$B718)</f>
        <v/>
      </c>
      <c r="F718" s="31">
        <f>IF($A718="","",SUMIF(MonthlySummary!$B$2:$B$1000,$A718,MonthlySummary!$E$2:$E$1000))</f>
        <v/>
      </c>
      <c r="G718" s="31" t="n">
        <v>0</v>
      </c>
      <c r="H718" s="31">
        <f>IF($A718="","",$F718-IF($G718="",0,$G718))</f>
        <v/>
      </c>
      <c r="I718" s="31">
        <f>IF($A718="","",IFERROR(XLOOKUP($A718,SeedPlacement!$A$2:$A$1000,SeedPlacement!$N$2:$N$1000),0))</f>
        <v/>
      </c>
      <c r="J718" s="59" t="n"/>
    </row>
    <row r="719">
      <c r="A719" s="31">
        <f>IF(Members!$A719="","",Members!$A719)</f>
        <v/>
      </c>
      <c r="B719" s="31">
        <f>IF($A719="","",$I719+SUMIF(WeeklySummary!$B$2:$B$1000,$A719,WeeklySummary!$G$2:$G$1000))</f>
        <v/>
      </c>
      <c r="C719" s="31">
        <f>IF($B719="","",MIN(100,INT(SQRT($B719))))</f>
        <v/>
      </c>
      <c r="D719" s="31">
        <f>IF($C719="","",($C719+1)^2)</f>
        <v/>
      </c>
      <c r="E719" s="31">
        <f>IF($D719="","",$D719-$B719)</f>
        <v/>
      </c>
      <c r="F719" s="31">
        <f>IF($A719="","",SUMIF(MonthlySummary!$B$2:$B$1000,$A719,MonthlySummary!$E$2:$E$1000))</f>
        <v/>
      </c>
      <c r="G719" s="31" t="n">
        <v>0</v>
      </c>
      <c r="H719" s="31">
        <f>IF($A719="","",$F719-IF($G719="",0,$G719))</f>
        <v/>
      </c>
      <c r="I719" s="31">
        <f>IF($A719="","",IFERROR(XLOOKUP($A719,SeedPlacement!$A$2:$A$1000,SeedPlacement!$N$2:$N$1000),0))</f>
        <v/>
      </c>
      <c r="J719" s="59" t="n"/>
    </row>
    <row r="720">
      <c r="A720" s="31">
        <f>IF(Members!$A720="","",Members!$A720)</f>
        <v/>
      </c>
      <c r="B720" s="31">
        <f>IF($A720="","",$I720+SUMIF(WeeklySummary!$B$2:$B$1000,$A720,WeeklySummary!$G$2:$G$1000))</f>
        <v/>
      </c>
      <c r="C720" s="31">
        <f>IF($B720="","",MIN(100,INT(SQRT($B720))))</f>
        <v/>
      </c>
      <c r="D720" s="31">
        <f>IF($C720="","",($C720+1)^2)</f>
        <v/>
      </c>
      <c r="E720" s="31">
        <f>IF($D720="","",$D720-$B720)</f>
        <v/>
      </c>
      <c r="F720" s="31">
        <f>IF($A720="","",SUMIF(MonthlySummary!$B$2:$B$1000,$A720,MonthlySummary!$E$2:$E$1000))</f>
        <v/>
      </c>
      <c r="G720" s="31" t="n">
        <v>0</v>
      </c>
      <c r="H720" s="31">
        <f>IF($A720="","",$F720-IF($G720="",0,$G720))</f>
        <v/>
      </c>
      <c r="I720" s="31">
        <f>IF($A720="","",IFERROR(XLOOKUP($A720,SeedPlacement!$A$2:$A$1000,SeedPlacement!$N$2:$N$1000),0))</f>
        <v/>
      </c>
      <c r="J720" s="59" t="n"/>
    </row>
    <row r="721">
      <c r="A721" s="31">
        <f>IF(Members!$A721="","",Members!$A721)</f>
        <v/>
      </c>
      <c r="B721" s="31">
        <f>IF($A721="","",$I721+SUMIF(WeeklySummary!$B$2:$B$1000,$A721,WeeklySummary!$G$2:$G$1000))</f>
        <v/>
      </c>
      <c r="C721" s="31">
        <f>IF($B721="","",MIN(100,INT(SQRT($B721))))</f>
        <v/>
      </c>
      <c r="D721" s="31">
        <f>IF($C721="","",($C721+1)^2)</f>
        <v/>
      </c>
      <c r="E721" s="31">
        <f>IF($D721="","",$D721-$B721)</f>
        <v/>
      </c>
      <c r="F721" s="31">
        <f>IF($A721="","",SUMIF(MonthlySummary!$B$2:$B$1000,$A721,MonthlySummary!$E$2:$E$1000))</f>
        <v/>
      </c>
      <c r="G721" s="31" t="n">
        <v>0</v>
      </c>
      <c r="H721" s="31">
        <f>IF($A721="","",$F721-IF($G721="",0,$G721))</f>
        <v/>
      </c>
      <c r="I721" s="31">
        <f>IF($A721="","",IFERROR(XLOOKUP($A721,SeedPlacement!$A$2:$A$1000,SeedPlacement!$N$2:$N$1000),0))</f>
        <v/>
      </c>
      <c r="J721" s="59" t="n"/>
    </row>
    <row r="722">
      <c r="A722" s="31">
        <f>IF(Members!$A722="","",Members!$A722)</f>
        <v/>
      </c>
      <c r="B722" s="31">
        <f>IF($A722="","",$I722+SUMIF(WeeklySummary!$B$2:$B$1000,$A722,WeeklySummary!$G$2:$G$1000))</f>
        <v/>
      </c>
      <c r="C722" s="31">
        <f>IF($B722="","",MIN(100,INT(SQRT($B722))))</f>
        <v/>
      </c>
      <c r="D722" s="31">
        <f>IF($C722="","",($C722+1)^2)</f>
        <v/>
      </c>
      <c r="E722" s="31">
        <f>IF($D722="","",$D722-$B722)</f>
        <v/>
      </c>
      <c r="F722" s="31">
        <f>IF($A722="","",SUMIF(MonthlySummary!$B$2:$B$1000,$A722,MonthlySummary!$E$2:$E$1000))</f>
        <v/>
      </c>
      <c r="G722" s="31" t="n">
        <v>0</v>
      </c>
      <c r="H722" s="31">
        <f>IF($A722="","",$F722-IF($G722="",0,$G722))</f>
        <v/>
      </c>
      <c r="I722" s="31">
        <f>IF($A722="","",IFERROR(XLOOKUP($A722,SeedPlacement!$A$2:$A$1000,SeedPlacement!$N$2:$N$1000),0))</f>
        <v/>
      </c>
      <c r="J722" s="59" t="n"/>
    </row>
    <row r="723">
      <c r="A723" s="31">
        <f>IF(Members!$A723="","",Members!$A723)</f>
        <v/>
      </c>
      <c r="B723" s="31">
        <f>IF($A723="","",$I723+SUMIF(WeeklySummary!$B$2:$B$1000,$A723,WeeklySummary!$G$2:$G$1000))</f>
        <v/>
      </c>
      <c r="C723" s="31">
        <f>IF($B723="","",MIN(100,INT(SQRT($B723))))</f>
        <v/>
      </c>
      <c r="D723" s="31">
        <f>IF($C723="","",($C723+1)^2)</f>
        <v/>
      </c>
      <c r="E723" s="31">
        <f>IF($D723="","",$D723-$B723)</f>
        <v/>
      </c>
      <c r="F723" s="31">
        <f>IF($A723="","",SUMIF(MonthlySummary!$B$2:$B$1000,$A723,MonthlySummary!$E$2:$E$1000))</f>
        <v/>
      </c>
      <c r="G723" s="31" t="n">
        <v>0</v>
      </c>
      <c r="H723" s="31">
        <f>IF($A723="","",$F723-IF($G723="",0,$G723))</f>
        <v/>
      </c>
      <c r="I723" s="31">
        <f>IF($A723="","",IFERROR(XLOOKUP($A723,SeedPlacement!$A$2:$A$1000,SeedPlacement!$N$2:$N$1000),0))</f>
        <v/>
      </c>
      <c r="J723" s="59" t="n"/>
    </row>
    <row r="724">
      <c r="A724" s="31">
        <f>IF(Members!$A724="","",Members!$A724)</f>
        <v/>
      </c>
      <c r="B724" s="31">
        <f>IF($A724="","",$I724+SUMIF(WeeklySummary!$B$2:$B$1000,$A724,WeeklySummary!$G$2:$G$1000))</f>
        <v/>
      </c>
      <c r="C724" s="31">
        <f>IF($B724="","",MIN(100,INT(SQRT($B724))))</f>
        <v/>
      </c>
      <c r="D724" s="31">
        <f>IF($C724="","",($C724+1)^2)</f>
        <v/>
      </c>
      <c r="E724" s="31">
        <f>IF($D724="","",$D724-$B724)</f>
        <v/>
      </c>
      <c r="F724" s="31">
        <f>IF($A724="","",SUMIF(MonthlySummary!$B$2:$B$1000,$A724,MonthlySummary!$E$2:$E$1000))</f>
        <v/>
      </c>
      <c r="G724" s="31" t="n">
        <v>0</v>
      </c>
      <c r="H724" s="31">
        <f>IF($A724="","",$F724-IF($G724="",0,$G724))</f>
        <v/>
      </c>
      <c r="I724" s="31">
        <f>IF($A724="","",IFERROR(XLOOKUP($A724,SeedPlacement!$A$2:$A$1000,SeedPlacement!$N$2:$N$1000),0))</f>
        <v/>
      </c>
      <c r="J724" s="59" t="n"/>
    </row>
    <row r="725">
      <c r="A725" s="31">
        <f>IF(Members!$A725="","",Members!$A725)</f>
        <v/>
      </c>
      <c r="B725" s="31">
        <f>IF($A725="","",$I725+SUMIF(WeeklySummary!$B$2:$B$1000,$A725,WeeklySummary!$G$2:$G$1000))</f>
        <v/>
      </c>
      <c r="C725" s="31">
        <f>IF($B725="","",MIN(100,INT(SQRT($B725))))</f>
        <v/>
      </c>
      <c r="D725" s="31">
        <f>IF($C725="","",($C725+1)^2)</f>
        <v/>
      </c>
      <c r="E725" s="31">
        <f>IF($D725="","",$D725-$B725)</f>
        <v/>
      </c>
      <c r="F725" s="31">
        <f>IF($A725="","",SUMIF(MonthlySummary!$B$2:$B$1000,$A725,MonthlySummary!$E$2:$E$1000))</f>
        <v/>
      </c>
      <c r="G725" s="31" t="n">
        <v>0</v>
      </c>
      <c r="H725" s="31">
        <f>IF($A725="","",$F725-IF($G725="",0,$G725))</f>
        <v/>
      </c>
      <c r="I725" s="31">
        <f>IF($A725="","",IFERROR(XLOOKUP($A725,SeedPlacement!$A$2:$A$1000,SeedPlacement!$N$2:$N$1000),0))</f>
        <v/>
      </c>
      <c r="J725" s="59" t="n"/>
    </row>
    <row r="726">
      <c r="A726" s="31">
        <f>IF(Members!$A726="","",Members!$A726)</f>
        <v/>
      </c>
      <c r="B726" s="31">
        <f>IF($A726="","",$I726+SUMIF(WeeklySummary!$B$2:$B$1000,$A726,WeeklySummary!$G$2:$G$1000))</f>
        <v/>
      </c>
      <c r="C726" s="31">
        <f>IF($B726="","",MIN(100,INT(SQRT($B726))))</f>
        <v/>
      </c>
      <c r="D726" s="31">
        <f>IF($C726="","",($C726+1)^2)</f>
        <v/>
      </c>
      <c r="E726" s="31">
        <f>IF($D726="","",$D726-$B726)</f>
        <v/>
      </c>
      <c r="F726" s="31">
        <f>IF($A726="","",SUMIF(MonthlySummary!$B$2:$B$1000,$A726,MonthlySummary!$E$2:$E$1000))</f>
        <v/>
      </c>
      <c r="G726" s="31" t="n">
        <v>0</v>
      </c>
      <c r="H726" s="31">
        <f>IF($A726="","",$F726-IF($G726="",0,$G726))</f>
        <v/>
      </c>
      <c r="I726" s="31">
        <f>IF($A726="","",IFERROR(XLOOKUP($A726,SeedPlacement!$A$2:$A$1000,SeedPlacement!$N$2:$N$1000),0))</f>
        <v/>
      </c>
      <c r="J726" s="59" t="n"/>
    </row>
    <row r="727">
      <c r="A727" s="31">
        <f>IF(Members!$A727="","",Members!$A727)</f>
        <v/>
      </c>
      <c r="B727" s="31">
        <f>IF($A727="","",$I727+SUMIF(WeeklySummary!$B$2:$B$1000,$A727,WeeklySummary!$G$2:$G$1000))</f>
        <v/>
      </c>
      <c r="C727" s="31">
        <f>IF($B727="","",MIN(100,INT(SQRT($B727))))</f>
        <v/>
      </c>
      <c r="D727" s="31">
        <f>IF($C727="","",($C727+1)^2)</f>
        <v/>
      </c>
      <c r="E727" s="31">
        <f>IF($D727="","",$D727-$B727)</f>
        <v/>
      </c>
      <c r="F727" s="31">
        <f>IF($A727="","",SUMIF(MonthlySummary!$B$2:$B$1000,$A727,MonthlySummary!$E$2:$E$1000))</f>
        <v/>
      </c>
      <c r="G727" s="31" t="n">
        <v>0</v>
      </c>
      <c r="H727" s="31">
        <f>IF($A727="","",$F727-IF($G727="",0,$G727))</f>
        <v/>
      </c>
      <c r="I727" s="31">
        <f>IF($A727="","",IFERROR(XLOOKUP($A727,SeedPlacement!$A$2:$A$1000,SeedPlacement!$N$2:$N$1000),0))</f>
        <v/>
      </c>
      <c r="J727" s="59" t="n"/>
    </row>
    <row r="728">
      <c r="A728" s="31">
        <f>IF(Members!$A728="","",Members!$A728)</f>
        <v/>
      </c>
      <c r="B728" s="31">
        <f>IF($A728="","",$I728+SUMIF(WeeklySummary!$B$2:$B$1000,$A728,WeeklySummary!$G$2:$G$1000))</f>
        <v/>
      </c>
      <c r="C728" s="31">
        <f>IF($B728="","",MIN(100,INT(SQRT($B728))))</f>
        <v/>
      </c>
      <c r="D728" s="31">
        <f>IF($C728="","",($C728+1)^2)</f>
        <v/>
      </c>
      <c r="E728" s="31">
        <f>IF($D728="","",$D728-$B728)</f>
        <v/>
      </c>
      <c r="F728" s="31">
        <f>IF($A728="","",SUMIF(MonthlySummary!$B$2:$B$1000,$A728,MonthlySummary!$E$2:$E$1000))</f>
        <v/>
      </c>
      <c r="G728" s="31" t="n">
        <v>0</v>
      </c>
      <c r="H728" s="31">
        <f>IF($A728="","",$F728-IF($G728="",0,$G728))</f>
        <v/>
      </c>
      <c r="I728" s="31">
        <f>IF($A728="","",IFERROR(XLOOKUP($A728,SeedPlacement!$A$2:$A$1000,SeedPlacement!$N$2:$N$1000),0))</f>
        <v/>
      </c>
      <c r="J728" s="59" t="n"/>
    </row>
    <row r="729">
      <c r="A729" s="31">
        <f>IF(Members!$A729="","",Members!$A729)</f>
        <v/>
      </c>
      <c r="B729" s="31">
        <f>IF($A729="","",$I729+SUMIF(WeeklySummary!$B$2:$B$1000,$A729,WeeklySummary!$G$2:$G$1000))</f>
        <v/>
      </c>
      <c r="C729" s="31">
        <f>IF($B729="","",MIN(100,INT(SQRT($B729))))</f>
        <v/>
      </c>
      <c r="D729" s="31">
        <f>IF($C729="","",($C729+1)^2)</f>
        <v/>
      </c>
      <c r="E729" s="31">
        <f>IF($D729="","",$D729-$B729)</f>
        <v/>
      </c>
      <c r="F729" s="31">
        <f>IF($A729="","",SUMIF(MonthlySummary!$B$2:$B$1000,$A729,MonthlySummary!$E$2:$E$1000))</f>
        <v/>
      </c>
      <c r="G729" s="31" t="n">
        <v>0</v>
      </c>
      <c r="H729" s="31">
        <f>IF($A729="","",$F729-IF($G729="",0,$G729))</f>
        <v/>
      </c>
      <c r="I729" s="31">
        <f>IF($A729="","",IFERROR(XLOOKUP($A729,SeedPlacement!$A$2:$A$1000,SeedPlacement!$N$2:$N$1000),0))</f>
        <v/>
      </c>
      <c r="J729" s="59" t="n"/>
    </row>
    <row r="730">
      <c r="A730" s="31">
        <f>IF(Members!$A730="","",Members!$A730)</f>
        <v/>
      </c>
      <c r="B730" s="31">
        <f>IF($A730="","",$I730+SUMIF(WeeklySummary!$B$2:$B$1000,$A730,WeeklySummary!$G$2:$G$1000))</f>
        <v/>
      </c>
      <c r="C730" s="31">
        <f>IF($B730="","",MIN(100,INT(SQRT($B730))))</f>
        <v/>
      </c>
      <c r="D730" s="31">
        <f>IF($C730="","",($C730+1)^2)</f>
        <v/>
      </c>
      <c r="E730" s="31">
        <f>IF($D730="","",$D730-$B730)</f>
        <v/>
      </c>
      <c r="F730" s="31">
        <f>IF($A730="","",SUMIF(MonthlySummary!$B$2:$B$1000,$A730,MonthlySummary!$E$2:$E$1000))</f>
        <v/>
      </c>
      <c r="G730" s="31" t="n">
        <v>0</v>
      </c>
      <c r="H730" s="31">
        <f>IF($A730="","",$F730-IF($G730="",0,$G730))</f>
        <v/>
      </c>
      <c r="I730" s="31">
        <f>IF($A730="","",IFERROR(XLOOKUP($A730,SeedPlacement!$A$2:$A$1000,SeedPlacement!$N$2:$N$1000),0))</f>
        <v/>
      </c>
      <c r="J730" s="59" t="n"/>
    </row>
    <row r="731">
      <c r="A731" s="31">
        <f>IF(Members!$A731="","",Members!$A731)</f>
        <v/>
      </c>
      <c r="B731" s="31">
        <f>IF($A731="","",$I731+SUMIF(WeeklySummary!$B$2:$B$1000,$A731,WeeklySummary!$G$2:$G$1000))</f>
        <v/>
      </c>
      <c r="C731" s="31">
        <f>IF($B731="","",MIN(100,INT(SQRT($B731))))</f>
        <v/>
      </c>
      <c r="D731" s="31">
        <f>IF($C731="","",($C731+1)^2)</f>
        <v/>
      </c>
      <c r="E731" s="31">
        <f>IF($D731="","",$D731-$B731)</f>
        <v/>
      </c>
      <c r="F731" s="31">
        <f>IF($A731="","",SUMIF(MonthlySummary!$B$2:$B$1000,$A731,MonthlySummary!$E$2:$E$1000))</f>
        <v/>
      </c>
      <c r="G731" s="31" t="n">
        <v>0</v>
      </c>
      <c r="H731" s="31">
        <f>IF($A731="","",$F731-IF($G731="",0,$G731))</f>
        <v/>
      </c>
      <c r="I731" s="31">
        <f>IF($A731="","",IFERROR(XLOOKUP($A731,SeedPlacement!$A$2:$A$1000,SeedPlacement!$N$2:$N$1000),0))</f>
        <v/>
      </c>
      <c r="J731" s="59" t="n"/>
    </row>
    <row r="732">
      <c r="A732" s="31">
        <f>IF(Members!$A732="","",Members!$A732)</f>
        <v/>
      </c>
      <c r="B732" s="31">
        <f>IF($A732="","",$I732+SUMIF(WeeklySummary!$B$2:$B$1000,$A732,WeeklySummary!$G$2:$G$1000))</f>
        <v/>
      </c>
      <c r="C732" s="31">
        <f>IF($B732="","",MIN(100,INT(SQRT($B732))))</f>
        <v/>
      </c>
      <c r="D732" s="31">
        <f>IF($C732="","",($C732+1)^2)</f>
        <v/>
      </c>
      <c r="E732" s="31">
        <f>IF($D732="","",$D732-$B732)</f>
        <v/>
      </c>
      <c r="F732" s="31">
        <f>IF($A732="","",SUMIF(MonthlySummary!$B$2:$B$1000,$A732,MonthlySummary!$E$2:$E$1000))</f>
        <v/>
      </c>
      <c r="G732" s="31" t="n">
        <v>0</v>
      </c>
      <c r="H732" s="31">
        <f>IF($A732="","",$F732-IF($G732="",0,$G732))</f>
        <v/>
      </c>
      <c r="I732" s="31">
        <f>IF($A732="","",IFERROR(XLOOKUP($A732,SeedPlacement!$A$2:$A$1000,SeedPlacement!$N$2:$N$1000),0))</f>
        <v/>
      </c>
      <c r="J732" s="59" t="n"/>
    </row>
    <row r="733">
      <c r="A733" s="31">
        <f>IF(Members!$A733="","",Members!$A733)</f>
        <v/>
      </c>
      <c r="B733" s="31">
        <f>IF($A733="","",$I733+SUMIF(WeeklySummary!$B$2:$B$1000,$A733,WeeklySummary!$G$2:$G$1000))</f>
        <v/>
      </c>
      <c r="C733" s="31">
        <f>IF($B733="","",MIN(100,INT(SQRT($B733))))</f>
        <v/>
      </c>
      <c r="D733" s="31">
        <f>IF($C733="","",($C733+1)^2)</f>
        <v/>
      </c>
      <c r="E733" s="31">
        <f>IF($D733="","",$D733-$B733)</f>
        <v/>
      </c>
      <c r="F733" s="31">
        <f>IF($A733="","",SUMIF(MonthlySummary!$B$2:$B$1000,$A733,MonthlySummary!$E$2:$E$1000))</f>
        <v/>
      </c>
      <c r="G733" s="31" t="n">
        <v>0</v>
      </c>
      <c r="H733" s="31">
        <f>IF($A733="","",$F733-IF($G733="",0,$G733))</f>
        <v/>
      </c>
      <c r="I733" s="31">
        <f>IF($A733="","",IFERROR(XLOOKUP($A733,SeedPlacement!$A$2:$A$1000,SeedPlacement!$N$2:$N$1000),0))</f>
        <v/>
      </c>
      <c r="J733" s="59" t="n"/>
    </row>
    <row r="734">
      <c r="A734" s="31">
        <f>IF(Members!$A734="","",Members!$A734)</f>
        <v/>
      </c>
      <c r="B734" s="31">
        <f>IF($A734="","",$I734+SUMIF(WeeklySummary!$B$2:$B$1000,$A734,WeeklySummary!$G$2:$G$1000))</f>
        <v/>
      </c>
      <c r="C734" s="31">
        <f>IF($B734="","",MIN(100,INT(SQRT($B734))))</f>
        <v/>
      </c>
      <c r="D734" s="31">
        <f>IF($C734="","",($C734+1)^2)</f>
        <v/>
      </c>
      <c r="E734" s="31">
        <f>IF($D734="","",$D734-$B734)</f>
        <v/>
      </c>
      <c r="F734" s="31">
        <f>IF($A734="","",SUMIF(MonthlySummary!$B$2:$B$1000,$A734,MonthlySummary!$E$2:$E$1000))</f>
        <v/>
      </c>
      <c r="G734" s="31" t="n">
        <v>0</v>
      </c>
      <c r="H734" s="31">
        <f>IF($A734="","",$F734-IF($G734="",0,$G734))</f>
        <v/>
      </c>
      <c r="I734" s="31">
        <f>IF($A734="","",IFERROR(XLOOKUP($A734,SeedPlacement!$A$2:$A$1000,SeedPlacement!$N$2:$N$1000),0))</f>
        <v/>
      </c>
      <c r="J734" s="59" t="n"/>
    </row>
    <row r="735">
      <c r="A735" s="31">
        <f>IF(Members!$A735="","",Members!$A735)</f>
        <v/>
      </c>
      <c r="B735" s="31">
        <f>IF($A735="","",$I735+SUMIF(WeeklySummary!$B$2:$B$1000,$A735,WeeklySummary!$G$2:$G$1000))</f>
        <v/>
      </c>
      <c r="C735" s="31">
        <f>IF($B735="","",MIN(100,INT(SQRT($B735))))</f>
        <v/>
      </c>
      <c r="D735" s="31">
        <f>IF($C735="","",($C735+1)^2)</f>
        <v/>
      </c>
      <c r="E735" s="31">
        <f>IF($D735="","",$D735-$B735)</f>
        <v/>
      </c>
      <c r="F735" s="31">
        <f>IF($A735="","",SUMIF(MonthlySummary!$B$2:$B$1000,$A735,MonthlySummary!$E$2:$E$1000))</f>
        <v/>
      </c>
      <c r="G735" s="31" t="n">
        <v>0</v>
      </c>
      <c r="H735" s="31">
        <f>IF($A735="","",$F735-IF($G735="",0,$G735))</f>
        <v/>
      </c>
      <c r="I735" s="31">
        <f>IF($A735="","",IFERROR(XLOOKUP($A735,SeedPlacement!$A$2:$A$1000,SeedPlacement!$N$2:$N$1000),0))</f>
        <v/>
      </c>
      <c r="J735" s="59" t="n"/>
    </row>
    <row r="736">
      <c r="A736" s="31">
        <f>IF(Members!$A736="","",Members!$A736)</f>
        <v/>
      </c>
      <c r="B736" s="31">
        <f>IF($A736="","",$I736+SUMIF(WeeklySummary!$B$2:$B$1000,$A736,WeeklySummary!$G$2:$G$1000))</f>
        <v/>
      </c>
      <c r="C736" s="31">
        <f>IF($B736="","",MIN(100,INT(SQRT($B736))))</f>
        <v/>
      </c>
      <c r="D736" s="31">
        <f>IF($C736="","",($C736+1)^2)</f>
        <v/>
      </c>
      <c r="E736" s="31">
        <f>IF($D736="","",$D736-$B736)</f>
        <v/>
      </c>
      <c r="F736" s="31">
        <f>IF($A736="","",SUMIF(MonthlySummary!$B$2:$B$1000,$A736,MonthlySummary!$E$2:$E$1000))</f>
        <v/>
      </c>
      <c r="G736" s="31" t="n">
        <v>0</v>
      </c>
      <c r="H736" s="31">
        <f>IF($A736="","",$F736-IF($G736="",0,$G736))</f>
        <v/>
      </c>
      <c r="I736" s="31">
        <f>IF($A736="","",IFERROR(XLOOKUP($A736,SeedPlacement!$A$2:$A$1000,SeedPlacement!$N$2:$N$1000),0))</f>
        <v/>
      </c>
      <c r="J736" s="59" t="n"/>
    </row>
    <row r="737">
      <c r="A737" s="31">
        <f>IF(Members!$A737="","",Members!$A737)</f>
        <v/>
      </c>
      <c r="B737" s="31">
        <f>IF($A737="","",$I737+SUMIF(WeeklySummary!$B$2:$B$1000,$A737,WeeklySummary!$G$2:$G$1000))</f>
        <v/>
      </c>
      <c r="C737" s="31">
        <f>IF($B737="","",MIN(100,INT(SQRT($B737))))</f>
        <v/>
      </c>
      <c r="D737" s="31">
        <f>IF($C737="","",($C737+1)^2)</f>
        <v/>
      </c>
      <c r="E737" s="31">
        <f>IF($D737="","",$D737-$B737)</f>
        <v/>
      </c>
      <c r="F737" s="31">
        <f>IF($A737="","",SUMIF(MonthlySummary!$B$2:$B$1000,$A737,MonthlySummary!$E$2:$E$1000))</f>
        <v/>
      </c>
      <c r="G737" s="31" t="n">
        <v>0</v>
      </c>
      <c r="H737" s="31">
        <f>IF($A737="","",$F737-IF($G737="",0,$G737))</f>
        <v/>
      </c>
      <c r="I737" s="31">
        <f>IF($A737="","",IFERROR(XLOOKUP($A737,SeedPlacement!$A$2:$A$1000,SeedPlacement!$N$2:$N$1000),0))</f>
        <v/>
      </c>
      <c r="J737" s="59" t="n"/>
    </row>
    <row r="738">
      <c r="A738" s="31">
        <f>IF(Members!$A738="","",Members!$A738)</f>
        <v/>
      </c>
      <c r="B738" s="31">
        <f>IF($A738="","",$I738+SUMIF(WeeklySummary!$B$2:$B$1000,$A738,WeeklySummary!$G$2:$G$1000))</f>
        <v/>
      </c>
      <c r="C738" s="31">
        <f>IF($B738="","",MIN(100,INT(SQRT($B738))))</f>
        <v/>
      </c>
      <c r="D738" s="31">
        <f>IF($C738="","",($C738+1)^2)</f>
        <v/>
      </c>
      <c r="E738" s="31">
        <f>IF($D738="","",$D738-$B738)</f>
        <v/>
      </c>
      <c r="F738" s="31">
        <f>IF($A738="","",SUMIF(MonthlySummary!$B$2:$B$1000,$A738,MonthlySummary!$E$2:$E$1000))</f>
        <v/>
      </c>
      <c r="G738" s="31" t="n">
        <v>0</v>
      </c>
      <c r="H738" s="31">
        <f>IF($A738="","",$F738-IF($G738="",0,$G738))</f>
        <v/>
      </c>
      <c r="I738" s="31">
        <f>IF($A738="","",IFERROR(XLOOKUP($A738,SeedPlacement!$A$2:$A$1000,SeedPlacement!$N$2:$N$1000),0))</f>
        <v/>
      </c>
      <c r="J738" s="59" t="n"/>
    </row>
    <row r="739">
      <c r="A739" s="31">
        <f>IF(Members!$A739="","",Members!$A739)</f>
        <v/>
      </c>
      <c r="B739" s="31">
        <f>IF($A739="","",$I739+SUMIF(WeeklySummary!$B$2:$B$1000,$A739,WeeklySummary!$G$2:$G$1000))</f>
        <v/>
      </c>
      <c r="C739" s="31">
        <f>IF($B739="","",MIN(100,INT(SQRT($B739))))</f>
        <v/>
      </c>
      <c r="D739" s="31">
        <f>IF($C739="","",($C739+1)^2)</f>
        <v/>
      </c>
      <c r="E739" s="31">
        <f>IF($D739="","",$D739-$B739)</f>
        <v/>
      </c>
      <c r="F739" s="31">
        <f>IF($A739="","",SUMIF(MonthlySummary!$B$2:$B$1000,$A739,MonthlySummary!$E$2:$E$1000))</f>
        <v/>
      </c>
      <c r="G739" s="31" t="n">
        <v>0</v>
      </c>
      <c r="H739" s="31">
        <f>IF($A739="","",$F739-IF($G739="",0,$G739))</f>
        <v/>
      </c>
      <c r="I739" s="31">
        <f>IF($A739="","",IFERROR(XLOOKUP($A739,SeedPlacement!$A$2:$A$1000,SeedPlacement!$N$2:$N$1000),0))</f>
        <v/>
      </c>
      <c r="J739" s="59" t="n"/>
    </row>
    <row r="740">
      <c r="A740" s="31">
        <f>IF(Members!$A740="","",Members!$A740)</f>
        <v/>
      </c>
      <c r="B740" s="31">
        <f>IF($A740="","",$I740+SUMIF(WeeklySummary!$B$2:$B$1000,$A740,WeeklySummary!$G$2:$G$1000))</f>
        <v/>
      </c>
      <c r="C740" s="31">
        <f>IF($B740="","",MIN(100,INT(SQRT($B740))))</f>
        <v/>
      </c>
      <c r="D740" s="31">
        <f>IF($C740="","",($C740+1)^2)</f>
        <v/>
      </c>
      <c r="E740" s="31">
        <f>IF($D740="","",$D740-$B740)</f>
        <v/>
      </c>
      <c r="F740" s="31">
        <f>IF($A740="","",SUMIF(MonthlySummary!$B$2:$B$1000,$A740,MonthlySummary!$E$2:$E$1000))</f>
        <v/>
      </c>
      <c r="G740" s="31" t="n">
        <v>0</v>
      </c>
      <c r="H740" s="31">
        <f>IF($A740="","",$F740-IF($G740="",0,$G740))</f>
        <v/>
      </c>
      <c r="I740" s="31">
        <f>IF($A740="","",IFERROR(XLOOKUP($A740,SeedPlacement!$A$2:$A$1000,SeedPlacement!$N$2:$N$1000),0))</f>
        <v/>
      </c>
      <c r="J740" s="59" t="n"/>
    </row>
    <row r="741">
      <c r="A741" s="31">
        <f>IF(Members!$A741="","",Members!$A741)</f>
        <v/>
      </c>
      <c r="B741" s="31">
        <f>IF($A741="","",$I741+SUMIF(WeeklySummary!$B$2:$B$1000,$A741,WeeklySummary!$G$2:$G$1000))</f>
        <v/>
      </c>
      <c r="C741" s="31">
        <f>IF($B741="","",MIN(100,INT(SQRT($B741))))</f>
        <v/>
      </c>
      <c r="D741" s="31">
        <f>IF($C741="","",($C741+1)^2)</f>
        <v/>
      </c>
      <c r="E741" s="31">
        <f>IF($D741="","",$D741-$B741)</f>
        <v/>
      </c>
      <c r="F741" s="31">
        <f>IF($A741="","",SUMIF(MonthlySummary!$B$2:$B$1000,$A741,MonthlySummary!$E$2:$E$1000))</f>
        <v/>
      </c>
      <c r="G741" s="31" t="n">
        <v>0</v>
      </c>
      <c r="H741" s="31">
        <f>IF($A741="","",$F741-IF($G741="",0,$G741))</f>
        <v/>
      </c>
      <c r="I741" s="31">
        <f>IF($A741="","",IFERROR(XLOOKUP($A741,SeedPlacement!$A$2:$A$1000,SeedPlacement!$N$2:$N$1000),0))</f>
        <v/>
      </c>
      <c r="J741" s="59" t="n"/>
    </row>
    <row r="742">
      <c r="A742" s="31">
        <f>IF(Members!$A742="","",Members!$A742)</f>
        <v/>
      </c>
      <c r="B742" s="31">
        <f>IF($A742="","",$I742+SUMIF(WeeklySummary!$B$2:$B$1000,$A742,WeeklySummary!$G$2:$G$1000))</f>
        <v/>
      </c>
      <c r="C742" s="31">
        <f>IF($B742="","",MIN(100,INT(SQRT($B742))))</f>
        <v/>
      </c>
      <c r="D742" s="31">
        <f>IF($C742="","",($C742+1)^2)</f>
        <v/>
      </c>
      <c r="E742" s="31">
        <f>IF($D742="","",$D742-$B742)</f>
        <v/>
      </c>
      <c r="F742" s="31">
        <f>IF($A742="","",SUMIF(MonthlySummary!$B$2:$B$1000,$A742,MonthlySummary!$E$2:$E$1000))</f>
        <v/>
      </c>
      <c r="G742" s="31" t="n">
        <v>0</v>
      </c>
      <c r="H742" s="31">
        <f>IF($A742="","",$F742-IF($G742="",0,$G742))</f>
        <v/>
      </c>
      <c r="I742" s="31">
        <f>IF($A742="","",IFERROR(XLOOKUP($A742,SeedPlacement!$A$2:$A$1000,SeedPlacement!$N$2:$N$1000),0))</f>
        <v/>
      </c>
      <c r="J742" s="59" t="n"/>
    </row>
    <row r="743">
      <c r="A743" s="31">
        <f>IF(Members!$A743="","",Members!$A743)</f>
        <v/>
      </c>
      <c r="B743" s="31">
        <f>IF($A743="","",$I743+SUMIF(WeeklySummary!$B$2:$B$1000,$A743,WeeklySummary!$G$2:$G$1000))</f>
        <v/>
      </c>
      <c r="C743" s="31">
        <f>IF($B743="","",MIN(100,INT(SQRT($B743))))</f>
        <v/>
      </c>
      <c r="D743" s="31">
        <f>IF($C743="","",($C743+1)^2)</f>
        <v/>
      </c>
      <c r="E743" s="31">
        <f>IF($D743="","",$D743-$B743)</f>
        <v/>
      </c>
      <c r="F743" s="31">
        <f>IF($A743="","",SUMIF(MonthlySummary!$B$2:$B$1000,$A743,MonthlySummary!$E$2:$E$1000))</f>
        <v/>
      </c>
      <c r="G743" s="31" t="n">
        <v>0</v>
      </c>
      <c r="H743" s="31">
        <f>IF($A743="","",$F743-IF($G743="",0,$G743))</f>
        <v/>
      </c>
      <c r="I743" s="31">
        <f>IF($A743="","",IFERROR(XLOOKUP($A743,SeedPlacement!$A$2:$A$1000,SeedPlacement!$N$2:$N$1000),0))</f>
        <v/>
      </c>
      <c r="J743" s="59" t="n"/>
    </row>
    <row r="744">
      <c r="A744" s="31">
        <f>IF(Members!$A744="","",Members!$A744)</f>
        <v/>
      </c>
      <c r="B744" s="31">
        <f>IF($A744="","",$I744+SUMIF(WeeklySummary!$B$2:$B$1000,$A744,WeeklySummary!$G$2:$G$1000))</f>
        <v/>
      </c>
      <c r="C744" s="31">
        <f>IF($B744="","",MIN(100,INT(SQRT($B744))))</f>
        <v/>
      </c>
      <c r="D744" s="31">
        <f>IF($C744="","",($C744+1)^2)</f>
        <v/>
      </c>
      <c r="E744" s="31">
        <f>IF($D744="","",$D744-$B744)</f>
        <v/>
      </c>
      <c r="F744" s="31">
        <f>IF($A744="","",SUMIF(MonthlySummary!$B$2:$B$1000,$A744,MonthlySummary!$E$2:$E$1000))</f>
        <v/>
      </c>
      <c r="G744" s="31" t="n">
        <v>0</v>
      </c>
      <c r="H744" s="31">
        <f>IF($A744="","",$F744-IF($G744="",0,$G744))</f>
        <v/>
      </c>
      <c r="I744" s="31">
        <f>IF($A744="","",IFERROR(XLOOKUP($A744,SeedPlacement!$A$2:$A$1000,SeedPlacement!$N$2:$N$1000),0))</f>
        <v/>
      </c>
      <c r="J744" s="59" t="n"/>
    </row>
    <row r="745">
      <c r="A745" s="31">
        <f>IF(Members!$A745="","",Members!$A745)</f>
        <v/>
      </c>
      <c r="B745" s="31">
        <f>IF($A745="","",$I745+SUMIF(WeeklySummary!$B$2:$B$1000,$A745,WeeklySummary!$G$2:$G$1000))</f>
        <v/>
      </c>
      <c r="C745" s="31">
        <f>IF($B745="","",MIN(100,INT(SQRT($B745))))</f>
        <v/>
      </c>
      <c r="D745" s="31">
        <f>IF($C745="","",($C745+1)^2)</f>
        <v/>
      </c>
      <c r="E745" s="31">
        <f>IF($D745="","",$D745-$B745)</f>
        <v/>
      </c>
      <c r="F745" s="31">
        <f>IF($A745="","",SUMIF(MonthlySummary!$B$2:$B$1000,$A745,MonthlySummary!$E$2:$E$1000))</f>
        <v/>
      </c>
      <c r="G745" s="31" t="n">
        <v>0</v>
      </c>
      <c r="H745" s="31">
        <f>IF($A745="","",$F745-IF($G745="",0,$G745))</f>
        <v/>
      </c>
      <c r="I745" s="31">
        <f>IF($A745="","",IFERROR(XLOOKUP($A745,SeedPlacement!$A$2:$A$1000,SeedPlacement!$N$2:$N$1000),0))</f>
        <v/>
      </c>
      <c r="J745" s="59" t="n"/>
    </row>
    <row r="746">
      <c r="A746" s="31">
        <f>IF(Members!$A746="","",Members!$A746)</f>
        <v/>
      </c>
      <c r="B746" s="31">
        <f>IF($A746="","",$I746+SUMIF(WeeklySummary!$B$2:$B$1000,$A746,WeeklySummary!$G$2:$G$1000))</f>
        <v/>
      </c>
      <c r="C746" s="31">
        <f>IF($B746="","",MIN(100,INT(SQRT($B746))))</f>
        <v/>
      </c>
      <c r="D746" s="31">
        <f>IF($C746="","",($C746+1)^2)</f>
        <v/>
      </c>
      <c r="E746" s="31">
        <f>IF($D746="","",$D746-$B746)</f>
        <v/>
      </c>
      <c r="F746" s="31">
        <f>IF($A746="","",SUMIF(MonthlySummary!$B$2:$B$1000,$A746,MonthlySummary!$E$2:$E$1000))</f>
        <v/>
      </c>
      <c r="G746" s="31" t="n">
        <v>0</v>
      </c>
      <c r="H746" s="31">
        <f>IF($A746="","",$F746-IF($G746="",0,$G746))</f>
        <v/>
      </c>
      <c r="I746" s="31">
        <f>IF($A746="","",IFERROR(XLOOKUP($A746,SeedPlacement!$A$2:$A$1000,SeedPlacement!$N$2:$N$1000),0))</f>
        <v/>
      </c>
      <c r="J746" s="59" t="n"/>
    </row>
    <row r="747">
      <c r="A747" s="31">
        <f>IF(Members!$A747="","",Members!$A747)</f>
        <v/>
      </c>
      <c r="B747" s="31">
        <f>IF($A747="","",$I747+SUMIF(WeeklySummary!$B$2:$B$1000,$A747,WeeklySummary!$G$2:$G$1000))</f>
        <v/>
      </c>
      <c r="C747" s="31">
        <f>IF($B747="","",MIN(100,INT(SQRT($B747))))</f>
        <v/>
      </c>
      <c r="D747" s="31">
        <f>IF($C747="","",($C747+1)^2)</f>
        <v/>
      </c>
      <c r="E747" s="31">
        <f>IF($D747="","",$D747-$B747)</f>
        <v/>
      </c>
      <c r="F747" s="31">
        <f>IF($A747="","",SUMIF(MonthlySummary!$B$2:$B$1000,$A747,MonthlySummary!$E$2:$E$1000))</f>
        <v/>
      </c>
      <c r="G747" s="31" t="n">
        <v>0</v>
      </c>
      <c r="H747" s="31">
        <f>IF($A747="","",$F747-IF($G747="",0,$G747))</f>
        <v/>
      </c>
      <c r="I747" s="31">
        <f>IF($A747="","",IFERROR(XLOOKUP($A747,SeedPlacement!$A$2:$A$1000,SeedPlacement!$N$2:$N$1000),0))</f>
        <v/>
      </c>
      <c r="J747" s="59" t="n"/>
    </row>
    <row r="748">
      <c r="A748" s="31">
        <f>IF(Members!$A748="","",Members!$A748)</f>
        <v/>
      </c>
      <c r="B748" s="31">
        <f>IF($A748="","",$I748+SUMIF(WeeklySummary!$B$2:$B$1000,$A748,WeeklySummary!$G$2:$G$1000))</f>
        <v/>
      </c>
      <c r="C748" s="31">
        <f>IF($B748="","",MIN(100,INT(SQRT($B748))))</f>
        <v/>
      </c>
      <c r="D748" s="31">
        <f>IF($C748="","",($C748+1)^2)</f>
        <v/>
      </c>
      <c r="E748" s="31">
        <f>IF($D748="","",$D748-$B748)</f>
        <v/>
      </c>
      <c r="F748" s="31">
        <f>IF($A748="","",SUMIF(MonthlySummary!$B$2:$B$1000,$A748,MonthlySummary!$E$2:$E$1000))</f>
        <v/>
      </c>
      <c r="G748" s="31" t="n">
        <v>0</v>
      </c>
      <c r="H748" s="31">
        <f>IF($A748="","",$F748-IF($G748="",0,$G748))</f>
        <v/>
      </c>
      <c r="I748" s="31">
        <f>IF($A748="","",IFERROR(XLOOKUP($A748,SeedPlacement!$A$2:$A$1000,SeedPlacement!$N$2:$N$1000),0))</f>
        <v/>
      </c>
      <c r="J748" s="59" t="n"/>
    </row>
    <row r="749">
      <c r="A749" s="31">
        <f>IF(Members!$A749="","",Members!$A749)</f>
        <v/>
      </c>
      <c r="B749" s="31">
        <f>IF($A749="","",$I749+SUMIF(WeeklySummary!$B$2:$B$1000,$A749,WeeklySummary!$G$2:$G$1000))</f>
        <v/>
      </c>
      <c r="C749" s="31">
        <f>IF($B749="","",MIN(100,INT(SQRT($B749))))</f>
        <v/>
      </c>
      <c r="D749" s="31">
        <f>IF($C749="","",($C749+1)^2)</f>
        <v/>
      </c>
      <c r="E749" s="31">
        <f>IF($D749="","",$D749-$B749)</f>
        <v/>
      </c>
      <c r="F749" s="31">
        <f>IF($A749="","",SUMIF(MonthlySummary!$B$2:$B$1000,$A749,MonthlySummary!$E$2:$E$1000))</f>
        <v/>
      </c>
      <c r="G749" s="31" t="n">
        <v>0</v>
      </c>
      <c r="H749" s="31">
        <f>IF($A749="","",$F749-IF($G749="",0,$G749))</f>
        <v/>
      </c>
      <c r="I749" s="31">
        <f>IF($A749="","",IFERROR(XLOOKUP($A749,SeedPlacement!$A$2:$A$1000,SeedPlacement!$N$2:$N$1000),0))</f>
        <v/>
      </c>
      <c r="J749" s="59" t="n"/>
    </row>
    <row r="750">
      <c r="A750" s="31">
        <f>IF(Members!$A750="","",Members!$A750)</f>
        <v/>
      </c>
      <c r="B750" s="31">
        <f>IF($A750="","",$I750+SUMIF(WeeklySummary!$B$2:$B$1000,$A750,WeeklySummary!$G$2:$G$1000))</f>
        <v/>
      </c>
      <c r="C750" s="31">
        <f>IF($B750="","",MIN(100,INT(SQRT($B750))))</f>
        <v/>
      </c>
      <c r="D750" s="31">
        <f>IF($C750="","",($C750+1)^2)</f>
        <v/>
      </c>
      <c r="E750" s="31">
        <f>IF($D750="","",$D750-$B750)</f>
        <v/>
      </c>
      <c r="F750" s="31">
        <f>IF($A750="","",SUMIF(MonthlySummary!$B$2:$B$1000,$A750,MonthlySummary!$E$2:$E$1000))</f>
        <v/>
      </c>
      <c r="G750" s="31" t="n">
        <v>0</v>
      </c>
      <c r="H750" s="31">
        <f>IF($A750="","",$F750-IF($G750="",0,$G750))</f>
        <v/>
      </c>
      <c r="I750" s="31">
        <f>IF($A750="","",IFERROR(XLOOKUP($A750,SeedPlacement!$A$2:$A$1000,SeedPlacement!$N$2:$N$1000),0))</f>
        <v/>
      </c>
      <c r="J750" s="59" t="n"/>
    </row>
    <row r="751">
      <c r="A751" s="31">
        <f>IF(Members!$A751="","",Members!$A751)</f>
        <v/>
      </c>
      <c r="B751" s="31">
        <f>IF($A751="","",$I751+SUMIF(WeeklySummary!$B$2:$B$1000,$A751,WeeklySummary!$G$2:$G$1000))</f>
        <v/>
      </c>
      <c r="C751" s="31">
        <f>IF($B751="","",MIN(100,INT(SQRT($B751))))</f>
        <v/>
      </c>
      <c r="D751" s="31">
        <f>IF($C751="","",($C751+1)^2)</f>
        <v/>
      </c>
      <c r="E751" s="31">
        <f>IF($D751="","",$D751-$B751)</f>
        <v/>
      </c>
      <c r="F751" s="31">
        <f>IF($A751="","",SUMIF(MonthlySummary!$B$2:$B$1000,$A751,MonthlySummary!$E$2:$E$1000))</f>
        <v/>
      </c>
      <c r="G751" s="31" t="n">
        <v>0</v>
      </c>
      <c r="H751" s="31">
        <f>IF($A751="","",$F751-IF($G751="",0,$G751))</f>
        <v/>
      </c>
      <c r="I751" s="31">
        <f>IF($A751="","",IFERROR(XLOOKUP($A751,SeedPlacement!$A$2:$A$1000,SeedPlacement!$N$2:$N$1000),0))</f>
        <v/>
      </c>
      <c r="J751" s="59" t="n"/>
    </row>
    <row r="752">
      <c r="A752" s="31">
        <f>IF(Members!$A752="","",Members!$A752)</f>
        <v/>
      </c>
      <c r="B752" s="31">
        <f>IF($A752="","",$I752+SUMIF(WeeklySummary!$B$2:$B$1000,$A752,WeeklySummary!$G$2:$G$1000))</f>
        <v/>
      </c>
      <c r="C752" s="31">
        <f>IF($B752="","",MIN(100,INT(SQRT($B752))))</f>
        <v/>
      </c>
      <c r="D752" s="31">
        <f>IF($C752="","",($C752+1)^2)</f>
        <v/>
      </c>
      <c r="E752" s="31">
        <f>IF($D752="","",$D752-$B752)</f>
        <v/>
      </c>
      <c r="F752" s="31">
        <f>IF($A752="","",SUMIF(MonthlySummary!$B$2:$B$1000,$A752,MonthlySummary!$E$2:$E$1000))</f>
        <v/>
      </c>
      <c r="G752" s="31" t="n">
        <v>0</v>
      </c>
      <c r="H752" s="31">
        <f>IF($A752="","",$F752-IF($G752="",0,$G752))</f>
        <v/>
      </c>
      <c r="I752" s="31">
        <f>IF($A752="","",IFERROR(XLOOKUP($A752,SeedPlacement!$A$2:$A$1000,SeedPlacement!$N$2:$N$1000),0))</f>
        <v/>
      </c>
      <c r="J752" s="59" t="n"/>
    </row>
    <row r="753">
      <c r="A753" s="31">
        <f>IF(Members!$A753="","",Members!$A753)</f>
        <v/>
      </c>
      <c r="B753" s="31">
        <f>IF($A753="","",$I753+SUMIF(WeeklySummary!$B$2:$B$1000,$A753,WeeklySummary!$G$2:$G$1000))</f>
        <v/>
      </c>
      <c r="C753" s="31">
        <f>IF($B753="","",MIN(100,INT(SQRT($B753))))</f>
        <v/>
      </c>
      <c r="D753" s="31">
        <f>IF($C753="","",($C753+1)^2)</f>
        <v/>
      </c>
      <c r="E753" s="31">
        <f>IF($D753="","",$D753-$B753)</f>
        <v/>
      </c>
      <c r="F753" s="31">
        <f>IF($A753="","",SUMIF(MonthlySummary!$B$2:$B$1000,$A753,MonthlySummary!$E$2:$E$1000))</f>
        <v/>
      </c>
      <c r="G753" s="31" t="n">
        <v>0</v>
      </c>
      <c r="H753" s="31">
        <f>IF($A753="","",$F753-IF($G753="",0,$G753))</f>
        <v/>
      </c>
      <c r="I753" s="31">
        <f>IF($A753="","",IFERROR(XLOOKUP($A753,SeedPlacement!$A$2:$A$1000,SeedPlacement!$N$2:$N$1000),0))</f>
        <v/>
      </c>
      <c r="J753" s="59" t="n"/>
    </row>
    <row r="754">
      <c r="A754" s="31">
        <f>IF(Members!$A754="","",Members!$A754)</f>
        <v/>
      </c>
      <c r="B754" s="31">
        <f>IF($A754="","",$I754+SUMIF(WeeklySummary!$B$2:$B$1000,$A754,WeeklySummary!$G$2:$G$1000))</f>
        <v/>
      </c>
      <c r="C754" s="31">
        <f>IF($B754="","",MIN(100,INT(SQRT($B754))))</f>
        <v/>
      </c>
      <c r="D754" s="31">
        <f>IF($C754="","",($C754+1)^2)</f>
        <v/>
      </c>
      <c r="E754" s="31">
        <f>IF($D754="","",$D754-$B754)</f>
        <v/>
      </c>
      <c r="F754" s="31">
        <f>IF($A754="","",SUMIF(MonthlySummary!$B$2:$B$1000,$A754,MonthlySummary!$E$2:$E$1000))</f>
        <v/>
      </c>
      <c r="G754" s="31" t="n">
        <v>0</v>
      </c>
      <c r="H754" s="31">
        <f>IF($A754="","",$F754-IF($G754="",0,$G754))</f>
        <v/>
      </c>
      <c r="I754" s="31">
        <f>IF($A754="","",IFERROR(XLOOKUP($A754,SeedPlacement!$A$2:$A$1000,SeedPlacement!$N$2:$N$1000),0))</f>
        <v/>
      </c>
      <c r="J754" s="59" t="n"/>
    </row>
    <row r="755">
      <c r="A755" s="31">
        <f>IF(Members!$A755="","",Members!$A755)</f>
        <v/>
      </c>
      <c r="B755" s="31">
        <f>IF($A755="","",$I755+SUMIF(WeeklySummary!$B$2:$B$1000,$A755,WeeklySummary!$G$2:$G$1000))</f>
        <v/>
      </c>
      <c r="C755" s="31">
        <f>IF($B755="","",MIN(100,INT(SQRT($B755))))</f>
        <v/>
      </c>
      <c r="D755" s="31">
        <f>IF($C755="","",($C755+1)^2)</f>
        <v/>
      </c>
      <c r="E755" s="31">
        <f>IF($D755="","",$D755-$B755)</f>
        <v/>
      </c>
      <c r="F755" s="31">
        <f>IF($A755="","",SUMIF(MonthlySummary!$B$2:$B$1000,$A755,MonthlySummary!$E$2:$E$1000))</f>
        <v/>
      </c>
      <c r="G755" s="31" t="n">
        <v>0</v>
      </c>
      <c r="H755" s="31">
        <f>IF($A755="","",$F755-IF($G755="",0,$G755))</f>
        <v/>
      </c>
      <c r="I755" s="31">
        <f>IF($A755="","",IFERROR(XLOOKUP($A755,SeedPlacement!$A$2:$A$1000,SeedPlacement!$N$2:$N$1000),0))</f>
        <v/>
      </c>
      <c r="J755" s="59" t="n"/>
    </row>
    <row r="756">
      <c r="A756" s="31">
        <f>IF(Members!$A756="","",Members!$A756)</f>
        <v/>
      </c>
      <c r="B756" s="31">
        <f>IF($A756="","",$I756+SUMIF(WeeklySummary!$B$2:$B$1000,$A756,WeeklySummary!$G$2:$G$1000))</f>
        <v/>
      </c>
      <c r="C756" s="31">
        <f>IF($B756="","",MIN(100,INT(SQRT($B756))))</f>
        <v/>
      </c>
      <c r="D756" s="31">
        <f>IF($C756="","",($C756+1)^2)</f>
        <v/>
      </c>
      <c r="E756" s="31">
        <f>IF($D756="","",$D756-$B756)</f>
        <v/>
      </c>
      <c r="F756" s="31">
        <f>IF($A756="","",SUMIF(MonthlySummary!$B$2:$B$1000,$A756,MonthlySummary!$E$2:$E$1000))</f>
        <v/>
      </c>
      <c r="G756" s="31" t="n">
        <v>0</v>
      </c>
      <c r="H756" s="31">
        <f>IF($A756="","",$F756-IF($G756="",0,$G756))</f>
        <v/>
      </c>
      <c r="I756" s="31">
        <f>IF($A756="","",IFERROR(XLOOKUP($A756,SeedPlacement!$A$2:$A$1000,SeedPlacement!$N$2:$N$1000),0))</f>
        <v/>
      </c>
      <c r="J756" s="59" t="n"/>
    </row>
    <row r="757">
      <c r="A757" s="31">
        <f>IF(Members!$A757="","",Members!$A757)</f>
        <v/>
      </c>
      <c r="B757" s="31">
        <f>IF($A757="","",$I757+SUMIF(WeeklySummary!$B$2:$B$1000,$A757,WeeklySummary!$G$2:$G$1000))</f>
        <v/>
      </c>
      <c r="C757" s="31">
        <f>IF($B757="","",MIN(100,INT(SQRT($B757))))</f>
        <v/>
      </c>
      <c r="D757" s="31">
        <f>IF($C757="","",($C757+1)^2)</f>
        <v/>
      </c>
      <c r="E757" s="31">
        <f>IF($D757="","",$D757-$B757)</f>
        <v/>
      </c>
      <c r="F757" s="31">
        <f>IF($A757="","",SUMIF(MonthlySummary!$B$2:$B$1000,$A757,MonthlySummary!$E$2:$E$1000))</f>
        <v/>
      </c>
      <c r="G757" s="31" t="n">
        <v>0</v>
      </c>
      <c r="H757" s="31">
        <f>IF($A757="","",$F757-IF($G757="",0,$G757))</f>
        <v/>
      </c>
      <c r="I757" s="31">
        <f>IF($A757="","",IFERROR(XLOOKUP($A757,SeedPlacement!$A$2:$A$1000,SeedPlacement!$N$2:$N$1000),0))</f>
        <v/>
      </c>
      <c r="J757" s="59" t="n"/>
    </row>
    <row r="758">
      <c r="A758" s="31">
        <f>IF(Members!$A758="","",Members!$A758)</f>
        <v/>
      </c>
      <c r="B758" s="31">
        <f>IF($A758="","",$I758+SUMIF(WeeklySummary!$B$2:$B$1000,$A758,WeeklySummary!$G$2:$G$1000))</f>
        <v/>
      </c>
      <c r="C758" s="31">
        <f>IF($B758="","",MIN(100,INT(SQRT($B758))))</f>
        <v/>
      </c>
      <c r="D758" s="31">
        <f>IF($C758="","",($C758+1)^2)</f>
        <v/>
      </c>
      <c r="E758" s="31">
        <f>IF($D758="","",$D758-$B758)</f>
        <v/>
      </c>
      <c r="F758" s="31">
        <f>IF($A758="","",SUMIF(MonthlySummary!$B$2:$B$1000,$A758,MonthlySummary!$E$2:$E$1000))</f>
        <v/>
      </c>
      <c r="G758" s="31" t="n">
        <v>0</v>
      </c>
      <c r="H758" s="31">
        <f>IF($A758="","",$F758-IF($G758="",0,$G758))</f>
        <v/>
      </c>
      <c r="I758" s="31">
        <f>IF($A758="","",IFERROR(XLOOKUP($A758,SeedPlacement!$A$2:$A$1000,SeedPlacement!$N$2:$N$1000),0))</f>
        <v/>
      </c>
      <c r="J758" s="59" t="n"/>
    </row>
    <row r="759">
      <c r="A759" s="31">
        <f>IF(Members!$A759="","",Members!$A759)</f>
        <v/>
      </c>
      <c r="B759" s="31">
        <f>IF($A759="","",$I759+SUMIF(WeeklySummary!$B$2:$B$1000,$A759,WeeklySummary!$G$2:$G$1000))</f>
        <v/>
      </c>
      <c r="C759" s="31">
        <f>IF($B759="","",MIN(100,INT(SQRT($B759))))</f>
        <v/>
      </c>
      <c r="D759" s="31">
        <f>IF($C759="","",($C759+1)^2)</f>
        <v/>
      </c>
      <c r="E759" s="31">
        <f>IF($D759="","",$D759-$B759)</f>
        <v/>
      </c>
      <c r="F759" s="31">
        <f>IF($A759="","",SUMIF(MonthlySummary!$B$2:$B$1000,$A759,MonthlySummary!$E$2:$E$1000))</f>
        <v/>
      </c>
      <c r="G759" s="31" t="n">
        <v>0</v>
      </c>
      <c r="H759" s="31">
        <f>IF($A759="","",$F759-IF($G759="",0,$G759))</f>
        <v/>
      </c>
      <c r="I759" s="31">
        <f>IF($A759="","",IFERROR(XLOOKUP($A759,SeedPlacement!$A$2:$A$1000,SeedPlacement!$N$2:$N$1000),0))</f>
        <v/>
      </c>
      <c r="J759" s="59" t="n"/>
    </row>
    <row r="760">
      <c r="A760" s="31">
        <f>IF(Members!$A760="","",Members!$A760)</f>
        <v/>
      </c>
      <c r="B760" s="31">
        <f>IF($A760="","",$I760+SUMIF(WeeklySummary!$B$2:$B$1000,$A760,WeeklySummary!$G$2:$G$1000))</f>
        <v/>
      </c>
      <c r="C760" s="31">
        <f>IF($B760="","",MIN(100,INT(SQRT($B760))))</f>
        <v/>
      </c>
      <c r="D760" s="31">
        <f>IF($C760="","",($C760+1)^2)</f>
        <v/>
      </c>
      <c r="E760" s="31">
        <f>IF($D760="","",$D760-$B760)</f>
        <v/>
      </c>
      <c r="F760" s="31">
        <f>IF($A760="","",SUMIF(MonthlySummary!$B$2:$B$1000,$A760,MonthlySummary!$E$2:$E$1000))</f>
        <v/>
      </c>
      <c r="G760" s="31" t="n">
        <v>0</v>
      </c>
      <c r="H760" s="31">
        <f>IF($A760="","",$F760-IF($G760="",0,$G760))</f>
        <v/>
      </c>
      <c r="I760" s="31">
        <f>IF($A760="","",IFERROR(XLOOKUP($A760,SeedPlacement!$A$2:$A$1000,SeedPlacement!$N$2:$N$1000),0))</f>
        <v/>
      </c>
      <c r="J760" s="59" t="n"/>
    </row>
    <row r="761">
      <c r="A761" s="31">
        <f>IF(Members!$A761="","",Members!$A761)</f>
        <v/>
      </c>
      <c r="B761" s="31">
        <f>IF($A761="","",$I761+SUMIF(WeeklySummary!$B$2:$B$1000,$A761,WeeklySummary!$G$2:$G$1000))</f>
        <v/>
      </c>
      <c r="C761" s="31">
        <f>IF($B761="","",MIN(100,INT(SQRT($B761))))</f>
        <v/>
      </c>
      <c r="D761" s="31">
        <f>IF($C761="","",($C761+1)^2)</f>
        <v/>
      </c>
      <c r="E761" s="31">
        <f>IF($D761="","",$D761-$B761)</f>
        <v/>
      </c>
      <c r="F761" s="31">
        <f>IF($A761="","",SUMIF(MonthlySummary!$B$2:$B$1000,$A761,MonthlySummary!$E$2:$E$1000))</f>
        <v/>
      </c>
      <c r="G761" s="31" t="n">
        <v>0</v>
      </c>
      <c r="H761" s="31">
        <f>IF($A761="","",$F761-IF($G761="",0,$G761))</f>
        <v/>
      </c>
      <c r="I761" s="31">
        <f>IF($A761="","",IFERROR(XLOOKUP($A761,SeedPlacement!$A$2:$A$1000,SeedPlacement!$N$2:$N$1000),0))</f>
        <v/>
      </c>
      <c r="J761" s="59" t="n"/>
    </row>
    <row r="762">
      <c r="A762" s="31">
        <f>IF(Members!$A762="","",Members!$A762)</f>
        <v/>
      </c>
      <c r="B762" s="31">
        <f>IF($A762="","",$I762+SUMIF(WeeklySummary!$B$2:$B$1000,$A762,WeeklySummary!$G$2:$G$1000))</f>
        <v/>
      </c>
      <c r="C762" s="31">
        <f>IF($B762="","",MIN(100,INT(SQRT($B762))))</f>
        <v/>
      </c>
      <c r="D762" s="31">
        <f>IF($C762="","",($C762+1)^2)</f>
        <v/>
      </c>
      <c r="E762" s="31">
        <f>IF($D762="","",$D762-$B762)</f>
        <v/>
      </c>
      <c r="F762" s="31">
        <f>IF($A762="","",SUMIF(MonthlySummary!$B$2:$B$1000,$A762,MonthlySummary!$E$2:$E$1000))</f>
        <v/>
      </c>
      <c r="G762" s="31" t="n">
        <v>0</v>
      </c>
      <c r="H762" s="31">
        <f>IF($A762="","",$F762-IF($G762="",0,$G762))</f>
        <v/>
      </c>
      <c r="I762" s="31">
        <f>IF($A762="","",IFERROR(XLOOKUP($A762,SeedPlacement!$A$2:$A$1000,SeedPlacement!$N$2:$N$1000),0))</f>
        <v/>
      </c>
      <c r="J762" s="59" t="n"/>
    </row>
    <row r="763">
      <c r="A763" s="31">
        <f>IF(Members!$A763="","",Members!$A763)</f>
        <v/>
      </c>
      <c r="B763" s="31">
        <f>IF($A763="","",$I763+SUMIF(WeeklySummary!$B$2:$B$1000,$A763,WeeklySummary!$G$2:$G$1000))</f>
        <v/>
      </c>
      <c r="C763" s="31">
        <f>IF($B763="","",MIN(100,INT(SQRT($B763))))</f>
        <v/>
      </c>
      <c r="D763" s="31">
        <f>IF($C763="","",($C763+1)^2)</f>
        <v/>
      </c>
      <c r="E763" s="31">
        <f>IF($D763="","",$D763-$B763)</f>
        <v/>
      </c>
      <c r="F763" s="31">
        <f>IF($A763="","",SUMIF(MonthlySummary!$B$2:$B$1000,$A763,MonthlySummary!$E$2:$E$1000))</f>
        <v/>
      </c>
      <c r="G763" s="31" t="n">
        <v>0</v>
      </c>
      <c r="H763" s="31">
        <f>IF($A763="","",$F763-IF($G763="",0,$G763))</f>
        <v/>
      </c>
      <c r="I763" s="31">
        <f>IF($A763="","",IFERROR(XLOOKUP($A763,SeedPlacement!$A$2:$A$1000,SeedPlacement!$N$2:$N$1000),0))</f>
        <v/>
      </c>
      <c r="J763" s="59" t="n"/>
    </row>
    <row r="764">
      <c r="A764" s="31">
        <f>IF(Members!$A764="","",Members!$A764)</f>
        <v/>
      </c>
      <c r="B764" s="31">
        <f>IF($A764="","",$I764+SUMIF(WeeklySummary!$B$2:$B$1000,$A764,WeeklySummary!$G$2:$G$1000))</f>
        <v/>
      </c>
      <c r="C764" s="31">
        <f>IF($B764="","",MIN(100,INT(SQRT($B764))))</f>
        <v/>
      </c>
      <c r="D764" s="31">
        <f>IF($C764="","",($C764+1)^2)</f>
        <v/>
      </c>
      <c r="E764" s="31">
        <f>IF($D764="","",$D764-$B764)</f>
        <v/>
      </c>
      <c r="F764" s="31">
        <f>IF($A764="","",SUMIF(MonthlySummary!$B$2:$B$1000,$A764,MonthlySummary!$E$2:$E$1000))</f>
        <v/>
      </c>
      <c r="G764" s="31" t="n">
        <v>0</v>
      </c>
      <c r="H764" s="31">
        <f>IF($A764="","",$F764-IF($G764="",0,$G764))</f>
        <v/>
      </c>
      <c r="I764" s="31">
        <f>IF($A764="","",IFERROR(XLOOKUP($A764,SeedPlacement!$A$2:$A$1000,SeedPlacement!$N$2:$N$1000),0))</f>
        <v/>
      </c>
      <c r="J764" s="59" t="n"/>
    </row>
    <row r="765">
      <c r="A765" s="31">
        <f>IF(Members!$A765="","",Members!$A765)</f>
        <v/>
      </c>
      <c r="B765" s="31">
        <f>IF($A765="","",$I765+SUMIF(WeeklySummary!$B$2:$B$1000,$A765,WeeklySummary!$G$2:$G$1000))</f>
        <v/>
      </c>
      <c r="C765" s="31">
        <f>IF($B765="","",MIN(100,INT(SQRT($B765))))</f>
        <v/>
      </c>
      <c r="D765" s="31">
        <f>IF($C765="","",($C765+1)^2)</f>
        <v/>
      </c>
      <c r="E765" s="31">
        <f>IF($D765="","",$D765-$B765)</f>
        <v/>
      </c>
      <c r="F765" s="31">
        <f>IF($A765="","",SUMIF(MonthlySummary!$B$2:$B$1000,$A765,MonthlySummary!$E$2:$E$1000))</f>
        <v/>
      </c>
      <c r="G765" s="31" t="n">
        <v>0</v>
      </c>
      <c r="H765" s="31">
        <f>IF($A765="","",$F765-IF($G765="",0,$G765))</f>
        <v/>
      </c>
      <c r="I765" s="31">
        <f>IF($A765="","",IFERROR(XLOOKUP($A765,SeedPlacement!$A$2:$A$1000,SeedPlacement!$N$2:$N$1000),0))</f>
        <v/>
      </c>
      <c r="J765" s="59" t="n"/>
    </row>
    <row r="766">
      <c r="A766" s="31">
        <f>IF(Members!$A766="","",Members!$A766)</f>
        <v/>
      </c>
      <c r="B766" s="31">
        <f>IF($A766="","",$I766+SUMIF(WeeklySummary!$B$2:$B$1000,$A766,WeeklySummary!$G$2:$G$1000))</f>
        <v/>
      </c>
      <c r="C766" s="31">
        <f>IF($B766="","",MIN(100,INT(SQRT($B766))))</f>
        <v/>
      </c>
      <c r="D766" s="31">
        <f>IF($C766="","",($C766+1)^2)</f>
        <v/>
      </c>
      <c r="E766" s="31">
        <f>IF($D766="","",$D766-$B766)</f>
        <v/>
      </c>
      <c r="F766" s="31">
        <f>IF($A766="","",SUMIF(MonthlySummary!$B$2:$B$1000,$A766,MonthlySummary!$E$2:$E$1000))</f>
        <v/>
      </c>
      <c r="G766" s="31" t="n">
        <v>0</v>
      </c>
      <c r="H766" s="31">
        <f>IF($A766="","",$F766-IF($G766="",0,$G766))</f>
        <v/>
      </c>
      <c r="I766" s="31">
        <f>IF($A766="","",IFERROR(XLOOKUP($A766,SeedPlacement!$A$2:$A$1000,SeedPlacement!$N$2:$N$1000),0))</f>
        <v/>
      </c>
      <c r="J766" s="59" t="n"/>
    </row>
    <row r="767">
      <c r="A767" s="31">
        <f>IF(Members!$A767="","",Members!$A767)</f>
        <v/>
      </c>
      <c r="B767" s="31">
        <f>IF($A767="","",$I767+SUMIF(WeeklySummary!$B$2:$B$1000,$A767,WeeklySummary!$G$2:$G$1000))</f>
        <v/>
      </c>
      <c r="C767" s="31">
        <f>IF($B767="","",MIN(100,INT(SQRT($B767))))</f>
        <v/>
      </c>
      <c r="D767" s="31">
        <f>IF($C767="","",($C767+1)^2)</f>
        <v/>
      </c>
      <c r="E767" s="31">
        <f>IF($D767="","",$D767-$B767)</f>
        <v/>
      </c>
      <c r="F767" s="31">
        <f>IF($A767="","",SUMIF(MonthlySummary!$B$2:$B$1000,$A767,MonthlySummary!$E$2:$E$1000))</f>
        <v/>
      </c>
      <c r="G767" s="31" t="n">
        <v>0</v>
      </c>
      <c r="H767" s="31">
        <f>IF($A767="","",$F767-IF($G767="",0,$G767))</f>
        <v/>
      </c>
      <c r="I767" s="31">
        <f>IF($A767="","",IFERROR(XLOOKUP($A767,SeedPlacement!$A$2:$A$1000,SeedPlacement!$N$2:$N$1000),0))</f>
        <v/>
      </c>
      <c r="J767" s="59" t="n"/>
    </row>
    <row r="768">
      <c r="A768" s="31">
        <f>IF(Members!$A768="","",Members!$A768)</f>
        <v/>
      </c>
      <c r="B768" s="31">
        <f>IF($A768="","",$I768+SUMIF(WeeklySummary!$B$2:$B$1000,$A768,WeeklySummary!$G$2:$G$1000))</f>
        <v/>
      </c>
      <c r="C768" s="31">
        <f>IF($B768="","",MIN(100,INT(SQRT($B768))))</f>
        <v/>
      </c>
      <c r="D768" s="31">
        <f>IF($C768="","",($C768+1)^2)</f>
        <v/>
      </c>
      <c r="E768" s="31">
        <f>IF($D768="","",$D768-$B768)</f>
        <v/>
      </c>
      <c r="F768" s="31">
        <f>IF($A768="","",SUMIF(MonthlySummary!$B$2:$B$1000,$A768,MonthlySummary!$E$2:$E$1000))</f>
        <v/>
      </c>
      <c r="G768" s="31" t="n">
        <v>0</v>
      </c>
      <c r="H768" s="31">
        <f>IF($A768="","",$F768-IF($G768="",0,$G768))</f>
        <v/>
      </c>
      <c r="I768" s="31">
        <f>IF($A768="","",IFERROR(XLOOKUP($A768,SeedPlacement!$A$2:$A$1000,SeedPlacement!$N$2:$N$1000),0))</f>
        <v/>
      </c>
      <c r="J768" s="59" t="n"/>
    </row>
    <row r="769">
      <c r="A769" s="31">
        <f>IF(Members!$A769="","",Members!$A769)</f>
        <v/>
      </c>
      <c r="B769" s="31">
        <f>IF($A769="","",$I769+SUMIF(WeeklySummary!$B$2:$B$1000,$A769,WeeklySummary!$G$2:$G$1000))</f>
        <v/>
      </c>
      <c r="C769" s="31">
        <f>IF($B769="","",MIN(100,INT(SQRT($B769))))</f>
        <v/>
      </c>
      <c r="D769" s="31">
        <f>IF($C769="","",($C769+1)^2)</f>
        <v/>
      </c>
      <c r="E769" s="31">
        <f>IF($D769="","",$D769-$B769)</f>
        <v/>
      </c>
      <c r="F769" s="31">
        <f>IF($A769="","",SUMIF(MonthlySummary!$B$2:$B$1000,$A769,MonthlySummary!$E$2:$E$1000))</f>
        <v/>
      </c>
      <c r="G769" s="31" t="n">
        <v>0</v>
      </c>
      <c r="H769" s="31">
        <f>IF($A769="","",$F769-IF($G769="",0,$G769))</f>
        <v/>
      </c>
      <c r="I769" s="31">
        <f>IF($A769="","",IFERROR(XLOOKUP($A769,SeedPlacement!$A$2:$A$1000,SeedPlacement!$N$2:$N$1000),0))</f>
        <v/>
      </c>
      <c r="J769" s="59" t="n"/>
    </row>
    <row r="770">
      <c r="A770" s="31">
        <f>IF(Members!$A770="","",Members!$A770)</f>
        <v/>
      </c>
      <c r="B770" s="31">
        <f>IF($A770="","",$I770+SUMIF(WeeklySummary!$B$2:$B$1000,$A770,WeeklySummary!$G$2:$G$1000))</f>
        <v/>
      </c>
      <c r="C770" s="31">
        <f>IF($B770="","",MIN(100,INT(SQRT($B770))))</f>
        <v/>
      </c>
      <c r="D770" s="31">
        <f>IF($C770="","",($C770+1)^2)</f>
        <v/>
      </c>
      <c r="E770" s="31">
        <f>IF($D770="","",$D770-$B770)</f>
        <v/>
      </c>
      <c r="F770" s="31">
        <f>IF($A770="","",SUMIF(MonthlySummary!$B$2:$B$1000,$A770,MonthlySummary!$E$2:$E$1000))</f>
        <v/>
      </c>
      <c r="G770" s="31" t="n">
        <v>0</v>
      </c>
      <c r="H770" s="31">
        <f>IF($A770="","",$F770-IF($G770="",0,$G770))</f>
        <v/>
      </c>
      <c r="I770" s="31">
        <f>IF($A770="","",IFERROR(XLOOKUP($A770,SeedPlacement!$A$2:$A$1000,SeedPlacement!$N$2:$N$1000),0))</f>
        <v/>
      </c>
      <c r="J770" s="59" t="n"/>
    </row>
    <row r="771">
      <c r="A771" s="31">
        <f>IF(Members!$A771="","",Members!$A771)</f>
        <v/>
      </c>
      <c r="B771" s="31">
        <f>IF($A771="","",$I771+SUMIF(WeeklySummary!$B$2:$B$1000,$A771,WeeklySummary!$G$2:$G$1000))</f>
        <v/>
      </c>
      <c r="C771" s="31">
        <f>IF($B771="","",MIN(100,INT(SQRT($B771))))</f>
        <v/>
      </c>
      <c r="D771" s="31">
        <f>IF($C771="","",($C771+1)^2)</f>
        <v/>
      </c>
      <c r="E771" s="31">
        <f>IF($D771="","",$D771-$B771)</f>
        <v/>
      </c>
      <c r="F771" s="31">
        <f>IF($A771="","",SUMIF(MonthlySummary!$B$2:$B$1000,$A771,MonthlySummary!$E$2:$E$1000))</f>
        <v/>
      </c>
      <c r="G771" s="31" t="n">
        <v>0</v>
      </c>
      <c r="H771" s="31">
        <f>IF($A771="","",$F771-IF($G771="",0,$G771))</f>
        <v/>
      </c>
      <c r="I771" s="31">
        <f>IF($A771="","",IFERROR(XLOOKUP($A771,SeedPlacement!$A$2:$A$1000,SeedPlacement!$N$2:$N$1000),0))</f>
        <v/>
      </c>
      <c r="J771" s="59" t="n"/>
    </row>
    <row r="772">
      <c r="A772" s="31">
        <f>IF(Members!$A772="","",Members!$A772)</f>
        <v/>
      </c>
      <c r="B772" s="31">
        <f>IF($A772="","",$I772+SUMIF(WeeklySummary!$B$2:$B$1000,$A772,WeeklySummary!$G$2:$G$1000))</f>
        <v/>
      </c>
      <c r="C772" s="31">
        <f>IF($B772="","",MIN(100,INT(SQRT($B772))))</f>
        <v/>
      </c>
      <c r="D772" s="31">
        <f>IF($C772="","",($C772+1)^2)</f>
        <v/>
      </c>
      <c r="E772" s="31">
        <f>IF($D772="","",$D772-$B772)</f>
        <v/>
      </c>
      <c r="F772" s="31">
        <f>IF($A772="","",SUMIF(MonthlySummary!$B$2:$B$1000,$A772,MonthlySummary!$E$2:$E$1000))</f>
        <v/>
      </c>
      <c r="G772" s="31" t="n">
        <v>0</v>
      </c>
      <c r="H772" s="31">
        <f>IF($A772="","",$F772-IF($G772="",0,$G772))</f>
        <v/>
      </c>
      <c r="I772" s="31">
        <f>IF($A772="","",IFERROR(XLOOKUP($A772,SeedPlacement!$A$2:$A$1000,SeedPlacement!$N$2:$N$1000),0))</f>
        <v/>
      </c>
      <c r="J772" s="59" t="n"/>
    </row>
    <row r="773">
      <c r="A773" s="31">
        <f>IF(Members!$A773="","",Members!$A773)</f>
        <v/>
      </c>
      <c r="B773" s="31">
        <f>IF($A773="","",$I773+SUMIF(WeeklySummary!$B$2:$B$1000,$A773,WeeklySummary!$G$2:$G$1000))</f>
        <v/>
      </c>
      <c r="C773" s="31">
        <f>IF($B773="","",MIN(100,INT(SQRT($B773))))</f>
        <v/>
      </c>
      <c r="D773" s="31">
        <f>IF($C773="","",($C773+1)^2)</f>
        <v/>
      </c>
      <c r="E773" s="31">
        <f>IF($D773="","",$D773-$B773)</f>
        <v/>
      </c>
      <c r="F773" s="31">
        <f>IF($A773="","",SUMIF(MonthlySummary!$B$2:$B$1000,$A773,MonthlySummary!$E$2:$E$1000))</f>
        <v/>
      </c>
      <c r="G773" s="31" t="n">
        <v>0</v>
      </c>
      <c r="H773" s="31">
        <f>IF($A773="","",$F773-IF($G773="",0,$G773))</f>
        <v/>
      </c>
      <c r="I773" s="31">
        <f>IF($A773="","",IFERROR(XLOOKUP($A773,SeedPlacement!$A$2:$A$1000,SeedPlacement!$N$2:$N$1000),0))</f>
        <v/>
      </c>
      <c r="J773" s="59" t="n"/>
    </row>
    <row r="774">
      <c r="A774" s="31">
        <f>IF(Members!$A774="","",Members!$A774)</f>
        <v/>
      </c>
      <c r="B774" s="31">
        <f>IF($A774="","",$I774+SUMIF(WeeklySummary!$B$2:$B$1000,$A774,WeeklySummary!$G$2:$G$1000))</f>
        <v/>
      </c>
      <c r="C774" s="31">
        <f>IF($B774="","",MIN(100,INT(SQRT($B774))))</f>
        <v/>
      </c>
      <c r="D774" s="31">
        <f>IF($C774="","",($C774+1)^2)</f>
        <v/>
      </c>
      <c r="E774" s="31">
        <f>IF($D774="","",$D774-$B774)</f>
        <v/>
      </c>
      <c r="F774" s="31">
        <f>IF($A774="","",SUMIF(MonthlySummary!$B$2:$B$1000,$A774,MonthlySummary!$E$2:$E$1000))</f>
        <v/>
      </c>
      <c r="G774" s="31" t="n">
        <v>0</v>
      </c>
      <c r="H774" s="31">
        <f>IF($A774="","",$F774-IF($G774="",0,$G774))</f>
        <v/>
      </c>
      <c r="I774" s="31">
        <f>IF($A774="","",IFERROR(XLOOKUP($A774,SeedPlacement!$A$2:$A$1000,SeedPlacement!$N$2:$N$1000),0))</f>
        <v/>
      </c>
      <c r="J774" s="59" t="n"/>
    </row>
    <row r="775">
      <c r="A775" s="31">
        <f>IF(Members!$A775="","",Members!$A775)</f>
        <v/>
      </c>
      <c r="B775" s="31">
        <f>IF($A775="","",$I775+SUMIF(WeeklySummary!$B$2:$B$1000,$A775,WeeklySummary!$G$2:$G$1000))</f>
        <v/>
      </c>
      <c r="C775" s="31">
        <f>IF($B775="","",MIN(100,INT(SQRT($B775))))</f>
        <v/>
      </c>
      <c r="D775" s="31">
        <f>IF($C775="","",($C775+1)^2)</f>
        <v/>
      </c>
      <c r="E775" s="31">
        <f>IF($D775="","",$D775-$B775)</f>
        <v/>
      </c>
      <c r="F775" s="31">
        <f>IF($A775="","",SUMIF(MonthlySummary!$B$2:$B$1000,$A775,MonthlySummary!$E$2:$E$1000))</f>
        <v/>
      </c>
      <c r="G775" s="31" t="n">
        <v>0</v>
      </c>
      <c r="H775" s="31">
        <f>IF($A775="","",$F775-IF($G775="",0,$G775))</f>
        <v/>
      </c>
      <c r="I775" s="31">
        <f>IF($A775="","",IFERROR(XLOOKUP($A775,SeedPlacement!$A$2:$A$1000,SeedPlacement!$N$2:$N$1000),0))</f>
        <v/>
      </c>
      <c r="J775" s="59" t="n"/>
    </row>
    <row r="776">
      <c r="A776" s="31">
        <f>IF(Members!$A776="","",Members!$A776)</f>
        <v/>
      </c>
      <c r="B776" s="31">
        <f>IF($A776="","",$I776+SUMIF(WeeklySummary!$B$2:$B$1000,$A776,WeeklySummary!$G$2:$G$1000))</f>
        <v/>
      </c>
      <c r="C776" s="31">
        <f>IF($B776="","",MIN(100,INT(SQRT($B776))))</f>
        <v/>
      </c>
      <c r="D776" s="31">
        <f>IF($C776="","",($C776+1)^2)</f>
        <v/>
      </c>
      <c r="E776" s="31">
        <f>IF($D776="","",$D776-$B776)</f>
        <v/>
      </c>
      <c r="F776" s="31">
        <f>IF($A776="","",SUMIF(MonthlySummary!$B$2:$B$1000,$A776,MonthlySummary!$E$2:$E$1000))</f>
        <v/>
      </c>
      <c r="G776" s="31" t="n">
        <v>0</v>
      </c>
      <c r="H776" s="31">
        <f>IF($A776="","",$F776-IF($G776="",0,$G776))</f>
        <v/>
      </c>
      <c r="I776" s="31">
        <f>IF($A776="","",IFERROR(XLOOKUP($A776,SeedPlacement!$A$2:$A$1000,SeedPlacement!$N$2:$N$1000),0))</f>
        <v/>
      </c>
      <c r="J776" s="59" t="n"/>
    </row>
    <row r="777">
      <c r="A777" s="31">
        <f>IF(Members!$A777="","",Members!$A777)</f>
        <v/>
      </c>
      <c r="B777" s="31">
        <f>IF($A777="","",$I777+SUMIF(WeeklySummary!$B$2:$B$1000,$A777,WeeklySummary!$G$2:$G$1000))</f>
        <v/>
      </c>
      <c r="C777" s="31">
        <f>IF($B777="","",MIN(100,INT(SQRT($B777))))</f>
        <v/>
      </c>
      <c r="D777" s="31">
        <f>IF($C777="","",($C777+1)^2)</f>
        <v/>
      </c>
      <c r="E777" s="31">
        <f>IF($D777="","",$D777-$B777)</f>
        <v/>
      </c>
      <c r="F777" s="31">
        <f>IF($A777="","",SUMIF(MonthlySummary!$B$2:$B$1000,$A777,MonthlySummary!$E$2:$E$1000))</f>
        <v/>
      </c>
      <c r="G777" s="31" t="n">
        <v>0</v>
      </c>
      <c r="H777" s="31">
        <f>IF($A777="","",$F777-IF($G777="",0,$G777))</f>
        <v/>
      </c>
      <c r="I777" s="31">
        <f>IF($A777="","",IFERROR(XLOOKUP($A777,SeedPlacement!$A$2:$A$1000,SeedPlacement!$N$2:$N$1000),0))</f>
        <v/>
      </c>
      <c r="J777" s="59" t="n"/>
    </row>
    <row r="778">
      <c r="A778" s="31">
        <f>IF(Members!$A778="","",Members!$A778)</f>
        <v/>
      </c>
      <c r="B778" s="31">
        <f>IF($A778="","",$I778+SUMIF(WeeklySummary!$B$2:$B$1000,$A778,WeeklySummary!$G$2:$G$1000))</f>
        <v/>
      </c>
      <c r="C778" s="31">
        <f>IF($B778="","",MIN(100,INT(SQRT($B778))))</f>
        <v/>
      </c>
      <c r="D778" s="31">
        <f>IF($C778="","",($C778+1)^2)</f>
        <v/>
      </c>
      <c r="E778" s="31">
        <f>IF($D778="","",$D778-$B778)</f>
        <v/>
      </c>
      <c r="F778" s="31">
        <f>IF($A778="","",SUMIF(MonthlySummary!$B$2:$B$1000,$A778,MonthlySummary!$E$2:$E$1000))</f>
        <v/>
      </c>
      <c r="G778" s="31" t="n">
        <v>0</v>
      </c>
      <c r="H778" s="31">
        <f>IF($A778="","",$F778-IF($G778="",0,$G778))</f>
        <v/>
      </c>
      <c r="I778" s="31">
        <f>IF($A778="","",IFERROR(XLOOKUP($A778,SeedPlacement!$A$2:$A$1000,SeedPlacement!$N$2:$N$1000),0))</f>
        <v/>
      </c>
      <c r="J778" s="59" t="n"/>
    </row>
    <row r="779">
      <c r="A779" s="31">
        <f>IF(Members!$A779="","",Members!$A779)</f>
        <v/>
      </c>
      <c r="B779" s="31">
        <f>IF($A779="","",$I779+SUMIF(WeeklySummary!$B$2:$B$1000,$A779,WeeklySummary!$G$2:$G$1000))</f>
        <v/>
      </c>
      <c r="C779" s="31">
        <f>IF($B779="","",MIN(100,INT(SQRT($B779))))</f>
        <v/>
      </c>
      <c r="D779" s="31">
        <f>IF($C779="","",($C779+1)^2)</f>
        <v/>
      </c>
      <c r="E779" s="31">
        <f>IF($D779="","",$D779-$B779)</f>
        <v/>
      </c>
      <c r="F779" s="31">
        <f>IF($A779="","",SUMIF(MonthlySummary!$B$2:$B$1000,$A779,MonthlySummary!$E$2:$E$1000))</f>
        <v/>
      </c>
      <c r="G779" s="31" t="n">
        <v>0</v>
      </c>
      <c r="H779" s="31">
        <f>IF($A779="","",$F779-IF($G779="",0,$G779))</f>
        <v/>
      </c>
      <c r="I779" s="31">
        <f>IF($A779="","",IFERROR(XLOOKUP($A779,SeedPlacement!$A$2:$A$1000,SeedPlacement!$N$2:$N$1000),0))</f>
        <v/>
      </c>
      <c r="J779" s="59" t="n"/>
    </row>
    <row r="780">
      <c r="A780" s="31">
        <f>IF(Members!$A780="","",Members!$A780)</f>
        <v/>
      </c>
      <c r="B780" s="31">
        <f>IF($A780="","",$I780+SUMIF(WeeklySummary!$B$2:$B$1000,$A780,WeeklySummary!$G$2:$G$1000))</f>
        <v/>
      </c>
      <c r="C780" s="31">
        <f>IF($B780="","",MIN(100,INT(SQRT($B780))))</f>
        <v/>
      </c>
      <c r="D780" s="31">
        <f>IF($C780="","",($C780+1)^2)</f>
        <v/>
      </c>
      <c r="E780" s="31">
        <f>IF($D780="","",$D780-$B780)</f>
        <v/>
      </c>
      <c r="F780" s="31">
        <f>IF($A780="","",SUMIF(MonthlySummary!$B$2:$B$1000,$A780,MonthlySummary!$E$2:$E$1000))</f>
        <v/>
      </c>
      <c r="G780" s="31" t="n">
        <v>0</v>
      </c>
      <c r="H780" s="31">
        <f>IF($A780="","",$F780-IF($G780="",0,$G780))</f>
        <v/>
      </c>
      <c r="I780" s="31">
        <f>IF($A780="","",IFERROR(XLOOKUP($A780,SeedPlacement!$A$2:$A$1000,SeedPlacement!$N$2:$N$1000),0))</f>
        <v/>
      </c>
      <c r="J780" s="59" t="n"/>
    </row>
    <row r="781">
      <c r="A781" s="31">
        <f>IF(Members!$A781="","",Members!$A781)</f>
        <v/>
      </c>
      <c r="B781" s="31">
        <f>IF($A781="","",$I781+SUMIF(WeeklySummary!$B$2:$B$1000,$A781,WeeklySummary!$G$2:$G$1000))</f>
        <v/>
      </c>
      <c r="C781" s="31">
        <f>IF($B781="","",MIN(100,INT(SQRT($B781))))</f>
        <v/>
      </c>
      <c r="D781" s="31">
        <f>IF($C781="","",($C781+1)^2)</f>
        <v/>
      </c>
      <c r="E781" s="31">
        <f>IF($D781="","",$D781-$B781)</f>
        <v/>
      </c>
      <c r="F781" s="31">
        <f>IF($A781="","",SUMIF(MonthlySummary!$B$2:$B$1000,$A781,MonthlySummary!$E$2:$E$1000))</f>
        <v/>
      </c>
      <c r="G781" s="31" t="n">
        <v>0</v>
      </c>
      <c r="H781" s="31">
        <f>IF($A781="","",$F781-IF($G781="",0,$G781))</f>
        <v/>
      </c>
      <c r="I781" s="31">
        <f>IF($A781="","",IFERROR(XLOOKUP($A781,SeedPlacement!$A$2:$A$1000,SeedPlacement!$N$2:$N$1000),0))</f>
        <v/>
      </c>
      <c r="J781" s="59" t="n"/>
    </row>
    <row r="782">
      <c r="A782" s="31">
        <f>IF(Members!$A782="","",Members!$A782)</f>
        <v/>
      </c>
      <c r="B782" s="31">
        <f>IF($A782="","",$I782+SUMIF(WeeklySummary!$B$2:$B$1000,$A782,WeeklySummary!$G$2:$G$1000))</f>
        <v/>
      </c>
      <c r="C782" s="31">
        <f>IF($B782="","",MIN(100,INT(SQRT($B782))))</f>
        <v/>
      </c>
      <c r="D782" s="31">
        <f>IF($C782="","",($C782+1)^2)</f>
        <v/>
      </c>
      <c r="E782" s="31">
        <f>IF($D782="","",$D782-$B782)</f>
        <v/>
      </c>
      <c r="F782" s="31">
        <f>IF($A782="","",SUMIF(MonthlySummary!$B$2:$B$1000,$A782,MonthlySummary!$E$2:$E$1000))</f>
        <v/>
      </c>
      <c r="G782" s="31" t="n">
        <v>0</v>
      </c>
      <c r="H782" s="31">
        <f>IF($A782="","",$F782-IF($G782="",0,$G782))</f>
        <v/>
      </c>
      <c r="I782" s="31">
        <f>IF($A782="","",IFERROR(XLOOKUP($A782,SeedPlacement!$A$2:$A$1000,SeedPlacement!$N$2:$N$1000),0))</f>
        <v/>
      </c>
      <c r="J782" s="59" t="n"/>
    </row>
    <row r="783">
      <c r="A783" s="31">
        <f>IF(Members!$A783="","",Members!$A783)</f>
        <v/>
      </c>
      <c r="B783" s="31">
        <f>IF($A783="","",$I783+SUMIF(WeeklySummary!$B$2:$B$1000,$A783,WeeklySummary!$G$2:$G$1000))</f>
        <v/>
      </c>
      <c r="C783" s="31">
        <f>IF($B783="","",MIN(100,INT(SQRT($B783))))</f>
        <v/>
      </c>
      <c r="D783" s="31">
        <f>IF($C783="","",($C783+1)^2)</f>
        <v/>
      </c>
      <c r="E783" s="31">
        <f>IF($D783="","",$D783-$B783)</f>
        <v/>
      </c>
      <c r="F783" s="31">
        <f>IF($A783="","",SUMIF(MonthlySummary!$B$2:$B$1000,$A783,MonthlySummary!$E$2:$E$1000))</f>
        <v/>
      </c>
      <c r="G783" s="31" t="n">
        <v>0</v>
      </c>
      <c r="H783" s="31">
        <f>IF($A783="","",$F783-IF($G783="",0,$G783))</f>
        <v/>
      </c>
      <c r="I783" s="31">
        <f>IF($A783="","",IFERROR(XLOOKUP($A783,SeedPlacement!$A$2:$A$1000,SeedPlacement!$N$2:$N$1000),0))</f>
        <v/>
      </c>
      <c r="J783" s="59" t="n"/>
    </row>
    <row r="784">
      <c r="A784" s="31">
        <f>IF(Members!$A784="","",Members!$A784)</f>
        <v/>
      </c>
      <c r="B784" s="31">
        <f>IF($A784="","",$I784+SUMIF(WeeklySummary!$B$2:$B$1000,$A784,WeeklySummary!$G$2:$G$1000))</f>
        <v/>
      </c>
      <c r="C784" s="31">
        <f>IF($B784="","",MIN(100,INT(SQRT($B784))))</f>
        <v/>
      </c>
      <c r="D784" s="31">
        <f>IF($C784="","",($C784+1)^2)</f>
        <v/>
      </c>
      <c r="E784" s="31">
        <f>IF($D784="","",$D784-$B784)</f>
        <v/>
      </c>
      <c r="F784" s="31">
        <f>IF($A784="","",SUMIF(MonthlySummary!$B$2:$B$1000,$A784,MonthlySummary!$E$2:$E$1000))</f>
        <v/>
      </c>
      <c r="G784" s="31" t="n">
        <v>0</v>
      </c>
      <c r="H784" s="31">
        <f>IF($A784="","",$F784-IF($G784="",0,$G784))</f>
        <v/>
      </c>
      <c r="I784" s="31">
        <f>IF($A784="","",IFERROR(XLOOKUP($A784,SeedPlacement!$A$2:$A$1000,SeedPlacement!$N$2:$N$1000),0))</f>
        <v/>
      </c>
      <c r="J784" s="59" t="n"/>
    </row>
    <row r="785">
      <c r="A785" s="31">
        <f>IF(Members!$A785="","",Members!$A785)</f>
        <v/>
      </c>
      <c r="B785" s="31">
        <f>IF($A785="","",$I785+SUMIF(WeeklySummary!$B$2:$B$1000,$A785,WeeklySummary!$G$2:$G$1000))</f>
        <v/>
      </c>
      <c r="C785" s="31">
        <f>IF($B785="","",MIN(100,INT(SQRT($B785))))</f>
        <v/>
      </c>
      <c r="D785" s="31">
        <f>IF($C785="","",($C785+1)^2)</f>
        <v/>
      </c>
      <c r="E785" s="31">
        <f>IF($D785="","",$D785-$B785)</f>
        <v/>
      </c>
      <c r="F785" s="31">
        <f>IF($A785="","",SUMIF(MonthlySummary!$B$2:$B$1000,$A785,MonthlySummary!$E$2:$E$1000))</f>
        <v/>
      </c>
      <c r="G785" s="31" t="n">
        <v>0</v>
      </c>
      <c r="H785" s="31">
        <f>IF($A785="","",$F785-IF($G785="",0,$G785))</f>
        <v/>
      </c>
      <c r="I785" s="31">
        <f>IF($A785="","",IFERROR(XLOOKUP($A785,SeedPlacement!$A$2:$A$1000,SeedPlacement!$N$2:$N$1000),0))</f>
        <v/>
      </c>
      <c r="J785" s="59" t="n"/>
    </row>
    <row r="786">
      <c r="A786" s="31">
        <f>IF(Members!$A786="","",Members!$A786)</f>
        <v/>
      </c>
      <c r="B786" s="31">
        <f>IF($A786="","",$I786+SUMIF(WeeklySummary!$B$2:$B$1000,$A786,WeeklySummary!$G$2:$G$1000))</f>
        <v/>
      </c>
      <c r="C786" s="31">
        <f>IF($B786="","",MIN(100,INT(SQRT($B786))))</f>
        <v/>
      </c>
      <c r="D786" s="31">
        <f>IF($C786="","",($C786+1)^2)</f>
        <v/>
      </c>
      <c r="E786" s="31">
        <f>IF($D786="","",$D786-$B786)</f>
        <v/>
      </c>
      <c r="F786" s="31">
        <f>IF($A786="","",SUMIF(MonthlySummary!$B$2:$B$1000,$A786,MonthlySummary!$E$2:$E$1000))</f>
        <v/>
      </c>
      <c r="G786" s="31" t="n">
        <v>0</v>
      </c>
      <c r="H786" s="31">
        <f>IF($A786="","",$F786-IF($G786="",0,$G786))</f>
        <v/>
      </c>
      <c r="I786" s="31">
        <f>IF($A786="","",IFERROR(XLOOKUP($A786,SeedPlacement!$A$2:$A$1000,SeedPlacement!$N$2:$N$1000),0))</f>
        <v/>
      </c>
      <c r="J786" s="59" t="n"/>
    </row>
    <row r="787">
      <c r="A787" s="31">
        <f>IF(Members!$A787="","",Members!$A787)</f>
        <v/>
      </c>
      <c r="B787" s="31">
        <f>IF($A787="","",$I787+SUMIF(WeeklySummary!$B$2:$B$1000,$A787,WeeklySummary!$G$2:$G$1000))</f>
        <v/>
      </c>
      <c r="C787" s="31">
        <f>IF($B787="","",MIN(100,INT(SQRT($B787))))</f>
        <v/>
      </c>
      <c r="D787" s="31">
        <f>IF($C787="","",($C787+1)^2)</f>
        <v/>
      </c>
      <c r="E787" s="31">
        <f>IF($D787="","",$D787-$B787)</f>
        <v/>
      </c>
      <c r="F787" s="31">
        <f>IF($A787="","",SUMIF(MonthlySummary!$B$2:$B$1000,$A787,MonthlySummary!$E$2:$E$1000))</f>
        <v/>
      </c>
      <c r="G787" s="31" t="n">
        <v>0</v>
      </c>
      <c r="H787" s="31">
        <f>IF($A787="","",$F787-IF($G787="",0,$G787))</f>
        <v/>
      </c>
      <c r="I787" s="31">
        <f>IF($A787="","",IFERROR(XLOOKUP($A787,SeedPlacement!$A$2:$A$1000,SeedPlacement!$N$2:$N$1000),0))</f>
        <v/>
      </c>
      <c r="J787" s="59" t="n"/>
    </row>
    <row r="788">
      <c r="A788" s="31">
        <f>IF(Members!$A788="","",Members!$A788)</f>
        <v/>
      </c>
      <c r="B788" s="31">
        <f>IF($A788="","",$I788+SUMIF(WeeklySummary!$B$2:$B$1000,$A788,WeeklySummary!$G$2:$G$1000))</f>
        <v/>
      </c>
      <c r="C788" s="31">
        <f>IF($B788="","",MIN(100,INT(SQRT($B788))))</f>
        <v/>
      </c>
      <c r="D788" s="31">
        <f>IF($C788="","",($C788+1)^2)</f>
        <v/>
      </c>
      <c r="E788" s="31">
        <f>IF($D788="","",$D788-$B788)</f>
        <v/>
      </c>
      <c r="F788" s="31">
        <f>IF($A788="","",SUMIF(MonthlySummary!$B$2:$B$1000,$A788,MonthlySummary!$E$2:$E$1000))</f>
        <v/>
      </c>
      <c r="G788" s="31" t="n">
        <v>0</v>
      </c>
      <c r="H788" s="31">
        <f>IF($A788="","",$F788-IF($G788="",0,$G788))</f>
        <v/>
      </c>
      <c r="I788" s="31">
        <f>IF($A788="","",IFERROR(XLOOKUP($A788,SeedPlacement!$A$2:$A$1000,SeedPlacement!$N$2:$N$1000),0))</f>
        <v/>
      </c>
      <c r="J788" s="59" t="n"/>
    </row>
    <row r="789">
      <c r="A789" s="31">
        <f>IF(Members!$A789="","",Members!$A789)</f>
        <v/>
      </c>
      <c r="B789" s="31">
        <f>IF($A789="","",$I789+SUMIF(WeeklySummary!$B$2:$B$1000,$A789,WeeklySummary!$G$2:$G$1000))</f>
        <v/>
      </c>
      <c r="C789" s="31">
        <f>IF($B789="","",MIN(100,INT(SQRT($B789))))</f>
        <v/>
      </c>
      <c r="D789" s="31">
        <f>IF($C789="","",($C789+1)^2)</f>
        <v/>
      </c>
      <c r="E789" s="31">
        <f>IF($D789="","",$D789-$B789)</f>
        <v/>
      </c>
      <c r="F789" s="31">
        <f>IF($A789="","",SUMIF(MonthlySummary!$B$2:$B$1000,$A789,MonthlySummary!$E$2:$E$1000))</f>
        <v/>
      </c>
      <c r="G789" s="31" t="n">
        <v>0</v>
      </c>
      <c r="H789" s="31">
        <f>IF($A789="","",$F789-IF($G789="",0,$G789))</f>
        <v/>
      </c>
      <c r="I789" s="31">
        <f>IF($A789="","",IFERROR(XLOOKUP($A789,SeedPlacement!$A$2:$A$1000,SeedPlacement!$N$2:$N$1000),0))</f>
        <v/>
      </c>
      <c r="J789" s="59" t="n"/>
    </row>
    <row r="790">
      <c r="A790" s="31">
        <f>IF(Members!$A790="","",Members!$A790)</f>
        <v/>
      </c>
      <c r="B790" s="31">
        <f>IF($A790="","",$I790+SUMIF(WeeklySummary!$B$2:$B$1000,$A790,WeeklySummary!$G$2:$G$1000))</f>
        <v/>
      </c>
      <c r="C790" s="31">
        <f>IF($B790="","",MIN(100,INT(SQRT($B790))))</f>
        <v/>
      </c>
      <c r="D790" s="31">
        <f>IF($C790="","",($C790+1)^2)</f>
        <v/>
      </c>
      <c r="E790" s="31">
        <f>IF($D790="","",$D790-$B790)</f>
        <v/>
      </c>
      <c r="F790" s="31">
        <f>IF($A790="","",SUMIF(MonthlySummary!$B$2:$B$1000,$A790,MonthlySummary!$E$2:$E$1000))</f>
        <v/>
      </c>
      <c r="G790" s="31" t="n">
        <v>0</v>
      </c>
      <c r="H790" s="31">
        <f>IF($A790="","",$F790-IF($G790="",0,$G790))</f>
        <v/>
      </c>
      <c r="I790" s="31">
        <f>IF($A790="","",IFERROR(XLOOKUP($A790,SeedPlacement!$A$2:$A$1000,SeedPlacement!$N$2:$N$1000),0))</f>
        <v/>
      </c>
      <c r="J790" s="59" t="n"/>
    </row>
    <row r="791">
      <c r="A791" s="31">
        <f>IF(Members!$A791="","",Members!$A791)</f>
        <v/>
      </c>
      <c r="B791" s="31">
        <f>IF($A791="","",$I791+SUMIF(WeeklySummary!$B$2:$B$1000,$A791,WeeklySummary!$G$2:$G$1000))</f>
        <v/>
      </c>
      <c r="C791" s="31">
        <f>IF($B791="","",MIN(100,INT(SQRT($B791))))</f>
        <v/>
      </c>
      <c r="D791" s="31">
        <f>IF($C791="","",($C791+1)^2)</f>
        <v/>
      </c>
      <c r="E791" s="31">
        <f>IF($D791="","",$D791-$B791)</f>
        <v/>
      </c>
      <c r="F791" s="31">
        <f>IF($A791="","",SUMIF(MonthlySummary!$B$2:$B$1000,$A791,MonthlySummary!$E$2:$E$1000))</f>
        <v/>
      </c>
      <c r="G791" s="31" t="n">
        <v>0</v>
      </c>
      <c r="H791" s="31">
        <f>IF($A791="","",$F791-IF($G791="",0,$G791))</f>
        <v/>
      </c>
      <c r="I791" s="31">
        <f>IF($A791="","",IFERROR(XLOOKUP($A791,SeedPlacement!$A$2:$A$1000,SeedPlacement!$N$2:$N$1000),0))</f>
        <v/>
      </c>
      <c r="J791" s="59" t="n"/>
    </row>
    <row r="792">
      <c r="A792" s="31">
        <f>IF(Members!$A792="","",Members!$A792)</f>
        <v/>
      </c>
      <c r="B792" s="31">
        <f>IF($A792="","",$I792+SUMIF(WeeklySummary!$B$2:$B$1000,$A792,WeeklySummary!$G$2:$G$1000))</f>
        <v/>
      </c>
      <c r="C792" s="31">
        <f>IF($B792="","",MIN(100,INT(SQRT($B792))))</f>
        <v/>
      </c>
      <c r="D792" s="31">
        <f>IF($C792="","",($C792+1)^2)</f>
        <v/>
      </c>
      <c r="E792" s="31">
        <f>IF($D792="","",$D792-$B792)</f>
        <v/>
      </c>
      <c r="F792" s="31">
        <f>IF($A792="","",SUMIF(MonthlySummary!$B$2:$B$1000,$A792,MonthlySummary!$E$2:$E$1000))</f>
        <v/>
      </c>
      <c r="G792" s="31" t="n">
        <v>0</v>
      </c>
      <c r="H792" s="31">
        <f>IF($A792="","",$F792-IF($G792="",0,$G792))</f>
        <v/>
      </c>
      <c r="I792" s="31">
        <f>IF($A792="","",IFERROR(XLOOKUP($A792,SeedPlacement!$A$2:$A$1000,SeedPlacement!$N$2:$N$1000),0))</f>
        <v/>
      </c>
      <c r="J792" s="59" t="n"/>
    </row>
    <row r="793">
      <c r="A793" s="31">
        <f>IF(Members!$A793="","",Members!$A793)</f>
        <v/>
      </c>
      <c r="B793" s="31">
        <f>IF($A793="","",$I793+SUMIF(WeeklySummary!$B$2:$B$1000,$A793,WeeklySummary!$G$2:$G$1000))</f>
        <v/>
      </c>
      <c r="C793" s="31">
        <f>IF($B793="","",MIN(100,INT(SQRT($B793))))</f>
        <v/>
      </c>
      <c r="D793" s="31">
        <f>IF($C793="","",($C793+1)^2)</f>
        <v/>
      </c>
      <c r="E793" s="31">
        <f>IF($D793="","",$D793-$B793)</f>
        <v/>
      </c>
      <c r="F793" s="31">
        <f>IF($A793="","",SUMIF(MonthlySummary!$B$2:$B$1000,$A793,MonthlySummary!$E$2:$E$1000))</f>
        <v/>
      </c>
      <c r="G793" s="31" t="n">
        <v>0</v>
      </c>
      <c r="H793" s="31">
        <f>IF($A793="","",$F793-IF($G793="",0,$G793))</f>
        <v/>
      </c>
      <c r="I793" s="31">
        <f>IF($A793="","",IFERROR(XLOOKUP($A793,SeedPlacement!$A$2:$A$1000,SeedPlacement!$N$2:$N$1000),0))</f>
        <v/>
      </c>
      <c r="J793" s="59" t="n"/>
    </row>
    <row r="794">
      <c r="A794" s="31">
        <f>IF(Members!$A794="","",Members!$A794)</f>
        <v/>
      </c>
      <c r="B794" s="31">
        <f>IF($A794="","",$I794+SUMIF(WeeklySummary!$B$2:$B$1000,$A794,WeeklySummary!$G$2:$G$1000))</f>
        <v/>
      </c>
      <c r="C794" s="31">
        <f>IF($B794="","",MIN(100,INT(SQRT($B794))))</f>
        <v/>
      </c>
      <c r="D794" s="31">
        <f>IF($C794="","",($C794+1)^2)</f>
        <v/>
      </c>
      <c r="E794" s="31">
        <f>IF($D794="","",$D794-$B794)</f>
        <v/>
      </c>
      <c r="F794" s="31">
        <f>IF($A794="","",SUMIF(MonthlySummary!$B$2:$B$1000,$A794,MonthlySummary!$E$2:$E$1000))</f>
        <v/>
      </c>
      <c r="G794" s="31" t="n">
        <v>0</v>
      </c>
      <c r="H794" s="31">
        <f>IF($A794="","",$F794-IF($G794="",0,$G794))</f>
        <v/>
      </c>
      <c r="I794" s="31">
        <f>IF($A794="","",IFERROR(XLOOKUP($A794,SeedPlacement!$A$2:$A$1000,SeedPlacement!$N$2:$N$1000),0))</f>
        <v/>
      </c>
      <c r="J794" s="59" t="n"/>
    </row>
    <row r="795">
      <c r="A795" s="31">
        <f>IF(Members!$A795="","",Members!$A795)</f>
        <v/>
      </c>
      <c r="B795" s="31">
        <f>IF($A795="","",$I795+SUMIF(WeeklySummary!$B$2:$B$1000,$A795,WeeklySummary!$G$2:$G$1000))</f>
        <v/>
      </c>
      <c r="C795" s="31">
        <f>IF($B795="","",MIN(100,INT(SQRT($B795))))</f>
        <v/>
      </c>
      <c r="D795" s="31">
        <f>IF($C795="","",($C795+1)^2)</f>
        <v/>
      </c>
      <c r="E795" s="31">
        <f>IF($D795="","",$D795-$B795)</f>
        <v/>
      </c>
      <c r="F795" s="31">
        <f>IF($A795="","",SUMIF(MonthlySummary!$B$2:$B$1000,$A795,MonthlySummary!$E$2:$E$1000))</f>
        <v/>
      </c>
      <c r="G795" s="31" t="n">
        <v>0</v>
      </c>
      <c r="H795" s="31">
        <f>IF($A795="","",$F795-IF($G795="",0,$G795))</f>
        <v/>
      </c>
      <c r="I795" s="31">
        <f>IF($A795="","",IFERROR(XLOOKUP($A795,SeedPlacement!$A$2:$A$1000,SeedPlacement!$N$2:$N$1000),0))</f>
        <v/>
      </c>
      <c r="J795" s="59" t="n"/>
    </row>
    <row r="796">
      <c r="A796" s="31">
        <f>IF(Members!$A796="","",Members!$A796)</f>
        <v/>
      </c>
      <c r="B796" s="31">
        <f>IF($A796="","",$I796+SUMIF(WeeklySummary!$B$2:$B$1000,$A796,WeeklySummary!$G$2:$G$1000))</f>
        <v/>
      </c>
      <c r="C796" s="31">
        <f>IF($B796="","",MIN(100,INT(SQRT($B796))))</f>
        <v/>
      </c>
      <c r="D796" s="31">
        <f>IF($C796="","",($C796+1)^2)</f>
        <v/>
      </c>
      <c r="E796" s="31">
        <f>IF($D796="","",$D796-$B796)</f>
        <v/>
      </c>
      <c r="F796" s="31">
        <f>IF($A796="","",SUMIF(MonthlySummary!$B$2:$B$1000,$A796,MonthlySummary!$E$2:$E$1000))</f>
        <v/>
      </c>
      <c r="G796" s="31" t="n">
        <v>0</v>
      </c>
      <c r="H796" s="31">
        <f>IF($A796="","",$F796-IF($G796="",0,$G796))</f>
        <v/>
      </c>
      <c r="I796" s="31">
        <f>IF($A796="","",IFERROR(XLOOKUP($A796,SeedPlacement!$A$2:$A$1000,SeedPlacement!$N$2:$N$1000),0))</f>
        <v/>
      </c>
      <c r="J796" s="59" t="n"/>
    </row>
    <row r="797">
      <c r="A797" s="31">
        <f>IF(Members!$A797="","",Members!$A797)</f>
        <v/>
      </c>
      <c r="B797" s="31">
        <f>IF($A797="","",$I797+SUMIF(WeeklySummary!$B$2:$B$1000,$A797,WeeklySummary!$G$2:$G$1000))</f>
        <v/>
      </c>
      <c r="C797" s="31">
        <f>IF($B797="","",MIN(100,INT(SQRT($B797))))</f>
        <v/>
      </c>
      <c r="D797" s="31">
        <f>IF($C797="","",($C797+1)^2)</f>
        <v/>
      </c>
      <c r="E797" s="31">
        <f>IF($D797="","",$D797-$B797)</f>
        <v/>
      </c>
      <c r="F797" s="31">
        <f>IF($A797="","",SUMIF(MonthlySummary!$B$2:$B$1000,$A797,MonthlySummary!$E$2:$E$1000))</f>
        <v/>
      </c>
      <c r="G797" s="31" t="n">
        <v>0</v>
      </c>
      <c r="H797" s="31">
        <f>IF($A797="","",$F797-IF($G797="",0,$G797))</f>
        <v/>
      </c>
      <c r="I797" s="31">
        <f>IF($A797="","",IFERROR(XLOOKUP($A797,SeedPlacement!$A$2:$A$1000,SeedPlacement!$N$2:$N$1000),0))</f>
        <v/>
      </c>
      <c r="J797" s="59" t="n"/>
    </row>
    <row r="798">
      <c r="A798" s="31">
        <f>IF(Members!$A798="","",Members!$A798)</f>
        <v/>
      </c>
      <c r="B798" s="31">
        <f>IF($A798="","",$I798+SUMIF(WeeklySummary!$B$2:$B$1000,$A798,WeeklySummary!$G$2:$G$1000))</f>
        <v/>
      </c>
      <c r="C798" s="31">
        <f>IF($B798="","",MIN(100,INT(SQRT($B798))))</f>
        <v/>
      </c>
      <c r="D798" s="31">
        <f>IF($C798="","",($C798+1)^2)</f>
        <v/>
      </c>
      <c r="E798" s="31">
        <f>IF($D798="","",$D798-$B798)</f>
        <v/>
      </c>
      <c r="F798" s="31">
        <f>IF($A798="","",SUMIF(MonthlySummary!$B$2:$B$1000,$A798,MonthlySummary!$E$2:$E$1000))</f>
        <v/>
      </c>
      <c r="G798" s="31" t="n">
        <v>0</v>
      </c>
      <c r="H798" s="31">
        <f>IF($A798="","",$F798-IF($G798="",0,$G798))</f>
        <v/>
      </c>
      <c r="I798" s="31">
        <f>IF($A798="","",IFERROR(XLOOKUP($A798,SeedPlacement!$A$2:$A$1000,SeedPlacement!$N$2:$N$1000),0))</f>
        <v/>
      </c>
      <c r="J798" s="59" t="n"/>
    </row>
    <row r="799">
      <c r="A799" s="31">
        <f>IF(Members!$A799="","",Members!$A799)</f>
        <v/>
      </c>
      <c r="B799" s="31">
        <f>IF($A799="","",$I799+SUMIF(WeeklySummary!$B$2:$B$1000,$A799,WeeklySummary!$G$2:$G$1000))</f>
        <v/>
      </c>
      <c r="C799" s="31">
        <f>IF($B799="","",MIN(100,INT(SQRT($B799))))</f>
        <v/>
      </c>
      <c r="D799" s="31">
        <f>IF($C799="","",($C799+1)^2)</f>
        <v/>
      </c>
      <c r="E799" s="31">
        <f>IF($D799="","",$D799-$B799)</f>
        <v/>
      </c>
      <c r="F799" s="31">
        <f>IF($A799="","",SUMIF(MonthlySummary!$B$2:$B$1000,$A799,MonthlySummary!$E$2:$E$1000))</f>
        <v/>
      </c>
      <c r="G799" s="31" t="n">
        <v>0</v>
      </c>
      <c r="H799" s="31">
        <f>IF($A799="","",$F799-IF($G799="",0,$G799))</f>
        <v/>
      </c>
      <c r="I799" s="31">
        <f>IF($A799="","",IFERROR(XLOOKUP($A799,SeedPlacement!$A$2:$A$1000,SeedPlacement!$N$2:$N$1000),0))</f>
        <v/>
      </c>
      <c r="J799" s="59" t="n"/>
    </row>
    <row r="800">
      <c r="A800" s="31">
        <f>IF(Members!$A800="","",Members!$A800)</f>
        <v/>
      </c>
      <c r="B800" s="31">
        <f>IF($A800="","",$I800+SUMIF(WeeklySummary!$B$2:$B$1000,$A800,WeeklySummary!$G$2:$G$1000))</f>
        <v/>
      </c>
      <c r="C800" s="31">
        <f>IF($B800="","",MIN(100,INT(SQRT($B800))))</f>
        <v/>
      </c>
      <c r="D800" s="31">
        <f>IF($C800="","",($C800+1)^2)</f>
        <v/>
      </c>
      <c r="E800" s="31">
        <f>IF($D800="","",$D800-$B800)</f>
        <v/>
      </c>
      <c r="F800" s="31">
        <f>IF($A800="","",SUMIF(MonthlySummary!$B$2:$B$1000,$A800,MonthlySummary!$E$2:$E$1000))</f>
        <v/>
      </c>
      <c r="G800" s="31" t="n">
        <v>0</v>
      </c>
      <c r="H800" s="31">
        <f>IF($A800="","",$F800-IF($G800="",0,$G800))</f>
        <v/>
      </c>
      <c r="I800" s="31">
        <f>IF($A800="","",IFERROR(XLOOKUP($A800,SeedPlacement!$A$2:$A$1000,SeedPlacement!$N$2:$N$1000),0))</f>
        <v/>
      </c>
      <c r="J800" s="59" t="n"/>
    </row>
    <row r="801">
      <c r="A801" s="31">
        <f>IF(Members!$A801="","",Members!$A801)</f>
        <v/>
      </c>
      <c r="B801" s="31">
        <f>IF($A801="","",$I801+SUMIF(WeeklySummary!$B$2:$B$1000,$A801,WeeklySummary!$G$2:$G$1000))</f>
        <v/>
      </c>
      <c r="C801" s="31">
        <f>IF($B801="","",MIN(100,INT(SQRT($B801))))</f>
        <v/>
      </c>
      <c r="D801" s="31">
        <f>IF($C801="","",($C801+1)^2)</f>
        <v/>
      </c>
      <c r="E801" s="31">
        <f>IF($D801="","",$D801-$B801)</f>
        <v/>
      </c>
      <c r="F801" s="31">
        <f>IF($A801="","",SUMIF(MonthlySummary!$B$2:$B$1000,$A801,MonthlySummary!$E$2:$E$1000))</f>
        <v/>
      </c>
      <c r="G801" s="31" t="n">
        <v>0</v>
      </c>
      <c r="H801" s="31">
        <f>IF($A801="","",$F801-IF($G801="",0,$G801))</f>
        <v/>
      </c>
      <c r="I801" s="31">
        <f>IF($A801="","",IFERROR(XLOOKUP($A801,SeedPlacement!$A$2:$A$1000,SeedPlacement!$N$2:$N$1000),0))</f>
        <v/>
      </c>
      <c r="J801" s="59" t="n"/>
    </row>
    <row r="802">
      <c r="A802" s="31">
        <f>IF(Members!$A802="","",Members!$A802)</f>
        <v/>
      </c>
      <c r="B802" s="31">
        <f>IF($A802="","",$I802+SUMIF(WeeklySummary!$B$2:$B$1000,$A802,WeeklySummary!$G$2:$G$1000))</f>
        <v/>
      </c>
      <c r="C802" s="31">
        <f>IF($B802="","",MIN(100,INT(SQRT($B802))))</f>
        <v/>
      </c>
      <c r="D802" s="31">
        <f>IF($C802="","",($C802+1)^2)</f>
        <v/>
      </c>
      <c r="E802" s="31">
        <f>IF($D802="","",$D802-$B802)</f>
        <v/>
      </c>
      <c r="F802" s="31">
        <f>IF($A802="","",SUMIF(MonthlySummary!$B$2:$B$1000,$A802,MonthlySummary!$E$2:$E$1000))</f>
        <v/>
      </c>
      <c r="G802" s="31" t="n">
        <v>0</v>
      </c>
      <c r="H802" s="31">
        <f>IF($A802="","",$F802-IF($G802="",0,$G802))</f>
        <v/>
      </c>
      <c r="I802" s="31">
        <f>IF($A802="","",IFERROR(XLOOKUP($A802,SeedPlacement!$A$2:$A$1000,SeedPlacement!$N$2:$N$1000),0))</f>
        <v/>
      </c>
      <c r="J802" s="59" t="n"/>
    </row>
    <row r="803">
      <c r="A803" s="31">
        <f>IF(Members!$A803="","",Members!$A803)</f>
        <v/>
      </c>
      <c r="B803" s="31">
        <f>IF($A803="","",$I803+SUMIF(WeeklySummary!$B$2:$B$1000,$A803,WeeklySummary!$G$2:$G$1000))</f>
        <v/>
      </c>
      <c r="C803" s="31">
        <f>IF($B803="","",MIN(100,INT(SQRT($B803))))</f>
        <v/>
      </c>
      <c r="D803" s="31">
        <f>IF($C803="","",($C803+1)^2)</f>
        <v/>
      </c>
      <c r="E803" s="31">
        <f>IF($D803="","",$D803-$B803)</f>
        <v/>
      </c>
      <c r="F803" s="31">
        <f>IF($A803="","",SUMIF(MonthlySummary!$B$2:$B$1000,$A803,MonthlySummary!$E$2:$E$1000))</f>
        <v/>
      </c>
      <c r="G803" s="31" t="n">
        <v>0</v>
      </c>
      <c r="H803" s="31">
        <f>IF($A803="","",$F803-IF($G803="",0,$G803))</f>
        <v/>
      </c>
      <c r="I803" s="31">
        <f>IF($A803="","",IFERROR(XLOOKUP($A803,SeedPlacement!$A$2:$A$1000,SeedPlacement!$N$2:$N$1000),0))</f>
        <v/>
      </c>
      <c r="J803" s="59" t="n"/>
    </row>
    <row r="804">
      <c r="A804" s="31">
        <f>IF(Members!$A804="","",Members!$A804)</f>
        <v/>
      </c>
      <c r="B804" s="31">
        <f>IF($A804="","",$I804+SUMIF(WeeklySummary!$B$2:$B$1000,$A804,WeeklySummary!$G$2:$G$1000))</f>
        <v/>
      </c>
      <c r="C804" s="31">
        <f>IF($B804="","",MIN(100,INT(SQRT($B804))))</f>
        <v/>
      </c>
      <c r="D804" s="31">
        <f>IF($C804="","",($C804+1)^2)</f>
        <v/>
      </c>
      <c r="E804" s="31">
        <f>IF($D804="","",$D804-$B804)</f>
        <v/>
      </c>
      <c r="F804" s="31">
        <f>IF($A804="","",SUMIF(MonthlySummary!$B$2:$B$1000,$A804,MonthlySummary!$E$2:$E$1000))</f>
        <v/>
      </c>
      <c r="G804" s="31" t="n">
        <v>0</v>
      </c>
      <c r="H804" s="31">
        <f>IF($A804="","",$F804-IF($G804="",0,$G804))</f>
        <v/>
      </c>
      <c r="I804" s="31">
        <f>IF($A804="","",IFERROR(XLOOKUP($A804,SeedPlacement!$A$2:$A$1000,SeedPlacement!$N$2:$N$1000),0))</f>
        <v/>
      </c>
      <c r="J804" s="59" t="n"/>
    </row>
    <row r="805">
      <c r="A805" s="31">
        <f>IF(Members!$A805="","",Members!$A805)</f>
        <v/>
      </c>
      <c r="B805" s="31">
        <f>IF($A805="","",$I805+SUMIF(WeeklySummary!$B$2:$B$1000,$A805,WeeklySummary!$G$2:$G$1000))</f>
        <v/>
      </c>
      <c r="C805" s="31">
        <f>IF($B805="","",MIN(100,INT(SQRT($B805))))</f>
        <v/>
      </c>
      <c r="D805" s="31">
        <f>IF($C805="","",($C805+1)^2)</f>
        <v/>
      </c>
      <c r="E805" s="31">
        <f>IF($D805="","",$D805-$B805)</f>
        <v/>
      </c>
      <c r="F805" s="31">
        <f>IF($A805="","",SUMIF(MonthlySummary!$B$2:$B$1000,$A805,MonthlySummary!$E$2:$E$1000))</f>
        <v/>
      </c>
      <c r="G805" s="31" t="n">
        <v>0</v>
      </c>
      <c r="H805" s="31">
        <f>IF($A805="","",$F805-IF($G805="",0,$G805))</f>
        <v/>
      </c>
      <c r="I805" s="31">
        <f>IF($A805="","",IFERROR(XLOOKUP($A805,SeedPlacement!$A$2:$A$1000,SeedPlacement!$N$2:$N$1000),0))</f>
        <v/>
      </c>
      <c r="J805" s="59" t="n"/>
    </row>
    <row r="806">
      <c r="A806" s="31">
        <f>IF(Members!$A806="","",Members!$A806)</f>
        <v/>
      </c>
      <c r="B806" s="31">
        <f>IF($A806="","",$I806+SUMIF(WeeklySummary!$B$2:$B$1000,$A806,WeeklySummary!$G$2:$G$1000))</f>
        <v/>
      </c>
      <c r="C806" s="31">
        <f>IF($B806="","",MIN(100,INT(SQRT($B806))))</f>
        <v/>
      </c>
      <c r="D806" s="31">
        <f>IF($C806="","",($C806+1)^2)</f>
        <v/>
      </c>
      <c r="E806" s="31">
        <f>IF($D806="","",$D806-$B806)</f>
        <v/>
      </c>
      <c r="F806" s="31">
        <f>IF($A806="","",SUMIF(MonthlySummary!$B$2:$B$1000,$A806,MonthlySummary!$E$2:$E$1000))</f>
        <v/>
      </c>
      <c r="G806" s="31" t="n">
        <v>0</v>
      </c>
      <c r="H806" s="31">
        <f>IF($A806="","",$F806-IF($G806="",0,$G806))</f>
        <v/>
      </c>
      <c r="I806" s="31">
        <f>IF($A806="","",IFERROR(XLOOKUP($A806,SeedPlacement!$A$2:$A$1000,SeedPlacement!$N$2:$N$1000),0))</f>
        <v/>
      </c>
      <c r="J806" s="59" t="n"/>
    </row>
    <row r="807">
      <c r="A807" s="31">
        <f>IF(Members!$A807="","",Members!$A807)</f>
        <v/>
      </c>
      <c r="B807" s="31">
        <f>IF($A807="","",$I807+SUMIF(WeeklySummary!$B$2:$B$1000,$A807,WeeklySummary!$G$2:$G$1000))</f>
        <v/>
      </c>
      <c r="C807" s="31">
        <f>IF($B807="","",MIN(100,INT(SQRT($B807))))</f>
        <v/>
      </c>
      <c r="D807" s="31">
        <f>IF($C807="","",($C807+1)^2)</f>
        <v/>
      </c>
      <c r="E807" s="31">
        <f>IF($D807="","",$D807-$B807)</f>
        <v/>
      </c>
      <c r="F807" s="31">
        <f>IF($A807="","",SUMIF(MonthlySummary!$B$2:$B$1000,$A807,MonthlySummary!$E$2:$E$1000))</f>
        <v/>
      </c>
      <c r="G807" s="31" t="n">
        <v>0</v>
      </c>
      <c r="H807" s="31">
        <f>IF($A807="","",$F807-IF($G807="",0,$G807))</f>
        <v/>
      </c>
      <c r="I807" s="31">
        <f>IF($A807="","",IFERROR(XLOOKUP($A807,SeedPlacement!$A$2:$A$1000,SeedPlacement!$N$2:$N$1000),0))</f>
        <v/>
      </c>
      <c r="J807" s="59" t="n"/>
    </row>
    <row r="808">
      <c r="A808" s="31">
        <f>IF(Members!$A808="","",Members!$A808)</f>
        <v/>
      </c>
      <c r="B808" s="31">
        <f>IF($A808="","",$I808+SUMIF(WeeklySummary!$B$2:$B$1000,$A808,WeeklySummary!$G$2:$G$1000))</f>
        <v/>
      </c>
      <c r="C808" s="31">
        <f>IF($B808="","",MIN(100,INT(SQRT($B808))))</f>
        <v/>
      </c>
      <c r="D808" s="31">
        <f>IF($C808="","",($C808+1)^2)</f>
        <v/>
      </c>
      <c r="E808" s="31">
        <f>IF($D808="","",$D808-$B808)</f>
        <v/>
      </c>
      <c r="F808" s="31">
        <f>IF($A808="","",SUMIF(MonthlySummary!$B$2:$B$1000,$A808,MonthlySummary!$E$2:$E$1000))</f>
        <v/>
      </c>
      <c r="G808" s="31" t="n">
        <v>0</v>
      </c>
      <c r="H808" s="31">
        <f>IF($A808="","",$F808-IF($G808="",0,$G808))</f>
        <v/>
      </c>
      <c r="I808" s="31">
        <f>IF($A808="","",IFERROR(XLOOKUP($A808,SeedPlacement!$A$2:$A$1000,SeedPlacement!$N$2:$N$1000),0))</f>
        <v/>
      </c>
      <c r="J808" s="59" t="n"/>
    </row>
    <row r="809">
      <c r="A809" s="31">
        <f>IF(Members!$A809="","",Members!$A809)</f>
        <v/>
      </c>
      <c r="B809" s="31">
        <f>IF($A809="","",$I809+SUMIF(WeeklySummary!$B$2:$B$1000,$A809,WeeklySummary!$G$2:$G$1000))</f>
        <v/>
      </c>
      <c r="C809" s="31">
        <f>IF($B809="","",MIN(100,INT(SQRT($B809))))</f>
        <v/>
      </c>
      <c r="D809" s="31">
        <f>IF($C809="","",($C809+1)^2)</f>
        <v/>
      </c>
      <c r="E809" s="31">
        <f>IF($D809="","",$D809-$B809)</f>
        <v/>
      </c>
      <c r="F809" s="31">
        <f>IF($A809="","",SUMIF(MonthlySummary!$B$2:$B$1000,$A809,MonthlySummary!$E$2:$E$1000))</f>
        <v/>
      </c>
      <c r="G809" s="31" t="n">
        <v>0</v>
      </c>
      <c r="H809" s="31">
        <f>IF($A809="","",$F809-IF($G809="",0,$G809))</f>
        <v/>
      </c>
      <c r="I809" s="31">
        <f>IF($A809="","",IFERROR(XLOOKUP($A809,SeedPlacement!$A$2:$A$1000,SeedPlacement!$N$2:$N$1000),0))</f>
        <v/>
      </c>
      <c r="J809" s="59" t="n"/>
    </row>
    <row r="810">
      <c r="A810" s="31">
        <f>IF(Members!$A810="","",Members!$A810)</f>
        <v/>
      </c>
      <c r="B810" s="31">
        <f>IF($A810="","",$I810+SUMIF(WeeklySummary!$B$2:$B$1000,$A810,WeeklySummary!$G$2:$G$1000))</f>
        <v/>
      </c>
      <c r="C810" s="31">
        <f>IF($B810="","",MIN(100,INT(SQRT($B810))))</f>
        <v/>
      </c>
      <c r="D810" s="31">
        <f>IF($C810="","",($C810+1)^2)</f>
        <v/>
      </c>
      <c r="E810" s="31">
        <f>IF($D810="","",$D810-$B810)</f>
        <v/>
      </c>
      <c r="F810" s="31">
        <f>IF($A810="","",SUMIF(MonthlySummary!$B$2:$B$1000,$A810,MonthlySummary!$E$2:$E$1000))</f>
        <v/>
      </c>
      <c r="G810" s="31" t="n">
        <v>0</v>
      </c>
      <c r="H810" s="31">
        <f>IF($A810="","",$F810-IF($G810="",0,$G810))</f>
        <v/>
      </c>
      <c r="I810" s="31">
        <f>IF($A810="","",IFERROR(XLOOKUP($A810,SeedPlacement!$A$2:$A$1000,SeedPlacement!$N$2:$N$1000),0))</f>
        <v/>
      </c>
      <c r="J810" s="59" t="n"/>
    </row>
    <row r="811">
      <c r="A811" s="31">
        <f>IF(Members!$A811="","",Members!$A811)</f>
        <v/>
      </c>
      <c r="B811" s="31">
        <f>IF($A811="","",$I811+SUMIF(WeeklySummary!$B$2:$B$1000,$A811,WeeklySummary!$G$2:$G$1000))</f>
        <v/>
      </c>
      <c r="C811" s="31">
        <f>IF($B811="","",MIN(100,INT(SQRT($B811))))</f>
        <v/>
      </c>
      <c r="D811" s="31">
        <f>IF($C811="","",($C811+1)^2)</f>
        <v/>
      </c>
      <c r="E811" s="31">
        <f>IF($D811="","",$D811-$B811)</f>
        <v/>
      </c>
      <c r="F811" s="31">
        <f>IF($A811="","",SUMIF(MonthlySummary!$B$2:$B$1000,$A811,MonthlySummary!$E$2:$E$1000))</f>
        <v/>
      </c>
      <c r="G811" s="31" t="n">
        <v>0</v>
      </c>
      <c r="H811" s="31">
        <f>IF($A811="","",$F811-IF($G811="",0,$G811))</f>
        <v/>
      </c>
      <c r="I811" s="31">
        <f>IF($A811="","",IFERROR(XLOOKUP($A811,SeedPlacement!$A$2:$A$1000,SeedPlacement!$N$2:$N$1000),0))</f>
        <v/>
      </c>
      <c r="J811" s="59" t="n"/>
    </row>
    <row r="812">
      <c r="A812" s="31">
        <f>IF(Members!$A812="","",Members!$A812)</f>
        <v/>
      </c>
      <c r="B812" s="31">
        <f>IF($A812="","",$I812+SUMIF(WeeklySummary!$B$2:$B$1000,$A812,WeeklySummary!$G$2:$G$1000))</f>
        <v/>
      </c>
      <c r="C812" s="31">
        <f>IF($B812="","",MIN(100,INT(SQRT($B812))))</f>
        <v/>
      </c>
      <c r="D812" s="31">
        <f>IF($C812="","",($C812+1)^2)</f>
        <v/>
      </c>
      <c r="E812" s="31">
        <f>IF($D812="","",$D812-$B812)</f>
        <v/>
      </c>
      <c r="F812" s="31">
        <f>IF($A812="","",SUMIF(MonthlySummary!$B$2:$B$1000,$A812,MonthlySummary!$E$2:$E$1000))</f>
        <v/>
      </c>
      <c r="G812" s="31" t="n">
        <v>0</v>
      </c>
      <c r="H812" s="31">
        <f>IF($A812="","",$F812-IF($G812="",0,$G812))</f>
        <v/>
      </c>
      <c r="I812" s="31">
        <f>IF($A812="","",IFERROR(XLOOKUP($A812,SeedPlacement!$A$2:$A$1000,SeedPlacement!$N$2:$N$1000),0))</f>
        <v/>
      </c>
      <c r="J812" s="59" t="n"/>
    </row>
    <row r="813">
      <c r="A813" s="31">
        <f>IF(Members!$A813="","",Members!$A813)</f>
        <v/>
      </c>
      <c r="B813" s="31">
        <f>IF($A813="","",$I813+SUMIF(WeeklySummary!$B$2:$B$1000,$A813,WeeklySummary!$G$2:$G$1000))</f>
        <v/>
      </c>
      <c r="C813" s="31">
        <f>IF($B813="","",MIN(100,INT(SQRT($B813))))</f>
        <v/>
      </c>
      <c r="D813" s="31">
        <f>IF($C813="","",($C813+1)^2)</f>
        <v/>
      </c>
      <c r="E813" s="31">
        <f>IF($D813="","",$D813-$B813)</f>
        <v/>
      </c>
      <c r="F813" s="31">
        <f>IF($A813="","",SUMIF(MonthlySummary!$B$2:$B$1000,$A813,MonthlySummary!$E$2:$E$1000))</f>
        <v/>
      </c>
      <c r="G813" s="31" t="n">
        <v>0</v>
      </c>
      <c r="H813" s="31">
        <f>IF($A813="","",$F813-IF($G813="",0,$G813))</f>
        <v/>
      </c>
      <c r="I813" s="31">
        <f>IF($A813="","",IFERROR(XLOOKUP($A813,SeedPlacement!$A$2:$A$1000,SeedPlacement!$N$2:$N$1000),0))</f>
        <v/>
      </c>
      <c r="J813" s="59" t="n"/>
    </row>
    <row r="814">
      <c r="A814" s="31">
        <f>IF(Members!$A814="","",Members!$A814)</f>
        <v/>
      </c>
      <c r="B814" s="31">
        <f>IF($A814="","",$I814+SUMIF(WeeklySummary!$B$2:$B$1000,$A814,WeeklySummary!$G$2:$G$1000))</f>
        <v/>
      </c>
      <c r="C814" s="31">
        <f>IF($B814="","",MIN(100,INT(SQRT($B814))))</f>
        <v/>
      </c>
      <c r="D814" s="31">
        <f>IF($C814="","",($C814+1)^2)</f>
        <v/>
      </c>
      <c r="E814" s="31">
        <f>IF($D814="","",$D814-$B814)</f>
        <v/>
      </c>
      <c r="F814" s="31">
        <f>IF($A814="","",SUMIF(MonthlySummary!$B$2:$B$1000,$A814,MonthlySummary!$E$2:$E$1000))</f>
        <v/>
      </c>
      <c r="G814" s="31" t="n">
        <v>0</v>
      </c>
      <c r="H814" s="31">
        <f>IF($A814="","",$F814-IF($G814="",0,$G814))</f>
        <v/>
      </c>
      <c r="I814" s="31">
        <f>IF($A814="","",IFERROR(XLOOKUP($A814,SeedPlacement!$A$2:$A$1000,SeedPlacement!$N$2:$N$1000),0))</f>
        <v/>
      </c>
      <c r="J814" s="59" t="n"/>
    </row>
    <row r="815">
      <c r="A815" s="31">
        <f>IF(Members!$A815="","",Members!$A815)</f>
        <v/>
      </c>
      <c r="B815" s="31">
        <f>IF($A815="","",$I815+SUMIF(WeeklySummary!$B$2:$B$1000,$A815,WeeklySummary!$G$2:$G$1000))</f>
        <v/>
      </c>
      <c r="C815" s="31">
        <f>IF($B815="","",MIN(100,INT(SQRT($B815))))</f>
        <v/>
      </c>
      <c r="D815" s="31">
        <f>IF($C815="","",($C815+1)^2)</f>
        <v/>
      </c>
      <c r="E815" s="31">
        <f>IF($D815="","",$D815-$B815)</f>
        <v/>
      </c>
      <c r="F815" s="31">
        <f>IF($A815="","",SUMIF(MonthlySummary!$B$2:$B$1000,$A815,MonthlySummary!$E$2:$E$1000))</f>
        <v/>
      </c>
      <c r="G815" s="31" t="n">
        <v>0</v>
      </c>
      <c r="H815" s="31">
        <f>IF($A815="","",$F815-IF($G815="",0,$G815))</f>
        <v/>
      </c>
      <c r="I815" s="31">
        <f>IF($A815="","",IFERROR(XLOOKUP($A815,SeedPlacement!$A$2:$A$1000,SeedPlacement!$N$2:$N$1000),0))</f>
        <v/>
      </c>
      <c r="J815" s="59" t="n"/>
    </row>
    <row r="816">
      <c r="A816" s="31">
        <f>IF(Members!$A816="","",Members!$A816)</f>
        <v/>
      </c>
      <c r="B816" s="31">
        <f>IF($A816="","",$I816+SUMIF(WeeklySummary!$B$2:$B$1000,$A816,WeeklySummary!$G$2:$G$1000))</f>
        <v/>
      </c>
      <c r="C816" s="31">
        <f>IF($B816="","",MIN(100,INT(SQRT($B816))))</f>
        <v/>
      </c>
      <c r="D816" s="31">
        <f>IF($C816="","",($C816+1)^2)</f>
        <v/>
      </c>
      <c r="E816" s="31">
        <f>IF($D816="","",$D816-$B816)</f>
        <v/>
      </c>
      <c r="F816" s="31">
        <f>IF($A816="","",SUMIF(MonthlySummary!$B$2:$B$1000,$A816,MonthlySummary!$E$2:$E$1000))</f>
        <v/>
      </c>
      <c r="G816" s="31" t="n">
        <v>0</v>
      </c>
      <c r="H816" s="31">
        <f>IF($A816="","",$F816-IF($G816="",0,$G816))</f>
        <v/>
      </c>
      <c r="I816" s="31">
        <f>IF($A816="","",IFERROR(XLOOKUP($A816,SeedPlacement!$A$2:$A$1000,SeedPlacement!$N$2:$N$1000),0))</f>
        <v/>
      </c>
      <c r="J816" s="59" t="n"/>
    </row>
    <row r="817">
      <c r="A817" s="31">
        <f>IF(Members!$A817="","",Members!$A817)</f>
        <v/>
      </c>
      <c r="B817" s="31">
        <f>IF($A817="","",$I817+SUMIF(WeeklySummary!$B$2:$B$1000,$A817,WeeklySummary!$G$2:$G$1000))</f>
        <v/>
      </c>
      <c r="C817" s="31">
        <f>IF($B817="","",MIN(100,INT(SQRT($B817))))</f>
        <v/>
      </c>
      <c r="D817" s="31">
        <f>IF($C817="","",($C817+1)^2)</f>
        <v/>
      </c>
      <c r="E817" s="31">
        <f>IF($D817="","",$D817-$B817)</f>
        <v/>
      </c>
      <c r="F817" s="31">
        <f>IF($A817="","",SUMIF(MonthlySummary!$B$2:$B$1000,$A817,MonthlySummary!$E$2:$E$1000))</f>
        <v/>
      </c>
      <c r="G817" s="31" t="n">
        <v>0</v>
      </c>
      <c r="H817" s="31">
        <f>IF($A817="","",$F817-IF($G817="",0,$G817))</f>
        <v/>
      </c>
      <c r="I817" s="31">
        <f>IF($A817="","",IFERROR(XLOOKUP($A817,SeedPlacement!$A$2:$A$1000,SeedPlacement!$N$2:$N$1000),0))</f>
        <v/>
      </c>
      <c r="J817" s="59" t="n"/>
    </row>
    <row r="818">
      <c r="A818" s="31">
        <f>IF(Members!$A818="","",Members!$A818)</f>
        <v/>
      </c>
      <c r="B818" s="31">
        <f>IF($A818="","",$I818+SUMIF(WeeklySummary!$B$2:$B$1000,$A818,WeeklySummary!$G$2:$G$1000))</f>
        <v/>
      </c>
      <c r="C818" s="31">
        <f>IF($B818="","",MIN(100,INT(SQRT($B818))))</f>
        <v/>
      </c>
      <c r="D818" s="31">
        <f>IF($C818="","",($C818+1)^2)</f>
        <v/>
      </c>
      <c r="E818" s="31">
        <f>IF($D818="","",$D818-$B818)</f>
        <v/>
      </c>
      <c r="F818" s="31">
        <f>IF($A818="","",SUMIF(MonthlySummary!$B$2:$B$1000,$A818,MonthlySummary!$E$2:$E$1000))</f>
        <v/>
      </c>
      <c r="G818" s="31" t="n">
        <v>0</v>
      </c>
      <c r="H818" s="31">
        <f>IF($A818="","",$F818-IF($G818="",0,$G818))</f>
        <v/>
      </c>
      <c r="I818" s="31">
        <f>IF($A818="","",IFERROR(XLOOKUP($A818,SeedPlacement!$A$2:$A$1000,SeedPlacement!$N$2:$N$1000),0))</f>
        <v/>
      </c>
      <c r="J818" s="59" t="n"/>
    </row>
    <row r="819">
      <c r="A819" s="31">
        <f>IF(Members!$A819="","",Members!$A819)</f>
        <v/>
      </c>
      <c r="B819" s="31">
        <f>IF($A819="","",$I819+SUMIF(WeeklySummary!$B$2:$B$1000,$A819,WeeklySummary!$G$2:$G$1000))</f>
        <v/>
      </c>
      <c r="C819" s="31">
        <f>IF($B819="","",MIN(100,INT(SQRT($B819))))</f>
        <v/>
      </c>
      <c r="D819" s="31">
        <f>IF($C819="","",($C819+1)^2)</f>
        <v/>
      </c>
      <c r="E819" s="31">
        <f>IF($D819="","",$D819-$B819)</f>
        <v/>
      </c>
      <c r="F819" s="31">
        <f>IF($A819="","",SUMIF(MonthlySummary!$B$2:$B$1000,$A819,MonthlySummary!$E$2:$E$1000))</f>
        <v/>
      </c>
      <c r="G819" s="31" t="n">
        <v>0</v>
      </c>
      <c r="H819" s="31">
        <f>IF($A819="","",$F819-IF($G819="",0,$G819))</f>
        <v/>
      </c>
      <c r="I819" s="31">
        <f>IF($A819="","",IFERROR(XLOOKUP($A819,SeedPlacement!$A$2:$A$1000,SeedPlacement!$N$2:$N$1000),0))</f>
        <v/>
      </c>
      <c r="J819" s="59" t="n"/>
    </row>
    <row r="820">
      <c r="A820" s="31">
        <f>IF(Members!$A820="","",Members!$A820)</f>
        <v/>
      </c>
      <c r="B820" s="31">
        <f>IF($A820="","",$I820+SUMIF(WeeklySummary!$B$2:$B$1000,$A820,WeeklySummary!$G$2:$G$1000))</f>
        <v/>
      </c>
      <c r="C820" s="31">
        <f>IF($B820="","",MIN(100,INT(SQRT($B820))))</f>
        <v/>
      </c>
      <c r="D820" s="31">
        <f>IF($C820="","",($C820+1)^2)</f>
        <v/>
      </c>
      <c r="E820" s="31">
        <f>IF($D820="","",$D820-$B820)</f>
        <v/>
      </c>
      <c r="F820" s="31">
        <f>IF($A820="","",SUMIF(MonthlySummary!$B$2:$B$1000,$A820,MonthlySummary!$E$2:$E$1000))</f>
        <v/>
      </c>
      <c r="G820" s="31" t="n">
        <v>0</v>
      </c>
      <c r="H820" s="31">
        <f>IF($A820="","",$F820-IF($G820="",0,$G820))</f>
        <v/>
      </c>
      <c r="I820" s="31">
        <f>IF($A820="","",IFERROR(XLOOKUP($A820,SeedPlacement!$A$2:$A$1000,SeedPlacement!$N$2:$N$1000),0))</f>
        <v/>
      </c>
      <c r="J820" s="59" t="n"/>
    </row>
    <row r="821">
      <c r="A821" s="31">
        <f>IF(Members!$A821="","",Members!$A821)</f>
        <v/>
      </c>
      <c r="B821" s="31">
        <f>IF($A821="","",$I821+SUMIF(WeeklySummary!$B$2:$B$1000,$A821,WeeklySummary!$G$2:$G$1000))</f>
        <v/>
      </c>
      <c r="C821" s="31">
        <f>IF($B821="","",MIN(100,INT(SQRT($B821))))</f>
        <v/>
      </c>
      <c r="D821" s="31">
        <f>IF($C821="","",($C821+1)^2)</f>
        <v/>
      </c>
      <c r="E821" s="31">
        <f>IF($D821="","",$D821-$B821)</f>
        <v/>
      </c>
      <c r="F821" s="31">
        <f>IF($A821="","",SUMIF(MonthlySummary!$B$2:$B$1000,$A821,MonthlySummary!$E$2:$E$1000))</f>
        <v/>
      </c>
      <c r="G821" s="31" t="n">
        <v>0</v>
      </c>
      <c r="H821" s="31">
        <f>IF($A821="","",$F821-IF($G821="",0,$G821))</f>
        <v/>
      </c>
      <c r="I821" s="31">
        <f>IF($A821="","",IFERROR(XLOOKUP($A821,SeedPlacement!$A$2:$A$1000,SeedPlacement!$N$2:$N$1000),0))</f>
        <v/>
      </c>
      <c r="J821" s="59" t="n"/>
    </row>
    <row r="822">
      <c r="A822" s="31">
        <f>IF(Members!$A822="","",Members!$A822)</f>
        <v/>
      </c>
      <c r="B822" s="31">
        <f>IF($A822="","",$I822+SUMIF(WeeklySummary!$B$2:$B$1000,$A822,WeeklySummary!$G$2:$G$1000))</f>
        <v/>
      </c>
      <c r="C822" s="31">
        <f>IF($B822="","",MIN(100,INT(SQRT($B822))))</f>
        <v/>
      </c>
      <c r="D822" s="31">
        <f>IF($C822="","",($C822+1)^2)</f>
        <v/>
      </c>
      <c r="E822" s="31">
        <f>IF($D822="","",$D822-$B822)</f>
        <v/>
      </c>
      <c r="F822" s="31">
        <f>IF($A822="","",SUMIF(MonthlySummary!$B$2:$B$1000,$A822,MonthlySummary!$E$2:$E$1000))</f>
        <v/>
      </c>
      <c r="G822" s="31" t="n">
        <v>0</v>
      </c>
      <c r="H822" s="31">
        <f>IF($A822="","",$F822-IF($G822="",0,$G822))</f>
        <v/>
      </c>
      <c r="I822" s="31">
        <f>IF($A822="","",IFERROR(XLOOKUP($A822,SeedPlacement!$A$2:$A$1000,SeedPlacement!$N$2:$N$1000),0))</f>
        <v/>
      </c>
      <c r="J822" s="59" t="n"/>
    </row>
    <row r="823">
      <c r="A823" s="31">
        <f>IF(Members!$A823="","",Members!$A823)</f>
        <v/>
      </c>
      <c r="B823" s="31">
        <f>IF($A823="","",$I823+SUMIF(WeeklySummary!$B$2:$B$1000,$A823,WeeklySummary!$G$2:$G$1000))</f>
        <v/>
      </c>
      <c r="C823" s="31">
        <f>IF($B823="","",MIN(100,INT(SQRT($B823))))</f>
        <v/>
      </c>
      <c r="D823" s="31">
        <f>IF($C823="","",($C823+1)^2)</f>
        <v/>
      </c>
      <c r="E823" s="31">
        <f>IF($D823="","",$D823-$B823)</f>
        <v/>
      </c>
      <c r="F823" s="31">
        <f>IF($A823="","",SUMIF(MonthlySummary!$B$2:$B$1000,$A823,MonthlySummary!$E$2:$E$1000))</f>
        <v/>
      </c>
      <c r="G823" s="31" t="n">
        <v>0</v>
      </c>
      <c r="H823" s="31">
        <f>IF($A823="","",$F823-IF($G823="",0,$G823))</f>
        <v/>
      </c>
      <c r="I823" s="31">
        <f>IF($A823="","",IFERROR(XLOOKUP($A823,SeedPlacement!$A$2:$A$1000,SeedPlacement!$N$2:$N$1000),0))</f>
        <v/>
      </c>
      <c r="J823" s="59" t="n"/>
    </row>
    <row r="824">
      <c r="A824" s="31">
        <f>IF(Members!$A824="","",Members!$A824)</f>
        <v/>
      </c>
      <c r="B824" s="31">
        <f>IF($A824="","",$I824+SUMIF(WeeklySummary!$B$2:$B$1000,$A824,WeeklySummary!$G$2:$G$1000))</f>
        <v/>
      </c>
      <c r="C824" s="31">
        <f>IF($B824="","",MIN(100,INT(SQRT($B824))))</f>
        <v/>
      </c>
      <c r="D824" s="31">
        <f>IF($C824="","",($C824+1)^2)</f>
        <v/>
      </c>
      <c r="E824" s="31">
        <f>IF($D824="","",$D824-$B824)</f>
        <v/>
      </c>
      <c r="F824" s="31">
        <f>IF($A824="","",SUMIF(MonthlySummary!$B$2:$B$1000,$A824,MonthlySummary!$E$2:$E$1000))</f>
        <v/>
      </c>
      <c r="G824" s="31" t="n">
        <v>0</v>
      </c>
      <c r="H824" s="31">
        <f>IF($A824="","",$F824-IF($G824="",0,$G824))</f>
        <v/>
      </c>
      <c r="I824" s="31">
        <f>IF($A824="","",IFERROR(XLOOKUP($A824,SeedPlacement!$A$2:$A$1000,SeedPlacement!$N$2:$N$1000),0))</f>
        <v/>
      </c>
      <c r="J824" s="59" t="n"/>
    </row>
    <row r="825">
      <c r="A825" s="31">
        <f>IF(Members!$A825="","",Members!$A825)</f>
        <v/>
      </c>
      <c r="B825" s="31">
        <f>IF($A825="","",$I825+SUMIF(WeeklySummary!$B$2:$B$1000,$A825,WeeklySummary!$G$2:$G$1000))</f>
        <v/>
      </c>
      <c r="C825" s="31">
        <f>IF($B825="","",MIN(100,INT(SQRT($B825))))</f>
        <v/>
      </c>
      <c r="D825" s="31">
        <f>IF($C825="","",($C825+1)^2)</f>
        <v/>
      </c>
      <c r="E825" s="31">
        <f>IF($D825="","",$D825-$B825)</f>
        <v/>
      </c>
      <c r="F825" s="31">
        <f>IF($A825="","",SUMIF(MonthlySummary!$B$2:$B$1000,$A825,MonthlySummary!$E$2:$E$1000))</f>
        <v/>
      </c>
      <c r="G825" s="31" t="n">
        <v>0</v>
      </c>
      <c r="H825" s="31">
        <f>IF($A825="","",$F825-IF($G825="",0,$G825))</f>
        <v/>
      </c>
      <c r="I825" s="31">
        <f>IF($A825="","",IFERROR(XLOOKUP($A825,SeedPlacement!$A$2:$A$1000,SeedPlacement!$N$2:$N$1000),0))</f>
        <v/>
      </c>
      <c r="J825" s="59" t="n"/>
    </row>
    <row r="826">
      <c r="A826" s="31">
        <f>IF(Members!$A826="","",Members!$A826)</f>
        <v/>
      </c>
      <c r="B826" s="31">
        <f>IF($A826="","",$I826+SUMIF(WeeklySummary!$B$2:$B$1000,$A826,WeeklySummary!$G$2:$G$1000))</f>
        <v/>
      </c>
      <c r="C826" s="31">
        <f>IF($B826="","",MIN(100,INT(SQRT($B826))))</f>
        <v/>
      </c>
      <c r="D826" s="31">
        <f>IF($C826="","",($C826+1)^2)</f>
        <v/>
      </c>
      <c r="E826" s="31">
        <f>IF($D826="","",$D826-$B826)</f>
        <v/>
      </c>
      <c r="F826" s="31">
        <f>IF($A826="","",SUMIF(MonthlySummary!$B$2:$B$1000,$A826,MonthlySummary!$E$2:$E$1000))</f>
        <v/>
      </c>
      <c r="G826" s="31" t="n">
        <v>0</v>
      </c>
      <c r="H826" s="31">
        <f>IF($A826="","",$F826-IF($G826="",0,$G826))</f>
        <v/>
      </c>
      <c r="I826" s="31">
        <f>IF($A826="","",IFERROR(XLOOKUP($A826,SeedPlacement!$A$2:$A$1000,SeedPlacement!$N$2:$N$1000),0))</f>
        <v/>
      </c>
      <c r="J826" s="59" t="n"/>
    </row>
    <row r="827">
      <c r="A827" s="31">
        <f>IF(Members!$A827="","",Members!$A827)</f>
        <v/>
      </c>
      <c r="B827" s="31">
        <f>IF($A827="","",$I827+SUMIF(WeeklySummary!$B$2:$B$1000,$A827,WeeklySummary!$G$2:$G$1000))</f>
        <v/>
      </c>
      <c r="C827" s="31">
        <f>IF($B827="","",MIN(100,INT(SQRT($B827))))</f>
        <v/>
      </c>
      <c r="D827" s="31">
        <f>IF($C827="","",($C827+1)^2)</f>
        <v/>
      </c>
      <c r="E827" s="31">
        <f>IF($D827="","",$D827-$B827)</f>
        <v/>
      </c>
      <c r="F827" s="31">
        <f>IF($A827="","",SUMIF(MonthlySummary!$B$2:$B$1000,$A827,MonthlySummary!$E$2:$E$1000))</f>
        <v/>
      </c>
      <c r="G827" s="31" t="n">
        <v>0</v>
      </c>
      <c r="H827" s="31">
        <f>IF($A827="","",$F827-IF($G827="",0,$G827))</f>
        <v/>
      </c>
      <c r="I827" s="31">
        <f>IF($A827="","",IFERROR(XLOOKUP($A827,SeedPlacement!$A$2:$A$1000,SeedPlacement!$N$2:$N$1000),0))</f>
        <v/>
      </c>
      <c r="J827" s="59" t="n"/>
    </row>
    <row r="828">
      <c r="A828" s="31">
        <f>IF(Members!$A828="","",Members!$A828)</f>
        <v/>
      </c>
      <c r="B828" s="31">
        <f>IF($A828="","",$I828+SUMIF(WeeklySummary!$B$2:$B$1000,$A828,WeeklySummary!$G$2:$G$1000))</f>
        <v/>
      </c>
      <c r="C828" s="31">
        <f>IF($B828="","",MIN(100,INT(SQRT($B828))))</f>
        <v/>
      </c>
      <c r="D828" s="31">
        <f>IF($C828="","",($C828+1)^2)</f>
        <v/>
      </c>
      <c r="E828" s="31">
        <f>IF($D828="","",$D828-$B828)</f>
        <v/>
      </c>
      <c r="F828" s="31">
        <f>IF($A828="","",SUMIF(MonthlySummary!$B$2:$B$1000,$A828,MonthlySummary!$E$2:$E$1000))</f>
        <v/>
      </c>
      <c r="G828" s="31" t="n">
        <v>0</v>
      </c>
      <c r="H828" s="31">
        <f>IF($A828="","",$F828-IF($G828="",0,$G828))</f>
        <v/>
      </c>
      <c r="I828" s="31">
        <f>IF($A828="","",IFERROR(XLOOKUP($A828,SeedPlacement!$A$2:$A$1000,SeedPlacement!$N$2:$N$1000),0))</f>
        <v/>
      </c>
      <c r="J828" s="59" t="n"/>
    </row>
    <row r="829">
      <c r="A829" s="31">
        <f>IF(Members!$A829="","",Members!$A829)</f>
        <v/>
      </c>
      <c r="B829" s="31">
        <f>IF($A829="","",$I829+SUMIF(WeeklySummary!$B$2:$B$1000,$A829,WeeklySummary!$G$2:$G$1000))</f>
        <v/>
      </c>
      <c r="C829" s="31">
        <f>IF($B829="","",MIN(100,INT(SQRT($B829))))</f>
        <v/>
      </c>
      <c r="D829" s="31">
        <f>IF($C829="","",($C829+1)^2)</f>
        <v/>
      </c>
      <c r="E829" s="31">
        <f>IF($D829="","",$D829-$B829)</f>
        <v/>
      </c>
      <c r="F829" s="31">
        <f>IF($A829="","",SUMIF(MonthlySummary!$B$2:$B$1000,$A829,MonthlySummary!$E$2:$E$1000))</f>
        <v/>
      </c>
      <c r="G829" s="31" t="n">
        <v>0</v>
      </c>
      <c r="H829" s="31">
        <f>IF($A829="","",$F829-IF($G829="",0,$G829))</f>
        <v/>
      </c>
      <c r="I829" s="31">
        <f>IF($A829="","",IFERROR(XLOOKUP($A829,SeedPlacement!$A$2:$A$1000,SeedPlacement!$N$2:$N$1000),0))</f>
        <v/>
      </c>
      <c r="J829" s="59" t="n"/>
    </row>
    <row r="830">
      <c r="A830" s="31">
        <f>IF(Members!$A830="","",Members!$A830)</f>
        <v/>
      </c>
      <c r="B830" s="31">
        <f>IF($A830="","",$I830+SUMIF(WeeklySummary!$B$2:$B$1000,$A830,WeeklySummary!$G$2:$G$1000))</f>
        <v/>
      </c>
      <c r="C830" s="31">
        <f>IF($B830="","",MIN(100,INT(SQRT($B830))))</f>
        <v/>
      </c>
      <c r="D830" s="31">
        <f>IF($C830="","",($C830+1)^2)</f>
        <v/>
      </c>
      <c r="E830" s="31">
        <f>IF($D830="","",$D830-$B830)</f>
        <v/>
      </c>
      <c r="F830" s="31">
        <f>IF($A830="","",SUMIF(MonthlySummary!$B$2:$B$1000,$A830,MonthlySummary!$E$2:$E$1000))</f>
        <v/>
      </c>
      <c r="G830" s="31" t="n">
        <v>0</v>
      </c>
      <c r="H830" s="31">
        <f>IF($A830="","",$F830-IF($G830="",0,$G830))</f>
        <v/>
      </c>
      <c r="I830" s="31">
        <f>IF($A830="","",IFERROR(XLOOKUP($A830,SeedPlacement!$A$2:$A$1000,SeedPlacement!$N$2:$N$1000),0))</f>
        <v/>
      </c>
      <c r="J830" s="59" t="n"/>
    </row>
    <row r="831">
      <c r="A831" s="31">
        <f>IF(Members!$A831="","",Members!$A831)</f>
        <v/>
      </c>
      <c r="B831" s="31">
        <f>IF($A831="","",$I831+SUMIF(WeeklySummary!$B$2:$B$1000,$A831,WeeklySummary!$G$2:$G$1000))</f>
        <v/>
      </c>
      <c r="C831" s="31">
        <f>IF($B831="","",MIN(100,INT(SQRT($B831))))</f>
        <v/>
      </c>
      <c r="D831" s="31">
        <f>IF($C831="","",($C831+1)^2)</f>
        <v/>
      </c>
      <c r="E831" s="31">
        <f>IF($D831="","",$D831-$B831)</f>
        <v/>
      </c>
      <c r="F831" s="31">
        <f>IF($A831="","",SUMIF(MonthlySummary!$B$2:$B$1000,$A831,MonthlySummary!$E$2:$E$1000))</f>
        <v/>
      </c>
      <c r="G831" s="31" t="n">
        <v>0</v>
      </c>
      <c r="H831" s="31">
        <f>IF($A831="","",$F831-IF($G831="",0,$G831))</f>
        <v/>
      </c>
      <c r="I831" s="31">
        <f>IF($A831="","",IFERROR(XLOOKUP($A831,SeedPlacement!$A$2:$A$1000,SeedPlacement!$N$2:$N$1000),0))</f>
        <v/>
      </c>
      <c r="J831" s="59" t="n"/>
    </row>
    <row r="832">
      <c r="A832" s="31">
        <f>IF(Members!$A832="","",Members!$A832)</f>
        <v/>
      </c>
      <c r="B832" s="31">
        <f>IF($A832="","",$I832+SUMIF(WeeklySummary!$B$2:$B$1000,$A832,WeeklySummary!$G$2:$G$1000))</f>
        <v/>
      </c>
      <c r="C832" s="31">
        <f>IF($B832="","",MIN(100,INT(SQRT($B832))))</f>
        <v/>
      </c>
      <c r="D832" s="31">
        <f>IF($C832="","",($C832+1)^2)</f>
        <v/>
      </c>
      <c r="E832" s="31">
        <f>IF($D832="","",$D832-$B832)</f>
        <v/>
      </c>
      <c r="F832" s="31">
        <f>IF($A832="","",SUMIF(MonthlySummary!$B$2:$B$1000,$A832,MonthlySummary!$E$2:$E$1000))</f>
        <v/>
      </c>
      <c r="G832" s="31" t="n">
        <v>0</v>
      </c>
      <c r="H832" s="31">
        <f>IF($A832="","",$F832-IF($G832="",0,$G832))</f>
        <v/>
      </c>
      <c r="I832" s="31">
        <f>IF($A832="","",IFERROR(XLOOKUP($A832,SeedPlacement!$A$2:$A$1000,SeedPlacement!$N$2:$N$1000),0))</f>
        <v/>
      </c>
      <c r="J832" s="59" t="n"/>
    </row>
    <row r="833">
      <c r="A833" s="31">
        <f>IF(Members!$A833="","",Members!$A833)</f>
        <v/>
      </c>
      <c r="B833" s="31">
        <f>IF($A833="","",$I833+SUMIF(WeeklySummary!$B$2:$B$1000,$A833,WeeklySummary!$G$2:$G$1000))</f>
        <v/>
      </c>
      <c r="C833" s="31">
        <f>IF($B833="","",MIN(100,INT(SQRT($B833))))</f>
        <v/>
      </c>
      <c r="D833" s="31">
        <f>IF($C833="","",($C833+1)^2)</f>
        <v/>
      </c>
      <c r="E833" s="31">
        <f>IF($D833="","",$D833-$B833)</f>
        <v/>
      </c>
      <c r="F833" s="31">
        <f>IF($A833="","",SUMIF(MonthlySummary!$B$2:$B$1000,$A833,MonthlySummary!$E$2:$E$1000))</f>
        <v/>
      </c>
      <c r="G833" s="31" t="n">
        <v>0</v>
      </c>
      <c r="H833" s="31">
        <f>IF($A833="","",$F833-IF($G833="",0,$G833))</f>
        <v/>
      </c>
      <c r="I833" s="31">
        <f>IF($A833="","",IFERROR(XLOOKUP($A833,SeedPlacement!$A$2:$A$1000,SeedPlacement!$N$2:$N$1000),0))</f>
        <v/>
      </c>
      <c r="J833" s="59" t="n"/>
    </row>
    <row r="834">
      <c r="A834" s="31">
        <f>IF(Members!$A834="","",Members!$A834)</f>
        <v/>
      </c>
      <c r="B834" s="31">
        <f>IF($A834="","",$I834+SUMIF(WeeklySummary!$B$2:$B$1000,$A834,WeeklySummary!$G$2:$G$1000))</f>
        <v/>
      </c>
      <c r="C834" s="31">
        <f>IF($B834="","",MIN(100,INT(SQRT($B834))))</f>
        <v/>
      </c>
      <c r="D834" s="31">
        <f>IF($C834="","",($C834+1)^2)</f>
        <v/>
      </c>
      <c r="E834" s="31">
        <f>IF($D834="","",$D834-$B834)</f>
        <v/>
      </c>
      <c r="F834" s="31">
        <f>IF($A834="","",SUMIF(MonthlySummary!$B$2:$B$1000,$A834,MonthlySummary!$E$2:$E$1000))</f>
        <v/>
      </c>
      <c r="G834" s="31" t="n">
        <v>0</v>
      </c>
      <c r="H834" s="31">
        <f>IF($A834="","",$F834-IF($G834="",0,$G834))</f>
        <v/>
      </c>
      <c r="I834" s="31">
        <f>IF($A834="","",IFERROR(XLOOKUP($A834,SeedPlacement!$A$2:$A$1000,SeedPlacement!$N$2:$N$1000),0))</f>
        <v/>
      </c>
      <c r="J834" s="59" t="n"/>
    </row>
    <row r="835">
      <c r="A835" s="31">
        <f>IF(Members!$A835="","",Members!$A835)</f>
        <v/>
      </c>
      <c r="B835" s="31">
        <f>IF($A835="","",$I835+SUMIF(WeeklySummary!$B$2:$B$1000,$A835,WeeklySummary!$G$2:$G$1000))</f>
        <v/>
      </c>
      <c r="C835" s="31">
        <f>IF($B835="","",MIN(100,INT(SQRT($B835))))</f>
        <v/>
      </c>
      <c r="D835" s="31">
        <f>IF($C835="","",($C835+1)^2)</f>
        <v/>
      </c>
      <c r="E835" s="31">
        <f>IF($D835="","",$D835-$B835)</f>
        <v/>
      </c>
      <c r="F835" s="31">
        <f>IF($A835="","",SUMIF(MonthlySummary!$B$2:$B$1000,$A835,MonthlySummary!$E$2:$E$1000))</f>
        <v/>
      </c>
      <c r="G835" s="31" t="n">
        <v>0</v>
      </c>
      <c r="H835" s="31">
        <f>IF($A835="","",$F835-IF($G835="",0,$G835))</f>
        <v/>
      </c>
      <c r="I835" s="31">
        <f>IF($A835="","",IFERROR(XLOOKUP($A835,SeedPlacement!$A$2:$A$1000,SeedPlacement!$N$2:$N$1000),0))</f>
        <v/>
      </c>
      <c r="J835" s="59" t="n"/>
    </row>
    <row r="836">
      <c r="A836" s="31">
        <f>IF(Members!$A836="","",Members!$A836)</f>
        <v/>
      </c>
      <c r="B836" s="31">
        <f>IF($A836="","",$I836+SUMIF(WeeklySummary!$B$2:$B$1000,$A836,WeeklySummary!$G$2:$G$1000))</f>
        <v/>
      </c>
      <c r="C836" s="31">
        <f>IF($B836="","",MIN(100,INT(SQRT($B836))))</f>
        <v/>
      </c>
      <c r="D836" s="31">
        <f>IF($C836="","",($C836+1)^2)</f>
        <v/>
      </c>
      <c r="E836" s="31">
        <f>IF($D836="","",$D836-$B836)</f>
        <v/>
      </c>
      <c r="F836" s="31">
        <f>IF($A836="","",SUMIF(MonthlySummary!$B$2:$B$1000,$A836,MonthlySummary!$E$2:$E$1000))</f>
        <v/>
      </c>
      <c r="G836" s="31" t="n">
        <v>0</v>
      </c>
      <c r="H836" s="31">
        <f>IF($A836="","",$F836-IF($G836="",0,$G836))</f>
        <v/>
      </c>
      <c r="I836" s="31">
        <f>IF($A836="","",IFERROR(XLOOKUP($A836,SeedPlacement!$A$2:$A$1000,SeedPlacement!$N$2:$N$1000),0))</f>
        <v/>
      </c>
      <c r="J836" s="59" t="n"/>
    </row>
    <row r="837">
      <c r="A837" s="31">
        <f>IF(Members!$A837="","",Members!$A837)</f>
        <v/>
      </c>
      <c r="B837" s="31">
        <f>IF($A837="","",$I837+SUMIF(WeeklySummary!$B$2:$B$1000,$A837,WeeklySummary!$G$2:$G$1000))</f>
        <v/>
      </c>
      <c r="C837" s="31">
        <f>IF($B837="","",MIN(100,INT(SQRT($B837))))</f>
        <v/>
      </c>
      <c r="D837" s="31">
        <f>IF($C837="","",($C837+1)^2)</f>
        <v/>
      </c>
      <c r="E837" s="31">
        <f>IF($D837="","",$D837-$B837)</f>
        <v/>
      </c>
      <c r="F837" s="31">
        <f>IF($A837="","",SUMIF(MonthlySummary!$B$2:$B$1000,$A837,MonthlySummary!$E$2:$E$1000))</f>
        <v/>
      </c>
      <c r="G837" s="31" t="n">
        <v>0</v>
      </c>
      <c r="H837" s="31">
        <f>IF($A837="","",$F837-IF($G837="",0,$G837))</f>
        <v/>
      </c>
      <c r="I837" s="31">
        <f>IF($A837="","",IFERROR(XLOOKUP($A837,SeedPlacement!$A$2:$A$1000,SeedPlacement!$N$2:$N$1000),0))</f>
        <v/>
      </c>
      <c r="J837" s="59" t="n"/>
    </row>
    <row r="838">
      <c r="A838" s="31">
        <f>IF(Members!$A838="","",Members!$A838)</f>
        <v/>
      </c>
      <c r="B838" s="31">
        <f>IF($A838="","",$I838+SUMIF(WeeklySummary!$B$2:$B$1000,$A838,WeeklySummary!$G$2:$G$1000))</f>
        <v/>
      </c>
      <c r="C838" s="31">
        <f>IF($B838="","",MIN(100,INT(SQRT($B838))))</f>
        <v/>
      </c>
      <c r="D838" s="31">
        <f>IF($C838="","",($C838+1)^2)</f>
        <v/>
      </c>
      <c r="E838" s="31">
        <f>IF($D838="","",$D838-$B838)</f>
        <v/>
      </c>
      <c r="F838" s="31">
        <f>IF($A838="","",SUMIF(MonthlySummary!$B$2:$B$1000,$A838,MonthlySummary!$E$2:$E$1000))</f>
        <v/>
      </c>
      <c r="G838" s="31" t="n">
        <v>0</v>
      </c>
      <c r="H838" s="31">
        <f>IF($A838="","",$F838-IF($G838="",0,$G838))</f>
        <v/>
      </c>
      <c r="I838" s="31">
        <f>IF($A838="","",IFERROR(XLOOKUP($A838,SeedPlacement!$A$2:$A$1000,SeedPlacement!$N$2:$N$1000),0))</f>
        <v/>
      </c>
      <c r="J838" s="59" t="n"/>
    </row>
    <row r="839">
      <c r="A839" s="31">
        <f>IF(Members!$A839="","",Members!$A839)</f>
        <v/>
      </c>
      <c r="B839" s="31">
        <f>IF($A839="","",$I839+SUMIF(WeeklySummary!$B$2:$B$1000,$A839,WeeklySummary!$G$2:$G$1000))</f>
        <v/>
      </c>
      <c r="C839" s="31">
        <f>IF($B839="","",MIN(100,INT(SQRT($B839))))</f>
        <v/>
      </c>
      <c r="D839" s="31">
        <f>IF($C839="","",($C839+1)^2)</f>
        <v/>
      </c>
      <c r="E839" s="31">
        <f>IF($D839="","",$D839-$B839)</f>
        <v/>
      </c>
      <c r="F839" s="31">
        <f>IF($A839="","",SUMIF(MonthlySummary!$B$2:$B$1000,$A839,MonthlySummary!$E$2:$E$1000))</f>
        <v/>
      </c>
      <c r="G839" s="31" t="n">
        <v>0</v>
      </c>
      <c r="H839" s="31">
        <f>IF($A839="","",$F839-IF($G839="",0,$G839))</f>
        <v/>
      </c>
      <c r="I839" s="31">
        <f>IF($A839="","",IFERROR(XLOOKUP($A839,SeedPlacement!$A$2:$A$1000,SeedPlacement!$N$2:$N$1000),0))</f>
        <v/>
      </c>
      <c r="J839" s="59" t="n"/>
    </row>
    <row r="840">
      <c r="A840" s="31">
        <f>IF(Members!$A840="","",Members!$A840)</f>
        <v/>
      </c>
      <c r="B840" s="31">
        <f>IF($A840="","",$I840+SUMIF(WeeklySummary!$B$2:$B$1000,$A840,WeeklySummary!$G$2:$G$1000))</f>
        <v/>
      </c>
      <c r="C840" s="31">
        <f>IF($B840="","",MIN(100,INT(SQRT($B840))))</f>
        <v/>
      </c>
      <c r="D840" s="31">
        <f>IF($C840="","",($C840+1)^2)</f>
        <v/>
      </c>
      <c r="E840" s="31">
        <f>IF($D840="","",$D840-$B840)</f>
        <v/>
      </c>
      <c r="F840" s="31">
        <f>IF($A840="","",SUMIF(MonthlySummary!$B$2:$B$1000,$A840,MonthlySummary!$E$2:$E$1000))</f>
        <v/>
      </c>
      <c r="G840" s="31" t="n">
        <v>0</v>
      </c>
      <c r="H840" s="31">
        <f>IF($A840="","",$F840-IF($G840="",0,$G840))</f>
        <v/>
      </c>
      <c r="I840" s="31">
        <f>IF($A840="","",IFERROR(XLOOKUP($A840,SeedPlacement!$A$2:$A$1000,SeedPlacement!$N$2:$N$1000),0))</f>
        <v/>
      </c>
      <c r="J840" s="59" t="n"/>
    </row>
    <row r="841">
      <c r="A841" s="31">
        <f>IF(Members!$A841="","",Members!$A841)</f>
        <v/>
      </c>
      <c r="B841" s="31">
        <f>IF($A841="","",$I841+SUMIF(WeeklySummary!$B$2:$B$1000,$A841,WeeklySummary!$G$2:$G$1000))</f>
        <v/>
      </c>
      <c r="C841" s="31">
        <f>IF($B841="","",MIN(100,INT(SQRT($B841))))</f>
        <v/>
      </c>
      <c r="D841" s="31">
        <f>IF($C841="","",($C841+1)^2)</f>
        <v/>
      </c>
      <c r="E841" s="31">
        <f>IF($D841="","",$D841-$B841)</f>
        <v/>
      </c>
      <c r="F841" s="31">
        <f>IF($A841="","",SUMIF(MonthlySummary!$B$2:$B$1000,$A841,MonthlySummary!$E$2:$E$1000))</f>
        <v/>
      </c>
      <c r="G841" s="31" t="n">
        <v>0</v>
      </c>
      <c r="H841" s="31">
        <f>IF($A841="","",$F841-IF($G841="",0,$G841))</f>
        <v/>
      </c>
      <c r="I841" s="31">
        <f>IF($A841="","",IFERROR(XLOOKUP($A841,SeedPlacement!$A$2:$A$1000,SeedPlacement!$N$2:$N$1000),0))</f>
        <v/>
      </c>
      <c r="J841" s="59" t="n"/>
    </row>
    <row r="842">
      <c r="A842" s="31">
        <f>IF(Members!$A842="","",Members!$A842)</f>
        <v/>
      </c>
      <c r="B842" s="31">
        <f>IF($A842="","",$I842+SUMIF(WeeklySummary!$B$2:$B$1000,$A842,WeeklySummary!$G$2:$G$1000))</f>
        <v/>
      </c>
      <c r="C842" s="31">
        <f>IF($B842="","",MIN(100,INT(SQRT($B842))))</f>
        <v/>
      </c>
      <c r="D842" s="31">
        <f>IF($C842="","",($C842+1)^2)</f>
        <v/>
      </c>
      <c r="E842" s="31">
        <f>IF($D842="","",$D842-$B842)</f>
        <v/>
      </c>
      <c r="F842" s="31">
        <f>IF($A842="","",SUMIF(MonthlySummary!$B$2:$B$1000,$A842,MonthlySummary!$E$2:$E$1000))</f>
        <v/>
      </c>
      <c r="G842" s="31" t="n">
        <v>0</v>
      </c>
      <c r="H842" s="31">
        <f>IF($A842="","",$F842-IF($G842="",0,$G842))</f>
        <v/>
      </c>
      <c r="I842" s="31">
        <f>IF($A842="","",IFERROR(XLOOKUP($A842,SeedPlacement!$A$2:$A$1000,SeedPlacement!$N$2:$N$1000),0))</f>
        <v/>
      </c>
      <c r="J842" s="59" t="n"/>
    </row>
    <row r="843">
      <c r="A843" s="31">
        <f>IF(Members!$A843="","",Members!$A843)</f>
        <v/>
      </c>
      <c r="B843" s="31">
        <f>IF($A843="","",$I843+SUMIF(WeeklySummary!$B$2:$B$1000,$A843,WeeklySummary!$G$2:$G$1000))</f>
        <v/>
      </c>
      <c r="C843" s="31">
        <f>IF($B843="","",MIN(100,INT(SQRT($B843))))</f>
        <v/>
      </c>
      <c r="D843" s="31">
        <f>IF($C843="","",($C843+1)^2)</f>
        <v/>
      </c>
      <c r="E843" s="31">
        <f>IF($D843="","",$D843-$B843)</f>
        <v/>
      </c>
      <c r="F843" s="31">
        <f>IF($A843="","",SUMIF(MonthlySummary!$B$2:$B$1000,$A843,MonthlySummary!$E$2:$E$1000))</f>
        <v/>
      </c>
      <c r="G843" s="31" t="n">
        <v>0</v>
      </c>
      <c r="H843" s="31">
        <f>IF($A843="","",$F843-IF($G843="",0,$G843))</f>
        <v/>
      </c>
      <c r="I843" s="31">
        <f>IF($A843="","",IFERROR(XLOOKUP($A843,SeedPlacement!$A$2:$A$1000,SeedPlacement!$N$2:$N$1000),0))</f>
        <v/>
      </c>
      <c r="J843" s="59" t="n"/>
    </row>
    <row r="844">
      <c r="A844" s="31">
        <f>IF(Members!$A844="","",Members!$A844)</f>
        <v/>
      </c>
      <c r="B844" s="31">
        <f>IF($A844="","",$I844+SUMIF(WeeklySummary!$B$2:$B$1000,$A844,WeeklySummary!$G$2:$G$1000))</f>
        <v/>
      </c>
      <c r="C844" s="31">
        <f>IF($B844="","",MIN(100,INT(SQRT($B844))))</f>
        <v/>
      </c>
      <c r="D844" s="31">
        <f>IF($C844="","",($C844+1)^2)</f>
        <v/>
      </c>
      <c r="E844" s="31">
        <f>IF($D844="","",$D844-$B844)</f>
        <v/>
      </c>
      <c r="F844" s="31">
        <f>IF($A844="","",SUMIF(MonthlySummary!$B$2:$B$1000,$A844,MonthlySummary!$E$2:$E$1000))</f>
        <v/>
      </c>
      <c r="G844" s="31" t="n">
        <v>0</v>
      </c>
      <c r="H844" s="31">
        <f>IF($A844="","",$F844-IF($G844="",0,$G844))</f>
        <v/>
      </c>
      <c r="I844" s="31">
        <f>IF($A844="","",IFERROR(XLOOKUP($A844,SeedPlacement!$A$2:$A$1000,SeedPlacement!$N$2:$N$1000),0))</f>
        <v/>
      </c>
      <c r="J844" s="59" t="n"/>
    </row>
    <row r="845">
      <c r="A845" s="31">
        <f>IF(Members!$A845="","",Members!$A845)</f>
        <v/>
      </c>
      <c r="B845" s="31">
        <f>IF($A845="","",$I845+SUMIF(WeeklySummary!$B$2:$B$1000,$A845,WeeklySummary!$G$2:$G$1000))</f>
        <v/>
      </c>
      <c r="C845" s="31">
        <f>IF($B845="","",MIN(100,INT(SQRT($B845))))</f>
        <v/>
      </c>
      <c r="D845" s="31">
        <f>IF($C845="","",($C845+1)^2)</f>
        <v/>
      </c>
      <c r="E845" s="31">
        <f>IF($D845="","",$D845-$B845)</f>
        <v/>
      </c>
      <c r="F845" s="31">
        <f>IF($A845="","",SUMIF(MonthlySummary!$B$2:$B$1000,$A845,MonthlySummary!$E$2:$E$1000))</f>
        <v/>
      </c>
      <c r="G845" s="31" t="n">
        <v>0</v>
      </c>
      <c r="H845" s="31">
        <f>IF($A845="","",$F845-IF($G845="",0,$G845))</f>
        <v/>
      </c>
      <c r="I845" s="31">
        <f>IF($A845="","",IFERROR(XLOOKUP($A845,SeedPlacement!$A$2:$A$1000,SeedPlacement!$N$2:$N$1000),0))</f>
        <v/>
      </c>
      <c r="J845" s="59" t="n"/>
    </row>
    <row r="846">
      <c r="A846" s="31">
        <f>IF(Members!$A846="","",Members!$A846)</f>
        <v/>
      </c>
      <c r="B846" s="31">
        <f>IF($A846="","",$I846+SUMIF(WeeklySummary!$B$2:$B$1000,$A846,WeeklySummary!$G$2:$G$1000))</f>
        <v/>
      </c>
      <c r="C846" s="31">
        <f>IF($B846="","",MIN(100,INT(SQRT($B846))))</f>
        <v/>
      </c>
      <c r="D846" s="31">
        <f>IF($C846="","",($C846+1)^2)</f>
        <v/>
      </c>
      <c r="E846" s="31">
        <f>IF($D846="","",$D846-$B846)</f>
        <v/>
      </c>
      <c r="F846" s="31">
        <f>IF($A846="","",SUMIF(MonthlySummary!$B$2:$B$1000,$A846,MonthlySummary!$E$2:$E$1000))</f>
        <v/>
      </c>
      <c r="G846" s="31" t="n">
        <v>0</v>
      </c>
      <c r="H846" s="31">
        <f>IF($A846="","",$F846-IF($G846="",0,$G846))</f>
        <v/>
      </c>
      <c r="I846" s="31">
        <f>IF($A846="","",IFERROR(XLOOKUP($A846,SeedPlacement!$A$2:$A$1000,SeedPlacement!$N$2:$N$1000),0))</f>
        <v/>
      </c>
      <c r="J846" s="59" t="n"/>
    </row>
    <row r="847">
      <c r="A847" s="31">
        <f>IF(Members!$A847="","",Members!$A847)</f>
        <v/>
      </c>
      <c r="B847" s="31">
        <f>IF($A847="","",$I847+SUMIF(WeeklySummary!$B$2:$B$1000,$A847,WeeklySummary!$G$2:$G$1000))</f>
        <v/>
      </c>
      <c r="C847" s="31">
        <f>IF($B847="","",MIN(100,INT(SQRT($B847))))</f>
        <v/>
      </c>
      <c r="D847" s="31">
        <f>IF($C847="","",($C847+1)^2)</f>
        <v/>
      </c>
      <c r="E847" s="31">
        <f>IF($D847="","",$D847-$B847)</f>
        <v/>
      </c>
      <c r="F847" s="31">
        <f>IF($A847="","",SUMIF(MonthlySummary!$B$2:$B$1000,$A847,MonthlySummary!$E$2:$E$1000))</f>
        <v/>
      </c>
      <c r="G847" s="31" t="n">
        <v>0</v>
      </c>
      <c r="H847" s="31">
        <f>IF($A847="","",$F847-IF($G847="",0,$G847))</f>
        <v/>
      </c>
      <c r="I847" s="31">
        <f>IF($A847="","",IFERROR(XLOOKUP($A847,SeedPlacement!$A$2:$A$1000,SeedPlacement!$N$2:$N$1000),0))</f>
        <v/>
      </c>
      <c r="J847" s="59" t="n"/>
    </row>
    <row r="848">
      <c r="A848" s="31">
        <f>IF(Members!$A848="","",Members!$A848)</f>
        <v/>
      </c>
      <c r="B848" s="31">
        <f>IF($A848="","",$I848+SUMIF(WeeklySummary!$B$2:$B$1000,$A848,WeeklySummary!$G$2:$G$1000))</f>
        <v/>
      </c>
      <c r="C848" s="31">
        <f>IF($B848="","",MIN(100,INT(SQRT($B848))))</f>
        <v/>
      </c>
      <c r="D848" s="31">
        <f>IF($C848="","",($C848+1)^2)</f>
        <v/>
      </c>
      <c r="E848" s="31">
        <f>IF($D848="","",$D848-$B848)</f>
        <v/>
      </c>
      <c r="F848" s="31">
        <f>IF($A848="","",SUMIF(MonthlySummary!$B$2:$B$1000,$A848,MonthlySummary!$E$2:$E$1000))</f>
        <v/>
      </c>
      <c r="G848" s="31" t="n">
        <v>0</v>
      </c>
      <c r="H848" s="31">
        <f>IF($A848="","",$F848-IF($G848="",0,$G848))</f>
        <v/>
      </c>
      <c r="I848" s="31">
        <f>IF($A848="","",IFERROR(XLOOKUP($A848,SeedPlacement!$A$2:$A$1000,SeedPlacement!$N$2:$N$1000),0))</f>
        <v/>
      </c>
      <c r="J848" s="59" t="n"/>
    </row>
    <row r="849">
      <c r="A849" s="31">
        <f>IF(Members!$A849="","",Members!$A849)</f>
        <v/>
      </c>
      <c r="B849" s="31">
        <f>IF($A849="","",$I849+SUMIF(WeeklySummary!$B$2:$B$1000,$A849,WeeklySummary!$G$2:$G$1000))</f>
        <v/>
      </c>
      <c r="C849" s="31">
        <f>IF($B849="","",MIN(100,INT(SQRT($B849))))</f>
        <v/>
      </c>
      <c r="D849" s="31">
        <f>IF($C849="","",($C849+1)^2)</f>
        <v/>
      </c>
      <c r="E849" s="31">
        <f>IF($D849="","",$D849-$B849)</f>
        <v/>
      </c>
      <c r="F849" s="31">
        <f>IF($A849="","",SUMIF(MonthlySummary!$B$2:$B$1000,$A849,MonthlySummary!$E$2:$E$1000))</f>
        <v/>
      </c>
      <c r="G849" s="31" t="n">
        <v>0</v>
      </c>
      <c r="H849" s="31">
        <f>IF($A849="","",$F849-IF($G849="",0,$G849))</f>
        <v/>
      </c>
      <c r="I849" s="31">
        <f>IF($A849="","",IFERROR(XLOOKUP($A849,SeedPlacement!$A$2:$A$1000,SeedPlacement!$N$2:$N$1000),0))</f>
        <v/>
      </c>
      <c r="J849" s="59" t="n"/>
    </row>
    <row r="850">
      <c r="A850" s="31">
        <f>IF(Members!$A850="","",Members!$A850)</f>
        <v/>
      </c>
      <c r="B850" s="31">
        <f>IF($A850="","",$I850+SUMIF(WeeklySummary!$B$2:$B$1000,$A850,WeeklySummary!$G$2:$G$1000))</f>
        <v/>
      </c>
      <c r="C850" s="31">
        <f>IF($B850="","",MIN(100,INT(SQRT($B850))))</f>
        <v/>
      </c>
      <c r="D850" s="31">
        <f>IF($C850="","",($C850+1)^2)</f>
        <v/>
      </c>
      <c r="E850" s="31">
        <f>IF($D850="","",$D850-$B850)</f>
        <v/>
      </c>
      <c r="F850" s="31">
        <f>IF($A850="","",SUMIF(MonthlySummary!$B$2:$B$1000,$A850,MonthlySummary!$E$2:$E$1000))</f>
        <v/>
      </c>
      <c r="G850" s="31" t="n">
        <v>0</v>
      </c>
      <c r="H850" s="31">
        <f>IF($A850="","",$F850-IF($G850="",0,$G850))</f>
        <v/>
      </c>
      <c r="I850" s="31">
        <f>IF($A850="","",IFERROR(XLOOKUP($A850,SeedPlacement!$A$2:$A$1000,SeedPlacement!$N$2:$N$1000),0))</f>
        <v/>
      </c>
      <c r="J850" s="59" t="n"/>
    </row>
    <row r="851">
      <c r="A851" s="31">
        <f>IF(Members!$A851="","",Members!$A851)</f>
        <v/>
      </c>
      <c r="B851" s="31">
        <f>IF($A851="","",$I851+SUMIF(WeeklySummary!$B$2:$B$1000,$A851,WeeklySummary!$G$2:$G$1000))</f>
        <v/>
      </c>
      <c r="C851" s="31">
        <f>IF($B851="","",MIN(100,INT(SQRT($B851))))</f>
        <v/>
      </c>
      <c r="D851" s="31">
        <f>IF($C851="","",($C851+1)^2)</f>
        <v/>
      </c>
      <c r="E851" s="31">
        <f>IF($D851="","",$D851-$B851)</f>
        <v/>
      </c>
      <c r="F851" s="31">
        <f>IF($A851="","",SUMIF(MonthlySummary!$B$2:$B$1000,$A851,MonthlySummary!$E$2:$E$1000))</f>
        <v/>
      </c>
      <c r="G851" s="31" t="n">
        <v>0</v>
      </c>
      <c r="H851" s="31">
        <f>IF($A851="","",$F851-IF($G851="",0,$G851))</f>
        <v/>
      </c>
      <c r="I851" s="31">
        <f>IF($A851="","",IFERROR(XLOOKUP($A851,SeedPlacement!$A$2:$A$1000,SeedPlacement!$N$2:$N$1000),0))</f>
        <v/>
      </c>
      <c r="J851" s="59" t="n"/>
    </row>
    <row r="852">
      <c r="A852" s="31">
        <f>IF(Members!$A852="","",Members!$A852)</f>
        <v/>
      </c>
      <c r="B852" s="31">
        <f>IF($A852="","",$I852+SUMIF(WeeklySummary!$B$2:$B$1000,$A852,WeeklySummary!$G$2:$G$1000))</f>
        <v/>
      </c>
      <c r="C852" s="31">
        <f>IF($B852="","",MIN(100,INT(SQRT($B852))))</f>
        <v/>
      </c>
      <c r="D852" s="31">
        <f>IF($C852="","",($C852+1)^2)</f>
        <v/>
      </c>
      <c r="E852" s="31">
        <f>IF($D852="","",$D852-$B852)</f>
        <v/>
      </c>
      <c r="F852" s="31">
        <f>IF($A852="","",SUMIF(MonthlySummary!$B$2:$B$1000,$A852,MonthlySummary!$E$2:$E$1000))</f>
        <v/>
      </c>
      <c r="G852" s="31" t="n">
        <v>0</v>
      </c>
      <c r="H852" s="31">
        <f>IF($A852="","",$F852-IF($G852="",0,$G852))</f>
        <v/>
      </c>
      <c r="I852" s="31">
        <f>IF($A852="","",IFERROR(XLOOKUP($A852,SeedPlacement!$A$2:$A$1000,SeedPlacement!$N$2:$N$1000),0))</f>
        <v/>
      </c>
      <c r="J852" s="59" t="n"/>
    </row>
    <row r="853">
      <c r="A853" s="31">
        <f>IF(Members!$A853="","",Members!$A853)</f>
        <v/>
      </c>
      <c r="B853" s="31">
        <f>IF($A853="","",$I853+SUMIF(WeeklySummary!$B$2:$B$1000,$A853,WeeklySummary!$G$2:$G$1000))</f>
        <v/>
      </c>
      <c r="C853" s="31">
        <f>IF($B853="","",MIN(100,INT(SQRT($B853))))</f>
        <v/>
      </c>
      <c r="D853" s="31">
        <f>IF($C853="","",($C853+1)^2)</f>
        <v/>
      </c>
      <c r="E853" s="31">
        <f>IF($D853="","",$D853-$B853)</f>
        <v/>
      </c>
      <c r="F853" s="31">
        <f>IF($A853="","",SUMIF(MonthlySummary!$B$2:$B$1000,$A853,MonthlySummary!$E$2:$E$1000))</f>
        <v/>
      </c>
      <c r="G853" s="31" t="n">
        <v>0</v>
      </c>
      <c r="H853" s="31">
        <f>IF($A853="","",$F853-IF($G853="",0,$G853))</f>
        <v/>
      </c>
      <c r="I853" s="31">
        <f>IF($A853="","",IFERROR(XLOOKUP($A853,SeedPlacement!$A$2:$A$1000,SeedPlacement!$N$2:$N$1000),0))</f>
        <v/>
      </c>
      <c r="J853" s="59" t="n"/>
    </row>
    <row r="854">
      <c r="A854" s="31">
        <f>IF(Members!$A854="","",Members!$A854)</f>
        <v/>
      </c>
      <c r="B854" s="31">
        <f>IF($A854="","",$I854+SUMIF(WeeklySummary!$B$2:$B$1000,$A854,WeeklySummary!$G$2:$G$1000))</f>
        <v/>
      </c>
      <c r="C854" s="31">
        <f>IF($B854="","",MIN(100,INT(SQRT($B854))))</f>
        <v/>
      </c>
      <c r="D854" s="31">
        <f>IF($C854="","",($C854+1)^2)</f>
        <v/>
      </c>
      <c r="E854" s="31">
        <f>IF($D854="","",$D854-$B854)</f>
        <v/>
      </c>
      <c r="F854" s="31">
        <f>IF($A854="","",SUMIF(MonthlySummary!$B$2:$B$1000,$A854,MonthlySummary!$E$2:$E$1000))</f>
        <v/>
      </c>
      <c r="G854" s="31" t="n">
        <v>0</v>
      </c>
      <c r="H854" s="31">
        <f>IF($A854="","",$F854-IF($G854="",0,$G854))</f>
        <v/>
      </c>
      <c r="I854" s="31">
        <f>IF($A854="","",IFERROR(XLOOKUP($A854,SeedPlacement!$A$2:$A$1000,SeedPlacement!$N$2:$N$1000),0))</f>
        <v/>
      </c>
      <c r="J854" s="59" t="n"/>
    </row>
    <row r="855">
      <c r="A855" s="31">
        <f>IF(Members!$A855="","",Members!$A855)</f>
        <v/>
      </c>
      <c r="B855" s="31">
        <f>IF($A855="","",$I855+SUMIF(WeeklySummary!$B$2:$B$1000,$A855,WeeklySummary!$G$2:$G$1000))</f>
        <v/>
      </c>
      <c r="C855" s="31">
        <f>IF($B855="","",MIN(100,INT(SQRT($B855))))</f>
        <v/>
      </c>
      <c r="D855" s="31">
        <f>IF($C855="","",($C855+1)^2)</f>
        <v/>
      </c>
      <c r="E855" s="31">
        <f>IF($D855="","",$D855-$B855)</f>
        <v/>
      </c>
      <c r="F855" s="31">
        <f>IF($A855="","",SUMIF(MonthlySummary!$B$2:$B$1000,$A855,MonthlySummary!$E$2:$E$1000))</f>
        <v/>
      </c>
      <c r="G855" s="31" t="n">
        <v>0</v>
      </c>
      <c r="H855" s="31">
        <f>IF($A855="","",$F855-IF($G855="",0,$G855))</f>
        <v/>
      </c>
      <c r="I855" s="31">
        <f>IF($A855="","",IFERROR(XLOOKUP($A855,SeedPlacement!$A$2:$A$1000,SeedPlacement!$N$2:$N$1000),0))</f>
        <v/>
      </c>
      <c r="J855" s="59" t="n"/>
    </row>
    <row r="856">
      <c r="A856" s="31">
        <f>IF(Members!$A856="","",Members!$A856)</f>
        <v/>
      </c>
      <c r="B856" s="31">
        <f>IF($A856="","",$I856+SUMIF(WeeklySummary!$B$2:$B$1000,$A856,WeeklySummary!$G$2:$G$1000))</f>
        <v/>
      </c>
      <c r="C856" s="31">
        <f>IF($B856="","",MIN(100,INT(SQRT($B856))))</f>
        <v/>
      </c>
      <c r="D856" s="31">
        <f>IF($C856="","",($C856+1)^2)</f>
        <v/>
      </c>
      <c r="E856" s="31">
        <f>IF($D856="","",$D856-$B856)</f>
        <v/>
      </c>
      <c r="F856" s="31">
        <f>IF($A856="","",SUMIF(MonthlySummary!$B$2:$B$1000,$A856,MonthlySummary!$E$2:$E$1000))</f>
        <v/>
      </c>
      <c r="G856" s="31" t="n">
        <v>0</v>
      </c>
      <c r="H856" s="31">
        <f>IF($A856="","",$F856-IF($G856="",0,$G856))</f>
        <v/>
      </c>
      <c r="I856" s="31">
        <f>IF($A856="","",IFERROR(XLOOKUP($A856,SeedPlacement!$A$2:$A$1000,SeedPlacement!$N$2:$N$1000),0))</f>
        <v/>
      </c>
      <c r="J856" s="59" t="n"/>
    </row>
    <row r="857">
      <c r="A857" s="31">
        <f>IF(Members!$A857="","",Members!$A857)</f>
        <v/>
      </c>
      <c r="B857" s="31">
        <f>IF($A857="","",$I857+SUMIF(WeeklySummary!$B$2:$B$1000,$A857,WeeklySummary!$G$2:$G$1000))</f>
        <v/>
      </c>
      <c r="C857" s="31">
        <f>IF($B857="","",MIN(100,INT(SQRT($B857))))</f>
        <v/>
      </c>
      <c r="D857" s="31">
        <f>IF($C857="","",($C857+1)^2)</f>
        <v/>
      </c>
      <c r="E857" s="31">
        <f>IF($D857="","",$D857-$B857)</f>
        <v/>
      </c>
      <c r="F857" s="31">
        <f>IF($A857="","",SUMIF(MonthlySummary!$B$2:$B$1000,$A857,MonthlySummary!$E$2:$E$1000))</f>
        <v/>
      </c>
      <c r="G857" s="31" t="n">
        <v>0</v>
      </c>
      <c r="H857" s="31">
        <f>IF($A857="","",$F857-IF($G857="",0,$G857))</f>
        <v/>
      </c>
      <c r="I857" s="31">
        <f>IF($A857="","",IFERROR(XLOOKUP($A857,SeedPlacement!$A$2:$A$1000,SeedPlacement!$N$2:$N$1000),0))</f>
        <v/>
      </c>
      <c r="J857" s="59" t="n"/>
    </row>
    <row r="858">
      <c r="A858" s="31">
        <f>IF(Members!$A858="","",Members!$A858)</f>
        <v/>
      </c>
      <c r="B858" s="31">
        <f>IF($A858="","",$I858+SUMIF(WeeklySummary!$B$2:$B$1000,$A858,WeeklySummary!$G$2:$G$1000))</f>
        <v/>
      </c>
      <c r="C858" s="31">
        <f>IF($B858="","",MIN(100,INT(SQRT($B858))))</f>
        <v/>
      </c>
      <c r="D858" s="31">
        <f>IF($C858="","",($C858+1)^2)</f>
        <v/>
      </c>
      <c r="E858" s="31">
        <f>IF($D858="","",$D858-$B858)</f>
        <v/>
      </c>
      <c r="F858" s="31">
        <f>IF($A858="","",SUMIF(MonthlySummary!$B$2:$B$1000,$A858,MonthlySummary!$E$2:$E$1000))</f>
        <v/>
      </c>
      <c r="G858" s="31" t="n">
        <v>0</v>
      </c>
      <c r="H858" s="31">
        <f>IF($A858="","",$F858-IF($G858="",0,$G858))</f>
        <v/>
      </c>
      <c r="I858" s="31">
        <f>IF($A858="","",IFERROR(XLOOKUP($A858,SeedPlacement!$A$2:$A$1000,SeedPlacement!$N$2:$N$1000),0))</f>
        <v/>
      </c>
      <c r="J858" s="59" t="n"/>
    </row>
    <row r="859">
      <c r="A859" s="31">
        <f>IF(Members!$A859="","",Members!$A859)</f>
        <v/>
      </c>
      <c r="B859" s="31">
        <f>IF($A859="","",$I859+SUMIF(WeeklySummary!$B$2:$B$1000,$A859,WeeklySummary!$G$2:$G$1000))</f>
        <v/>
      </c>
      <c r="C859" s="31">
        <f>IF($B859="","",MIN(100,INT(SQRT($B859))))</f>
        <v/>
      </c>
      <c r="D859" s="31">
        <f>IF($C859="","",($C859+1)^2)</f>
        <v/>
      </c>
      <c r="E859" s="31">
        <f>IF($D859="","",$D859-$B859)</f>
        <v/>
      </c>
      <c r="F859" s="31">
        <f>IF($A859="","",SUMIF(MonthlySummary!$B$2:$B$1000,$A859,MonthlySummary!$E$2:$E$1000))</f>
        <v/>
      </c>
      <c r="G859" s="31" t="n">
        <v>0</v>
      </c>
      <c r="H859" s="31">
        <f>IF($A859="","",$F859-IF($G859="",0,$G859))</f>
        <v/>
      </c>
      <c r="I859" s="31">
        <f>IF($A859="","",IFERROR(XLOOKUP($A859,SeedPlacement!$A$2:$A$1000,SeedPlacement!$N$2:$N$1000),0))</f>
        <v/>
      </c>
      <c r="J859" s="59" t="n"/>
    </row>
    <row r="860">
      <c r="A860" s="31">
        <f>IF(Members!$A860="","",Members!$A860)</f>
        <v/>
      </c>
      <c r="B860" s="31">
        <f>IF($A860="","",$I860+SUMIF(WeeklySummary!$B$2:$B$1000,$A860,WeeklySummary!$G$2:$G$1000))</f>
        <v/>
      </c>
      <c r="C860" s="31">
        <f>IF($B860="","",MIN(100,INT(SQRT($B860))))</f>
        <v/>
      </c>
      <c r="D860" s="31">
        <f>IF($C860="","",($C860+1)^2)</f>
        <v/>
      </c>
      <c r="E860" s="31">
        <f>IF($D860="","",$D860-$B860)</f>
        <v/>
      </c>
      <c r="F860" s="31">
        <f>IF($A860="","",SUMIF(MonthlySummary!$B$2:$B$1000,$A860,MonthlySummary!$E$2:$E$1000))</f>
        <v/>
      </c>
      <c r="G860" s="31" t="n">
        <v>0</v>
      </c>
      <c r="H860" s="31">
        <f>IF($A860="","",$F860-IF($G860="",0,$G860))</f>
        <v/>
      </c>
      <c r="I860" s="31">
        <f>IF($A860="","",IFERROR(XLOOKUP($A860,SeedPlacement!$A$2:$A$1000,SeedPlacement!$N$2:$N$1000),0))</f>
        <v/>
      </c>
      <c r="J860" s="59" t="n"/>
    </row>
    <row r="861">
      <c r="A861" s="31">
        <f>IF(Members!$A861="","",Members!$A861)</f>
        <v/>
      </c>
      <c r="B861" s="31">
        <f>IF($A861="","",$I861+SUMIF(WeeklySummary!$B$2:$B$1000,$A861,WeeklySummary!$G$2:$G$1000))</f>
        <v/>
      </c>
      <c r="C861" s="31">
        <f>IF($B861="","",MIN(100,INT(SQRT($B861))))</f>
        <v/>
      </c>
      <c r="D861" s="31">
        <f>IF($C861="","",($C861+1)^2)</f>
        <v/>
      </c>
      <c r="E861" s="31">
        <f>IF($D861="","",$D861-$B861)</f>
        <v/>
      </c>
      <c r="F861" s="31">
        <f>IF($A861="","",SUMIF(MonthlySummary!$B$2:$B$1000,$A861,MonthlySummary!$E$2:$E$1000))</f>
        <v/>
      </c>
      <c r="G861" s="31" t="n">
        <v>0</v>
      </c>
      <c r="H861" s="31">
        <f>IF($A861="","",$F861-IF($G861="",0,$G861))</f>
        <v/>
      </c>
      <c r="I861" s="31">
        <f>IF($A861="","",IFERROR(XLOOKUP($A861,SeedPlacement!$A$2:$A$1000,SeedPlacement!$N$2:$N$1000),0))</f>
        <v/>
      </c>
      <c r="J861" s="59" t="n"/>
    </row>
    <row r="862">
      <c r="A862" s="31">
        <f>IF(Members!$A862="","",Members!$A862)</f>
        <v/>
      </c>
      <c r="B862" s="31">
        <f>IF($A862="","",$I862+SUMIF(WeeklySummary!$B$2:$B$1000,$A862,WeeklySummary!$G$2:$G$1000))</f>
        <v/>
      </c>
      <c r="C862" s="31">
        <f>IF($B862="","",MIN(100,INT(SQRT($B862))))</f>
        <v/>
      </c>
      <c r="D862" s="31">
        <f>IF($C862="","",($C862+1)^2)</f>
        <v/>
      </c>
      <c r="E862" s="31">
        <f>IF($D862="","",$D862-$B862)</f>
        <v/>
      </c>
      <c r="F862" s="31">
        <f>IF($A862="","",SUMIF(MonthlySummary!$B$2:$B$1000,$A862,MonthlySummary!$E$2:$E$1000))</f>
        <v/>
      </c>
      <c r="G862" s="31" t="n">
        <v>0</v>
      </c>
      <c r="H862" s="31">
        <f>IF($A862="","",$F862-IF($G862="",0,$G862))</f>
        <v/>
      </c>
      <c r="I862" s="31">
        <f>IF($A862="","",IFERROR(XLOOKUP($A862,SeedPlacement!$A$2:$A$1000,SeedPlacement!$N$2:$N$1000),0))</f>
        <v/>
      </c>
      <c r="J862" s="59" t="n"/>
    </row>
    <row r="863">
      <c r="A863" s="31">
        <f>IF(Members!$A863="","",Members!$A863)</f>
        <v/>
      </c>
      <c r="B863" s="31">
        <f>IF($A863="","",$I863+SUMIF(WeeklySummary!$B$2:$B$1000,$A863,WeeklySummary!$G$2:$G$1000))</f>
        <v/>
      </c>
      <c r="C863" s="31">
        <f>IF($B863="","",MIN(100,INT(SQRT($B863))))</f>
        <v/>
      </c>
      <c r="D863" s="31">
        <f>IF($C863="","",($C863+1)^2)</f>
        <v/>
      </c>
      <c r="E863" s="31">
        <f>IF($D863="","",$D863-$B863)</f>
        <v/>
      </c>
      <c r="F863" s="31">
        <f>IF($A863="","",SUMIF(MonthlySummary!$B$2:$B$1000,$A863,MonthlySummary!$E$2:$E$1000))</f>
        <v/>
      </c>
      <c r="G863" s="31" t="n">
        <v>0</v>
      </c>
      <c r="H863" s="31">
        <f>IF($A863="","",$F863-IF($G863="",0,$G863))</f>
        <v/>
      </c>
      <c r="I863" s="31">
        <f>IF($A863="","",IFERROR(XLOOKUP($A863,SeedPlacement!$A$2:$A$1000,SeedPlacement!$N$2:$N$1000),0))</f>
        <v/>
      </c>
      <c r="J863" s="59" t="n"/>
    </row>
    <row r="864">
      <c r="A864" s="31">
        <f>IF(Members!$A864="","",Members!$A864)</f>
        <v/>
      </c>
      <c r="B864" s="31">
        <f>IF($A864="","",$I864+SUMIF(WeeklySummary!$B$2:$B$1000,$A864,WeeklySummary!$G$2:$G$1000))</f>
        <v/>
      </c>
      <c r="C864" s="31">
        <f>IF($B864="","",MIN(100,INT(SQRT($B864))))</f>
        <v/>
      </c>
      <c r="D864" s="31">
        <f>IF($C864="","",($C864+1)^2)</f>
        <v/>
      </c>
      <c r="E864" s="31">
        <f>IF($D864="","",$D864-$B864)</f>
        <v/>
      </c>
      <c r="F864" s="31">
        <f>IF($A864="","",SUMIF(MonthlySummary!$B$2:$B$1000,$A864,MonthlySummary!$E$2:$E$1000))</f>
        <v/>
      </c>
      <c r="G864" s="31" t="n">
        <v>0</v>
      </c>
      <c r="H864" s="31">
        <f>IF($A864="","",$F864-IF($G864="",0,$G864))</f>
        <v/>
      </c>
      <c r="I864" s="31">
        <f>IF($A864="","",IFERROR(XLOOKUP($A864,SeedPlacement!$A$2:$A$1000,SeedPlacement!$N$2:$N$1000),0))</f>
        <v/>
      </c>
      <c r="J864" s="59" t="n"/>
    </row>
    <row r="865">
      <c r="A865" s="31">
        <f>IF(Members!$A865="","",Members!$A865)</f>
        <v/>
      </c>
      <c r="B865" s="31">
        <f>IF($A865="","",$I865+SUMIF(WeeklySummary!$B$2:$B$1000,$A865,WeeklySummary!$G$2:$G$1000))</f>
        <v/>
      </c>
      <c r="C865" s="31">
        <f>IF($B865="","",MIN(100,INT(SQRT($B865))))</f>
        <v/>
      </c>
      <c r="D865" s="31">
        <f>IF($C865="","",($C865+1)^2)</f>
        <v/>
      </c>
      <c r="E865" s="31">
        <f>IF($D865="","",$D865-$B865)</f>
        <v/>
      </c>
      <c r="F865" s="31">
        <f>IF($A865="","",SUMIF(MonthlySummary!$B$2:$B$1000,$A865,MonthlySummary!$E$2:$E$1000))</f>
        <v/>
      </c>
      <c r="G865" s="31" t="n">
        <v>0</v>
      </c>
      <c r="H865" s="31">
        <f>IF($A865="","",$F865-IF($G865="",0,$G865))</f>
        <v/>
      </c>
      <c r="I865" s="31">
        <f>IF($A865="","",IFERROR(XLOOKUP($A865,SeedPlacement!$A$2:$A$1000,SeedPlacement!$N$2:$N$1000),0))</f>
        <v/>
      </c>
      <c r="J865" s="59" t="n"/>
    </row>
    <row r="866">
      <c r="A866" s="31">
        <f>IF(Members!$A866="","",Members!$A866)</f>
        <v/>
      </c>
      <c r="B866" s="31">
        <f>IF($A866="","",$I866+SUMIF(WeeklySummary!$B$2:$B$1000,$A866,WeeklySummary!$G$2:$G$1000))</f>
        <v/>
      </c>
      <c r="C866" s="31">
        <f>IF($B866="","",MIN(100,INT(SQRT($B866))))</f>
        <v/>
      </c>
      <c r="D866" s="31">
        <f>IF($C866="","",($C866+1)^2)</f>
        <v/>
      </c>
      <c r="E866" s="31">
        <f>IF($D866="","",$D866-$B866)</f>
        <v/>
      </c>
      <c r="F866" s="31">
        <f>IF($A866="","",SUMIF(MonthlySummary!$B$2:$B$1000,$A866,MonthlySummary!$E$2:$E$1000))</f>
        <v/>
      </c>
      <c r="G866" s="31" t="n">
        <v>0</v>
      </c>
      <c r="H866" s="31">
        <f>IF($A866="","",$F866-IF($G866="",0,$G866))</f>
        <v/>
      </c>
      <c r="I866" s="31">
        <f>IF($A866="","",IFERROR(XLOOKUP($A866,SeedPlacement!$A$2:$A$1000,SeedPlacement!$N$2:$N$1000),0))</f>
        <v/>
      </c>
      <c r="J866" s="59" t="n"/>
    </row>
    <row r="867">
      <c r="A867" s="31">
        <f>IF(Members!$A867="","",Members!$A867)</f>
        <v/>
      </c>
      <c r="B867" s="31">
        <f>IF($A867="","",$I867+SUMIF(WeeklySummary!$B$2:$B$1000,$A867,WeeklySummary!$G$2:$G$1000))</f>
        <v/>
      </c>
      <c r="C867" s="31">
        <f>IF($B867="","",MIN(100,INT(SQRT($B867))))</f>
        <v/>
      </c>
      <c r="D867" s="31">
        <f>IF($C867="","",($C867+1)^2)</f>
        <v/>
      </c>
      <c r="E867" s="31">
        <f>IF($D867="","",$D867-$B867)</f>
        <v/>
      </c>
      <c r="F867" s="31">
        <f>IF($A867="","",SUMIF(MonthlySummary!$B$2:$B$1000,$A867,MonthlySummary!$E$2:$E$1000))</f>
        <v/>
      </c>
      <c r="G867" s="31" t="n">
        <v>0</v>
      </c>
      <c r="H867" s="31">
        <f>IF($A867="","",$F867-IF($G867="",0,$G867))</f>
        <v/>
      </c>
      <c r="I867" s="31">
        <f>IF($A867="","",IFERROR(XLOOKUP($A867,SeedPlacement!$A$2:$A$1000,SeedPlacement!$N$2:$N$1000),0))</f>
        <v/>
      </c>
      <c r="J867" s="59" t="n"/>
    </row>
    <row r="868">
      <c r="A868" s="31">
        <f>IF(Members!$A868="","",Members!$A868)</f>
        <v/>
      </c>
      <c r="B868" s="31">
        <f>IF($A868="","",$I868+SUMIF(WeeklySummary!$B$2:$B$1000,$A868,WeeklySummary!$G$2:$G$1000))</f>
        <v/>
      </c>
      <c r="C868" s="31">
        <f>IF($B868="","",MIN(100,INT(SQRT($B868))))</f>
        <v/>
      </c>
      <c r="D868" s="31">
        <f>IF($C868="","",($C868+1)^2)</f>
        <v/>
      </c>
      <c r="E868" s="31">
        <f>IF($D868="","",$D868-$B868)</f>
        <v/>
      </c>
      <c r="F868" s="31">
        <f>IF($A868="","",SUMIF(MonthlySummary!$B$2:$B$1000,$A868,MonthlySummary!$E$2:$E$1000))</f>
        <v/>
      </c>
      <c r="G868" s="31" t="n">
        <v>0</v>
      </c>
      <c r="H868" s="31">
        <f>IF($A868="","",$F868-IF($G868="",0,$G868))</f>
        <v/>
      </c>
      <c r="I868" s="31">
        <f>IF($A868="","",IFERROR(XLOOKUP($A868,SeedPlacement!$A$2:$A$1000,SeedPlacement!$N$2:$N$1000),0))</f>
        <v/>
      </c>
      <c r="J868" s="59" t="n"/>
    </row>
    <row r="869">
      <c r="A869" s="31">
        <f>IF(Members!$A869="","",Members!$A869)</f>
        <v/>
      </c>
      <c r="B869" s="31">
        <f>IF($A869="","",$I869+SUMIF(WeeklySummary!$B$2:$B$1000,$A869,WeeklySummary!$G$2:$G$1000))</f>
        <v/>
      </c>
      <c r="C869" s="31">
        <f>IF($B869="","",MIN(100,INT(SQRT($B869))))</f>
        <v/>
      </c>
      <c r="D869" s="31">
        <f>IF($C869="","",($C869+1)^2)</f>
        <v/>
      </c>
      <c r="E869" s="31">
        <f>IF($D869="","",$D869-$B869)</f>
        <v/>
      </c>
      <c r="F869" s="31">
        <f>IF($A869="","",SUMIF(MonthlySummary!$B$2:$B$1000,$A869,MonthlySummary!$E$2:$E$1000))</f>
        <v/>
      </c>
      <c r="G869" s="31" t="n">
        <v>0</v>
      </c>
      <c r="H869" s="31">
        <f>IF($A869="","",$F869-IF($G869="",0,$G869))</f>
        <v/>
      </c>
      <c r="I869" s="31">
        <f>IF($A869="","",IFERROR(XLOOKUP($A869,SeedPlacement!$A$2:$A$1000,SeedPlacement!$N$2:$N$1000),0))</f>
        <v/>
      </c>
      <c r="J869" s="59" t="n"/>
    </row>
    <row r="870">
      <c r="A870" s="31">
        <f>IF(Members!$A870="","",Members!$A870)</f>
        <v/>
      </c>
      <c r="B870" s="31">
        <f>IF($A870="","",$I870+SUMIF(WeeklySummary!$B$2:$B$1000,$A870,WeeklySummary!$G$2:$G$1000))</f>
        <v/>
      </c>
      <c r="C870" s="31">
        <f>IF($B870="","",MIN(100,INT(SQRT($B870))))</f>
        <v/>
      </c>
      <c r="D870" s="31">
        <f>IF($C870="","",($C870+1)^2)</f>
        <v/>
      </c>
      <c r="E870" s="31">
        <f>IF($D870="","",$D870-$B870)</f>
        <v/>
      </c>
      <c r="F870" s="31">
        <f>IF($A870="","",SUMIF(MonthlySummary!$B$2:$B$1000,$A870,MonthlySummary!$E$2:$E$1000))</f>
        <v/>
      </c>
      <c r="G870" s="31" t="n">
        <v>0</v>
      </c>
      <c r="H870" s="31">
        <f>IF($A870="","",$F870-IF($G870="",0,$G870))</f>
        <v/>
      </c>
      <c r="I870" s="31">
        <f>IF($A870="","",IFERROR(XLOOKUP($A870,SeedPlacement!$A$2:$A$1000,SeedPlacement!$N$2:$N$1000),0))</f>
        <v/>
      </c>
      <c r="J870" s="59" t="n"/>
    </row>
    <row r="871">
      <c r="A871" s="31">
        <f>IF(Members!$A871="","",Members!$A871)</f>
        <v/>
      </c>
      <c r="B871" s="31">
        <f>IF($A871="","",$I871+SUMIF(WeeklySummary!$B$2:$B$1000,$A871,WeeklySummary!$G$2:$G$1000))</f>
        <v/>
      </c>
      <c r="C871" s="31">
        <f>IF($B871="","",MIN(100,INT(SQRT($B871))))</f>
        <v/>
      </c>
      <c r="D871" s="31">
        <f>IF($C871="","",($C871+1)^2)</f>
        <v/>
      </c>
      <c r="E871" s="31">
        <f>IF($D871="","",$D871-$B871)</f>
        <v/>
      </c>
      <c r="F871" s="31">
        <f>IF($A871="","",SUMIF(MonthlySummary!$B$2:$B$1000,$A871,MonthlySummary!$E$2:$E$1000))</f>
        <v/>
      </c>
      <c r="G871" s="31" t="n">
        <v>0</v>
      </c>
      <c r="H871" s="31">
        <f>IF($A871="","",$F871-IF($G871="",0,$G871))</f>
        <v/>
      </c>
      <c r="I871" s="31">
        <f>IF($A871="","",IFERROR(XLOOKUP($A871,SeedPlacement!$A$2:$A$1000,SeedPlacement!$N$2:$N$1000),0))</f>
        <v/>
      </c>
      <c r="J871" s="59" t="n"/>
    </row>
    <row r="872">
      <c r="A872" s="31">
        <f>IF(Members!$A872="","",Members!$A872)</f>
        <v/>
      </c>
      <c r="B872" s="31">
        <f>IF($A872="","",$I872+SUMIF(WeeklySummary!$B$2:$B$1000,$A872,WeeklySummary!$G$2:$G$1000))</f>
        <v/>
      </c>
      <c r="C872" s="31">
        <f>IF($B872="","",MIN(100,INT(SQRT($B872))))</f>
        <v/>
      </c>
      <c r="D872" s="31">
        <f>IF($C872="","",($C872+1)^2)</f>
        <v/>
      </c>
      <c r="E872" s="31">
        <f>IF($D872="","",$D872-$B872)</f>
        <v/>
      </c>
      <c r="F872" s="31">
        <f>IF($A872="","",SUMIF(MonthlySummary!$B$2:$B$1000,$A872,MonthlySummary!$E$2:$E$1000))</f>
        <v/>
      </c>
      <c r="G872" s="31" t="n">
        <v>0</v>
      </c>
      <c r="H872" s="31">
        <f>IF($A872="","",$F872-IF($G872="",0,$G872))</f>
        <v/>
      </c>
      <c r="I872" s="31">
        <f>IF($A872="","",IFERROR(XLOOKUP($A872,SeedPlacement!$A$2:$A$1000,SeedPlacement!$N$2:$N$1000),0))</f>
        <v/>
      </c>
      <c r="J872" s="59" t="n"/>
    </row>
    <row r="873">
      <c r="A873" s="31">
        <f>IF(Members!$A873="","",Members!$A873)</f>
        <v/>
      </c>
      <c r="B873" s="31">
        <f>IF($A873="","",$I873+SUMIF(WeeklySummary!$B$2:$B$1000,$A873,WeeklySummary!$G$2:$G$1000))</f>
        <v/>
      </c>
      <c r="C873" s="31">
        <f>IF($B873="","",MIN(100,INT(SQRT($B873))))</f>
        <v/>
      </c>
      <c r="D873" s="31">
        <f>IF($C873="","",($C873+1)^2)</f>
        <v/>
      </c>
      <c r="E873" s="31">
        <f>IF($D873="","",$D873-$B873)</f>
        <v/>
      </c>
      <c r="F873" s="31">
        <f>IF($A873="","",SUMIF(MonthlySummary!$B$2:$B$1000,$A873,MonthlySummary!$E$2:$E$1000))</f>
        <v/>
      </c>
      <c r="G873" s="31" t="n">
        <v>0</v>
      </c>
      <c r="H873" s="31">
        <f>IF($A873="","",$F873-IF($G873="",0,$G873))</f>
        <v/>
      </c>
      <c r="I873" s="31">
        <f>IF($A873="","",IFERROR(XLOOKUP($A873,SeedPlacement!$A$2:$A$1000,SeedPlacement!$N$2:$N$1000),0))</f>
        <v/>
      </c>
      <c r="J873" s="59" t="n"/>
    </row>
    <row r="874">
      <c r="A874" s="31">
        <f>IF(Members!$A874="","",Members!$A874)</f>
        <v/>
      </c>
      <c r="B874" s="31">
        <f>IF($A874="","",$I874+SUMIF(WeeklySummary!$B$2:$B$1000,$A874,WeeklySummary!$G$2:$G$1000))</f>
        <v/>
      </c>
      <c r="C874" s="31">
        <f>IF($B874="","",MIN(100,INT(SQRT($B874))))</f>
        <v/>
      </c>
      <c r="D874" s="31">
        <f>IF($C874="","",($C874+1)^2)</f>
        <v/>
      </c>
      <c r="E874" s="31">
        <f>IF($D874="","",$D874-$B874)</f>
        <v/>
      </c>
      <c r="F874" s="31">
        <f>IF($A874="","",SUMIF(MonthlySummary!$B$2:$B$1000,$A874,MonthlySummary!$E$2:$E$1000))</f>
        <v/>
      </c>
      <c r="G874" s="31" t="n">
        <v>0</v>
      </c>
      <c r="H874" s="31">
        <f>IF($A874="","",$F874-IF($G874="",0,$G874))</f>
        <v/>
      </c>
      <c r="I874" s="31">
        <f>IF($A874="","",IFERROR(XLOOKUP($A874,SeedPlacement!$A$2:$A$1000,SeedPlacement!$N$2:$N$1000),0))</f>
        <v/>
      </c>
      <c r="J874" s="59" t="n"/>
    </row>
    <row r="875">
      <c r="A875" s="31">
        <f>IF(Members!$A875="","",Members!$A875)</f>
        <v/>
      </c>
      <c r="B875" s="31">
        <f>IF($A875="","",$I875+SUMIF(WeeklySummary!$B$2:$B$1000,$A875,WeeklySummary!$G$2:$G$1000))</f>
        <v/>
      </c>
      <c r="C875" s="31">
        <f>IF($B875="","",MIN(100,INT(SQRT($B875))))</f>
        <v/>
      </c>
      <c r="D875" s="31">
        <f>IF($C875="","",($C875+1)^2)</f>
        <v/>
      </c>
      <c r="E875" s="31">
        <f>IF($D875="","",$D875-$B875)</f>
        <v/>
      </c>
      <c r="F875" s="31">
        <f>IF($A875="","",SUMIF(MonthlySummary!$B$2:$B$1000,$A875,MonthlySummary!$E$2:$E$1000))</f>
        <v/>
      </c>
      <c r="G875" s="31" t="n">
        <v>0</v>
      </c>
      <c r="H875" s="31">
        <f>IF($A875="","",$F875-IF($G875="",0,$G875))</f>
        <v/>
      </c>
      <c r="I875" s="31">
        <f>IF($A875="","",IFERROR(XLOOKUP($A875,SeedPlacement!$A$2:$A$1000,SeedPlacement!$N$2:$N$1000),0))</f>
        <v/>
      </c>
      <c r="J875" s="59" t="n"/>
    </row>
    <row r="876">
      <c r="A876" s="31">
        <f>IF(Members!$A876="","",Members!$A876)</f>
        <v/>
      </c>
      <c r="B876" s="31">
        <f>IF($A876="","",$I876+SUMIF(WeeklySummary!$B$2:$B$1000,$A876,WeeklySummary!$G$2:$G$1000))</f>
        <v/>
      </c>
      <c r="C876" s="31">
        <f>IF($B876="","",MIN(100,INT(SQRT($B876))))</f>
        <v/>
      </c>
      <c r="D876" s="31">
        <f>IF($C876="","",($C876+1)^2)</f>
        <v/>
      </c>
      <c r="E876" s="31">
        <f>IF($D876="","",$D876-$B876)</f>
        <v/>
      </c>
      <c r="F876" s="31">
        <f>IF($A876="","",SUMIF(MonthlySummary!$B$2:$B$1000,$A876,MonthlySummary!$E$2:$E$1000))</f>
        <v/>
      </c>
      <c r="G876" s="31" t="n">
        <v>0</v>
      </c>
      <c r="H876" s="31">
        <f>IF($A876="","",$F876-IF($G876="",0,$G876))</f>
        <v/>
      </c>
      <c r="I876" s="31">
        <f>IF($A876="","",IFERROR(XLOOKUP($A876,SeedPlacement!$A$2:$A$1000,SeedPlacement!$N$2:$N$1000),0))</f>
        <v/>
      </c>
      <c r="J876" s="59" t="n"/>
    </row>
    <row r="877">
      <c r="A877" s="31">
        <f>IF(Members!$A877="","",Members!$A877)</f>
        <v/>
      </c>
      <c r="B877" s="31">
        <f>IF($A877="","",$I877+SUMIF(WeeklySummary!$B$2:$B$1000,$A877,WeeklySummary!$G$2:$G$1000))</f>
        <v/>
      </c>
      <c r="C877" s="31">
        <f>IF($B877="","",MIN(100,INT(SQRT($B877))))</f>
        <v/>
      </c>
      <c r="D877" s="31">
        <f>IF($C877="","",($C877+1)^2)</f>
        <v/>
      </c>
      <c r="E877" s="31">
        <f>IF($D877="","",$D877-$B877)</f>
        <v/>
      </c>
      <c r="F877" s="31">
        <f>IF($A877="","",SUMIF(MonthlySummary!$B$2:$B$1000,$A877,MonthlySummary!$E$2:$E$1000))</f>
        <v/>
      </c>
      <c r="G877" s="31" t="n">
        <v>0</v>
      </c>
      <c r="H877" s="31">
        <f>IF($A877="","",$F877-IF($G877="",0,$G877))</f>
        <v/>
      </c>
      <c r="I877" s="31">
        <f>IF($A877="","",IFERROR(XLOOKUP($A877,SeedPlacement!$A$2:$A$1000,SeedPlacement!$N$2:$N$1000),0))</f>
        <v/>
      </c>
      <c r="J877" s="59" t="n"/>
    </row>
    <row r="878">
      <c r="A878" s="31">
        <f>IF(Members!$A878="","",Members!$A878)</f>
        <v/>
      </c>
      <c r="B878" s="31">
        <f>IF($A878="","",$I878+SUMIF(WeeklySummary!$B$2:$B$1000,$A878,WeeklySummary!$G$2:$G$1000))</f>
        <v/>
      </c>
      <c r="C878" s="31">
        <f>IF($B878="","",MIN(100,INT(SQRT($B878))))</f>
        <v/>
      </c>
      <c r="D878" s="31">
        <f>IF($C878="","",($C878+1)^2)</f>
        <v/>
      </c>
      <c r="E878" s="31">
        <f>IF($D878="","",$D878-$B878)</f>
        <v/>
      </c>
      <c r="F878" s="31">
        <f>IF($A878="","",SUMIF(MonthlySummary!$B$2:$B$1000,$A878,MonthlySummary!$E$2:$E$1000))</f>
        <v/>
      </c>
      <c r="G878" s="31" t="n">
        <v>0</v>
      </c>
      <c r="H878" s="31">
        <f>IF($A878="","",$F878-IF($G878="",0,$G878))</f>
        <v/>
      </c>
      <c r="I878" s="31">
        <f>IF($A878="","",IFERROR(XLOOKUP($A878,SeedPlacement!$A$2:$A$1000,SeedPlacement!$N$2:$N$1000),0))</f>
        <v/>
      </c>
      <c r="J878" s="59" t="n"/>
    </row>
    <row r="879">
      <c r="A879" s="31">
        <f>IF(Members!$A879="","",Members!$A879)</f>
        <v/>
      </c>
      <c r="B879" s="31">
        <f>IF($A879="","",$I879+SUMIF(WeeklySummary!$B$2:$B$1000,$A879,WeeklySummary!$G$2:$G$1000))</f>
        <v/>
      </c>
      <c r="C879" s="31">
        <f>IF($B879="","",MIN(100,INT(SQRT($B879))))</f>
        <v/>
      </c>
      <c r="D879" s="31">
        <f>IF($C879="","",($C879+1)^2)</f>
        <v/>
      </c>
      <c r="E879" s="31">
        <f>IF($D879="","",$D879-$B879)</f>
        <v/>
      </c>
      <c r="F879" s="31">
        <f>IF($A879="","",SUMIF(MonthlySummary!$B$2:$B$1000,$A879,MonthlySummary!$E$2:$E$1000))</f>
        <v/>
      </c>
      <c r="G879" s="31" t="n">
        <v>0</v>
      </c>
      <c r="H879" s="31">
        <f>IF($A879="","",$F879-IF($G879="",0,$G879))</f>
        <v/>
      </c>
      <c r="I879" s="31">
        <f>IF($A879="","",IFERROR(XLOOKUP($A879,SeedPlacement!$A$2:$A$1000,SeedPlacement!$N$2:$N$1000),0))</f>
        <v/>
      </c>
      <c r="J879" s="59" t="n"/>
    </row>
    <row r="880">
      <c r="A880" s="31">
        <f>IF(Members!$A880="","",Members!$A880)</f>
        <v/>
      </c>
      <c r="B880" s="31">
        <f>IF($A880="","",$I880+SUMIF(WeeklySummary!$B$2:$B$1000,$A880,WeeklySummary!$G$2:$G$1000))</f>
        <v/>
      </c>
      <c r="C880" s="31">
        <f>IF($B880="","",MIN(100,INT(SQRT($B880))))</f>
        <v/>
      </c>
      <c r="D880" s="31">
        <f>IF($C880="","",($C880+1)^2)</f>
        <v/>
      </c>
      <c r="E880" s="31">
        <f>IF($D880="","",$D880-$B880)</f>
        <v/>
      </c>
      <c r="F880" s="31">
        <f>IF($A880="","",SUMIF(MonthlySummary!$B$2:$B$1000,$A880,MonthlySummary!$E$2:$E$1000))</f>
        <v/>
      </c>
      <c r="G880" s="31" t="n">
        <v>0</v>
      </c>
      <c r="H880" s="31">
        <f>IF($A880="","",$F880-IF($G880="",0,$G880))</f>
        <v/>
      </c>
      <c r="I880" s="31">
        <f>IF($A880="","",IFERROR(XLOOKUP($A880,SeedPlacement!$A$2:$A$1000,SeedPlacement!$N$2:$N$1000),0))</f>
        <v/>
      </c>
      <c r="J880" s="59" t="n"/>
    </row>
    <row r="881">
      <c r="A881" s="31">
        <f>IF(Members!$A881="","",Members!$A881)</f>
        <v/>
      </c>
      <c r="B881" s="31">
        <f>IF($A881="","",$I881+SUMIF(WeeklySummary!$B$2:$B$1000,$A881,WeeklySummary!$G$2:$G$1000))</f>
        <v/>
      </c>
      <c r="C881" s="31">
        <f>IF($B881="","",MIN(100,INT(SQRT($B881))))</f>
        <v/>
      </c>
      <c r="D881" s="31">
        <f>IF($C881="","",($C881+1)^2)</f>
        <v/>
      </c>
      <c r="E881" s="31">
        <f>IF($D881="","",$D881-$B881)</f>
        <v/>
      </c>
      <c r="F881" s="31">
        <f>IF($A881="","",SUMIF(MonthlySummary!$B$2:$B$1000,$A881,MonthlySummary!$E$2:$E$1000))</f>
        <v/>
      </c>
      <c r="G881" s="31" t="n">
        <v>0</v>
      </c>
      <c r="H881" s="31">
        <f>IF($A881="","",$F881-IF($G881="",0,$G881))</f>
        <v/>
      </c>
      <c r="I881" s="31">
        <f>IF($A881="","",IFERROR(XLOOKUP($A881,SeedPlacement!$A$2:$A$1000,SeedPlacement!$N$2:$N$1000),0))</f>
        <v/>
      </c>
      <c r="J881" s="59" t="n"/>
    </row>
    <row r="882">
      <c r="A882" s="31">
        <f>IF(Members!$A882="","",Members!$A882)</f>
        <v/>
      </c>
      <c r="B882" s="31">
        <f>IF($A882="","",$I882+SUMIF(WeeklySummary!$B$2:$B$1000,$A882,WeeklySummary!$G$2:$G$1000))</f>
        <v/>
      </c>
      <c r="C882" s="31">
        <f>IF($B882="","",MIN(100,INT(SQRT($B882))))</f>
        <v/>
      </c>
      <c r="D882" s="31">
        <f>IF($C882="","",($C882+1)^2)</f>
        <v/>
      </c>
      <c r="E882" s="31">
        <f>IF($D882="","",$D882-$B882)</f>
        <v/>
      </c>
      <c r="F882" s="31">
        <f>IF($A882="","",SUMIF(MonthlySummary!$B$2:$B$1000,$A882,MonthlySummary!$E$2:$E$1000))</f>
        <v/>
      </c>
      <c r="G882" s="31" t="n">
        <v>0</v>
      </c>
      <c r="H882" s="31">
        <f>IF($A882="","",$F882-IF($G882="",0,$G882))</f>
        <v/>
      </c>
      <c r="I882" s="31">
        <f>IF($A882="","",IFERROR(XLOOKUP($A882,SeedPlacement!$A$2:$A$1000,SeedPlacement!$N$2:$N$1000),0))</f>
        <v/>
      </c>
      <c r="J882" s="59" t="n"/>
    </row>
    <row r="883">
      <c r="A883" s="31">
        <f>IF(Members!$A883="","",Members!$A883)</f>
        <v/>
      </c>
      <c r="B883" s="31">
        <f>IF($A883="","",$I883+SUMIF(WeeklySummary!$B$2:$B$1000,$A883,WeeklySummary!$G$2:$G$1000))</f>
        <v/>
      </c>
      <c r="C883" s="31">
        <f>IF($B883="","",MIN(100,INT(SQRT($B883))))</f>
        <v/>
      </c>
      <c r="D883" s="31">
        <f>IF($C883="","",($C883+1)^2)</f>
        <v/>
      </c>
      <c r="E883" s="31">
        <f>IF($D883="","",$D883-$B883)</f>
        <v/>
      </c>
      <c r="F883" s="31">
        <f>IF($A883="","",SUMIF(MonthlySummary!$B$2:$B$1000,$A883,MonthlySummary!$E$2:$E$1000))</f>
        <v/>
      </c>
      <c r="G883" s="31" t="n">
        <v>0</v>
      </c>
      <c r="H883" s="31">
        <f>IF($A883="","",$F883-IF($G883="",0,$G883))</f>
        <v/>
      </c>
      <c r="I883" s="31">
        <f>IF($A883="","",IFERROR(XLOOKUP($A883,SeedPlacement!$A$2:$A$1000,SeedPlacement!$N$2:$N$1000),0))</f>
        <v/>
      </c>
      <c r="J883" s="59" t="n"/>
    </row>
    <row r="884">
      <c r="A884" s="31">
        <f>IF(Members!$A884="","",Members!$A884)</f>
        <v/>
      </c>
      <c r="B884" s="31">
        <f>IF($A884="","",$I884+SUMIF(WeeklySummary!$B$2:$B$1000,$A884,WeeklySummary!$G$2:$G$1000))</f>
        <v/>
      </c>
      <c r="C884" s="31">
        <f>IF($B884="","",MIN(100,INT(SQRT($B884))))</f>
        <v/>
      </c>
      <c r="D884" s="31">
        <f>IF($C884="","",($C884+1)^2)</f>
        <v/>
      </c>
      <c r="E884" s="31">
        <f>IF($D884="","",$D884-$B884)</f>
        <v/>
      </c>
      <c r="F884" s="31">
        <f>IF($A884="","",SUMIF(MonthlySummary!$B$2:$B$1000,$A884,MonthlySummary!$E$2:$E$1000))</f>
        <v/>
      </c>
      <c r="G884" s="31" t="n">
        <v>0</v>
      </c>
      <c r="H884" s="31">
        <f>IF($A884="","",$F884-IF($G884="",0,$G884))</f>
        <v/>
      </c>
      <c r="I884" s="31">
        <f>IF($A884="","",IFERROR(XLOOKUP($A884,SeedPlacement!$A$2:$A$1000,SeedPlacement!$N$2:$N$1000),0))</f>
        <v/>
      </c>
      <c r="J884" s="59" t="n"/>
    </row>
    <row r="885">
      <c r="A885" s="31">
        <f>IF(Members!$A885="","",Members!$A885)</f>
        <v/>
      </c>
      <c r="B885" s="31">
        <f>IF($A885="","",$I885+SUMIF(WeeklySummary!$B$2:$B$1000,$A885,WeeklySummary!$G$2:$G$1000))</f>
        <v/>
      </c>
      <c r="C885" s="31">
        <f>IF($B885="","",MIN(100,INT(SQRT($B885))))</f>
        <v/>
      </c>
      <c r="D885" s="31">
        <f>IF($C885="","",($C885+1)^2)</f>
        <v/>
      </c>
      <c r="E885" s="31">
        <f>IF($D885="","",$D885-$B885)</f>
        <v/>
      </c>
      <c r="F885" s="31">
        <f>IF($A885="","",SUMIF(MonthlySummary!$B$2:$B$1000,$A885,MonthlySummary!$E$2:$E$1000))</f>
        <v/>
      </c>
      <c r="G885" s="31" t="n">
        <v>0</v>
      </c>
      <c r="H885" s="31">
        <f>IF($A885="","",$F885-IF($G885="",0,$G885))</f>
        <v/>
      </c>
      <c r="I885" s="31">
        <f>IF($A885="","",IFERROR(XLOOKUP($A885,SeedPlacement!$A$2:$A$1000,SeedPlacement!$N$2:$N$1000),0))</f>
        <v/>
      </c>
      <c r="J885" s="59" t="n"/>
    </row>
    <row r="886">
      <c r="A886" s="31">
        <f>IF(Members!$A886="","",Members!$A886)</f>
        <v/>
      </c>
      <c r="B886" s="31">
        <f>IF($A886="","",$I886+SUMIF(WeeklySummary!$B$2:$B$1000,$A886,WeeklySummary!$G$2:$G$1000))</f>
        <v/>
      </c>
      <c r="C886" s="31">
        <f>IF($B886="","",MIN(100,INT(SQRT($B886))))</f>
        <v/>
      </c>
      <c r="D886" s="31">
        <f>IF($C886="","",($C886+1)^2)</f>
        <v/>
      </c>
      <c r="E886" s="31">
        <f>IF($D886="","",$D886-$B886)</f>
        <v/>
      </c>
      <c r="F886" s="31">
        <f>IF($A886="","",SUMIF(MonthlySummary!$B$2:$B$1000,$A886,MonthlySummary!$E$2:$E$1000))</f>
        <v/>
      </c>
      <c r="G886" s="31" t="n">
        <v>0</v>
      </c>
      <c r="H886" s="31">
        <f>IF($A886="","",$F886-IF($G886="",0,$G886))</f>
        <v/>
      </c>
      <c r="I886" s="31">
        <f>IF($A886="","",IFERROR(XLOOKUP($A886,SeedPlacement!$A$2:$A$1000,SeedPlacement!$N$2:$N$1000),0))</f>
        <v/>
      </c>
      <c r="J886" s="59" t="n"/>
    </row>
    <row r="887">
      <c r="A887" s="31">
        <f>IF(Members!$A887="","",Members!$A887)</f>
        <v/>
      </c>
      <c r="B887" s="31">
        <f>IF($A887="","",$I887+SUMIF(WeeklySummary!$B$2:$B$1000,$A887,WeeklySummary!$G$2:$G$1000))</f>
        <v/>
      </c>
      <c r="C887" s="31">
        <f>IF($B887="","",MIN(100,INT(SQRT($B887))))</f>
        <v/>
      </c>
      <c r="D887" s="31">
        <f>IF($C887="","",($C887+1)^2)</f>
        <v/>
      </c>
      <c r="E887" s="31">
        <f>IF($D887="","",$D887-$B887)</f>
        <v/>
      </c>
      <c r="F887" s="31">
        <f>IF($A887="","",SUMIF(MonthlySummary!$B$2:$B$1000,$A887,MonthlySummary!$E$2:$E$1000))</f>
        <v/>
      </c>
      <c r="G887" s="31" t="n">
        <v>0</v>
      </c>
      <c r="H887" s="31">
        <f>IF($A887="","",$F887-IF($G887="",0,$G887))</f>
        <v/>
      </c>
      <c r="I887" s="31">
        <f>IF($A887="","",IFERROR(XLOOKUP($A887,SeedPlacement!$A$2:$A$1000,SeedPlacement!$N$2:$N$1000),0))</f>
        <v/>
      </c>
      <c r="J887" s="59" t="n"/>
    </row>
    <row r="888">
      <c r="A888" s="31">
        <f>IF(Members!$A888="","",Members!$A888)</f>
        <v/>
      </c>
      <c r="B888" s="31">
        <f>IF($A888="","",$I888+SUMIF(WeeklySummary!$B$2:$B$1000,$A888,WeeklySummary!$G$2:$G$1000))</f>
        <v/>
      </c>
      <c r="C888" s="31">
        <f>IF($B888="","",MIN(100,INT(SQRT($B888))))</f>
        <v/>
      </c>
      <c r="D888" s="31">
        <f>IF($C888="","",($C888+1)^2)</f>
        <v/>
      </c>
      <c r="E888" s="31">
        <f>IF($D888="","",$D888-$B888)</f>
        <v/>
      </c>
      <c r="F888" s="31">
        <f>IF($A888="","",SUMIF(MonthlySummary!$B$2:$B$1000,$A888,MonthlySummary!$E$2:$E$1000))</f>
        <v/>
      </c>
      <c r="G888" s="31" t="n">
        <v>0</v>
      </c>
      <c r="H888" s="31">
        <f>IF($A888="","",$F888-IF($G888="",0,$G888))</f>
        <v/>
      </c>
      <c r="I888" s="31">
        <f>IF($A888="","",IFERROR(XLOOKUP($A888,SeedPlacement!$A$2:$A$1000,SeedPlacement!$N$2:$N$1000),0))</f>
        <v/>
      </c>
      <c r="J888" s="59" t="n"/>
    </row>
    <row r="889">
      <c r="A889" s="31">
        <f>IF(Members!$A889="","",Members!$A889)</f>
        <v/>
      </c>
      <c r="B889" s="31">
        <f>IF($A889="","",$I889+SUMIF(WeeklySummary!$B$2:$B$1000,$A889,WeeklySummary!$G$2:$G$1000))</f>
        <v/>
      </c>
      <c r="C889" s="31">
        <f>IF($B889="","",MIN(100,INT(SQRT($B889))))</f>
        <v/>
      </c>
      <c r="D889" s="31">
        <f>IF($C889="","",($C889+1)^2)</f>
        <v/>
      </c>
      <c r="E889" s="31">
        <f>IF($D889="","",$D889-$B889)</f>
        <v/>
      </c>
      <c r="F889" s="31">
        <f>IF($A889="","",SUMIF(MonthlySummary!$B$2:$B$1000,$A889,MonthlySummary!$E$2:$E$1000))</f>
        <v/>
      </c>
      <c r="G889" s="31" t="n">
        <v>0</v>
      </c>
      <c r="H889" s="31">
        <f>IF($A889="","",$F889-IF($G889="",0,$G889))</f>
        <v/>
      </c>
      <c r="I889" s="31">
        <f>IF($A889="","",IFERROR(XLOOKUP($A889,SeedPlacement!$A$2:$A$1000,SeedPlacement!$N$2:$N$1000),0))</f>
        <v/>
      </c>
      <c r="J889" s="59" t="n"/>
    </row>
    <row r="890">
      <c r="A890" s="31">
        <f>IF(Members!$A890="","",Members!$A890)</f>
        <v/>
      </c>
      <c r="B890" s="31">
        <f>IF($A890="","",$I890+SUMIF(WeeklySummary!$B$2:$B$1000,$A890,WeeklySummary!$G$2:$G$1000))</f>
        <v/>
      </c>
      <c r="C890" s="31">
        <f>IF($B890="","",MIN(100,INT(SQRT($B890))))</f>
        <v/>
      </c>
      <c r="D890" s="31">
        <f>IF($C890="","",($C890+1)^2)</f>
        <v/>
      </c>
      <c r="E890" s="31">
        <f>IF($D890="","",$D890-$B890)</f>
        <v/>
      </c>
      <c r="F890" s="31">
        <f>IF($A890="","",SUMIF(MonthlySummary!$B$2:$B$1000,$A890,MonthlySummary!$E$2:$E$1000))</f>
        <v/>
      </c>
      <c r="G890" s="31" t="n">
        <v>0</v>
      </c>
      <c r="H890" s="31">
        <f>IF($A890="","",$F890-IF($G890="",0,$G890))</f>
        <v/>
      </c>
      <c r="I890" s="31">
        <f>IF($A890="","",IFERROR(XLOOKUP($A890,SeedPlacement!$A$2:$A$1000,SeedPlacement!$N$2:$N$1000),0))</f>
        <v/>
      </c>
      <c r="J890" s="59" t="n"/>
    </row>
    <row r="891">
      <c r="A891" s="31">
        <f>IF(Members!$A891="","",Members!$A891)</f>
        <v/>
      </c>
      <c r="B891" s="31">
        <f>IF($A891="","",$I891+SUMIF(WeeklySummary!$B$2:$B$1000,$A891,WeeklySummary!$G$2:$G$1000))</f>
        <v/>
      </c>
      <c r="C891" s="31">
        <f>IF($B891="","",MIN(100,INT(SQRT($B891))))</f>
        <v/>
      </c>
      <c r="D891" s="31">
        <f>IF($C891="","",($C891+1)^2)</f>
        <v/>
      </c>
      <c r="E891" s="31">
        <f>IF($D891="","",$D891-$B891)</f>
        <v/>
      </c>
      <c r="F891" s="31">
        <f>IF($A891="","",SUMIF(MonthlySummary!$B$2:$B$1000,$A891,MonthlySummary!$E$2:$E$1000))</f>
        <v/>
      </c>
      <c r="G891" s="31" t="n">
        <v>0</v>
      </c>
      <c r="H891" s="31">
        <f>IF($A891="","",$F891-IF($G891="",0,$G891))</f>
        <v/>
      </c>
      <c r="I891" s="31">
        <f>IF($A891="","",IFERROR(XLOOKUP($A891,SeedPlacement!$A$2:$A$1000,SeedPlacement!$N$2:$N$1000),0))</f>
        <v/>
      </c>
      <c r="J891" s="59" t="n"/>
    </row>
    <row r="892">
      <c r="A892" s="31">
        <f>IF(Members!$A892="","",Members!$A892)</f>
        <v/>
      </c>
      <c r="B892" s="31">
        <f>IF($A892="","",$I892+SUMIF(WeeklySummary!$B$2:$B$1000,$A892,WeeklySummary!$G$2:$G$1000))</f>
        <v/>
      </c>
      <c r="C892" s="31">
        <f>IF($B892="","",MIN(100,INT(SQRT($B892))))</f>
        <v/>
      </c>
      <c r="D892" s="31">
        <f>IF($C892="","",($C892+1)^2)</f>
        <v/>
      </c>
      <c r="E892" s="31">
        <f>IF($D892="","",$D892-$B892)</f>
        <v/>
      </c>
      <c r="F892" s="31">
        <f>IF($A892="","",SUMIF(MonthlySummary!$B$2:$B$1000,$A892,MonthlySummary!$E$2:$E$1000))</f>
        <v/>
      </c>
      <c r="G892" s="31" t="n">
        <v>0</v>
      </c>
      <c r="H892" s="31">
        <f>IF($A892="","",$F892-IF($G892="",0,$G892))</f>
        <v/>
      </c>
      <c r="I892" s="31">
        <f>IF($A892="","",IFERROR(XLOOKUP($A892,SeedPlacement!$A$2:$A$1000,SeedPlacement!$N$2:$N$1000),0))</f>
        <v/>
      </c>
      <c r="J892" s="59" t="n"/>
    </row>
    <row r="893">
      <c r="A893" s="31">
        <f>IF(Members!$A893="","",Members!$A893)</f>
        <v/>
      </c>
      <c r="B893" s="31">
        <f>IF($A893="","",$I893+SUMIF(WeeklySummary!$B$2:$B$1000,$A893,WeeklySummary!$G$2:$G$1000))</f>
        <v/>
      </c>
      <c r="C893" s="31">
        <f>IF($B893="","",MIN(100,INT(SQRT($B893))))</f>
        <v/>
      </c>
      <c r="D893" s="31">
        <f>IF($C893="","",($C893+1)^2)</f>
        <v/>
      </c>
      <c r="E893" s="31">
        <f>IF($D893="","",$D893-$B893)</f>
        <v/>
      </c>
      <c r="F893" s="31">
        <f>IF($A893="","",SUMIF(MonthlySummary!$B$2:$B$1000,$A893,MonthlySummary!$E$2:$E$1000))</f>
        <v/>
      </c>
      <c r="G893" s="31" t="n">
        <v>0</v>
      </c>
      <c r="H893" s="31">
        <f>IF($A893="","",$F893-IF($G893="",0,$G893))</f>
        <v/>
      </c>
      <c r="I893" s="31">
        <f>IF($A893="","",IFERROR(XLOOKUP($A893,SeedPlacement!$A$2:$A$1000,SeedPlacement!$N$2:$N$1000),0))</f>
        <v/>
      </c>
      <c r="J893" s="59" t="n"/>
    </row>
    <row r="894">
      <c r="A894" s="31">
        <f>IF(Members!$A894="","",Members!$A894)</f>
        <v/>
      </c>
      <c r="B894" s="31">
        <f>IF($A894="","",$I894+SUMIF(WeeklySummary!$B$2:$B$1000,$A894,WeeklySummary!$G$2:$G$1000))</f>
        <v/>
      </c>
      <c r="C894" s="31">
        <f>IF($B894="","",MIN(100,INT(SQRT($B894))))</f>
        <v/>
      </c>
      <c r="D894" s="31">
        <f>IF($C894="","",($C894+1)^2)</f>
        <v/>
      </c>
      <c r="E894" s="31">
        <f>IF($D894="","",$D894-$B894)</f>
        <v/>
      </c>
      <c r="F894" s="31">
        <f>IF($A894="","",SUMIF(MonthlySummary!$B$2:$B$1000,$A894,MonthlySummary!$E$2:$E$1000))</f>
        <v/>
      </c>
      <c r="G894" s="31" t="n">
        <v>0</v>
      </c>
      <c r="H894" s="31">
        <f>IF($A894="","",$F894-IF($G894="",0,$G894))</f>
        <v/>
      </c>
      <c r="I894" s="31">
        <f>IF($A894="","",IFERROR(XLOOKUP($A894,SeedPlacement!$A$2:$A$1000,SeedPlacement!$N$2:$N$1000),0))</f>
        <v/>
      </c>
      <c r="J894" s="59" t="n"/>
    </row>
    <row r="895">
      <c r="A895" s="31">
        <f>IF(Members!$A895="","",Members!$A895)</f>
        <v/>
      </c>
      <c r="B895" s="31">
        <f>IF($A895="","",$I895+SUMIF(WeeklySummary!$B$2:$B$1000,$A895,WeeklySummary!$G$2:$G$1000))</f>
        <v/>
      </c>
      <c r="C895" s="31">
        <f>IF($B895="","",MIN(100,INT(SQRT($B895))))</f>
        <v/>
      </c>
      <c r="D895" s="31">
        <f>IF($C895="","",($C895+1)^2)</f>
        <v/>
      </c>
      <c r="E895" s="31">
        <f>IF($D895="","",$D895-$B895)</f>
        <v/>
      </c>
      <c r="F895" s="31">
        <f>IF($A895="","",SUMIF(MonthlySummary!$B$2:$B$1000,$A895,MonthlySummary!$E$2:$E$1000))</f>
        <v/>
      </c>
      <c r="G895" s="31" t="n">
        <v>0</v>
      </c>
      <c r="H895" s="31">
        <f>IF($A895="","",$F895-IF($G895="",0,$G895))</f>
        <v/>
      </c>
      <c r="I895" s="31">
        <f>IF($A895="","",IFERROR(XLOOKUP($A895,SeedPlacement!$A$2:$A$1000,SeedPlacement!$N$2:$N$1000),0))</f>
        <v/>
      </c>
      <c r="J895" s="59" t="n"/>
    </row>
    <row r="896">
      <c r="A896" s="31">
        <f>IF(Members!$A896="","",Members!$A896)</f>
        <v/>
      </c>
      <c r="B896" s="31">
        <f>IF($A896="","",$I896+SUMIF(WeeklySummary!$B$2:$B$1000,$A896,WeeklySummary!$G$2:$G$1000))</f>
        <v/>
      </c>
      <c r="C896" s="31">
        <f>IF($B896="","",MIN(100,INT(SQRT($B896))))</f>
        <v/>
      </c>
      <c r="D896" s="31">
        <f>IF($C896="","",($C896+1)^2)</f>
        <v/>
      </c>
      <c r="E896" s="31">
        <f>IF($D896="","",$D896-$B896)</f>
        <v/>
      </c>
      <c r="F896" s="31">
        <f>IF($A896="","",SUMIF(MonthlySummary!$B$2:$B$1000,$A896,MonthlySummary!$E$2:$E$1000))</f>
        <v/>
      </c>
      <c r="G896" s="31" t="n">
        <v>0</v>
      </c>
      <c r="H896" s="31">
        <f>IF($A896="","",$F896-IF($G896="",0,$G896))</f>
        <v/>
      </c>
      <c r="I896" s="31">
        <f>IF($A896="","",IFERROR(XLOOKUP($A896,SeedPlacement!$A$2:$A$1000,SeedPlacement!$N$2:$N$1000),0))</f>
        <v/>
      </c>
      <c r="J896" s="59" t="n"/>
    </row>
    <row r="897">
      <c r="A897" s="31">
        <f>IF(Members!$A897="","",Members!$A897)</f>
        <v/>
      </c>
      <c r="B897" s="31">
        <f>IF($A897="","",$I897+SUMIF(WeeklySummary!$B$2:$B$1000,$A897,WeeklySummary!$G$2:$G$1000))</f>
        <v/>
      </c>
      <c r="C897" s="31">
        <f>IF($B897="","",MIN(100,INT(SQRT($B897))))</f>
        <v/>
      </c>
      <c r="D897" s="31">
        <f>IF($C897="","",($C897+1)^2)</f>
        <v/>
      </c>
      <c r="E897" s="31">
        <f>IF($D897="","",$D897-$B897)</f>
        <v/>
      </c>
      <c r="F897" s="31">
        <f>IF($A897="","",SUMIF(MonthlySummary!$B$2:$B$1000,$A897,MonthlySummary!$E$2:$E$1000))</f>
        <v/>
      </c>
      <c r="G897" s="31" t="n">
        <v>0</v>
      </c>
      <c r="H897" s="31">
        <f>IF($A897="","",$F897-IF($G897="",0,$G897))</f>
        <v/>
      </c>
      <c r="I897" s="31">
        <f>IF($A897="","",IFERROR(XLOOKUP($A897,SeedPlacement!$A$2:$A$1000,SeedPlacement!$N$2:$N$1000),0))</f>
        <v/>
      </c>
      <c r="J897" s="59" t="n"/>
    </row>
    <row r="898">
      <c r="A898" s="31">
        <f>IF(Members!$A898="","",Members!$A898)</f>
        <v/>
      </c>
      <c r="B898" s="31">
        <f>IF($A898="","",$I898+SUMIF(WeeklySummary!$B$2:$B$1000,$A898,WeeklySummary!$G$2:$G$1000))</f>
        <v/>
      </c>
      <c r="C898" s="31">
        <f>IF($B898="","",MIN(100,INT(SQRT($B898))))</f>
        <v/>
      </c>
      <c r="D898" s="31">
        <f>IF($C898="","",($C898+1)^2)</f>
        <v/>
      </c>
      <c r="E898" s="31">
        <f>IF($D898="","",$D898-$B898)</f>
        <v/>
      </c>
      <c r="F898" s="31">
        <f>IF($A898="","",SUMIF(MonthlySummary!$B$2:$B$1000,$A898,MonthlySummary!$E$2:$E$1000))</f>
        <v/>
      </c>
      <c r="G898" s="31" t="n">
        <v>0</v>
      </c>
      <c r="H898" s="31">
        <f>IF($A898="","",$F898-IF($G898="",0,$G898))</f>
        <v/>
      </c>
      <c r="I898" s="31">
        <f>IF($A898="","",IFERROR(XLOOKUP($A898,SeedPlacement!$A$2:$A$1000,SeedPlacement!$N$2:$N$1000),0))</f>
        <v/>
      </c>
      <c r="J898" s="59" t="n"/>
    </row>
    <row r="899">
      <c r="A899" s="31">
        <f>IF(Members!$A899="","",Members!$A899)</f>
        <v/>
      </c>
      <c r="B899" s="31">
        <f>IF($A899="","",$I899+SUMIF(WeeklySummary!$B$2:$B$1000,$A899,WeeklySummary!$G$2:$G$1000))</f>
        <v/>
      </c>
      <c r="C899" s="31">
        <f>IF($B899="","",MIN(100,INT(SQRT($B899))))</f>
        <v/>
      </c>
      <c r="D899" s="31">
        <f>IF($C899="","",($C899+1)^2)</f>
        <v/>
      </c>
      <c r="E899" s="31">
        <f>IF($D899="","",$D899-$B899)</f>
        <v/>
      </c>
      <c r="F899" s="31">
        <f>IF($A899="","",SUMIF(MonthlySummary!$B$2:$B$1000,$A899,MonthlySummary!$E$2:$E$1000))</f>
        <v/>
      </c>
      <c r="G899" s="31" t="n">
        <v>0</v>
      </c>
      <c r="H899" s="31">
        <f>IF($A899="","",$F899-IF($G899="",0,$G899))</f>
        <v/>
      </c>
      <c r="I899" s="31">
        <f>IF($A899="","",IFERROR(XLOOKUP($A899,SeedPlacement!$A$2:$A$1000,SeedPlacement!$N$2:$N$1000),0))</f>
        <v/>
      </c>
      <c r="J899" s="59" t="n"/>
    </row>
    <row r="900">
      <c r="A900" s="31">
        <f>IF(Members!$A900="","",Members!$A900)</f>
        <v/>
      </c>
      <c r="B900" s="31">
        <f>IF($A900="","",$I900+SUMIF(WeeklySummary!$B$2:$B$1000,$A900,WeeklySummary!$G$2:$G$1000))</f>
        <v/>
      </c>
      <c r="C900" s="31">
        <f>IF($B900="","",MIN(100,INT(SQRT($B900))))</f>
        <v/>
      </c>
      <c r="D900" s="31">
        <f>IF($C900="","",($C900+1)^2)</f>
        <v/>
      </c>
      <c r="E900" s="31">
        <f>IF($D900="","",$D900-$B900)</f>
        <v/>
      </c>
      <c r="F900" s="31">
        <f>IF($A900="","",SUMIF(MonthlySummary!$B$2:$B$1000,$A900,MonthlySummary!$E$2:$E$1000))</f>
        <v/>
      </c>
      <c r="G900" s="31" t="n">
        <v>0</v>
      </c>
      <c r="H900" s="31">
        <f>IF($A900="","",$F900-IF($G900="",0,$G900))</f>
        <v/>
      </c>
      <c r="I900" s="31">
        <f>IF($A900="","",IFERROR(XLOOKUP($A900,SeedPlacement!$A$2:$A$1000,SeedPlacement!$N$2:$N$1000),0))</f>
        <v/>
      </c>
      <c r="J900" s="59" t="n"/>
    </row>
    <row r="901">
      <c r="A901" s="31">
        <f>IF(Members!$A901="","",Members!$A901)</f>
        <v/>
      </c>
      <c r="B901" s="31">
        <f>IF($A901="","",$I901+SUMIF(WeeklySummary!$B$2:$B$1000,$A901,WeeklySummary!$G$2:$G$1000))</f>
        <v/>
      </c>
      <c r="C901" s="31">
        <f>IF($B901="","",MIN(100,INT(SQRT($B901))))</f>
        <v/>
      </c>
      <c r="D901" s="31">
        <f>IF($C901="","",($C901+1)^2)</f>
        <v/>
      </c>
      <c r="E901" s="31">
        <f>IF($D901="","",$D901-$B901)</f>
        <v/>
      </c>
      <c r="F901" s="31">
        <f>IF($A901="","",SUMIF(MonthlySummary!$B$2:$B$1000,$A901,MonthlySummary!$E$2:$E$1000))</f>
        <v/>
      </c>
      <c r="G901" s="31" t="n">
        <v>0</v>
      </c>
      <c r="H901" s="31">
        <f>IF($A901="","",$F901-IF($G901="",0,$G901))</f>
        <v/>
      </c>
      <c r="I901" s="31">
        <f>IF($A901="","",IFERROR(XLOOKUP($A901,SeedPlacement!$A$2:$A$1000,SeedPlacement!$N$2:$N$1000),0))</f>
        <v/>
      </c>
      <c r="J901" s="59" t="n"/>
    </row>
    <row r="902">
      <c r="A902" s="31">
        <f>IF(Members!$A902="","",Members!$A902)</f>
        <v/>
      </c>
      <c r="B902" s="31">
        <f>IF($A902="","",$I902+SUMIF(WeeklySummary!$B$2:$B$1000,$A902,WeeklySummary!$G$2:$G$1000))</f>
        <v/>
      </c>
      <c r="C902" s="31">
        <f>IF($B902="","",MIN(100,INT(SQRT($B902))))</f>
        <v/>
      </c>
      <c r="D902" s="31">
        <f>IF($C902="","",($C902+1)^2)</f>
        <v/>
      </c>
      <c r="E902" s="31">
        <f>IF($D902="","",$D902-$B902)</f>
        <v/>
      </c>
      <c r="F902" s="31">
        <f>IF($A902="","",SUMIF(MonthlySummary!$B$2:$B$1000,$A902,MonthlySummary!$E$2:$E$1000))</f>
        <v/>
      </c>
      <c r="G902" s="31" t="n">
        <v>0</v>
      </c>
      <c r="H902" s="31">
        <f>IF($A902="","",$F902-IF($G902="",0,$G902))</f>
        <v/>
      </c>
      <c r="I902" s="31">
        <f>IF($A902="","",IFERROR(XLOOKUP($A902,SeedPlacement!$A$2:$A$1000,SeedPlacement!$N$2:$N$1000),0))</f>
        <v/>
      </c>
      <c r="J902" s="59" t="n"/>
    </row>
    <row r="903">
      <c r="A903" s="31">
        <f>IF(Members!$A903="","",Members!$A903)</f>
        <v/>
      </c>
      <c r="B903" s="31">
        <f>IF($A903="","",$I903+SUMIF(WeeklySummary!$B$2:$B$1000,$A903,WeeklySummary!$G$2:$G$1000))</f>
        <v/>
      </c>
      <c r="C903" s="31">
        <f>IF($B903="","",MIN(100,INT(SQRT($B903))))</f>
        <v/>
      </c>
      <c r="D903" s="31">
        <f>IF($C903="","",($C903+1)^2)</f>
        <v/>
      </c>
      <c r="E903" s="31">
        <f>IF($D903="","",$D903-$B903)</f>
        <v/>
      </c>
      <c r="F903" s="31">
        <f>IF($A903="","",SUMIF(MonthlySummary!$B$2:$B$1000,$A903,MonthlySummary!$E$2:$E$1000))</f>
        <v/>
      </c>
      <c r="G903" s="31" t="n">
        <v>0</v>
      </c>
      <c r="H903" s="31">
        <f>IF($A903="","",$F903-IF($G903="",0,$G903))</f>
        <v/>
      </c>
      <c r="I903" s="31">
        <f>IF($A903="","",IFERROR(XLOOKUP($A903,SeedPlacement!$A$2:$A$1000,SeedPlacement!$N$2:$N$1000),0))</f>
        <v/>
      </c>
      <c r="J903" s="59" t="n"/>
    </row>
    <row r="904">
      <c r="A904" s="31">
        <f>IF(Members!$A904="","",Members!$A904)</f>
        <v/>
      </c>
      <c r="B904" s="31">
        <f>IF($A904="","",$I904+SUMIF(WeeklySummary!$B$2:$B$1000,$A904,WeeklySummary!$G$2:$G$1000))</f>
        <v/>
      </c>
      <c r="C904" s="31">
        <f>IF($B904="","",MIN(100,INT(SQRT($B904))))</f>
        <v/>
      </c>
      <c r="D904" s="31">
        <f>IF($C904="","",($C904+1)^2)</f>
        <v/>
      </c>
      <c r="E904" s="31">
        <f>IF($D904="","",$D904-$B904)</f>
        <v/>
      </c>
      <c r="F904" s="31">
        <f>IF($A904="","",SUMIF(MonthlySummary!$B$2:$B$1000,$A904,MonthlySummary!$E$2:$E$1000))</f>
        <v/>
      </c>
      <c r="G904" s="31" t="n">
        <v>0</v>
      </c>
      <c r="H904" s="31">
        <f>IF($A904="","",$F904-IF($G904="",0,$G904))</f>
        <v/>
      </c>
      <c r="I904" s="31">
        <f>IF($A904="","",IFERROR(XLOOKUP($A904,SeedPlacement!$A$2:$A$1000,SeedPlacement!$N$2:$N$1000),0))</f>
        <v/>
      </c>
      <c r="J904" s="59" t="n"/>
    </row>
    <row r="905">
      <c r="A905" s="31">
        <f>IF(Members!$A905="","",Members!$A905)</f>
        <v/>
      </c>
      <c r="B905" s="31">
        <f>IF($A905="","",$I905+SUMIF(WeeklySummary!$B$2:$B$1000,$A905,WeeklySummary!$G$2:$G$1000))</f>
        <v/>
      </c>
      <c r="C905" s="31">
        <f>IF($B905="","",MIN(100,INT(SQRT($B905))))</f>
        <v/>
      </c>
      <c r="D905" s="31">
        <f>IF($C905="","",($C905+1)^2)</f>
        <v/>
      </c>
      <c r="E905" s="31">
        <f>IF($D905="","",$D905-$B905)</f>
        <v/>
      </c>
      <c r="F905" s="31">
        <f>IF($A905="","",SUMIF(MonthlySummary!$B$2:$B$1000,$A905,MonthlySummary!$E$2:$E$1000))</f>
        <v/>
      </c>
      <c r="G905" s="31" t="n">
        <v>0</v>
      </c>
      <c r="H905" s="31">
        <f>IF($A905="","",$F905-IF($G905="",0,$G905))</f>
        <v/>
      </c>
      <c r="I905" s="31">
        <f>IF($A905="","",IFERROR(XLOOKUP($A905,SeedPlacement!$A$2:$A$1000,SeedPlacement!$N$2:$N$1000),0))</f>
        <v/>
      </c>
      <c r="J905" s="59" t="n"/>
    </row>
    <row r="906">
      <c r="A906" s="31">
        <f>IF(Members!$A906="","",Members!$A906)</f>
        <v/>
      </c>
      <c r="B906" s="31">
        <f>IF($A906="","",$I906+SUMIF(WeeklySummary!$B$2:$B$1000,$A906,WeeklySummary!$G$2:$G$1000))</f>
        <v/>
      </c>
      <c r="C906" s="31">
        <f>IF($B906="","",MIN(100,INT(SQRT($B906))))</f>
        <v/>
      </c>
      <c r="D906" s="31">
        <f>IF($C906="","",($C906+1)^2)</f>
        <v/>
      </c>
      <c r="E906" s="31">
        <f>IF($D906="","",$D906-$B906)</f>
        <v/>
      </c>
      <c r="F906" s="31">
        <f>IF($A906="","",SUMIF(MonthlySummary!$B$2:$B$1000,$A906,MonthlySummary!$E$2:$E$1000))</f>
        <v/>
      </c>
      <c r="G906" s="31" t="n">
        <v>0</v>
      </c>
      <c r="H906" s="31">
        <f>IF($A906="","",$F906-IF($G906="",0,$G906))</f>
        <v/>
      </c>
      <c r="I906" s="31">
        <f>IF($A906="","",IFERROR(XLOOKUP($A906,SeedPlacement!$A$2:$A$1000,SeedPlacement!$N$2:$N$1000),0))</f>
        <v/>
      </c>
      <c r="J906" s="59" t="n"/>
    </row>
    <row r="907">
      <c r="A907" s="31">
        <f>IF(Members!$A907="","",Members!$A907)</f>
        <v/>
      </c>
      <c r="B907" s="31">
        <f>IF($A907="","",$I907+SUMIF(WeeklySummary!$B$2:$B$1000,$A907,WeeklySummary!$G$2:$G$1000))</f>
        <v/>
      </c>
      <c r="C907" s="31">
        <f>IF($B907="","",MIN(100,INT(SQRT($B907))))</f>
        <v/>
      </c>
      <c r="D907" s="31">
        <f>IF($C907="","",($C907+1)^2)</f>
        <v/>
      </c>
      <c r="E907" s="31">
        <f>IF($D907="","",$D907-$B907)</f>
        <v/>
      </c>
      <c r="F907" s="31">
        <f>IF($A907="","",SUMIF(MonthlySummary!$B$2:$B$1000,$A907,MonthlySummary!$E$2:$E$1000))</f>
        <v/>
      </c>
      <c r="G907" s="31" t="n">
        <v>0</v>
      </c>
      <c r="H907" s="31">
        <f>IF($A907="","",$F907-IF($G907="",0,$G907))</f>
        <v/>
      </c>
      <c r="I907" s="31">
        <f>IF($A907="","",IFERROR(XLOOKUP($A907,SeedPlacement!$A$2:$A$1000,SeedPlacement!$N$2:$N$1000),0))</f>
        <v/>
      </c>
      <c r="J907" s="59" t="n"/>
    </row>
    <row r="908">
      <c r="A908" s="31">
        <f>IF(Members!$A908="","",Members!$A908)</f>
        <v/>
      </c>
      <c r="B908" s="31">
        <f>IF($A908="","",$I908+SUMIF(WeeklySummary!$B$2:$B$1000,$A908,WeeklySummary!$G$2:$G$1000))</f>
        <v/>
      </c>
      <c r="C908" s="31">
        <f>IF($B908="","",MIN(100,INT(SQRT($B908))))</f>
        <v/>
      </c>
      <c r="D908" s="31">
        <f>IF($C908="","",($C908+1)^2)</f>
        <v/>
      </c>
      <c r="E908" s="31">
        <f>IF($D908="","",$D908-$B908)</f>
        <v/>
      </c>
      <c r="F908" s="31">
        <f>IF($A908="","",SUMIF(MonthlySummary!$B$2:$B$1000,$A908,MonthlySummary!$E$2:$E$1000))</f>
        <v/>
      </c>
      <c r="G908" s="31" t="n">
        <v>0</v>
      </c>
      <c r="H908" s="31">
        <f>IF($A908="","",$F908-IF($G908="",0,$G908))</f>
        <v/>
      </c>
      <c r="I908" s="31">
        <f>IF($A908="","",IFERROR(XLOOKUP($A908,SeedPlacement!$A$2:$A$1000,SeedPlacement!$N$2:$N$1000),0))</f>
        <v/>
      </c>
      <c r="J908" s="59" t="n"/>
    </row>
    <row r="909">
      <c r="A909" s="31">
        <f>IF(Members!$A909="","",Members!$A909)</f>
        <v/>
      </c>
      <c r="B909" s="31">
        <f>IF($A909="","",$I909+SUMIF(WeeklySummary!$B$2:$B$1000,$A909,WeeklySummary!$G$2:$G$1000))</f>
        <v/>
      </c>
      <c r="C909" s="31">
        <f>IF($B909="","",MIN(100,INT(SQRT($B909))))</f>
        <v/>
      </c>
      <c r="D909" s="31">
        <f>IF($C909="","",($C909+1)^2)</f>
        <v/>
      </c>
      <c r="E909" s="31">
        <f>IF($D909="","",$D909-$B909)</f>
        <v/>
      </c>
      <c r="F909" s="31">
        <f>IF($A909="","",SUMIF(MonthlySummary!$B$2:$B$1000,$A909,MonthlySummary!$E$2:$E$1000))</f>
        <v/>
      </c>
      <c r="G909" s="31" t="n">
        <v>0</v>
      </c>
      <c r="H909" s="31">
        <f>IF($A909="","",$F909-IF($G909="",0,$G909))</f>
        <v/>
      </c>
      <c r="I909" s="31">
        <f>IF($A909="","",IFERROR(XLOOKUP($A909,SeedPlacement!$A$2:$A$1000,SeedPlacement!$N$2:$N$1000),0))</f>
        <v/>
      </c>
      <c r="J909" s="59" t="n"/>
    </row>
    <row r="910">
      <c r="A910" s="31">
        <f>IF(Members!$A910="","",Members!$A910)</f>
        <v/>
      </c>
      <c r="B910" s="31">
        <f>IF($A910="","",$I910+SUMIF(WeeklySummary!$B$2:$B$1000,$A910,WeeklySummary!$G$2:$G$1000))</f>
        <v/>
      </c>
      <c r="C910" s="31">
        <f>IF($B910="","",MIN(100,INT(SQRT($B910))))</f>
        <v/>
      </c>
      <c r="D910" s="31">
        <f>IF($C910="","",($C910+1)^2)</f>
        <v/>
      </c>
      <c r="E910" s="31">
        <f>IF($D910="","",$D910-$B910)</f>
        <v/>
      </c>
      <c r="F910" s="31">
        <f>IF($A910="","",SUMIF(MonthlySummary!$B$2:$B$1000,$A910,MonthlySummary!$E$2:$E$1000))</f>
        <v/>
      </c>
      <c r="G910" s="31" t="n">
        <v>0</v>
      </c>
      <c r="H910" s="31">
        <f>IF($A910="","",$F910-IF($G910="",0,$G910))</f>
        <v/>
      </c>
      <c r="I910" s="31">
        <f>IF($A910="","",IFERROR(XLOOKUP($A910,SeedPlacement!$A$2:$A$1000,SeedPlacement!$N$2:$N$1000),0))</f>
        <v/>
      </c>
      <c r="J910" s="59" t="n"/>
    </row>
    <row r="911">
      <c r="A911" s="31">
        <f>IF(Members!$A911="","",Members!$A911)</f>
        <v/>
      </c>
      <c r="B911" s="31">
        <f>IF($A911="","",$I911+SUMIF(WeeklySummary!$B$2:$B$1000,$A911,WeeklySummary!$G$2:$G$1000))</f>
        <v/>
      </c>
      <c r="C911" s="31">
        <f>IF($B911="","",MIN(100,INT(SQRT($B911))))</f>
        <v/>
      </c>
      <c r="D911" s="31">
        <f>IF($C911="","",($C911+1)^2)</f>
        <v/>
      </c>
      <c r="E911" s="31">
        <f>IF($D911="","",$D911-$B911)</f>
        <v/>
      </c>
      <c r="F911" s="31">
        <f>IF($A911="","",SUMIF(MonthlySummary!$B$2:$B$1000,$A911,MonthlySummary!$E$2:$E$1000))</f>
        <v/>
      </c>
      <c r="G911" s="31" t="n">
        <v>0</v>
      </c>
      <c r="H911" s="31">
        <f>IF($A911="","",$F911-IF($G911="",0,$G911))</f>
        <v/>
      </c>
      <c r="I911" s="31">
        <f>IF($A911="","",IFERROR(XLOOKUP($A911,SeedPlacement!$A$2:$A$1000,SeedPlacement!$N$2:$N$1000),0))</f>
        <v/>
      </c>
      <c r="J911" s="59" t="n"/>
    </row>
    <row r="912">
      <c r="A912" s="31">
        <f>IF(Members!$A912="","",Members!$A912)</f>
        <v/>
      </c>
      <c r="B912" s="31">
        <f>IF($A912="","",$I912+SUMIF(WeeklySummary!$B$2:$B$1000,$A912,WeeklySummary!$G$2:$G$1000))</f>
        <v/>
      </c>
      <c r="C912" s="31">
        <f>IF($B912="","",MIN(100,INT(SQRT($B912))))</f>
        <v/>
      </c>
      <c r="D912" s="31">
        <f>IF($C912="","",($C912+1)^2)</f>
        <v/>
      </c>
      <c r="E912" s="31">
        <f>IF($D912="","",$D912-$B912)</f>
        <v/>
      </c>
      <c r="F912" s="31">
        <f>IF($A912="","",SUMIF(MonthlySummary!$B$2:$B$1000,$A912,MonthlySummary!$E$2:$E$1000))</f>
        <v/>
      </c>
      <c r="G912" s="31" t="n">
        <v>0</v>
      </c>
      <c r="H912" s="31">
        <f>IF($A912="","",$F912-IF($G912="",0,$G912))</f>
        <v/>
      </c>
      <c r="I912" s="31">
        <f>IF($A912="","",IFERROR(XLOOKUP($A912,SeedPlacement!$A$2:$A$1000,SeedPlacement!$N$2:$N$1000),0))</f>
        <v/>
      </c>
      <c r="J912" s="59" t="n"/>
    </row>
    <row r="913">
      <c r="A913" s="31">
        <f>IF(Members!$A913="","",Members!$A913)</f>
        <v/>
      </c>
      <c r="B913" s="31">
        <f>IF($A913="","",$I913+SUMIF(WeeklySummary!$B$2:$B$1000,$A913,WeeklySummary!$G$2:$G$1000))</f>
        <v/>
      </c>
      <c r="C913" s="31">
        <f>IF($B913="","",MIN(100,INT(SQRT($B913))))</f>
        <v/>
      </c>
      <c r="D913" s="31">
        <f>IF($C913="","",($C913+1)^2)</f>
        <v/>
      </c>
      <c r="E913" s="31">
        <f>IF($D913="","",$D913-$B913)</f>
        <v/>
      </c>
      <c r="F913" s="31">
        <f>IF($A913="","",SUMIF(MonthlySummary!$B$2:$B$1000,$A913,MonthlySummary!$E$2:$E$1000))</f>
        <v/>
      </c>
      <c r="G913" s="31" t="n">
        <v>0</v>
      </c>
      <c r="H913" s="31">
        <f>IF($A913="","",$F913-IF($G913="",0,$G913))</f>
        <v/>
      </c>
      <c r="I913" s="31">
        <f>IF($A913="","",IFERROR(XLOOKUP($A913,SeedPlacement!$A$2:$A$1000,SeedPlacement!$N$2:$N$1000),0))</f>
        <v/>
      </c>
      <c r="J913" s="59" t="n"/>
    </row>
    <row r="914">
      <c r="A914" s="31">
        <f>IF(Members!$A914="","",Members!$A914)</f>
        <v/>
      </c>
      <c r="B914" s="31">
        <f>IF($A914="","",$I914+SUMIF(WeeklySummary!$B$2:$B$1000,$A914,WeeklySummary!$G$2:$G$1000))</f>
        <v/>
      </c>
      <c r="C914" s="31">
        <f>IF($B914="","",MIN(100,INT(SQRT($B914))))</f>
        <v/>
      </c>
      <c r="D914" s="31">
        <f>IF($C914="","",($C914+1)^2)</f>
        <v/>
      </c>
      <c r="E914" s="31">
        <f>IF($D914="","",$D914-$B914)</f>
        <v/>
      </c>
      <c r="F914" s="31">
        <f>IF($A914="","",SUMIF(MonthlySummary!$B$2:$B$1000,$A914,MonthlySummary!$E$2:$E$1000))</f>
        <v/>
      </c>
      <c r="G914" s="31" t="n">
        <v>0</v>
      </c>
      <c r="H914" s="31">
        <f>IF($A914="","",$F914-IF($G914="",0,$G914))</f>
        <v/>
      </c>
      <c r="I914" s="31">
        <f>IF($A914="","",IFERROR(XLOOKUP($A914,SeedPlacement!$A$2:$A$1000,SeedPlacement!$N$2:$N$1000),0))</f>
        <v/>
      </c>
      <c r="J914" s="59" t="n"/>
    </row>
    <row r="915">
      <c r="A915" s="31">
        <f>IF(Members!$A915="","",Members!$A915)</f>
        <v/>
      </c>
      <c r="B915" s="31">
        <f>IF($A915="","",$I915+SUMIF(WeeklySummary!$B$2:$B$1000,$A915,WeeklySummary!$G$2:$G$1000))</f>
        <v/>
      </c>
      <c r="C915" s="31">
        <f>IF($B915="","",MIN(100,INT(SQRT($B915))))</f>
        <v/>
      </c>
      <c r="D915" s="31">
        <f>IF($C915="","",($C915+1)^2)</f>
        <v/>
      </c>
      <c r="E915" s="31">
        <f>IF($D915="","",$D915-$B915)</f>
        <v/>
      </c>
      <c r="F915" s="31">
        <f>IF($A915="","",SUMIF(MonthlySummary!$B$2:$B$1000,$A915,MonthlySummary!$E$2:$E$1000))</f>
        <v/>
      </c>
      <c r="G915" s="31" t="n">
        <v>0</v>
      </c>
      <c r="H915" s="31">
        <f>IF($A915="","",$F915-IF($G915="",0,$G915))</f>
        <v/>
      </c>
      <c r="I915" s="31">
        <f>IF($A915="","",IFERROR(XLOOKUP($A915,SeedPlacement!$A$2:$A$1000,SeedPlacement!$N$2:$N$1000),0))</f>
        <v/>
      </c>
      <c r="J915" s="59" t="n"/>
    </row>
    <row r="916">
      <c r="A916" s="31">
        <f>IF(Members!$A916="","",Members!$A916)</f>
        <v/>
      </c>
      <c r="B916" s="31">
        <f>IF($A916="","",$I916+SUMIF(WeeklySummary!$B$2:$B$1000,$A916,WeeklySummary!$G$2:$G$1000))</f>
        <v/>
      </c>
      <c r="C916" s="31">
        <f>IF($B916="","",MIN(100,INT(SQRT($B916))))</f>
        <v/>
      </c>
      <c r="D916" s="31">
        <f>IF($C916="","",($C916+1)^2)</f>
        <v/>
      </c>
      <c r="E916" s="31">
        <f>IF($D916="","",$D916-$B916)</f>
        <v/>
      </c>
      <c r="F916" s="31">
        <f>IF($A916="","",SUMIF(MonthlySummary!$B$2:$B$1000,$A916,MonthlySummary!$E$2:$E$1000))</f>
        <v/>
      </c>
      <c r="G916" s="31" t="n">
        <v>0</v>
      </c>
      <c r="H916" s="31">
        <f>IF($A916="","",$F916-IF($G916="",0,$G916))</f>
        <v/>
      </c>
      <c r="I916" s="31">
        <f>IF($A916="","",IFERROR(XLOOKUP($A916,SeedPlacement!$A$2:$A$1000,SeedPlacement!$N$2:$N$1000),0))</f>
        <v/>
      </c>
      <c r="J916" s="59" t="n"/>
    </row>
    <row r="917">
      <c r="A917" s="31">
        <f>IF(Members!$A917="","",Members!$A917)</f>
        <v/>
      </c>
      <c r="B917" s="31">
        <f>IF($A917="","",$I917+SUMIF(WeeklySummary!$B$2:$B$1000,$A917,WeeklySummary!$G$2:$G$1000))</f>
        <v/>
      </c>
      <c r="C917" s="31">
        <f>IF($B917="","",MIN(100,INT(SQRT($B917))))</f>
        <v/>
      </c>
      <c r="D917" s="31">
        <f>IF($C917="","",($C917+1)^2)</f>
        <v/>
      </c>
      <c r="E917" s="31">
        <f>IF($D917="","",$D917-$B917)</f>
        <v/>
      </c>
      <c r="F917" s="31">
        <f>IF($A917="","",SUMIF(MonthlySummary!$B$2:$B$1000,$A917,MonthlySummary!$E$2:$E$1000))</f>
        <v/>
      </c>
      <c r="G917" s="31" t="n">
        <v>0</v>
      </c>
      <c r="H917" s="31">
        <f>IF($A917="","",$F917-IF($G917="",0,$G917))</f>
        <v/>
      </c>
      <c r="I917" s="31">
        <f>IF($A917="","",IFERROR(XLOOKUP($A917,SeedPlacement!$A$2:$A$1000,SeedPlacement!$N$2:$N$1000),0))</f>
        <v/>
      </c>
      <c r="J917" s="59" t="n"/>
    </row>
    <row r="918">
      <c r="A918" s="31">
        <f>IF(Members!$A918="","",Members!$A918)</f>
        <v/>
      </c>
      <c r="B918" s="31">
        <f>IF($A918="","",$I918+SUMIF(WeeklySummary!$B$2:$B$1000,$A918,WeeklySummary!$G$2:$G$1000))</f>
        <v/>
      </c>
      <c r="C918" s="31">
        <f>IF($B918="","",MIN(100,INT(SQRT($B918))))</f>
        <v/>
      </c>
      <c r="D918" s="31">
        <f>IF($C918="","",($C918+1)^2)</f>
        <v/>
      </c>
      <c r="E918" s="31">
        <f>IF($D918="","",$D918-$B918)</f>
        <v/>
      </c>
      <c r="F918" s="31">
        <f>IF($A918="","",SUMIF(MonthlySummary!$B$2:$B$1000,$A918,MonthlySummary!$E$2:$E$1000))</f>
        <v/>
      </c>
      <c r="G918" s="31" t="n">
        <v>0</v>
      </c>
      <c r="H918" s="31">
        <f>IF($A918="","",$F918-IF($G918="",0,$G918))</f>
        <v/>
      </c>
      <c r="I918" s="31">
        <f>IF($A918="","",IFERROR(XLOOKUP($A918,SeedPlacement!$A$2:$A$1000,SeedPlacement!$N$2:$N$1000),0))</f>
        <v/>
      </c>
      <c r="J918" s="59" t="n"/>
    </row>
    <row r="919">
      <c r="A919" s="31">
        <f>IF(Members!$A919="","",Members!$A919)</f>
        <v/>
      </c>
      <c r="B919" s="31">
        <f>IF($A919="","",$I919+SUMIF(WeeklySummary!$B$2:$B$1000,$A919,WeeklySummary!$G$2:$G$1000))</f>
        <v/>
      </c>
      <c r="C919" s="31">
        <f>IF($B919="","",MIN(100,INT(SQRT($B919))))</f>
        <v/>
      </c>
      <c r="D919" s="31">
        <f>IF($C919="","",($C919+1)^2)</f>
        <v/>
      </c>
      <c r="E919" s="31">
        <f>IF($D919="","",$D919-$B919)</f>
        <v/>
      </c>
      <c r="F919" s="31">
        <f>IF($A919="","",SUMIF(MonthlySummary!$B$2:$B$1000,$A919,MonthlySummary!$E$2:$E$1000))</f>
        <v/>
      </c>
      <c r="G919" s="31" t="n">
        <v>0</v>
      </c>
      <c r="H919" s="31">
        <f>IF($A919="","",$F919-IF($G919="",0,$G919))</f>
        <v/>
      </c>
      <c r="I919" s="31">
        <f>IF($A919="","",IFERROR(XLOOKUP($A919,SeedPlacement!$A$2:$A$1000,SeedPlacement!$N$2:$N$1000),0))</f>
        <v/>
      </c>
      <c r="J919" s="59" t="n"/>
    </row>
    <row r="920">
      <c r="A920" s="31">
        <f>IF(Members!$A920="","",Members!$A920)</f>
        <v/>
      </c>
      <c r="B920" s="31">
        <f>IF($A920="","",$I920+SUMIF(WeeklySummary!$B$2:$B$1000,$A920,WeeklySummary!$G$2:$G$1000))</f>
        <v/>
      </c>
      <c r="C920" s="31">
        <f>IF($B920="","",MIN(100,INT(SQRT($B920))))</f>
        <v/>
      </c>
      <c r="D920" s="31">
        <f>IF($C920="","",($C920+1)^2)</f>
        <v/>
      </c>
      <c r="E920" s="31">
        <f>IF($D920="","",$D920-$B920)</f>
        <v/>
      </c>
      <c r="F920" s="31">
        <f>IF($A920="","",SUMIF(MonthlySummary!$B$2:$B$1000,$A920,MonthlySummary!$E$2:$E$1000))</f>
        <v/>
      </c>
      <c r="G920" s="31" t="n">
        <v>0</v>
      </c>
      <c r="H920" s="31">
        <f>IF($A920="","",$F920-IF($G920="",0,$G920))</f>
        <v/>
      </c>
      <c r="I920" s="31">
        <f>IF($A920="","",IFERROR(XLOOKUP($A920,SeedPlacement!$A$2:$A$1000,SeedPlacement!$N$2:$N$1000),0))</f>
        <v/>
      </c>
      <c r="J920" s="59" t="n"/>
    </row>
    <row r="921">
      <c r="A921" s="31">
        <f>IF(Members!$A921="","",Members!$A921)</f>
        <v/>
      </c>
      <c r="B921" s="31">
        <f>IF($A921="","",$I921+SUMIF(WeeklySummary!$B$2:$B$1000,$A921,WeeklySummary!$G$2:$G$1000))</f>
        <v/>
      </c>
      <c r="C921" s="31">
        <f>IF($B921="","",MIN(100,INT(SQRT($B921))))</f>
        <v/>
      </c>
      <c r="D921" s="31">
        <f>IF($C921="","",($C921+1)^2)</f>
        <v/>
      </c>
      <c r="E921" s="31">
        <f>IF($D921="","",$D921-$B921)</f>
        <v/>
      </c>
      <c r="F921" s="31">
        <f>IF($A921="","",SUMIF(MonthlySummary!$B$2:$B$1000,$A921,MonthlySummary!$E$2:$E$1000))</f>
        <v/>
      </c>
      <c r="G921" s="31" t="n">
        <v>0</v>
      </c>
      <c r="H921" s="31">
        <f>IF($A921="","",$F921-IF($G921="",0,$G921))</f>
        <v/>
      </c>
      <c r="I921" s="31">
        <f>IF($A921="","",IFERROR(XLOOKUP($A921,SeedPlacement!$A$2:$A$1000,SeedPlacement!$N$2:$N$1000),0))</f>
        <v/>
      </c>
      <c r="J921" s="59" t="n"/>
    </row>
    <row r="922">
      <c r="A922" s="31">
        <f>IF(Members!$A922="","",Members!$A922)</f>
        <v/>
      </c>
      <c r="B922" s="31">
        <f>IF($A922="","",$I922+SUMIF(WeeklySummary!$B$2:$B$1000,$A922,WeeklySummary!$G$2:$G$1000))</f>
        <v/>
      </c>
      <c r="C922" s="31">
        <f>IF($B922="","",MIN(100,INT(SQRT($B922))))</f>
        <v/>
      </c>
      <c r="D922" s="31">
        <f>IF($C922="","",($C922+1)^2)</f>
        <v/>
      </c>
      <c r="E922" s="31">
        <f>IF($D922="","",$D922-$B922)</f>
        <v/>
      </c>
      <c r="F922" s="31">
        <f>IF($A922="","",SUMIF(MonthlySummary!$B$2:$B$1000,$A922,MonthlySummary!$E$2:$E$1000))</f>
        <v/>
      </c>
      <c r="G922" s="31" t="n">
        <v>0</v>
      </c>
      <c r="H922" s="31">
        <f>IF($A922="","",$F922-IF($G922="",0,$G922))</f>
        <v/>
      </c>
      <c r="I922" s="31">
        <f>IF($A922="","",IFERROR(XLOOKUP($A922,SeedPlacement!$A$2:$A$1000,SeedPlacement!$N$2:$N$1000),0))</f>
        <v/>
      </c>
      <c r="J922" s="59" t="n"/>
    </row>
    <row r="923">
      <c r="A923" s="31">
        <f>IF(Members!$A923="","",Members!$A923)</f>
        <v/>
      </c>
      <c r="B923" s="31">
        <f>IF($A923="","",$I923+SUMIF(WeeklySummary!$B$2:$B$1000,$A923,WeeklySummary!$G$2:$G$1000))</f>
        <v/>
      </c>
      <c r="C923" s="31">
        <f>IF($B923="","",MIN(100,INT(SQRT($B923))))</f>
        <v/>
      </c>
      <c r="D923" s="31">
        <f>IF($C923="","",($C923+1)^2)</f>
        <v/>
      </c>
      <c r="E923" s="31">
        <f>IF($D923="","",$D923-$B923)</f>
        <v/>
      </c>
      <c r="F923" s="31">
        <f>IF($A923="","",SUMIF(MonthlySummary!$B$2:$B$1000,$A923,MonthlySummary!$E$2:$E$1000))</f>
        <v/>
      </c>
      <c r="G923" s="31" t="n">
        <v>0</v>
      </c>
      <c r="H923" s="31">
        <f>IF($A923="","",$F923-IF($G923="",0,$G923))</f>
        <v/>
      </c>
      <c r="I923" s="31">
        <f>IF($A923="","",IFERROR(XLOOKUP($A923,SeedPlacement!$A$2:$A$1000,SeedPlacement!$N$2:$N$1000),0))</f>
        <v/>
      </c>
      <c r="J923" s="59" t="n"/>
    </row>
    <row r="924">
      <c r="A924" s="31">
        <f>IF(Members!$A924="","",Members!$A924)</f>
        <v/>
      </c>
      <c r="B924" s="31">
        <f>IF($A924="","",$I924+SUMIF(WeeklySummary!$B$2:$B$1000,$A924,WeeklySummary!$G$2:$G$1000))</f>
        <v/>
      </c>
      <c r="C924" s="31">
        <f>IF($B924="","",MIN(100,INT(SQRT($B924))))</f>
        <v/>
      </c>
      <c r="D924" s="31">
        <f>IF($C924="","",($C924+1)^2)</f>
        <v/>
      </c>
      <c r="E924" s="31">
        <f>IF($D924="","",$D924-$B924)</f>
        <v/>
      </c>
      <c r="F924" s="31">
        <f>IF($A924="","",SUMIF(MonthlySummary!$B$2:$B$1000,$A924,MonthlySummary!$E$2:$E$1000))</f>
        <v/>
      </c>
      <c r="G924" s="31" t="n">
        <v>0</v>
      </c>
      <c r="H924" s="31">
        <f>IF($A924="","",$F924-IF($G924="",0,$G924))</f>
        <v/>
      </c>
      <c r="I924" s="31">
        <f>IF($A924="","",IFERROR(XLOOKUP($A924,SeedPlacement!$A$2:$A$1000,SeedPlacement!$N$2:$N$1000),0))</f>
        <v/>
      </c>
      <c r="J924" s="59" t="n"/>
    </row>
    <row r="925">
      <c r="A925" s="31">
        <f>IF(Members!$A925="","",Members!$A925)</f>
        <v/>
      </c>
      <c r="B925" s="31">
        <f>IF($A925="","",$I925+SUMIF(WeeklySummary!$B$2:$B$1000,$A925,WeeklySummary!$G$2:$G$1000))</f>
        <v/>
      </c>
      <c r="C925" s="31">
        <f>IF($B925="","",MIN(100,INT(SQRT($B925))))</f>
        <v/>
      </c>
      <c r="D925" s="31">
        <f>IF($C925="","",($C925+1)^2)</f>
        <v/>
      </c>
      <c r="E925" s="31">
        <f>IF($D925="","",$D925-$B925)</f>
        <v/>
      </c>
      <c r="F925" s="31">
        <f>IF($A925="","",SUMIF(MonthlySummary!$B$2:$B$1000,$A925,MonthlySummary!$E$2:$E$1000))</f>
        <v/>
      </c>
      <c r="G925" s="31" t="n">
        <v>0</v>
      </c>
      <c r="H925" s="31">
        <f>IF($A925="","",$F925-IF($G925="",0,$G925))</f>
        <v/>
      </c>
      <c r="I925" s="31">
        <f>IF($A925="","",IFERROR(XLOOKUP($A925,SeedPlacement!$A$2:$A$1000,SeedPlacement!$N$2:$N$1000),0))</f>
        <v/>
      </c>
      <c r="J925" s="59" t="n"/>
    </row>
    <row r="926">
      <c r="A926" s="31">
        <f>IF(Members!$A926="","",Members!$A926)</f>
        <v/>
      </c>
      <c r="B926" s="31">
        <f>IF($A926="","",$I926+SUMIF(WeeklySummary!$B$2:$B$1000,$A926,WeeklySummary!$G$2:$G$1000))</f>
        <v/>
      </c>
      <c r="C926" s="31">
        <f>IF($B926="","",MIN(100,INT(SQRT($B926))))</f>
        <v/>
      </c>
      <c r="D926" s="31">
        <f>IF($C926="","",($C926+1)^2)</f>
        <v/>
      </c>
      <c r="E926" s="31">
        <f>IF($D926="","",$D926-$B926)</f>
        <v/>
      </c>
      <c r="F926" s="31">
        <f>IF($A926="","",SUMIF(MonthlySummary!$B$2:$B$1000,$A926,MonthlySummary!$E$2:$E$1000))</f>
        <v/>
      </c>
      <c r="G926" s="31" t="n">
        <v>0</v>
      </c>
      <c r="H926" s="31">
        <f>IF($A926="","",$F926-IF($G926="",0,$G926))</f>
        <v/>
      </c>
      <c r="I926" s="31">
        <f>IF($A926="","",IFERROR(XLOOKUP($A926,SeedPlacement!$A$2:$A$1000,SeedPlacement!$N$2:$N$1000),0))</f>
        <v/>
      </c>
      <c r="J926" s="59" t="n"/>
    </row>
    <row r="927">
      <c r="A927" s="31">
        <f>IF(Members!$A927="","",Members!$A927)</f>
        <v/>
      </c>
      <c r="B927" s="31">
        <f>IF($A927="","",$I927+SUMIF(WeeklySummary!$B$2:$B$1000,$A927,WeeklySummary!$G$2:$G$1000))</f>
        <v/>
      </c>
      <c r="C927" s="31">
        <f>IF($B927="","",MIN(100,INT(SQRT($B927))))</f>
        <v/>
      </c>
      <c r="D927" s="31">
        <f>IF($C927="","",($C927+1)^2)</f>
        <v/>
      </c>
      <c r="E927" s="31">
        <f>IF($D927="","",$D927-$B927)</f>
        <v/>
      </c>
      <c r="F927" s="31">
        <f>IF($A927="","",SUMIF(MonthlySummary!$B$2:$B$1000,$A927,MonthlySummary!$E$2:$E$1000))</f>
        <v/>
      </c>
      <c r="G927" s="31" t="n">
        <v>0</v>
      </c>
      <c r="H927" s="31">
        <f>IF($A927="","",$F927-IF($G927="",0,$G927))</f>
        <v/>
      </c>
      <c r="I927" s="31">
        <f>IF($A927="","",IFERROR(XLOOKUP($A927,SeedPlacement!$A$2:$A$1000,SeedPlacement!$N$2:$N$1000),0))</f>
        <v/>
      </c>
      <c r="J927" s="59" t="n"/>
    </row>
    <row r="928">
      <c r="A928" s="31">
        <f>IF(Members!$A928="","",Members!$A928)</f>
        <v/>
      </c>
      <c r="B928" s="31">
        <f>IF($A928="","",$I928+SUMIF(WeeklySummary!$B$2:$B$1000,$A928,WeeklySummary!$G$2:$G$1000))</f>
        <v/>
      </c>
      <c r="C928" s="31">
        <f>IF($B928="","",MIN(100,INT(SQRT($B928))))</f>
        <v/>
      </c>
      <c r="D928" s="31">
        <f>IF($C928="","",($C928+1)^2)</f>
        <v/>
      </c>
      <c r="E928" s="31">
        <f>IF($D928="","",$D928-$B928)</f>
        <v/>
      </c>
      <c r="F928" s="31">
        <f>IF($A928="","",SUMIF(MonthlySummary!$B$2:$B$1000,$A928,MonthlySummary!$E$2:$E$1000))</f>
        <v/>
      </c>
      <c r="G928" s="31" t="n">
        <v>0</v>
      </c>
      <c r="H928" s="31">
        <f>IF($A928="","",$F928-IF($G928="",0,$G928))</f>
        <v/>
      </c>
      <c r="I928" s="31">
        <f>IF($A928="","",IFERROR(XLOOKUP($A928,SeedPlacement!$A$2:$A$1000,SeedPlacement!$N$2:$N$1000),0))</f>
        <v/>
      </c>
      <c r="J928" s="59" t="n"/>
    </row>
    <row r="929">
      <c r="A929" s="31">
        <f>IF(Members!$A929="","",Members!$A929)</f>
        <v/>
      </c>
      <c r="B929" s="31">
        <f>IF($A929="","",$I929+SUMIF(WeeklySummary!$B$2:$B$1000,$A929,WeeklySummary!$G$2:$G$1000))</f>
        <v/>
      </c>
      <c r="C929" s="31">
        <f>IF($B929="","",MIN(100,INT(SQRT($B929))))</f>
        <v/>
      </c>
      <c r="D929" s="31">
        <f>IF($C929="","",($C929+1)^2)</f>
        <v/>
      </c>
      <c r="E929" s="31">
        <f>IF($D929="","",$D929-$B929)</f>
        <v/>
      </c>
      <c r="F929" s="31">
        <f>IF($A929="","",SUMIF(MonthlySummary!$B$2:$B$1000,$A929,MonthlySummary!$E$2:$E$1000))</f>
        <v/>
      </c>
      <c r="G929" s="31" t="n">
        <v>0</v>
      </c>
      <c r="H929" s="31">
        <f>IF($A929="","",$F929-IF($G929="",0,$G929))</f>
        <v/>
      </c>
      <c r="I929" s="31">
        <f>IF($A929="","",IFERROR(XLOOKUP($A929,SeedPlacement!$A$2:$A$1000,SeedPlacement!$N$2:$N$1000),0))</f>
        <v/>
      </c>
      <c r="J929" s="59" t="n"/>
    </row>
    <row r="930">
      <c r="A930" s="31">
        <f>IF(Members!$A930="","",Members!$A930)</f>
        <v/>
      </c>
      <c r="B930" s="31">
        <f>IF($A930="","",$I930+SUMIF(WeeklySummary!$B$2:$B$1000,$A930,WeeklySummary!$G$2:$G$1000))</f>
        <v/>
      </c>
      <c r="C930" s="31">
        <f>IF($B930="","",MIN(100,INT(SQRT($B930))))</f>
        <v/>
      </c>
      <c r="D930" s="31">
        <f>IF($C930="","",($C930+1)^2)</f>
        <v/>
      </c>
      <c r="E930" s="31">
        <f>IF($D930="","",$D930-$B930)</f>
        <v/>
      </c>
      <c r="F930" s="31">
        <f>IF($A930="","",SUMIF(MonthlySummary!$B$2:$B$1000,$A930,MonthlySummary!$E$2:$E$1000))</f>
        <v/>
      </c>
      <c r="G930" s="31" t="n">
        <v>0</v>
      </c>
      <c r="H930" s="31">
        <f>IF($A930="","",$F930-IF($G930="",0,$G930))</f>
        <v/>
      </c>
      <c r="I930" s="31">
        <f>IF($A930="","",IFERROR(XLOOKUP($A930,SeedPlacement!$A$2:$A$1000,SeedPlacement!$N$2:$N$1000),0))</f>
        <v/>
      </c>
      <c r="J930" s="59" t="n"/>
    </row>
    <row r="931">
      <c r="A931" s="31">
        <f>IF(Members!$A931="","",Members!$A931)</f>
        <v/>
      </c>
      <c r="B931" s="31">
        <f>IF($A931="","",$I931+SUMIF(WeeklySummary!$B$2:$B$1000,$A931,WeeklySummary!$G$2:$G$1000))</f>
        <v/>
      </c>
      <c r="C931" s="31">
        <f>IF($B931="","",MIN(100,INT(SQRT($B931))))</f>
        <v/>
      </c>
      <c r="D931" s="31">
        <f>IF($C931="","",($C931+1)^2)</f>
        <v/>
      </c>
      <c r="E931" s="31">
        <f>IF($D931="","",$D931-$B931)</f>
        <v/>
      </c>
      <c r="F931" s="31">
        <f>IF($A931="","",SUMIF(MonthlySummary!$B$2:$B$1000,$A931,MonthlySummary!$E$2:$E$1000))</f>
        <v/>
      </c>
      <c r="G931" s="31" t="n">
        <v>0</v>
      </c>
      <c r="H931" s="31">
        <f>IF($A931="","",$F931-IF($G931="",0,$G931))</f>
        <v/>
      </c>
      <c r="I931" s="31">
        <f>IF($A931="","",IFERROR(XLOOKUP($A931,SeedPlacement!$A$2:$A$1000,SeedPlacement!$N$2:$N$1000),0))</f>
        <v/>
      </c>
      <c r="J931" s="59" t="n"/>
    </row>
    <row r="932">
      <c r="A932" s="31">
        <f>IF(Members!$A932="","",Members!$A932)</f>
        <v/>
      </c>
      <c r="B932" s="31">
        <f>IF($A932="","",$I932+SUMIF(WeeklySummary!$B$2:$B$1000,$A932,WeeklySummary!$G$2:$G$1000))</f>
        <v/>
      </c>
      <c r="C932" s="31">
        <f>IF($B932="","",MIN(100,INT(SQRT($B932))))</f>
        <v/>
      </c>
      <c r="D932" s="31">
        <f>IF($C932="","",($C932+1)^2)</f>
        <v/>
      </c>
      <c r="E932" s="31">
        <f>IF($D932="","",$D932-$B932)</f>
        <v/>
      </c>
      <c r="F932" s="31">
        <f>IF($A932="","",SUMIF(MonthlySummary!$B$2:$B$1000,$A932,MonthlySummary!$E$2:$E$1000))</f>
        <v/>
      </c>
      <c r="G932" s="31" t="n">
        <v>0</v>
      </c>
      <c r="H932" s="31">
        <f>IF($A932="","",$F932-IF($G932="",0,$G932))</f>
        <v/>
      </c>
      <c r="I932" s="31">
        <f>IF($A932="","",IFERROR(XLOOKUP($A932,SeedPlacement!$A$2:$A$1000,SeedPlacement!$N$2:$N$1000),0))</f>
        <v/>
      </c>
      <c r="J932" s="59" t="n"/>
    </row>
    <row r="933">
      <c r="A933" s="31">
        <f>IF(Members!$A933="","",Members!$A933)</f>
        <v/>
      </c>
      <c r="B933" s="31">
        <f>IF($A933="","",$I933+SUMIF(WeeklySummary!$B$2:$B$1000,$A933,WeeklySummary!$G$2:$G$1000))</f>
        <v/>
      </c>
      <c r="C933" s="31">
        <f>IF($B933="","",MIN(100,INT(SQRT($B933))))</f>
        <v/>
      </c>
      <c r="D933" s="31">
        <f>IF($C933="","",($C933+1)^2)</f>
        <v/>
      </c>
      <c r="E933" s="31">
        <f>IF($D933="","",$D933-$B933)</f>
        <v/>
      </c>
      <c r="F933" s="31">
        <f>IF($A933="","",SUMIF(MonthlySummary!$B$2:$B$1000,$A933,MonthlySummary!$E$2:$E$1000))</f>
        <v/>
      </c>
      <c r="G933" s="31" t="n">
        <v>0</v>
      </c>
      <c r="H933" s="31">
        <f>IF($A933="","",$F933-IF($G933="",0,$G933))</f>
        <v/>
      </c>
      <c r="I933" s="31">
        <f>IF($A933="","",IFERROR(XLOOKUP($A933,SeedPlacement!$A$2:$A$1000,SeedPlacement!$N$2:$N$1000),0))</f>
        <v/>
      </c>
      <c r="J933" s="59" t="n"/>
    </row>
    <row r="934">
      <c r="A934" s="31">
        <f>IF(Members!$A934="","",Members!$A934)</f>
        <v/>
      </c>
      <c r="B934" s="31">
        <f>IF($A934="","",$I934+SUMIF(WeeklySummary!$B$2:$B$1000,$A934,WeeklySummary!$G$2:$G$1000))</f>
        <v/>
      </c>
      <c r="C934" s="31">
        <f>IF($B934="","",MIN(100,INT(SQRT($B934))))</f>
        <v/>
      </c>
      <c r="D934" s="31">
        <f>IF($C934="","",($C934+1)^2)</f>
        <v/>
      </c>
      <c r="E934" s="31">
        <f>IF($D934="","",$D934-$B934)</f>
        <v/>
      </c>
      <c r="F934" s="31">
        <f>IF($A934="","",SUMIF(MonthlySummary!$B$2:$B$1000,$A934,MonthlySummary!$E$2:$E$1000))</f>
        <v/>
      </c>
      <c r="G934" s="31" t="n">
        <v>0</v>
      </c>
      <c r="H934" s="31">
        <f>IF($A934="","",$F934-IF($G934="",0,$G934))</f>
        <v/>
      </c>
      <c r="I934" s="31">
        <f>IF($A934="","",IFERROR(XLOOKUP($A934,SeedPlacement!$A$2:$A$1000,SeedPlacement!$N$2:$N$1000),0))</f>
        <v/>
      </c>
      <c r="J934" s="59" t="n"/>
    </row>
    <row r="935">
      <c r="A935" s="31">
        <f>IF(Members!$A935="","",Members!$A935)</f>
        <v/>
      </c>
      <c r="B935" s="31">
        <f>IF($A935="","",$I935+SUMIF(WeeklySummary!$B$2:$B$1000,$A935,WeeklySummary!$G$2:$G$1000))</f>
        <v/>
      </c>
      <c r="C935" s="31">
        <f>IF($B935="","",MIN(100,INT(SQRT($B935))))</f>
        <v/>
      </c>
      <c r="D935" s="31">
        <f>IF($C935="","",($C935+1)^2)</f>
        <v/>
      </c>
      <c r="E935" s="31">
        <f>IF($D935="","",$D935-$B935)</f>
        <v/>
      </c>
      <c r="F935" s="31">
        <f>IF($A935="","",SUMIF(MonthlySummary!$B$2:$B$1000,$A935,MonthlySummary!$E$2:$E$1000))</f>
        <v/>
      </c>
      <c r="G935" s="31" t="n">
        <v>0</v>
      </c>
      <c r="H935" s="31">
        <f>IF($A935="","",$F935-IF($G935="",0,$G935))</f>
        <v/>
      </c>
      <c r="I935" s="31">
        <f>IF($A935="","",IFERROR(XLOOKUP($A935,SeedPlacement!$A$2:$A$1000,SeedPlacement!$N$2:$N$1000),0))</f>
        <v/>
      </c>
      <c r="J935" s="59" t="n"/>
    </row>
    <row r="936">
      <c r="A936" s="31">
        <f>IF(Members!$A936="","",Members!$A936)</f>
        <v/>
      </c>
      <c r="B936" s="31">
        <f>IF($A936="","",$I936+SUMIF(WeeklySummary!$B$2:$B$1000,$A936,WeeklySummary!$G$2:$G$1000))</f>
        <v/>
      </c>
      <c r="C936" s="31">
        <f>IF($B936="","",MIN(100,INT(SQRT($B936))))</f>
        <v/>
      </c>
      <c r="D936" s="31">
        <f>IF($C936="","",($C936+1)^2)</f>
        <v/>
      </c>
      <c r="E936" s="31">
        <f>IF($D936="","",$D936-$B936)</f>
        <v/>
      </c>
      <c r="F936" s="31">
        <f>IF($A936="","",SUMIF(MonthlySummary!$B$2:$B$1000,$A936,MonthlySummary!$E$2:$E$1000))</f>
        <v/>
      </c>
      <c r="G936" s="31" t="n">
        <v>0</v>
      </c>
      <c r="H936" s="31">
        <f>IF($A936="","",$F936-IF($G936="",0,$G936))</f>
        <v/>
      </c>
      <c r="I936" s="31">
        <f>IF($A936="","",IFERROR(XLOOKUP($A936,SeedPlacement!$A$2:$A$1000,SeedPlacement!$N$2:$N$1000),0))</f>
        <v/>
      </c>
      <c r="J936" s="59" t="n"/>
    </row>
    <row r="937">
      <c r="A937" s="31">
        <f>IF(Members!$A937="","",Members!$A937)</f>
        <v/>
      </c>
      <c r="B937" s="31">
        <f>IF($A937="","",$I937+SUMIF(WeeklySummary!$B$2:$B$1000,$A937,WeeklySummary!$G$2:$G$1000))</f>
        <v/>
      </c>
      <c r="C937" s="31">
        <f>IF($B937="","",MIN(100,INT(SQRT($B937))))</f>
        <v/>
      </c>
      <c r="D937" s="31">
        <f>IF($C937="","",($C937+1)^2)</f>
        <v/>
      </c>
      <c r="E937" s="31">
        <f>IF($D937="","",$D937-$B937)</f>
        <v/>
      </c>
      <c r="F937" s="31">
        <f>IF($A937="","",SUMIF(MonthlySummary!$B$2:$B$1000,$A937,MonthlySummary!$E$2:$E$1000))</f>
        <v/>
      </c>
      <c r="G937" s="31" t="n">
        <v>0</v>
      </c>
      <c r="H937" s="31">
        <f>IF($A937="","",$F937-IF($G937="",0,$G937))</f>
        <v/>
      </c>
      <c r="I937" s="31">
        <f>IF($A937="","",IFERROR(XLOOKUP($A937,SeedPlacement!$A$2:$A$1000,SeedPlacement!$N$2:$N$1000),0))</f>
        <v/>
      </c>
      <c r="J937" s="59" t="n"/>
    </row>
    <row r="938">
      <c r="A938" s="31">
        <f>IF(Members!$A938="","",Members!$A938)</f>
        <v/>
      </c>
      <c r="B938" s="31">
        <f>IF($A938="","",$I938+SUMIF(WeeklySummary!$B$2:$B$1000,$A938,WeeklySummary!$G$2:$G$1000))</f>
        <v/>
      </c>
      <c r="C938" s="31">
        <f>IF($B938="","",MIN(100,INT(SQRT($B938))))</f>
        <v/>
      </c>
      <c r="D938" s="31">
        <f>IF($C938="","",($C938+1)^2)</f>
        <v/>
      </c>
      <c r="E938" s="31">
        <f>IF($D938="","",$D938-$B938)</f>
        <v/>
      </c>
      <c r="F938" s="31">
        <f>IF($A938="","",SUMIF(MonthlySummary!$B$2:$B$1000,$A938,MonthlySummary!$E$2:$E$1000))</f>
        <v/>
      </c>
      <c r="G938" s="31" t="n">
        <v>0</v>
      </c>
      <c r="H938" s="31">
        <f>IF($A938="","",$F938-IF($G938="",0,$G938))</f>
        <v/>
      </c>
      <c r="I938" s="31">
        <f>IF($A938="","",IFERROR(XLOOKUP($A938,SeedPlacement!$A$2:$A$1000,SeedPlacement!$N$2:$N$1000),0))</f>
        <v/>
      </c>
      <c r="J938" s="59" t="n"/>
    </row>
    <row r="939">
      <c r="A939" s="31">
        <f>IF(Members!$A939="","",Members!$A939)</f>
        <v/>
      </c>
      <c r="B939" s="31">
        <f>IF($A939="","",$I939+SUMIF(WeeklySummary!$B$2:$B$1000,$A939,WeeklySummary!$G$2:$G$1000))</f>
        <v/>
      </c>
      <c r="C939" s="31">
        <f>IF($B939="","",MIN(100,INT(SQRT($B939))))</f>
        <v/>
      </c>
      <c r="D939" s="31">
        <f>IF($C939="","",($C939+1)^2)</f>
        <v/>
      </c>
      <c r="E939" s="31">
        <f>IF($D939="","",$D939-$B939)</f>
        <v/>
      </c>
      <c r="F939" s="31">
        <f>IF($A939="","",SUMIF(MonthlySummary!$B$2:$B$1000,$A939,MonthlySummary!$E$2:$E$1000))</f>
        <v/>
      </c>
      <c r="G939" s="31" t="n">
        <v>0</v>
      </c>
      <c r="H939" s="31">
        <f>IF($A939="","",$F939-IF($G939="",0,$G939))</f>
        <v/>
      </c>
      <c r="I939" s="31">
        <f>IF($A939="","",IFERROR(XLOOKUP($A939,SeedPlacement!$A$2:$A$1000,SeedPlacement!$N$2:$N$1000),0))</f>
        <v/>
      </c>
      <c r="J939" s="59" t="n"/>
    </row>
    <row r="940">
      <c r="A940" s="31">
        <f>IF(Members!$A940="","",Members!$A940)</f>
        <v/>
      </c>
      <c r="B940" s="31">
        <f>IF($A940="","",$I940+SUMIF(WeeklySummary!$B$2:$B$1000,$A940,WeeklySummary!$G$2:$G$1000))</f>
        <v/>
      </c>
      <c r="C940" s="31">
        <f>IF($B940="","",MIN(100,INT(SQRT($B940))))</f>
        <v/>
      </c>
      <c r="D940" s="31">
        <f>IF($C940="","",($C940+1)^2)</f>
        <v/>
      </c>
      <c r="E940" s="31">
        <f>IF($D940="","",$D940-$B940)</f>
        <v/>
      </c>
      <c r="F940" s="31">
        <f>IF($A940="","",SUMIF(MonthlySummary!$B$2:$B$1000,$A940,MonthlySummary!$E$2:$E$1000))</f>
        <v/>
      </c>
      <c r="G940" s="31" t="n">
        <v>0</v>
      </c>
      <c r="H940" s="31">
        <f>IF($A940="","",$F940-IF($G940="",0,$G940))</f>
        <v/>
      </c>
      <c r="I940" s="31">
        <f>IF($A940="","",IFERROR(XLOOKUP($A940,SeedPlacement!$A$2:$A$1000,SeedPlacement!$N$2:$N$1000),0))</f>
        <v/>
      </c>
      <c r="J940" s="59" t="n"/>
    </row>
    <row r="941">
      <c r="A941" s="31">
        <f>IF(Members!$A941="","",Members!$A941)</f>
        <v/>
      </c>
      <c r="B941" s="31">
        <f>IF($A941="","",$I941+SUMIF(WeeklySummary!$B$2:$B$1000,$A941,WeeklySummary!$G$2:$G$1000))</f>
        <v/>
      </c>
      <c r="C941" s="31">
        <f>IF($B941="","",MIN(100,INT(SQRT($B941))))</f>
        <v/>
      </c>
      <c r="D941" s="31">
        <f>IF($C941="","",($C941+1)^2)</f>
        <v/>
      </c>
      <c r="E941" s="31">
        <f>IF($D941="","",$D941-$B941)</f>
        <v/>
      </c>
      <c r="F941" s="31">
        <f>IF($A941="","",SUMIF(MonthlySummary!$B$2:$B$1000,$A941,MonthlySummary!$E$2:$E$1000))</f>
        <v/>
      </c>
      <c r="G941" s="31" t="n">
        <v>0</v>
      </c>
      <c r="H941" s="31">
        <f>IF($A941="","",$F941-IF($G941="",0,$G941))</f>
        <v/>
      </c>
      <c r="I941" s="31">
        <f>IF($A941="","",IFERROR(XLOOKUP($A941,SeedPlacement!$A$2:$A$1000,SeedPlacement!$N$2:$N$1000),0))</f>
        <v/>
      </c>
      <c r="J941" s="59" t="n"/>
    </row>
    <row r="942">
      <c r="A942" s="31">
        <f>IF(Members!$A942="","",Members!$A942)</f>
        <v/>
      </c>
      <c r="B942" s="31">
        <f>IF($A942="","",$I942+SUMIF(WeeklySummary!$B$2:$B$1000,$A942,WeeklySummary!$G$2:$G$1000))</f>
        <v/>
      </c>
      <c r="C942" s="31">
        <f>IF($B942="","",MIN(100,INT(SQRT($B942))))</f>
        <v/>
      </c>
      <c r="D942" s="31">
        <f>IF($C942="","",($C942+1)^2)</f>
        <v/>
      </c>
      <c r="E942" s="31">
        <f>IF($D942="","",$D942-$B942)</f>
        <v/>
      </c>
      <c r="F942" s="31">
        <f>IF($A942="","",SUMIF(MonthlySummary!$B$2:$B$1000,$A942,MonthlySummary!$E$2:$E$1000))</f>
        <v/>
      </c>
      <c r="G942" s="31" t="n">
        <v>0</v>
      </c>
      <c r="H942" s="31">
        <f>IF($A942="","",$F942-IF($G942="",0,$G942))</f>
        <v/>
      </c>
      <c r="I942" s="31">
        <f>IF($A942="","",IFERROR(XLOOKUP($A942,SeedPlacement!$A$2:$A$1000,SeedPlacement!$N$2:$N$1000),0))</f>
        <v/>
      </c>
      <c r="J942" s="59" t="n"/>
    </row>
    <row r="943">
      <c r="A943" s="31">
        <f>IF(Members!$A943="","",Members!$A943)</f>
        <v/>
      </c>
      <c r="B943" s="31">
        <f>IF($A943="","",$I943+SUMIF(WeeklySummary!$B$2:$B$1000,$A943,WeeklySummary!$G$2:$G$1000))</f>
        <v/>
      </c>
      <c r="C943" s="31">
        <f>IF($B943="","",MIN(100,INT(SQRT($B943))))</f>
        <v/>
      </c>
      <c r="D943" s="31">
        <f>IF($C943="","",($C943+1)^2)</f>
        <v/>
      </c>
      <c r="E943" s="31">
        <f>IF($D943="","",$D943-$B943)</f>
        <v/>
      </c>
      <c r="F943" s="31">
        <f>IF($A943="","",SUMIF(MonthlySummary!$B$2:$B$1000,$A943,MonthlySummary!$E$2:$E$1000))</f>
        <v/>
      </c>
      <c r="G943" s="31" t="n">
        <v>0</v>
      </c>
      <c r="H943" s="31">
        <f>IF($A943="","",$F943-IF($G943="",0,$G943))</f>
        <v/>
      </c>
      <c r="I943" s="31">
        <f>IF($A943="","",IFERROR(XLOOKUP($A943,SeedPlacement!$A$2:$A$1000,SeedPlacement!$N$2:$N$1000),0))</f>
        <v/>
      </c>
      <c r="J943" s="59" t="n"/>
    </row>
    <row r="944">
      <c r="A944" s="31">
        <f>IF(Members!$A944="","",Members!$A944)</f>
        <v/>
      </c>
      <c r="B944" s="31">
        <f>IF($A944="","",$I944+SUMIF(WeeklySummary!$B$2:$B$1000,$A944,WeeklySummary!$G$2:$G$1000))</f>
        <v/>
      </c>
      <c r="C944" s="31">
        <f>IF($B944="","",MIN(100,INT(SQRT($B944))))</f>
        <v/>
      </c>
      <c r="D944" s="31">
        <f>IF($C944="","",($C944+1)^2)</f>
        <v/>
      </c>
      <c r="E944" s="31">
        <f>IF($D944="","",$D944-$B944)</f>
        <v/>
      </c>
      <c r="F944" s="31">
        <f>IF($A944="","",SUMIF(MonthlySummary!$B$2:$B$1000,$A944,MonthlySummary!$E$2:$E$1000))</f>
        <v/>
      </c>
      <c r="G944" s="31" t="n">
        <v>0</v>
      </c>
      <c r="H944" s="31">
        <f>IF($A944="","",$F944-IF($G944="",0,$G944))</f>
        <v/>
      </c>
      <c r="I944" s="31">
        <f>IF($A944="","",IFERROR(XLOOKUP($A944,SeedPlacement!$A$2:$A$1000,SeedPlacement!$N$2:$N$1000),0))</f>
        <v/>
      </c>
      <c r="J944" s="59" t="n"/>
    </row>
    <row r="945">
      <c r="A945" s="31">
        <f>IF(Members!$A945="","",Members!$A945)</f>
        <v/>
      </c>
      <c r="B945" s="31">
        <f>IF($A945="","",$I945+SUMIF(WeeklySummary!$B$2:$B$1000,$A945,WeeklySummary!$G$2:$G$1000))</f>
        <v/>
      </c>
      <c r="C945" s="31">
        <f>IF($B945="","",MIN(100,INT(SQRT($B945))))</f>
        <v/>
      </c>
      <c r="D945" s="31">
        <f>IF($C945="","",($C945+1)^2)</f>
        <v/>
      </c>
      <c r="E945" s="31">
        <f>IF($D945="","",$D945-$B945)</f>
        <v/>
      </c>
      <c r="F945" s="31">
        <f>IF($A945="","",SUMIF(MonthlySummary!$B$2:$B$1000,$A945,MonthlySummary!$E$2:$E$1000))</f>
        <v/>
      </c>
      <c r="G945" s="31" t="n">
        <v>0</v>
      </c>
      <c r="H945" s="31">
        <f>IF($A945="","",$F945-IF($G945="",0,$G945))</f>
        <v/>
      </c>
      <c r="I945" s="31">
        <f>IF($A945="","",IFERROR(XLOOKUP($A945,SeedPlacement!$A$2:$A$1000,SeedPlacement!$N$2:$N$1000),0))</f>
        <v/>
      </c>
      <c r="J945" s="59" t="n"/>
    </row>
    <row r="946">
      <c r="A946" s="31">
        <f>IF(Members!$A946="","",Members!$A946)</f>
        <v/>
      </c>
      <c r="B946" s="31">
        <f>IF($A946="","",$I946+SUMIF(WeeklySummary!$B$2:$B$1000,$A946,WeeklySummary!$G$2:$G$1000))</f>
        <v/>
      </c>
      <c r="C946" s="31">
        <f>IF($B946="","",MIN(100,INT(SQRT($B946))))</f>
        <v/>
      </c>
      <c r="D946" s="31">
        <f>IF($C946="","",($C946+1)^2)</f>
        <v/>
      </c>
      <c r="E946" s="31">
        <f>IF($D946="","",$D946-$B946)</f>
        <v/>
      </c>
      <c r="F946" s="31">
        <f>IF($A946="","",SUMIF(MonthlySummary!$B$2:$B$1000,$A946,MonthlySummary!$E$2:$E$1000))</f>
        <v/>
      </c>
      <c r="G946" s="31" t="n">
        <v>0</v>
      </c>
      <c r="H946" s="31">
        <f>IF($A946="","",$F946-IF($G946="",0,$G946))</f>
        <v/>
      </c>
      <c r="I946" s="31">
        <f>IF($A946="","",IFERROR(XLOOKUP($A946,SeedPlacement!$A$2:$A$1000,SeedPlacement!$N$2:$N$1000),0))</f>
        <v/>
      </c>
      <c r="J946" s="59" t="n"/>
    </row>
    <row r="947">
      <c r="A947" s="31">
        <f>IF(Members!$A947="","",Members!$A947)</f>
        <v/>
      </c>
      <c r="B947" s="31">
        <f>IF($A947="","",$I947+SUMIF(WeeklySummary!$B$2:$B$1000,$A947,WeeklySummary!$G$2:$G$1000))</f>
        <v/>
      </c>
      <c r="C947" s="31">
        <f>IF($B947="","",MIN(100,INT(SQRT($B947))))</f>
        <v/>
      </c>
      <c r="D947" s="31">
        <f>IF($C947="","",($C947+1)^2)</f>
        <v/>
      </c>
      <c r="E947" s="31">
        <f>IF($D947="","",$D947-$B947)</f>
        <v/>
      </c>
      <c r="F947" s="31">
        <f>IF($A947="","",SUMIF(MonthlySummary!$B$2:$B$1000,$A947,MonthlySummary!$E$2:$E$1000))</f>
        <v/>
      </c>
      <c r="G947" s="31" t="n">
        <v>0</v>
      </c>
      <c r="H947" s="31">
        <f>IF($A947="","",$F947-IF($G947="",0,$G947))</f>
        <v/>
      </c>
      <c r="I947" s="31">
        <f>IF($A947="","",IFERROR(XLOOKUP($A947,SeedPlacement!$A$2:$A$1000,SeedPlacement!$N$2:$N$1000),0))</f>
        <v/>
      </c>
      <c r="J947" s="59" t="n"/>
    </row>
    <row r="948">
      <c r="A948" s="31">
        <f>IF(Members!$A948="","",Members!$A948)</f>
        <v/>
      </c>
      <c r="B948" s="31">
        <f>IF($A948="","",$I948+SUMIF(WeeklySummary!$B$2:$B$1000,$A948,WeeklySummary!$G$2:$G$1000))</f>
        <v/>
      </c>
      <c r="C948" s="31">
        <f>IF($B948="","",MIN(100,INT(SQRT($B948))))</f>
        <v/>
      </c>
      <c r="D948" s="31">
        <f>IF($C948="","",($C948+1)^2)</f>
        <v/>
      </c>
      <c r="E948" s="31">
        <f>IF($D948="","",$D948-$B948)</f>
        <v/>
      </c>
      <c r="F948" s="31">
        <f>IF($A948="","",SUMIF(MonthlySummary!$B$2:$B$1000,$A948,MonthlySummary!$E$2:$E$1000))</f>
        <v/>
      </c>
      <c r="G948" s="31" t="n">
        <v>0</v>
      </c>
      <c r="H948" s="31">
        <f>IF($A948="","",$F948-IF($G948="",0,$G948))</f>
        <v/>
      </c>
      <c r="I948" s="31">
        <f>IF($A948="","",IFERROR(XLOOKUP($A948,SeedPlacement!$A$2:$A$1000,SeedPlacement!$N$2:$N$1000),0))</f>
        <v/>
      </c>
      <c r="J948" s="59" t="n"/>
    </row>
    <row r="949">
      <c r="A949" s="31">
        <f>IF(Members!$A949="","",Members!$A949)</f>
        <v/>
      </c>
      <c r="B949" s="31">
        <f>IF($A949="","",$I949+SUMIF(WeeklySummary!$B$2:$B$1000,$A949,WeeklySummary!$G$2:$G$1000))</f>
        <v/>
      </c>
      <c r="C949" s="31">
        <f>IF($B949="","",MIN(100,INT(SQRT($B949))))</f>
        <v/>
      </c>
      <c r="D949" s="31">
        <f>IF($C949="","",($C949+1)^2)</f>
        <v/>
      </c>
      <c r="E949" s="31">
        <f>IF($D949="","",$D949-$B949)</f>
        <v/>
      </c>
      <c r="F949" s="31">
        <f>IF($A949="","",SUMIF(MonthlySummary!$B$2:$B$1000,$A949,MonthlySummary!$E$2:$E$1000))</f>
        <v/>
      </c>
      <c r="G949" s="31" t="n">
        <v>0</v>
      </c>
      <c r="H949" s="31">
        <f>IF($A949="","",$F949-IF($G949="",0,$G949))</f>
        <v/>
      </c>
      <c r="I949" s="31">
        <f>IF($A949="","",IFERROR(XLOOKUP($A949,SeedPlacement!$A$2:$A$1000,SeedPlacement!$N$2:$N$1000),0))</f>
        <v/>
      </c>
      <c r="J949" s="59" t="n"/>
    </row>
    <row r="950">
      <c r="A950" s="31">
        <f>IF(Members!$A950="","",Members!$A950)</f>
        <v/>
      </c>
      <c r="B950" s="31">
        <f>IF($A950="","",$I950+SUMIF(WeeklySummary!$B$2:$B$1000,$A950,WeeklySummary!$G$2:$G$1000))</f>
        <v/>
      </c>
      <c r="C950" s="31">
        <f>IF($B950="","",MIN(100,INT(SQRT($B950))))</f>
        <v/>
      </c>
      <c r="D950" s="31">
        <f>IF($C950="","",($C950+1)^2)</f>
        <v/>
      </c>
      <c r="E950" s="31">
        <f>IF($D950="","",$D950-$B950)</f>
        <v/>
      </c>
      <c r="F950" s="31">
        <f>IF($A950="","",SUMIF(MonthlySummary!$B$2:$B$1000,$A950,MonthlySummary!$E$2:$E$1000))</f>
        <v/>
      </c>
      <c r="G950" s="31" t="n">
        <v>0</v>
      </c>
      <c r="H950" s="31">
        <f>IF($A950="","",$F950-IF($G950="",0,$G950))</f>
        <v/>
      </c>
      <c r="I950" s="31">
        <f>IF($A950="","",IFERROR(XLOOKUP($A950,SeedPlacement!$A$2:$A$1000,SeedPlacement!$N$2:$N$1000),0))</f>
        <v/>
      </c>
      <c r="J950" s="59" t="n"/>
    </row>
    <row r="951">
      <c r="A951" s="31">
        <f>IF(Members!$A951="","",Members!$A951)</f>
        <v/>
      </c>
      <c r="B951" s="31">
        <f>IF($A951="","",$I951+SUMIF(WeeklySummary!$B$2:$B$1000,$A951,WeeklySummary!$G$2:$G$1000))</f>
        <v/>
      </c>
      <c r="C951" s="31">
        <f>IF($B951="","",MIN(100,INT(SQRT($B951))))</f>
        <v/>
      </c>
      <c r="D951" s="31">
        <f>IF($C951="","",($C951+1)^2)</f>
        <v/>
      </c>
      <c r="E951" s="31">
        <f>IF($D951="","",$D951-$B951)</f>
        <v/>
      </c>
      <c r="F951" s="31">
        <f>IF($A951="","",SUMIF(MonthlySummary!$B$2:$B$1000,$A951,MonthlySummary!$E$2:$E$1000))</f>
        <v/>
      </c>
      <c r="G951" s="31" t="n">
        <v>0</v>
      </c>
      <c r="H951" s="31">
        <f>IF($A951="","",$F951-IF($G951="",0,$G951))</f>
        <v/>
      </c>
      <c r="I951" s="31">
        <f>IF($A951="","",IFERROR(XLOOKUP($A951,SeedPlacement!$A$2:$A$1000,SeedPlacement!$N$2:$N$1000),0))</f>
        <v/>
      </c>
      <c r="J951" s="59" t="n"/>
    </row>
    <row r="952">
      <c r="A952" s="31">
        <f>IF(Members!$A952="","",Members!$A952)</f>
        <v/>
      </c>
      <c r="B952" s="31">
        <f>IF($A952="","",$I952+SUMIF(WeeklySummary!$B$2:$B$1000,$A952,WeeklySummary!$G$2:$G$1000))</f>
        <v/>
      </c>
      <c r="C952" s="31">
        <f>IF($B952="","",MIN(100,INT(SQRT($B952))))</f>
        <v/>
      </c>
      <c r="D952" s="31">
        <f>IF($C952="","",($C952+1)^2)</f>
        <v/>
      </c>
      <c r="E952" s="31">
        <f>IF($D952="","",$D952-$B952)</f>
        <v/>
      </c>
      <c r="F952" s="31">
        <f>IF($A952="","",SUMIF(MonthlySummary!$B$2:$B$1000,$A952,MonthlySummary!$E$2:$E$1000))</f>
        <v/>
      </c>
      <c r="G952" s="31" t="n">
        <v>0</v>
      </c>
      <c r="H952" s="31">
        <f>IF($A952="","",$F952-IF($G952="",0,$G952))</f>
        <v/>
      </c>
      <c r="I952" s="31">
        <f>IF($A952="","",IFERROR(XLOOKUP($A952,SeedPlacement!$A$2:$A$1000,SeedPlacement!$N$2:$N$1000),0))</f>
        <v/>
      </c>
      <c r="J952" s="59" t="n"/>
    </row>
    <row r="953">
      <c r="A953" s="31">
        <f>IF(Members!$A953="","",Members!$A953)</f>
        <v/>
      </c>
      <c r="B953" s="31">
        <f>IF($A953="","",$I953+SUMIF(WeeklySummary!$B$2:$B$1000,$A953,WeeklySummary!$G$2:$G$1000))</f>
        <v/>
      </c>
      <c r="C953" s="31">
        <f>IF($B953="","",MIN(100,INT(SQRT($B953))))</f>
        <v/>
      </c>
      <c r="D953" s="31">
        <f>IF($C953="","",($C953+1)^2)</f>
        <v/>
      </c>
      <c r="E953" s="31">
        <f>IF($D953="","",$D953-$B953)</f>
        <v/>
      </c>
      <c r="F953" s="31">
        <f>IF($A953="","",SUMIF(MonthlySummary!$B$2:$B$1000,$A953,MonthlySummary!$E$2:$E$1000))</f>
        <v/>
      </c>
      <c r="G953" s="31" t="n">
        <v>0</v>
      </c>
      <c r="H953" s="31">
        <f>IF($A953="","",$F953-IF($G953="",0,$G953))</f>
        <v/>
      </c>
      <c r="I953" s="31">
        <f>IF($A953="","",IFERROR(XLOOKUP($A953,SeedPlacement!$A$2:$A$1000,SeedPlacement!$N$2:$N$1000),0))</f>
        <v/>
      </c>
      <c r="J953" s="59" t="n"/>
    </row>
    <row r="954">
      <c r="A954" s="31">
        <f>IF(Members!$A954="","",Members!$A954)</f>
        <v/>
      </c>
      <c r="B954" s="31">
        <f>IF($A954="","",$I954+SUMIF(WeeklySummary!$B$2:$B$1000,$A954,WeeklySummary!$G$2:$G$1000))</f>
        <v/>
      </c>
      <c r="C954" s="31">
        <f>IF($B954="","",MIN(100,INT(SQRT($B954))))</f>
        <v/>
      </c>
      <c r="D954" s="31">
        <f>IF($C954="","",($C954+1)^2)</f>
        <v/>
      </c>
      <c r="E954" s="31">
        <f>IF($D954="","",$D954-$B954)</f>
        <v/>
      </c>
      <c r="F954" s="31">
        <f>IF($A954="","",SUMIF(MonthlySummary!$B$2:$B$1000,$A954,MonthlySummary!$E$2:$E$1000))</f>
        <v/>
      </c>
      <c r="G954" s="31" t="n">
        <v>0</v>
      </c>
      <c r="H954" s="31">
        <f>IF($A954="","",$F954-IF($G954="",0,$G954))</f>
        <v/>
      </c>
      <c r="I954" s="31">
        <f>IF($A954="","",IFERROR(XLOOKUP($A954,SeedPlacement!$A$2:$A$1000,SeedPlacement!$N$2:$N$1000),0))</f>
        <v/>
      </c>
      <c r="J954" s="59" t="n"/>
    </row>
    <row r="955">
      <c r="A955" s="31">
        <f>IF(Members!$A955="","",Members!$A955)</f>
        <v/>
      </c>
      <c r="B955" s="31">
        <f>IF($A955="","",$I955+SUMIF(WeeklySummary!$B$2:$B$1000,$A955,WeeklySummary!$G$2:$G$1000))</f>
        <v/>
      </c>
      <c r="C955" s="31">
        <f>IF($B955="","",MIN(100,INT(SQRT($B955))))</f>
        <v/>
      </c>
      <c r="D955" s="31">
        <f>IF($C955="","",($C955+1)^2)</f>
        <v/>
      </c>
      <c r="E955" s="31">
        <f>IF($D955="","",$D955-$B955)</f>
        <v/>
      </c>
      <c r="F955" s="31">
        <f>IF($A955="","",SUMIF(MonthlySummary!$B$2:$B$1000,$A955,MonthlySummary!$E$2:$E$1000))</f>
        <v/>
      </c>
      <c r="G955" s="31" t="n">
        <v>0</v>
      </c>
      <c r="H955" s="31">
        <f>IF($A955="","",$F955-IF($G955="",0,$G955))</f>
        <v/>
      </c>
      <c r="I955" s="31">
        <f>IF($A955="","",IFERROR(XLOOKUP($A955,SeedPlacement!$A$2:$A$1000,SeedPlacement!$N$2:$N$1000),0))</f>
        <v/>
      </c>
      <c r="J955" s="59" t="n"/>
    </row>
    <row r="956">
      <c r="A956" s="31">
        <f>IF(Members!$A956="","",Members!$A956)</f>
        <v/>
      </c>
      <c r="B956" s="31">
        <f>IF($A956="","",$I956+SUMIF(WeeklySummary!$B$2:$B$1000,$A956,WeeklySummary!$G$2:$G$1000))</f>
        <v/>
      </c>
      <c r="C956" s="31">
        <f>IF($B956="","",MIN(100,INT(SQRT($B956))))</f>
        <v/>
      </c>
      <c r="D956" s="31">
        <f>IF($C956="","",($C956+1)^2)</f>
        <v/>
      </c>
      <c r="E956" s="31">
        <f>IF($D956="","",$D956-$B956)</f>
        <v/>
      </c>
      <c r="F956" s="31">
        <f>IF($A956="","",SUMIF(MonthlySummary!$B$2:$B$1000,$A956,MonthlySummary!$E$2:$E$1000))</f>
        <v/>
      </c>
      <c r="G956" s="31" t="n">
        <v>0</v>
      </c>
      <c r="H956" s="31">
        <f>IF($A956="","",$F956-IF($G956="",0,$G956))</f>
        <v/>
      </c>
      <c r="I956" s="31">
        <f>IF($A956="","",IFERROR(XLOOKUP($A956,SeedPlacement!$A$2:$A$1000,SeedPlacement!$N$2:$N$1000),0))</f>
        <v/>
      </c>
      <c r="J956" s="59" t="n"/>
    </row>
    <row r="957">
      <c r="A957" s="31">
        <f>IF(Members!$A957="","",Members!$A957)</f>
        <v/>
      </c>
      <c r="B957" s="31">
        <f>IF($A957="","",$I957+SUMIF(WeeklySummary!$B$2:$B$1000,$A957,WeeklySummary!$G$2:$G$1000))</f>
        <v/>
      </c>
      <c r="C957" s="31">
        <f>IF($B957="","",MIN(100,INT(SQRT($B957))))</f>
        <v/>
      </c>
      <c r="D957" s="31">
        <f>IF($C957="","",($C957+1)^2)</f>
        <v/>
      </c>
      <c r="E957" s="31">
        <f>IF($D957="","",$D957-$B957)</f>
        <v/>
      </c>
      <c r="F957" s="31">
        <f>IF($A957="","",SUMIF(MonthlySummary!$B$2:$B$1000,$A957,MonthlySummary!$E$2:$E$1000))</f>
        <v/>
      </c>
      <c r="G957" s="31" t="n">
        <v>0</v>
      </c>
      <c r="H957" s="31">
        <f>IF($A957="","",$F957-IF($G957="",0,$G957))</f>
        <v/>
      </c>
      <c r="I957" s="31">
        <f>IF($A957="","",IFERROR(XLOOKUP($A957,SeedPlacement!$A$2:$A$1000,SeedPlacement!$N$2:$N$1000),0))</f>
        <v/>
      </c>
      <c r="J957" s="59" t="n"/>
    </row>
    <row r="958">
      <c r="A958" s="31">
        <f>IF(Members!$A958="","",Members!$A958)</f>
        <v/>
      </c>
      <c r="B958" s="31">
        <f>IF($A958="","",$I958+SUMIF(WeeklySummary!$B$2:$B$1000,$A958,WeeklySummary!$G$2:$G$1000))</f>
        <v/>
      </c>
      <c r="C958" s="31">
        <f>IF($B958="","",MIN(100,INT(SQRT($B958))))</f>
        <v/>
      </c>
      <c r="D958" s="31">
        <f>IF($C958="","",($C958+1)^2)</f>
        <v/>
      </c>
      <c r="E958" s="31">
        <f>IF($D958="","",$D958-$B958)</f>
        <v/>
      </c>
      <c r="F958" s="31">
        <f>IF($A958="","",SUMIF(MonthlySummary!$B$2:$B$1000,$A958,MonthlySummary!$E$2:$E$1000))</f>
        <v/>
      </c>
      <c r="G958" s="31" t="n">
        <v>0</v>
      </c>
      <c r="H958" s="31">
        <f>IF($A958="","",$F958-IF($G958="",0,$G958))</f>
        <v/>
      </c>
      <c r="I958" s="31">
        <f>IF($A958="","",IFERROR(XLOOKUP($A958,SeedPlacement!$A$2:$A$1000,SeedPlacement!$N$2:$N$1000),0))</f>
        <v/>
      </c>
      <c r="J958" s="59" t="n"/>
    </row>
    <row r="959">
      <c r="A959" s="31">
        <f>IF(Members!$A959="","",Members!$A959)</f>
        <v/>
      </c>
      <c r="B959" s="31">
        <f>IF($A959="","",$I959+SUMIF(WeeklySummary!$B$2:$B$1000,$A959,WeeklySummary!$G$2:$G$1000))</f>
        <v/>
      </c>
      <c r="C959" s="31">
        <f>IF($B959="","",MIN(100,INT(SQRT($B959))))</f>
        <v/>
      </c>
      <c r="D959" s="31">
        <f>IF($C959="","",($C959+1)^2)</f>
        <v/>
      </c>
      <c r="E959" s="31">
        <f>IF($D959="","",$D959-$B959)</f>
        <v/>
      </c>
      <c r="F959" s="31">
        <f>IF($A959="","",SUMIF(MonthlySummary!$B$2:$B$1000,$A959,MonthlySummary!$E$2:$E$1000))</f>
        <v/>
      </c>
      <c r="G959" s="31" t="n">
        <v>0</v>
      </c>
      <c r="H959" s="31">
        <f>IF($A959="","",$F959-IF($G959="",0,$G959))</f>
        <v/>
      </c>
      <c r="I959" s="31">
        <f>IF($A959="","",IFERROR(XLOOKUP($A959,SeedPlacement!$A$2:$A$1000,SeedPlacement!$N$2:$N$1000),0))</f>
        <v/>
      </c>
      <c r="J959" s="59" t="n"/>
    </row>
    <row r="960">
      <c r="A960" s="31">
        <f>IF(Members!$A960="","",Members!$A960)</f>
        <v/>
      </c>
      <c r="B960" s="31">
        <f>IF($A960="","",$I960+SUMIF(WeeklySummary!$B$2:$B$1000,$A960,WeeklySummary!$G$2:$G$1000))</f>
        <v/>
      </c>
      <c r="C960" s="31">
        <f>IF($B960="","",MIN(100,INT(SQRT($B960))))</f>
        <v/>
      </c>
      <c r="D960" s="31">
        <f>IF($C960="","",($C960+1)^2)</f>
        <v/>
      </c>
      <c r="E960" s="31">
        <f>IF($D960="","",$D960-$B960)</f>
        <v/>
      </c>
      <c r="F960" s="31">
        <f>IF($A960="","",SUMIF(MonthlySummary!$B$2:$B$1000,$A960,MonthlySummary!$E$2:$E$1000))</f>
        <v/>
      </c>
      <c r="G960" s="31" t="n">
        <v>0</v>
      </c>
      <c r="H960" s="31">
        <f>IF($A960="","",$F960-IF($G960="",0,$G960))</f>
        <v/>
      </c>
      <c r="I960" s="31">
        <f>IF($A960="","",IFERROR(XLOOKUP($A960,SeedPlacement!$A$2:$A$1000,SeedPlacement!$N$2:$N$1000),0))</f>
        <v/>
      </c>
      <c r="J960" s="59" t="n"/>
    </row>
    <row r="961">
      <c r="A961" s="31">
        <f>IF(Members!$A961="","",Members!$A961)</f>
        <v/>
      </c>
      <c r="B961" s="31">
        <f>IF($A961="","",$I961+SUMIF(WeeklySummary!$B$2:$B$1000,$A961,WeeklySummary!$G$2:$G$1000))</f>
        <v/>
      </c>
      <c r="C961" s="31">
        <f>IF($B961="","",MIN(100,INT(SQRT($B961))))</f>
        <v/>
      </c>
      <c r="D961" s="31">
        <f>IF($C961="","",($C961+1)^2)</f>
        <v/>
      </c>
      <c r="E961" s="31">
        <f>IF($D961="","",$D961-$B961)</f>
        <v/>
      </c>
      <c r="F961" s="31">
        <f>IF($A961="","",SUMIF(MonthlySummary!$B$2:$B$1000,$A961,MonthlySummary!$E$2:$E$1000))</f>
        <v/>
      </c>
      <c r="G961" s="31" t="n">
        <v>0</v>
      </c>
      <c r="H961" s="31">
        <f>IF($A961="","",$F961-IF($G961="",0,$G961))</f>
        <v/>
      </c>
      <c r="I961" s="31">
        <f>IF($A961="","",IFERROR(XLOOKUP($A961,SeedPlacement!$A$2:$A$1000,SeedPlacement!$N$2:$N$1000),0))</f>
        <v/>
      </c>
      <c r="J961" s="59" t="n"/>
    </row>
    <row r="962">
      <c r="A962" s="31">
        <f>IF(Members!$A962="","",Members!$A962)</f>
        <v/>
      </c>
      <c r="B962" s="31">
        <f>IF($A962="","",$I962+SUMIF(WeeklySummary!$B$2:$B$1000,$A962,WeeklySummary!$G$2:$G$1000))</f>
        <v/>
      </c>
      <c r="C962" s="31">
        <f>IF($B962="","",MIN(100,INT(SQRT($B962))))</f>
        <v/>
      </c>
      <c r="D962" s="31">
        <f>IF($C962="","",($C962+1)^2)</f>
        <v/>
      </c>
      <c r="E962" s="31">
        <f>IF($D962="","",$D962-$B962)</f>
        <v/>
      </c>
      <c r="F962" s="31">
        <f>IF($A962="","",SUMIF(MonthlySummary!$B$2:$B$1000,$A962,MonthlySummary!$E$2:$E$1000))</f>
        <v/>
      </c>
      <c r="G962" s="31" t="n">
        <v>0</v>
      </c>
      <c r="H962" s="31">
        <f>IF($A962="","",$F962-IF($G962="",0,$G962))</f>
        <v/>
      </c>
      <c r="I962" s="31">
        <f>IF($A962="","",IFERROR(XLOOKUP($A962,SeedPlacement!$A$2:$A$1000,SeedPlacement!$N$2:$N$1000),0))</f>
        <v/>
      </c>
      <c r="J962" s="59" t="n"/>
    </row>
    <row r="963">
      <c r="A963" s="31">
        <f>IF(Members!$A963="","",Members!$A963)</f>
        <v/>
      </c>
      <c r="B963" s="31">
        <f>IF($A963="","",$I963+SUMIF(WeeklySummary!$B$2:$B$1000,$A963,WeeklySummary!$G$2:$G$1000))</f>
        <v/>
      </c>
      <c r="C963" s="31">
        <f>IF($B963="","",MIN(100,INT(SQRT($B963))))</f>
        <v/>
      </c>
      <c r="D963" s="31">
        <f>IF($C963="","",($C963+1)^2)</f>
        <v/>
      </c>
      <c r="E963" s="31">
        <f>IF($D963="","",$D963-$B963)</f>
        <v/>
      </c>
      <c r="F963" s="31">
        <f>IF($A963="","",SUMIF(MonthlySummary!$B$2:$B$1000,$A963,MonthlySummary!$E$2:$E$1000))</f>
        <v/>
      </c>
      <c r="G963" s="31" t="n">
        <v>0</v>
      </c>
      <c r="H963" s="31">
        <f>IF($A963="","",$F963-IF($G963="",0,$G963))</f>
        <v/>
      </c>
      <c r="I963" s="31">
        <f>IF($A963="","",IFERROR(XLOOKUP($A963,SeedPlacement!$A$2:$A$1000,SeedPlacement!$N$2:$N$1000),0))</f>
        <v/>
      </c>
      <c r="J963" s="59" t="n"/>
    </row>
    <row r="964">
      <c r="A964" s="31">
        <f>IF(Members!$A964="","",Members!$A964)</f>
        <v/>
      </c>
      <c r="B964" s="31">
        <f>IF($A964="","",$I964+SUMIF(WeeklySummary!$B$2:$B$1000,$A964,WeeklySummary!$G$2:$G$1000))</f>
        <v/>
      </c>
      <c r="C964" s="31">
        <f>IF($B964="","",MIN(100,INT(SQRT($B964))))</f>
        <v/>
      </c>
      <c r="D964" s="31">
        <f>IF($C964="","",($C964+1)^2)</f>
        <v/>
      </c>
      <c r="E964" s="31">
        <f>IF($D964="","",$D964-$B964)</f>
        <v/>
      </c>
      <c r="F964" s="31">
        <f>IF($A964="","",SUMIF(MonthlySummary!$B$2:$B$1000,$A964,MonthlySummary!$E$2:$E$1000))</f>
        <v/>
      </c>
      <c r="G964" s="31" t="n">
        <v>0</v>
      </c>
      <c r="H964" s="31">
        <f>IF($A964="","",$F964-IF($G964="",0,$G964))</f>
        <v/>
      </c>
      <c r="I964" s="31">
        <f>IF($A964="","",IFERROR(XLOOKUP($A964,SeedPlacement!$A$2:$A$1000,SeedPlacement!$N$2:$N$1000),0))</f>
        <v/>
      </c>
      <c r="J964" s="59" t="n"/>
    </row>
    <row r="965">
      <c r="A965" s="31">
        <f>IF(Members!$A965="","",Members!$A965)</f>
        <v/>
      </c>
      <c r="B965" s="31">
        <f>IF($A965="","",$I965+SUMIF(WeeklySummary!$B$2:$B$1000,$A965,WeeklySummary!$G$2:$G$1000))</f>
        <v/>
      </c>
      <c r="C965" s="31">
        <f>IF($B965="","",MIN(100,INT(SQRT($B965))))</f>
        <v/>
      </c>
      <c r="D965" s="31">
        <f>IF($C965="","",($C965+1)^2)</f>
        <v/>
      </c>
      <c r="E965" s="31">
        <f>IF($D965="","",$D965-$B965)</f>
        <v/>
      </c>
      <c r="F965" s="31">
        <f>IF($A965="","",SUMIF(MonthlySummary!$B$2:$B$1000,$A965,MonthlySummary!$E$2:$E$1000))</f>
        <v/>
      </c>
      <c r="G965" s="31" t="n">
        <v>0</v>
      </c>
      <c r="H965" s="31">
        <f>IF($A965="","",$F965-IF($G965="",0,$G965))</f>
        <v/>
      </c>
      <c r="I965" s="31">
        <f>IF($A965="","",IFERROR(XLOOKUP($A965,SeedPlacement!$A$2:$A$1000,SeedPlacement!$N$2:$N$1000),0))</f>
        <v/>
      </c>
      <c r="J965" s="59" t="n"/>
    </row>
    <row r="966">
      <c r="A966" s="31">
        <f>IF(Members!$A966="","",Members!$A966)</f>
        <v/>
      </c>
      <c r="B966" s="31">
        <f>IF($A966="","",$I966+SUMIF(WeeklySummary!$B$2:$B$1000,$A966,WeeklySummary!$G$2:$G$1000))</f>
        <v/>
      </c>
      <c r="C966" s="31">
        <f>IF($B966="","",MIN(100,INT(SQRT($B966))))</f>
        <v/>
      </c>
      <c r="D966" s="31">
        <f>IF($C966="","",($C966+1)^2)</f>
        <v/>
      </c>
      <c r="E966" s="31">
        <f>IF($D966="","",$D966-$B966)</f>
        <v/>
      </c>
      <c r="F966" s="31">
        <f>IF($A966="","",SUMIF(MonthlySummary!$B$2:$B$1000,$A966,MonthlySummary!$E$2:$E$1000))</f>
        <v/>
      </c>
      <c r="G966" s="31" t="n">
        <v>0</v>
      </c>
      <c r="H966" s="31">
        <f>IF($A966="","",$F966-IF($G966="",0,$G966))</f>
        <v/>
      </c>
      <c r="I966" s="31">
        <f>IF($A966="","",IFERROR(XLOOKUP($A966,SeedPlacement!$A$2:$A$1000,SeedPlacement!$N$2:$N$1000),0))</f>
        <v/>
      </c>
      <c r="J966" s="59" t="n"/>
    </row>
    <row r="967">
      <c r="A967" s="31">
        <f>IF(Members!$A967="","",Members!$A967)</f>
        <v/>
      </c>
      <c r="B967" s="31">
        <f>IF($A967="","",$I967+SUMIF(WeeklySummary!$B$2:$B$1000,$A967,WeeklySummary!$G$2:$G$1000))</f>
        <v/>
      </c>
      <c r="C967" s="31">
        <f>IF($B967="","",MIN(100,INT(SQRT($B967))))</f>
        <v/>
      </c>
      <c r="D967" s="31">
        <f>IF($C967="","",($C967+1)^2)</f>
        <v/>
      </c>
      <c r="E967" s="31">
        <f>IF($D967="","",$D967-$B967)</f>
        <v/>
      </c>
      <c r="F967" s="31">
        <f>IF($A967="","",SUMIF(MonthlySummary!$B$2:$B$1000,$A967,MonthlySummary!$E$2:$E$1000))</f>
        <v/>
      </c>
      <c r="G967" s="31" t="n">
        <v>0</v>
      </c>
      <c r="H967" s="31">
        <f>IF($A967="","",$F967-IF($G967="",0,$G967))</f>
        <v/>
      </c>
      <c r="I967" s="31">
        <f>IF($A967="","",IFERROR(XLOOKUP($A967,SeedPlacement!$A$2:$A$1000,SeedPlacement!$N$2:$N$1000),0))</f>
        <v/>
      </c>
      <c r="J967" s="59" t="n"/>
    </row>
    <row r="968">
      <c r="A968" s="31">
        <f>IF(Members!$A968="","",Members!$A968)</f>
        <v/>
      </c>
      <c r="B968" s="31">
        <f>IF($A968="","",$I968+SUMIF(WeeklySummary!$B$2:$B$1000,$A968,WeeklySummary!$G$2:$G$1000))</f>
        <v/>
      </c>
      <c r="C968" s="31">
        <f>IF($B968="","",MIN(100,INT(SQRT($B968))))</f>
        <v/>
      </c>
      <c r="D968" s="31">
        <f>IF($C968="","",($C968+1)^2)</f>
        <v/>
      </c>
      <c r="E968" s="31">
        <f>IF($D968="","",$D968-$B968)</f>
        <v/>
      </c>
      <c r="F968" s="31">
        <f>IF($A968="","",SUMIF(MonthlySummary!$B$2:$B$1000,$A968,MonthlySummary!$E$2:$E$1000))</f>
        <v/>
      </c>
      <c r="G968" s="31" t="n">
        <v>0</v>
      </c>
      <c r="H968" s="31">
        <f>IF($A968="","",$F968-IF($G968="",0,$G968))</f>
        <v/>
      </c>
      <c r="I968" s="31">
        <f>IF($A968="","",IFERROR(XLOOKUP($A968,SeedPlacement!$A$2:$A$1000,SeedPlacement!$N$2:$N$1000),0))</f>
        <v/>
      </c>
      <c r="J968" s="59" t="n"/>
    </row>
    <row r="969">
      <c r="A969" s="31">
        <f>IF(Members!$A969="","",Members!$A969)</f>
        <v/>
      </c>
      <c r="B969" s="31">
        <f>IF($A969="","",$I969+SUMIF(WeeklySummary!$B$2:$B$1000,$A969,WeeklySummary!$G$2:$G$1000))</f>
        <v/>
      </c>
      <c r="C969" s="31">
        <f>IF($B969="","",MIN(100,INT(SQRT($B969))))</f>
        <v/>
      </c>
      <c r="D969" s="31">
        <f>IF($C969="","",($C969+1)^2)</f>
        <v/>
      </c>
      <c r="E969" s="31">
        <f>IF($D969="","",$D969-$B969)</f>
        <v/>
      </c>
      <c r="F969" s="31">
        <f>IF($A969="","",SUMIF(MonthlySummary!$B$2:$B$1000,$A969,MonthlySummary!$E$2:$E$1000))</f>
        <v/>
      </c>
      <c r="G969" s="31" t="n">
        <v>0</v>
      </c>
      <c r="H969" s="31">
        <f>IF($A969="","",$F969-IF($G969="",0,$G969))</f>
        <v/>
      </c>
      <c r="I969" s="31">
        <f>IF($A969="","",IFERROR(XLOOKUP($A969,SeedPlacement!$A$2:$A$1000,SeedPlacement!$N$2:$N$1000),0))</f>
        <v/>
      </c>
      <c r="J969" s="59" t="n"/>
    </row>
    <row r="970">
      <c r="A970" s="31">
        <f>IF(Members!$A970="","",Members!$A970)</f>
        <v/>
      </c>
      <c r="B970" s="31">
        <f>IF($A970="","",$I970+SUMIF(WeeklySummary!$B$2:$B$1000,$A970,WeeklySummary!$G$2:$G$1000))</f>
        <v/>
      </c>
      <c r="C970" s="31">
        <f>IF($B970="","",MIN(100,INT(SQRT($B970))))</f>
        <v/>
      </c>
      <c r="D970" s="31">
        <f>IF($C970="","",($C970+1)^2)</f>
        <v/>
      </c>
      <c r="E970" s="31">
        <f>IF($D970="","",$D970-$B970)</f>
        <v/>
      </c>
      <c r="F970" s="31">
        <f>IF($A970="","",SUMIF(MonthlySummary!$B$2:$B$1000,$A970,MonthlySummary!$E$2:$E$1000))</f>
        <v/>
      </c>
      <c r="G970" s="31" t="n">
        <v>0</v>
      </c>
      <c r="H970" s="31">
        <f>IF($A970="","",$F970-IF($G970="",0,$G970))</f>
        <v/>
      </c>
      <c r="I970" s="31">
        <f>IF($A970="","",IFERROR(XLOOKUP($A970,SeedPlacement!$A$2:$A$1000,SeedPlacement!$N$2:$N$1000),0))</f>
        <v/>
      </c>
      <c r="J970" s="59" t="n"/>
    </row>
    <row r="971">
      <c r="A971" s="31">
        <f>IF(Members!$A971="","",Members!$A971)</f>
        <v/>
      </c>
      <c r="B971" s="31">
        <f>IF($A971="","",$I971+SUMIF(WeeklySummary!$B$2:$B$1000,$A971,WeeklySummary!$G$2:$G$1000))</f>
        <v/>
      </c>
      <c r="C971" s="31">
        <f>IF($B971="","",MIN(100,INT(SQRT($B971))))</f>
        <v/>
      </c>
      <c r="D971" s="31">
        <f>IF($C971="","",($C971+1)^2)</f>
        <v/>
      </c>
      <c r="E971" s="31">
        <f>IF($D971="","",$D971-$B971)</f>
        <v/>
      </c>
      <c r="F971" s="31">
        <f>IF($A971="","",SUMIF(MonthlySummary!$B$2:$B$1000,$A971,MonthlySummary!$E$2:$E$1000))</f>
        <v/>
      </c>
      <c r="G971" s="31" t="n">
        <v>0</v>
      </c>
      <c r="H971" s="31">
        <f>IF($A971="","",$F971-IF($G971="",0,$G971))</f>
        <v/>
      </c>
      <c r="I971" s="31">
        <f>IF($A971="","",IFERROR(XLOOKUP($A971,SeedPlacement!$A$2:$A$1000,SeedPlacement!$N$2:$N$1000),0))</f>
        <v/>
      </c>
      <c r="J971" s="59" t="n"/>
    </row>
    <row r="972">
      <c r="A972" s="31">
        <f>IF(Members!$A972="","",Members!$A972)</f>
        <v/>
      </c>
      <c r="B972" s="31">
        <f>IF($A972="","",$I972+SUMIF(WeeklySummary!$B$2:$B$1000,$A972,WeeklySummary!$G$2:$G$1000))</f>
        <v/>
      </c>
      <c r="C972" s="31">
        <f>IF($B972="","",MIN(100,INT(SQRT($B972))))</f>
        <v/>
      </c>
      <c r="D972" s="31">
        <f>IF($C972="","",($C972+1)^2)</f>
        <v/>
      </c>
      <c r="E972" s="31">
        <f>IF($D972="","",$D972-$B972)</f>
        <v/>
      </c>
      <c r="F972" s="31">
        <f>IF($A972="","",SUMIF(MonthlySummary!$B$2:$B$1000,$A972,MonthlySummary!$E$2:$E$1000))</f>
        <v/>
      </c>
      <c r="G972" s="31" t="n">
        <v>0</v>
      </c>
      <c r="H972" s="31">
        <f>IF($A972="","",$F972-IF($G972="",0,$G972))</f>
        <v/>
      </c>
      <c r="I972" s="31">
        <f>IF($A972="","",IFERROR(XLOOKUP($A972,SeedPlacement!$A$2:$A$1000,SeedPlacement!$N$2:$N$1000),0))</f>
        <v/>
      </c>
      <c r="J972" s="59" t="n"/>
    </row>
    <row r="973">
      <c r="A973" s="31">
        <f>IF(Members!$A973="","",Members!$A973)</f>
        <v/>
      </c>
      <c r="B973" s="31">
        <f>IF($A973="","",$I973+SUMIF(WeeklySummary!$B$2:$B$1000,$A973,WeeklySummary!$G$2:$G$1000))</f>
        <v/>
      </c>
      <c r="C973" s="31">
        <f>IF($B973="","",MIN(100,INT(SQRT($B973))))</f>
        <v/>
      </c>
      <c r="D973" s="31">
        <f>IF($C973="","",($C973+1)^2)</f>
        <v/>
      </c>
      <c r="E973" s="31">
        <f>IF($D973="","",$D973-$B973)</f>
        <v/>
      </c>
      <c r="F973" s="31">
        <f>IF($A973="","",SUMIF(MonthlySummary!$B$2:$B$1000,$A973,MonthlySummary!$E$2:$E$1000))</f>
        <v/>
      </c>
      <c r="G973" s="31" t="n">
        <v>0</v>
      </c>
      <c r="H973" s="31">
        <f>IF($A973="","",$F973-IF($G973="",0,$G973))</f>
        <v/>
      </c>
      <c r="I973" s="31">
        <f>IF($A973="","",IFERROR(XLOOKUP($A973,SeedPlacement!$A$2:$A$1000,SeedPlacement!$N$2:$N$1000),0))</f>
        <v/>
      </c>
      <c r="J973" s="59" t="n"/>
    </row>
    <row r="974">
      <c r="A974" s="31">
        <f>IF(Members!$A974="","",Members!$A974)</f>
        <v/>
      </c>
      <c r="B974" s="31">
        <f>IF($A974="","",$I974+SUMIF(WeeklySummary!$B$2:$B$1000,$A974,WeeklySummary!$G$2:$G$1000))</f>
        <v/>
      </c>
      <c r="C974" s="31">
        <f>IF($B974="","",MIN(100,INT(SQRT($B974))))</f>
        <v/>
      </c>
      <c r="D974" s="31">
        <f>IF($C974="","",($C974+1)^2)</f>
        <v/>
      </c>
      <c r="E974" s="31">
        <f>IF($D974="","",$D974-$B974)</f>
        <v/>
      </c>
      <c r="F974" s="31">
        <f>IF($A974="","",SUMIF(MonthlySummary!$B$2:$B$1000,$A974,MonthlySummary!$E$2:$E$1000))</f>
        <v/>
      </c>
      <c r="G974" s="31" t="n">
        <v>0</v>
      </c>
      <c r="H974" s="31">
        <f>IF($A974="","",$F974-IF($G974="",0,$G974))</f>
        <v/>
      </c>
      <c r="I974" s="31">
        <f>IF($A974="","",IFERROR(XLOOKUP($A974,SeedPlacement!$A$2:$A$1000,SeedPlacement!$N$2:$N$1000),0))</f>
        <v/>
      </c>
      <c r="J974" s="59" t="n"/>
    </row>
    <row r="975">
      <c r="A975" s="31">
        <f>IF(Members!$A975="","",Members!$A975)</f>
        <v/>
      </c>
      <c r="B975" s="31">
        <f>IF($A975="","",$I975+SUMIF(WeeklySummary!$B$2:$B$1000,$A975,WeeklySummary!$G$2:$G$1000))</f>
        <v/>
      </c>
      <c r="C975" s="31">
        <f>IF($B975="","",MIN(100,INT(SQRT($B975))))</f>
        <v/>
      </c>
      <c r="D975" s="31">
        <f>IF($C975="","",($C975+1)^2)</f>
        <v/>
      </c>
      <c r="E975" s="31">
        <f>IF($D975="","",$D975-$B975)</f>
        <v/>
      </c>
      <c r="F975" s="31">
        <f>IF($A975="","",SUMIF(MonthlySummary!$B$2:$B$1000,$A975,MonthlySummary!$E$2:$E$1000))</f>
        <v/>
      </c>
      <c r="G975" s="31" t="n">
        <v>0</v>
      </c>
      <c r="H975" s="31">
        <f>IF($A975="","",$F975-IF($G975="",0,$G975))</f>
        <v/>
      </c>
      <c r="I975" s="31">
        <f>IF($A975="","",IFERROR(XLOOKUP($A975,SeedPlacement!$A$2:$A$1000,SeedPlacement!$N$2:$N$1000),0))</f>
        <v/>
      </c>
      <c r="J975" s="59" t="n"/>
    </row>
    <row r="976">
      <c r="A976" s="31">
        <f>IF(Members!$A976="","",Members!$A976)</f>
        <v/>
      </c>
      <c r="B976" s="31">
        <f>IF($A976="","",$I976+SUMIF(WeeklySummary!$B$2:$B$1000,$A976,WeeklySummary!$G$2:$G$1000))</f>
        <v/>
      </c>
      <c r="C976" s="31">
        <f>IF($B976="","",MIN(100,INT(SQRT($B976))))</f>
        <v/>
      </c>
      <c r="D976" s="31">
        <f>IF($C976="","",($C976+1)^2)</f>
        <v/>
      </c>
      <c r="E976" s="31">
        <f>IF($D976="","",$D976-$B976)</f>
        <v/>
      </c>
      <c r="F976" s="31">
        <f>IF($A976="","",SUMIF(MonthlySummary!$B$2:$B$1000,$A976,MonthlySummary!$E$2:$E$1000))</f>
        <v/>
      </c>
      <c r="G976" s="31" t="n">
        <v>0</v>
      </c>
      <c r="H976" s="31">
        <f>IF($A976="","",$F976-IF($G976="",0,$G976))</f>
        <v/>
      </c>
      <c r="I976" s="31">
        <f>IF($A976="","",IFERROR(XLOOKUP($A976,SeedPlacement!$A$2:$A$1000,SeedPlacement!$N$2:$N$1000),0))</f>
        <v/>
      </c>
      <c r="J976" s="59" t="n"/>
    </row>
    <row r="977">
      <c r="A977" s="31">
        <f>IF(Members!$A977="","",Members!$A977)</f>
        <v/>
      </c>
      <c r="B977" s="31">
        <f>IF($A977="","",$I977+SUMIF(WeeklySummary!$B$2:$B$1000,$A977,WeeklySummary!$G$2:$G$1000))</f>
        <v/>
      </c>
      <c r="C977" s="31">
        <f>IF($B977="","",MIN(100,INT(SQRT($B977))))</f>
        <v/>
      </c>
      <c r="D977" s="31">
        <f>IF($C977="","",($C977+1)^2)</f>
        <v/>
      </c>
      <c r="E977" s="31">
        <f>IF($D977="","",$D977-$B977)</f>
        <v/>
      </c>
      <c r="F977" s="31">
        <f>IF($A977="","",SUMIF(MonthlySummary!$B$2:$B$1000,$A977,MonthlySummary!$E$2:$E$1000))</f>
        <v/>
      </c>
      <c r="G977" s="31" t="n">
        <v>0</v>
      </c>
      <c r="H977" s="31">
        <f>IF($A977="","",$F977-IF($G977="",0,$G977))</f>
        <v/>
      </c>
      <c r="I977" s="31">
        <f>IF($A977="","",IFERROR(XLOOKUP($A977,SeedPlacement!$A$2:$A$1000,SeedPlacement!$N$2:$N$1000),0))</f>
        <v/>
      </c>
      <c r="J977" s="59" t="n"/>
    </row>
    <row r="978">
      <c r="A978" s="31">
        <f>IF(Members!$A978="","",Members!$A978)</f>
        <v/>
      </c>
      <c r="B978" s="31">
        <f>IF($A978="","",$I978+SUMIF(WeeklySummary!$B$2:$B$1000,$A978,WeeklySummary!$G$2:$G$1000))</f>
        <v/>
      </c>
      <c r="C978" s="31">
        <f>IF($B978="","",MIN(100,INT(SQRT($B978))))</f>
        <v/>
      </c>
      <c r="D978" s="31">
        <f>IF($C978="","",($C978+1)^2)</f>
        <v/>
      </c>
      <c r="E978" s="31">
        <f>IF($D978="","",$D978-$B978)</f>
        <v/>
      </c>
      <c r="F978" s="31">
        <f>IF($A978="","",SUMIF(MonthlySummary!$B$2:$B$1000,$A978,MonthlySummary!$E$2:$E$1000))</f>
        <v/>
      </c>
      <c r="G978" s="31" t="n">
        <v>0</v>
      </c>
      <c r="H978" s="31">
        <f>IF($A978="","",$F978-IF($G978="",0,$G978))</f>
        <v/>
      </c>
      <c r="I978" s="31">
        <f>IF($A978="","",IFERROR(XLOOKUP($A978,SeedPlacement!$A$2:$A$1000,SeedPlacement!$N$2:$N$1000),0))</f>
        <v/>
      </c>
      <c r="J978" s="59" t="n"/>
    </row>
    <row r="979">
      <c r="A979" s="31">
        <f>IF(Members!$A979="","",Members!$A979)</f>
        <v/>
      </c>
      <c r="B979" s="31">
        <f>IF($A979="","",$I979+SUMIF(WeeklySummary!$B$2:$B$1000,$A979,WeeklySummary!$G$2:$G$1000))</f>
        <v/>
      </c>
      <c r="C979" s="31">
        <f>IF($B979="","",MIN(100,INT(SQRT($B979))))</f>
        <v/>
      </c>
      <c r="D979" s="31">
        <f>IF($C979="","",($C979+1)^2)</f>
        <v/>
      </c>
      <c r="E979" s="31">
        <f>IF($D979="","",$D979-$B979)</f>
        <v/>
      </c>
      <c r="F979" s="31">
        <f>IF($A979="","",SUMIF(MonthlySummary!$B$2:$B$1000,$A979,MonthlySummary!$E$2:$E$1000))</f>
        <v/>
      </c>
      <c r="G979" s="31" t="n">
        <v>0</v>
      </c>
      <c r="H979" s="31">
        <f>IF($A979="","",$F979-IF($G979="",0,$G979))</f>
        <v/>
      </c>
      <c r="I979" s="31">
        <f>IF($A979="","",IFERROR(XLOOKUP($A979,SeedPlacement!$A$2:$A$1000,SeedPlacement!$N$2:$N$1000),0))</f>
        <v/>
      </c>
      <c r="J979" s="59" t="n"/>
    </row>
    <row r="980">
      <c r="A980" s="31">
        <f>IF(Members!$A980="","",Members!$A980)</f>
        <v/>
      </c>
      <c r="B980" s="31">
        <f>IF($A980="","",$I980+SUMIF(WeeklySummary!$B$2:$B$1000,$A980,WeeklySummary!$G$2:$G$1000))</f>
        <v/>
      </c>
      <c r="C980" s="31">
        <f>IF($B980="","",MIN(100,INT(SQRT($B980))))</f>
        <v/>
      </c>
      <c r="D980" s="31">
        <f>IF($C980="","",($C980+1)^2)</f>
        <v/>
      </c>
      <c r="E980" s="31">
        <f>IF($D980="","",$D980-$B980)</f>
        <v/>
      </c>
      <c r="F980" s="31">
        <f>IF($A980="","",SUMIF(MonthlySummary!$B$2:$B$1000,$A980,MonthlySummary!$E$2:$E$1000))</f>
        <v/>
      </c>
      <c r="G980" s="31" t="n">
        <v>0</v>
      </c>
      <c r="H980" s="31">
        <f>IF($A980="","",$F980-IF($G980="",0,$G980))</f>
        <v/>
      </c>
      <c r="I980" s="31">
        <f>IF($A980="","",IFERROR(XLOOKUP($A980,SeedPlacement!$A$2:$A$1000,SeedPlacement!$N$2:$N$1000),0))</f>
        <v/>
      </c>
      <c r="J980" s="59" t="n"/>
    </row>
    <row r="981">
      <c r="A981" s="31">
        <f>IF(Members!$A981="","",Members!$A981)</f>
        <v/>
      </c>
      <c r="B981" s="31">
        <f>IF($A981="","",$I981+SUMIF(WeeklySummary!$B$2:$B$1000,$A981,WeeklySummary!$G$2:$G$1000))</f>
        <v/>
      </c>
      <c r="C981" s="31">
        <f>IF($B981="","",MIN(100,INT(SQRT($B981))))</f>
        <v/>
      </c>
      <c r="D981" s="31">
        <f>IF($C981="","",($C981+1)^2)</f>
        <v/>
      </c>
      <c r="E981" s="31">
        <f>IF($D981="","",$D981-$B981)</f>
        <v/>
      </c>
      <c r="F981" s="31">
        <f>IF($A981="","",SUMIF(MonthlySummary!$B$2:$B$1000,$A981,MonthlySummary!$E$2:$E$1000))</f>
        <v/>
      </c>
      <c r="G981" s="31" t="n">
        <v>0</v>
      </c>
      <c r="H981" s="31">
        <f>IF($A981="","",$F981-IF($G981="",0,$G981))</f>
        <v/>
      </c>
      <c r="I981" s="31">
        <f>IF($A981="","",IFERROR(XLOOKUP($A981,SeedPlacement!$A$2:$A$1000,SeedPlacement!$N$2:$N$1000),0))</f>
        <v/>
      </c>
      <c r="J981" s="59" t="n"/>
    </row>
    <row r="982">
      <c r="A982" s="31">
        <f>IF(Members!$A982="","",Members!$A982)</f>
        <v/>
      </c>
      <c r="B982" s="31">
        <f>IF($A982="","",$I982+SUMIF(WeeklySummary!$B$2:$B$1000,$A982,WeeklySummary!$G$2:$G$1000))</f>
        <v/>
      </c>
      <c r="C982" s="31">
        <f>IF($B982="","",MIN(100,INT(SQRT($B982))))</f>
        <v/>
      </c>
      <c r="D982" s="31">
        <f>IF($C982="","",($C982+1)^2)</f>
        <v/>
      </c>
      <c r="E982" s="31">
        <f>IF($D982="","",$D982-$B982)</f>
        <v/>
      </c>
      <c r="F982" s="31">
        <f>IF($A982="","",SUMIF(MonthlySummary!$B$2:$B$1000,$A982,MonthlySummary!$E$2:$E$1000))</f>
        <v/>
      </c>
      <c r="G982" s="31" t="n">
        <v>0</v>
      </c>
      <c r="H982" s="31">
        <f>IF($A982="","",$F982-IF($G982="",0,$G982))</f>
        <v/>
      </c>
      <c r="I982" s="31">
        <f>IF($A982="","",IFERROR(XLOOKUP($A982,SeedPlacement!$A$2:$A$1000,SeedPlacement!$N$2:$N$1000),0))</f>
        <v/>
      </c>
      <c r="J982" s="59" t="n"/>
    </row>
    <row r="983">
      <c r="A983" s="31">
        <f>IF(Members!$A983="","",Members!$A983)</f>
        <v/>
      </c>
      <c r="B983" s="31">
        <f>IF($A983="","",$I983+SUMIF(WeeklySummary!$B$2:$B$1000,$A983,WeeklySummary!$G$2:$G$1000))</f>
        <v/>
      </c>
      <c r="C983" s="31">
        <f>IF($B983="","",MIN(100,INT(SQRT($B983))))</f>
        <v/>
      </c>
      <c r="D983" s="31">
        <f>IF($C983="","",($C983+1)^2)</f>
        <v/>
      </c>
      <c r="E983" s="31">
        <f>IF($D983="","",$D983-$B983)</f>
        <v/>
      </c>
      <c r="F983" s="31">
        <f>IF($A983="","",SUMIF(MonthlySummary!$B$2:$B$1000,$A983,MonthlySummary!$E$2:$E$1000))</f>
        <v/>
      </c>
      <c r="G983" s="31" t="n">
        <v>0</v>
      </c>
      <c r="H983" s="31">
        <f>IF($A983="","",$F983-IF($G983="",0,$G983))</f>
        <v/>
      </c>
      <c r="I983" s="31">
        <f>IF($A983="","",IFERROR(XLOOKUP($A983,SeedPlacement!$A$2:$A$1000,SeedPlacement!$N$2:$N$1000),0))</f>
        <v/>
      </c>
      <c r="J983" s="59" t="n"/>
    </row>
    <row r="984">
      <c r="A984" s="31">
        <f>IF(Members!$A984="","",Members!$A984)</f>
        <v/>
      </c>
      <c r="B984" s="31">
        <f>IF($A984="","",$I984+SUMIF(WeeklySummary!$B$2:$B$1000,$A984,WeeklySummary!$G$2:$G$1000))</f>
        <v/>
      </c>
      <c r="C984" s="31">
        <f>IF($B984="","",MIN(100,INT(SQRT($B984))))</f>
        <v/>
      </c>
      <c r="D984" s="31">
        <f>IF($C984="","",($C984+1)^2)</f>
        <v/>
      </c>
      <c r="E984" s="31">
        <f>IF($D984="","",$D984-$B984)</f>
        <v/>
      </c>
      <c r="F984" s="31">
        <f>IF($A984="","",SUMIF(MonthlySummary!$B$2:$B$1000,$A984,MonthlySummary!$E$2:$E$1000))</f>
        <v/>
      </c>
      <c r="G984" s="31" t="n">
        <v>0</v>
      </c>
      <c r="H984" s="31">
        <f>IF($A984="","",$F984-IF($G984="",0,$G984))</f>
        <v/>
      </c>
      <c r="I984" s="31">
        <f>IF($A984="","",IFERROR(XLOOKUP($A984,SeedPlacement!$A$2:$A$1000,SeedPlacement!$N$2:$N$1000),0))</f>
        <v/>
      </c>
      <c r="J984" s="59" t="n"/>
    </row>
    <row r="985">
      <c r="A985" s="31">
        <f>IF(Members!$A985="","",Members!$A985)</f>
        <v/>
      </c>
      <c r="B985" s="31">
        <f>IF($A985="","",$I985+SUMIF(WeeklySummary!$B$2:$B$1000,$A985,WeeklySummary!$G$2:$G$1000))</f>
        <v/>
      </c>
      <c r="C985" s="31">
        <f>IF($B985="","",MIN(100,INT(SQRT($B985))))</f>
        <v/>
      </c>
      <c r="D985" s="31">
        <f>IF($C985="","",($C985+1)^2)</f>
        <v/>
      </c>
      <c r="E985" s="31">
        <f>IF($D985="","",$D985-$B985)</f>
        <v/>
      </c>
      <c r="F985" s="31">
        <f>IF($A985="","",SUMIF(MonthlySummary!$B$2:$B$1000,$A985,MonthlySummary!$E$2:$E$1000))</f>
        <v/>
      </c>
      <c r="G985" s="31" t="n">
        <v>0</v>
      </c>
      <c r="H985" s="31">
        <f>IF($A985="","",$F985-IF($G985="",0,$G985))</f>
        <v/>
      </c>
      <c r="I985" s="31">
        <f>IF($A985="","",IFERROR(XLOOKUP($A985,SeedPlacement!$A$2:$A$1000,SeedPlacement!$N$2:$N$1000),0))</f>
        <v/>
      </c>
      <c r="J985" s="59" t="n"/>
    </row>
    <row r="986">
      <c r="A986" s="31">
        <f>IF(Members!$A986="","",Members!$A986)</f>
        <v/>
      </c>
      <c r="B986" s="31">
        <f>IF($A986="","",$I986+SUMIF(WeeklySummary!$B$2:$B$1000,$A986,WeeklySummary!$G$2:$G$1000))</f>
        <v/>
      </c>
      <c r="C986" s="31">
        <f>IF($B986="","",MIN(100,INT(SQRT($B986))))</f>
        <v/>
      </c>
      <c r="D986" s="31">
        <f>IF($C986="","",($C986+1)^2)</f>
        <v/>
      </c>
      <c r="E986" s="31">
        <f>IF($D986="","",$D986-$B986)</f>
        <v/>
      </c>
      <c r="F986" s="31">
        <f>IF($A986="","",SUMIF(MonthlySummary!$B$2:$B$1000,$A986,MonthlySummary!$E$2:$E$1000))</f>
        <v/>
      </c>
      <c r="G986" s="31" t="n">
        <v>0</v>
      </c>
      <c r="H986" s="31">
        <f>IF($A986="","",$F986-IF($G986="",0,$G986))</f>
        <v/>
      </c>
      <c r="I986" s="31">
        <f>IF($A986="","",IFERROR(XLOOKUP($A986,SeedPlacement!$A$2:$A$1000,SeedPlacement!$N$2:$N$1000),0))</f>
        <v/>
      </c>
      <c r="J986" s="59" t="n"/>
    </row>
    <row r="987">
      <c r="A987" s="31">
        <f>IF(Members!$A987="","",Members!$A987)</f>
        <v/>
      </c>
      <c r="B987" s="31">
        <f>IF($A987="","",$I987+SUMIF(WeeklySummary!$B$2:$B$1000,$A987,WeeklySummary!$G$2:$G$1000))</f>
        <v/>
      </c>
      <c r="C987" s="31">
        <f>IF($B987="","",MIN(100,INT(SQRT($B987))))</f>
        <v/>
      </c>
      <c r="D987" s="31">
        <f>IF($C987="","",($C987+1)^2)</f>
        <v/>
      </c>
      <c r="E987" s="31">
        <f>IF($D987="","",$D987-$B987)</f>
        <v/>
      </c>
      <c r="F987" s="31">
        <f>IF($A987="","",SUMIF(MonthlySummary!$B$2:$B$1000,$A987,MonthlySummary!$E$2:$E$1000))</f>
        <v/>
      </c>
      <c r="G987" s="31" t="n">
        <v>0</v>
      </c>
      <c r="H987" s="31">
        <f>IF($A987="","",$F987-IF($G987="",0,$G987))</f>
        <v/>
      </c>
      <c r="I987" s="31">
        <f>IF($A987="","",IFERROR(XLOOKUP($A987,SeedPlacement!$A$2:$A$1000,SeedPlacement!$N$2:$N$1000),0))</f>
        <v/>
      </c>
      <c r="J987" s="59" t="n"/>
    </row>
    <row r="988">
      <c r="A988" s="31">
        <f>IF(Members!$A988="","",Members!$A988)</f>
        <v/>
      </c>
      <c r="B988" s="31">
        <f>IF($A988="","",$I988+SUMIF(WeeklySummary!$B$2:$B$1000,$A988,WeeklySummary!$G$2:$G$1000))</f>
        <v/>
      </c>
      <c r="C988" s="31">
        <f>IF($B988="","",MIN(100,INT(SQRT($B988))))</f>
        <v/>
      </c>
      <c r="D988" s="31">
        <f>IF($C988="","",($C988+1)^2)</f>
        <v/>
      </c>
      <c r="E988" s="31">
        <f>IF($D988="","",$D988-$B988)</f>
        <v/>
      </c>
      <c r="F988" s="31">
        <f>IF($A988="","",SUMIF(MonthlySummary!$B$2:$B$1000,$A988,MonthlySummary!$E$2:$E$1000))</f>
        <v/>
      </c>
      <c r="G988" s="31" t="n">
        <v>0</v>
      </c>
      <c r="H988" s="31">
        <f>IF($A988="","",$F988-IF($G988="",0,$G988))</f>
        <v/>
      </c>
      <c r="I988" s="31">
        <f>IF($A988="","",IFERROR(XLOOKUP($A988,SeedPlacement!$A$2:$A$1000,SeedPlacement!$N$2:$N$1000),0))</f>
        <v/>
      </c>
      <c r="J988" s="59" t="n"/>
    </row>
    <row r="989">
      <c r="A989" s="31">
        <f>IF(Members!$A989="","",Members!$A989)</f>
        <v/>
      </c>
      <c r="B989" s="31">
        <f>IF($A989="","",$I989+SUMIF(WeeklySummary!$B$2:$B$1000,$A989,WeeklySummary!$G$2:$G$1000))</f>
        <v/>
      </c>
      <c r="C989" s="31">
        <f>IF($B989="","",MIN(100,INT(SQRT($B989))))</f>
        <v/>
      </c>
      <c r="D989" s="31">
        <f>IF($C989="","",($C989+1)^2)</f>
        <v/>
      </c>
      <c r="E989" s="31">
        <f>IF($D989="","",$D989-$B989)</f>
        <v/>
      </c>
      <c r="F989" s="31">
        <f>IF($A989="","",SUMIF(MonthlySummary!$B$2:$B$1000,$A989,MonthlySummary!$E$2:$E$1000))</f>
        <v/>
      </c>
      <c r="G989" s="31" t="n">
        <v>0</v>
      </c>
      <c r="H989" s="31">
        <f>IF($A989="","",$F989-IF($G989="",0,$G989))</f>
        <v/>
      </c>
      <c r="I989" s="31">
        <f>IF($A989="","",IFERROR(XLOOKUP($A989,SeedPlacement!$A$2:$A$1000,SeedPlacement!$N$2:$N$1000),0))</f>
        <v/>
      </c>
      <c r="J989" s="59" t="n"/>
    </row>
    <row r="990">
      <c r="A990" s="31">
        <f>IF(Members!$A990="","",Members!$A990)</f>
        <v/>
      </c>
      <c r="B990" s="31">
        <f>IF($A990="","",$I990+SUMIF(WeeklySummary!$B$2:$B$1000,$A990,WeeklySummary!$G$2:$G$1000))</f>
        <v/>
      </c>
      <c r="C990" s="31">
        <f>IF($B990="","",MIN(100,INT(SQRT($B990))))</f>
        <v/>
      </c>
      <c r="D990" s="31">
        <f>IF($C990="","",($C990+1)^2)</f>
        <v/>
      </c>
      <c r="E990" s="31">
        <f>IF($D990="","",$D990-$B990)</f>
        <v/>
      </c>
      <c r="F990" s="31">
        <f>IF($A990="","",SUMIF(MonthlySummary!$B$2:$B$1000,$A990,MonthlySummary!$E$2:$E$1000))</f>
        <v/>
      </c>
      <c r="G990" s="31" t="n">
        <v>0</v>
      </c>
      <c r="H990" s="31">
        <f>IF($A990="","",$F990-IF($G990="",0,$G990))</f>
        <v/>
      </c>
      <c r="I990" s="31">
        <f>IF($A990="","",IFERROR(XLOOKUP($A990,SeedPlacement!$A$2:$A$1000,SeedPlacement!$N$2:$N$1000),0))</f>
        <v/>
      </c>
      <c r="J990" s="59" t="n"/>
    </row>
    <row r="991">
      <c r="A991" s="31">
        <f>IF(Members!$A991="","",Members!$A991)</f>
        <v/>
      </c>
      <c r="B991" s="31">
        <f>IF($A991="","",$I991+SUMIF(WeeklySummary!$B$2:$B$1000,$A991,WeeklySummary!$G$2:$G$1000))</f>
        <v/>
      </c>
      <c r="C991" s="31">
        <f>IF($B991="","",MIN(100,INT(SQRT($B991))))</f>
        <v/>
      </c>
      <c r="D991" s="31">
        <f>IF($C991="","",($C991+1)^2)</f>
        <v/>
      </c>
      <c r="E991" s="31">
        <f>IF($D991="","",$D991-$B991)</f>
        <v/>
      </c>
      <c r="F991" s="31">
        <f>IF($A991="","",SUMIF(MonthlySummary!$B$2:$B$1000,$A991,MonthlySummary!$E$2:$E$1000))</f>
        <v/>
      </c>
      <c r="G991" s="31" t="n">
        <v>0</v>
      </c>
      <c r="H991" s="31">
        <f>IF($A991="","",$F991-IF($G991="",0,$G991))</f>
        <v/>
      </c>
      <c r="I991" s="31">
        <f>IF($A991="","",IFERROR(XLOOKUP($A991,SeedPlacement!$A$2:$A$1000,SeedPlacement!$N$2:$N$1000),0))</f>
        <v/>
      </c>
      <c r="J991" s="59" t="n"/>
    </row>
    <row r="992">
      <c r="A992" s="31">
        <f>IF(Members!$A992="","",Members!$A992)</f>
        <v/>
      </c>
      <c r="B992" s="31">
        <f>IF($A992="","",$I992+SUMIF(WeeklySummary!$B$2:$B$1000,$A992,WeeklySummary!$G$2:$G$1000))</f>
        <v/>
      </c>
      <c r="C992" s="31">
        <f>IF($B992="","",MIN(100,INT(SQRT($B992))))</f>
        <v/>
      </c>
      <c r="D992" s="31">
        <f>IF($C992="","",($C992+1)^2)</f>
        <v/>
      </c>
      <c r="E992" s="31">
        <f>IF($D992="","",$D992-$B992)</f>
        <v/>
      </c>
      <c r="F992" s="31">
        <f>IF($A992="","",SUMIF(MonthlySummary!$B$2:$B$1000,$A992,MonthlySummary!$E$2:$E$1000))</f>
        <v/>
      </c>
      <c r="G992" s="31" t="n">
        <v>0</v>
      </c>
      <c r="H992" s="31">
        <f>IF($A992="","",$F992-IF($G992="",0,$G992))</f>
        <v/>
      </c>
      <c r="I992" s="31">
        <f>IF($A992="","",IFERROR(XLOOKUP($A992,SeedPlacement!$A$2:$A$1000,SeedPlacement!$N$2:$N$1000),0))</f>
        <v/>
      </c>
      <c r="J992" s="59" t="n"/>
    </row>
    <row r="993">
      <c r="A993" s="31">
        <f>IF(Members!$A993="","",Members!$A993)</f>
        <v/>
      </c>
      <c r="B993" s="31">
        <f>IF($A993="","",$I993+SUMIF(WeeklySummary!$B$2:$B$1000,$A993,WeeklySummary!$G$2:$G$1000))</f>
        <v/>
      </c>
      <c r="C993" s="31">
        <f>IF($B993="","",MIN(100,INT(SQRT($B993))))</f>
        <v/>
      </c>
      <c r="D993" s="31">
        <f>IF($C993="","",($C993+1)^2)</f>
        <v/>
      </c>
      <c r="E993" s="31">
        <f>IF($D993="","",$D993-$B993)</f>
        <v/>
      </c>
      <c r="F993" s="31">
        <f>IF($A993="","",SUMIF(MonthlySummary!$B$2:$B$1000,$A993,MonthlySummary!$E$2:$E$1000))</f>
        <v/>
      </c>
      <c r="G993" s="31" t="n">
        <v>0</v>
      </c>
      <c r="H993" s="31">
        <f>IF($A993="","",$F993-IF($G993="",0,$G993))</f>
        <v/>
      </c>
      <c r="I993" s="31">
        <f>IF($A993="","",IFERROR(XLOOKUP($A993,SeedPlacement!$A$2:$A$1000,SeedPlacement!$N$2:$N$1000),0))</f>
        <v/>
      </c>
      <c r="J993" s="59" t="n"/>
    </row>
    <row r="994">
      <c r="A994" s="31">
        <f>IF(Members!$A994="","",Members!$A994)</f>
        <v/>
      </c>
      <c r="B994" s="31">
        <f>IF($A994="","",$I994+SUMIF(WeeklySummary!$B$2:$B$1000,$A994,WeeklySummary!$G$2:$G$1000))</f>
        <v/>
      </c>
      <c r="C994" s="31">
        <f>IF($B994="","",MIN(100,INT(SQRT($B994))))</f>
        <v/>
      </c>
      <c r="D994" s="31">
        <f>IF($C994="","",($C994+1)^2)</f>
        <v/>
      </c>
      <c r="E994" s="31">
        <f>IF($D994="","",$D994-$B994)</f>
        <v/>
      </c>
      <c r="F994" s="31">
        <f>IF($A994="","",SUMIF(MonthlySummary!$B$2:$B$1000,$A994,MonthlySummary!$E$2:$E$1000))</f>
        <v/>
      </c>
      <c r="G994" s="31" t="n">
        <v>0</v>
      </c>
      <c r="H994" s="31">
        <f>IF($A994="","",$F994-IF($G994="",0,$G994))</f>
        <v/>
      </c>
      <c r="I994" s="31">
        <f>IF($A994="","",IFERROR(XLOOKUP($A994,SeedPlacement!$A$2:$A$1000,SeedPlacement!$N$2:$N$1000),0))</f>
        <v/>
      </c>
      <c r="J994" s="59" t="n"/>
    </row>
    <row r="995">
      <c r="A995" s="31">
        <f>IF(Members!$A995="","",Members!$A995)</f>
        <v/>
      </c>
      <c r="B995" s="31">
        <f>IF($A995="","",$I995+SUMIF(WeeklySummary!$B$2:$B$1000,$A995,WeeklySummary!$G$2:$G$1000))</f>
        <v/>
      </c>
      <c r="C995" s="31">
        <f>IF($B995="","",MIN(100,INT(SQRT($B995))))</f>
        <v/>
      </c>
      <c r="D995" s="31">
        <f>IF($C995="","",($C995+1)^2)</f>
        <v/>
      </c>
      <c r="E995" s="31">
        <f>IF($D995="","",$D995-$B995)</f>
        <v/>
      </c>
      <c r="F995" s="31">
        <f>IF($A995="","",SUMIF(MonthlySummary!$B$2:$B$1000,$A995,MonthlySummary!$E$2:$E$1000))</f>
        <v/>
      </c>
      <c r="G995" s="31" t="n">
        <v>0</v>
      </c>
      <c r="H995" s="31">
        <f>IF($A995="","",$F995-IF($G995="",0,$G995))</f>
        <v/>
      </c>
      <c r="I995" s="31">
        <f>IF($A995="","",IFERROR(XLOOKUP($A995,SeedPlacement!$A$2:$A$1000,SeedPlacement!$N$2:$N$1000),0))</f>
        <v/>
      </c>
      <c r="J995" s="59" t="n"/>
    </row>
    <row r="996">
      <c r="A996" s="31">
        <f>IF(Members!$A996="","",Members!$A996)</f>
        <v/>
      </c>
      <c r="B996" s="31">
        <f>IF($A996="","",$I996+SUMIF(WeeklySummary!$B$2:$B$1000,$A996,WeeklySummary!$G$2:$G$1000))</f>
        <v/>
      </c>
      <c r="C996" s="31">
        <f>IF($B996="","",MIN(100,INT(SQRT($B996))))</f>
        <v/>
      </c>
      <c r="D996" s="31">
        <f>IF($C996="","",($C996+1)^2)</f>
        <v/>
      </c>
      <c r="E996" s="31">
        <f>IF($D996="","",$D996-$B996)</f>
        <v/>
      </c>
      <c r="F996" s="31">
        <f>IF($A996="","",SUMIF(MonthlySummary!$B$2:$B$1000,$A996,MonthlySummary!$E$2:$E$1000))</f>
        <v/>
      </c>
      <c r="G996" s="31" t="n">
        <v>0</v>
      </c>
      <c r="H996" s="31">
        <f>IF($A996="","",$F996-IF($G996="",0,$G996))</f>
        <v/>
      </c>
      <c r="I996" s="31">
        <f>IF($A996="","",IFERROR(XLOOKUP($A996,SeedPlacement!$A$2:$A$1000,SeedPlacement!$N$2:$N$1000),0))</f>
        <v/>
      </c>
      <c r="J996" s="59" t="n"/>
    </row>
    <row r="997">
      <c r="A997" s="31">
        <f>IF(Members!$A997="","",Members!$A997)</f>
        <v/>
      </c>
      <c r="B997" s="31">
        <f>IF($A997="","",$I997+SUMIF(WeeklySummary!$B$2:$B$1000,$A997,WeeklySummary!$G$2:$G$1000))</f>
        <v/>
      </c>
      <c r="C997" s="31">
        <f>IF($B997="","",MIN(100,INT(SQRT($B997))))</f>
        <v/>
      </c>
      <c r="D997" s="31">
        <f>IF($C997="","",($C997+1)^2)</f>
        <v/>
      </c>
      <c r="E997" s="31">
        <f>IF($D997="","",$D997-$B997)</f>
        <v/>
      </c>
      <c r="F997" s="31">
        <f>IF($A997="","",SUMIF(MonthlySummary!$B$2:$B$1000,$A997,MonthlySummary!$E$2:$E$1000))</f>
        <v/>
      </c>
      <c r="G997" s="31" t="n">
        <v>0</v>
      </c>
      <c r="H997" s="31">
        <f>IF($A997="","",$F997-IF($G997="",0,$G997))</f>
        <v/>
      </c>
      <c r="I997" s="31">
        <f>IF($A997="","",IFERROR(XLOOKUP($A997,SeedPlacement!$A$2:$A$1000,SeedPlacement!$N$2:$N$1000),0))</f>
        <v/>
      </c>
      <c r="J997" s="59" t="n"/>
    </row>
    <row r="998">
      <c r="A998" s="31">
        <f>IF(Members!$A998="","",Members!$A998)</f>
        <v/>
      </c>
      <c r="B998" s="31">
        <f>IF($A998="","",$I998+SUMIF(WeeklySummary!$B$2:$B$1000,$A998,WeeklySummary!$G$2:$G$1000))</f>
        <v/>
      </c>
      <c r="C998" s="31">
        <f>IF($B998="","",MIN(100,INT(SQRT($B998))))</f>
        <v/>
      </c>
      <c r="D998" s="31">
        <f>IF($C998="","",($C998+1)^2)</f>
        <v/>
      </c>
      <c r="E998" s="31">
        <f>IF($D998="","",$D998-$B998)</f>
        <v/>
      </c>
      <c r="F998" s="31">
        <f>IF($A998="","",SUMIF(MonthlySummary!$B$2:$B$1000,$A998,MonthlySummary!$E$2:$E$1000))</f>
        <v/>
      </c>
      <c r="G998" s="31" t="n">
        <v>0</v>
      </c>
      <c r="H998" s="31">
        <f>IF($A998="","",$F998-IF($G998="",0,$G998))</f>
        <v/>
      </c>
      <c r="I998" s="31">
        <f>IF($A998="","",IFERROR(XLOOKUP($A998,SeedPlacement!$A$2:$A$1000,SeedPlacement!$N$2:$N$1000),0))</f>
        <v/>
      </c>
      <c r="J998" s="59" t="n"/>
    </row>
    <row r="999">
      <c r="A999" s="31">
        <f>IF(Members!$A999="","",Members!$A999)</f>
        <v/>
      </c>
      <c r="B999" s="31">
        <f>IF($A999="","",$I999+SUMIF(WeeklySummary!$B$2:$B$1000,$A999,WeeklySummary!$G$2:$G$1000))</f>
        <v/>
      </c>
      <c r="C999" s="31">
        <f>IF($B999="","",MIN(100,INT(SQRT($B999))))</f>
        <v/>
      </c>
      <c r="D999" s="31">
        <f>IF($C999="","",($C999+1)^2)</f>
        <v/>
      </c>
      <c r="E999" s="31">
        <f>IF($D999="","",$D999-$B999)</f>
        <v/>
      </c>
      <c r="F999" s="31">
        <f>IF($A999="","",SUMIF(MonthlySummary!$B$2:$B$1000,$A999,MonthlySummary!$E$2:$E$1000))</f>
        <v/>
      </c>
      <c r="G999" s="31" t="n">
        <v>0</v>
      </c>
      <c r="H999" s="31">
        <f>IF($A999="","",$F999-IF($G999="",0,$G999))</f>
        <v/>
      </c>
      <c r="I999" s="31">
        <f>IF($A999="","",IFERROR(XLOOKUP($A999,SeedPlacement!$A$2:$A$1000,SeedPlacement!$N$2:$N$1000),0))</f>
        <v/>
      </c>
      <c r="J999" s="59" t="n"/>
    </row>
    <row r="1000">
      <c r="A1000" s="47">
        <f>IF(Members!$A1000="","",Members!$A1000)</f>
        <v/>
      </c>
      <c r="B1000" s="47">
        <f>IF($A1000="","",$I1000+SUMIF(WeeklySummary!$B$2:$B$1000,$A1000,WeeklySummary!$G$2:$G$1000))</f>
        <v/>
      </c>
      <c r="C1000" s="47">
        <f>IF($B1000="","",MIN(100,INT(SQRT($B1000))))</f>
        <v/>
      </c>
      <c r="D1000" s="47">
        <f>IF($C1000="","",($C1000+1)^2)</f>
        <v/>
      </c>
      <c r="E1000" s="47">
        <f>IF($D1000="","",$D1000-$B1000)</f>
        <v/>
      </c>
      <c r="F1000" s="47">
        <f>IF($A1000="","",SUMIF(MonthlySummary!$B$2:$B$1000,$A1000,MonthlySummary!$E$2:$E$1000))</f>
        <v/>
      </c>
      <c r="G1000" s="47" t="n">
        <v>0</v>
      </c>
      <c r="H1000" s="47">
        <f>IF($A1000="","",$F1000-IF($G1000="",0,$G1000))</f>
        <v/>
      </c>
      <c r="I1000" s="47">
        <f>IF($A1000="","",IFERROR(XLOOKUP($A1000,SeedPlacement!$A$2:$A$1000,SeedPlacement!$N$2:$N$1000),0))</f>
        <v/>
      </c>
      <c r="J1000" s="59" t="n"/>
    </row>
  </sheetData>
  <pageMargins left="0.75" right="0.75" top="1" bottom="1" header="0.5" footer="0.5"/>
</worksheet>
</file>

<file path=xl/worksheets/sheet6.xml><?xml version="1.0" encoding="utf-8"?>
<worksheet xmlns="http://schemas.openxmlformats.org/spreadsheetml/2006/main">
  <sheetPr>
    <tabColor rgb="FFFFFF00"/>
    <outlinePr summaryBelow="0" summaryRight="0"/>
    <pageSetUpPr/>
  </sheetPr>
  <dimension ref="A1:R1000"/>
  <sheetViews>
    <sheetView workbookViewId="0">
      <pane ySplit="1" topLeftCell="A2" activePane="bottomLeft" state="frozen"/>
      <selection pane="bottomLeft" activeCell="A1" sqref="A1"/>
    </sheetView>
  </sheetViews>
  <sheetFormatPr baseColWidth="8" defaultColWidth="12.63" defaultRowHeight="15.75" customHeight="1"/>
  <cols>
    <col width="18.75" customWidth="1" style="64" min="1" max="4"/>
    <col width="14" customWidth="1" style="64" min="2" max="2"/>
    <col width="14" customWidth="1" style="64" min="3" max="3"/>
    <col width="14" customWidth="1" style="64" min="4" max="4"/>
    <col width="28.38" customWidth="1" style="64" min="5" max="5"/>
    <col width="18.75" customWidth="1" style="64" min="6" max="7"/>
    <col width="14" customWidth="1" style="64" min="7" max="7"/>
    <col width="22.13" customWidth="1" style="64" min="8" max="8"/>
    <col width="14.13" customWidth="1" style="64" min="9" max="9"/>
    <col width="17.88" customWidth="1" style="64" min="10" max="10"/>
    <col width="18.75" customWidth="1" style="64" min="11" max="14"/>
    <col width="14" customWidth="1" style="64" min="12" max="12"/>
    <col width="14" customWidth="1" style="64" min="13" max="13"/>
    <col width="14" customWidth="1" style="64" min="14" max="14"/>
    <col width="51.5" customWidth="1" style="64" min="15" max="15"/>
    <col width="14" customWidth="1" style="64" min="16" max="16"/>
    <col width="14" customWidth="1" style="64" min="17" max="17"/>
    <col width="14" customWidth="1" style="64" min="18" max="18"/>
  </cols>
  <sheetData>
    <row r="1">
      <c r="A1" s="48" t="inlineStr">
        <is>
          <t>MemberID</t>
        </is>
      </c>
      <c r="B1" s="48" t="inlineStr">
        <is>
          <t>MonthsCoached</t>
        </is>
      </c>
      <c r="C1" s="48" t="inlineStr">
        <is>
          <t>AvgSessionsPerWeek</t>
        </is>
      </c>
      <c r="D1" s="48" t="inlineStr">
        <is>
          <t>AdherenceScore (1–5)</t>
        </is>
      </c>
      <c r="E1" s="48" t="inlineStr">
        <is>
          <t>MovementCompetency (1–5)</t>
        </is>
      </c>
      <c r="F1" s="48" t="inlineStr">
        <is>
          <t>StrengthLevel (1–5)</t>
        </is>
      </c>
      <c r="G1" s="48" t="inlineStr">
        <is>
          <t>LifestyleHabits (1–5)</t>
        </is>
      </c>
      <c r="H1" s="48" t="inlineStr">
        <is>
          <t>TrackingConsistency (1–5)</t>
        </is>
      </c>
      <c r="I1" s="48" t="inlineStr">
        <is>
          <t>SelfMastery (1–5)</t>
        </is>
      </c>
      <c r="J1" s="48" t="inlineStr">
        <is>
          <t>KnowledgeLevel (1–5)</t>
        </is>
      </c>
      <c r="K1" s="49" t="inlineStr">
        <is>
          <t>SeedXP_Calc</t>
        </is>
      </c>
      <c r="L1" s="49" t="inlineStr">
        <is>
          <t>SeedLevel (calculated)</t>
        </is>
      </c>
      <c r="M1" s="48" t="inlineStr">
        <is>
          <t>Approved (Yes/No)</t>
        </is>
      </c>
      <c r="N1" s="49" t="inlineStr">
        <is>
          <t>SeedXP_Locked</t>
        </is>
      </c>
      <c r="O1" s="48" t="inlineStr">
        <is>
          <t>Notes</t>
        </is>
      </c>
      <c r="P1" s="51" t="n"/>
      <c r="Q1" s="51" t="n"/>
      <c r="R1" s="51" t="n"/>
    </row>
    <row r="2">
      <c r="A2" s="53">
        <f>IF(Members!$A2="","",Members!$A2)</f>
        <v/>
      </c>
      <c r="B2" s="53" t="n"/>
      <c r="C2" s="53" t="n"/>
      <c r="D2" s="53" t="n"/>
      <c r="E2" s="53" t="n"/>
      <c r="F2" s="53" t="n"/>
      <c r="G2" s="53" t="n"/>
      <c r="H2" s="53" t="n"/>
      <c r="I2" s="53" t="n"/>
      <c r="J2" s="53" t="n"/>
      <c r="K2" s="53">
        <f>IF(COUNTA($D2:$J2)&lt;7,"",ROUND(MIN(10000, MAX(0, ((((($D2*1.2)+($E2*1.2)+($F2*1.1)+($G2*1.0)+($H2*1.0)+($I2*1.1)+($J2*0.9))/7.5)-1)/4*8000 + MIN($B2*20,1000) + MIN($C2*100,1000))),0))</f>
        <v/>
      </c>
      <c r="L2" s="53">
        <f>IF($K2="","",MIN(100,INT(SQRT($K2))))</f>
        <v/>
      </c>
      <c r="M2" s="53" t="n"/>
      <c r="N2" s="53">
        <f>IF($M2="Yes",$K2,"")</f>
        <v/>
      </c>
      <c r="O2" s="54" t="n"/>
      <c r="P2" s="55" t="n"/>
      <c r="Q2" s="55" t="n"/>
      <c r="R2" s="55" t="n"/>
    </row>
    <row r="3">
      <c r="A3" s="31">
        <f>IF(Members!$A3="","",Members!$A3)</f>
        <v/>
      </c>
      <c r="B3" s="31" t="n"/>
      <c r="C3" s="31" t="n"/>
      <c r="D3" s="31" t="n"/>
      <c r="E3" s="31" t="n"/>
      <c r="F3" s="31" t="n"/>
      <c r="G3" s="31" t="n"/>
      <c r="H3" s="31" t="n"/>
      <c r="I3" s="31" t="n"/>
      <c r="J3" s="31" t="n"/>
      <c r="K3" s="31">
        <f>IF(COUNTA($D3:$J3)&lt;7,"",ROUND(MIN(10000, MAX(0, ((((($D3*1.2)+($E3*1.2)+($F3*1.1)+($G3*1.0)+($H3*1.0)+($I3*1.1)+($J3*0.9))/7.5)-1)/4*8000 + MIN($B3*20,1000) + MIN($C3*100,1000))),0))</f>
        <v/>
      </c>
      <c r="L3" s="31">
        <f>IF($K3="","",MIN(100,INT(SQRT($K3))))</f>
        <v/>
      </c>
      <c r="M3" s="31" t="n"/>
      <c r="N3" s="31">
        <f>IF($M3="Yes",$K3,"")</f>
        <v/>
      </c>
      <c r="O3" s="31" t="n"/>
      <c r="P3" s="59" t="n"/>
      <c r="Q3" s="59" t="n"/>
    </row>
    <row r="4">
      <c r="A4" s="31">
        <f>IF(Members!$A4="","",Members!$A4)</f>
        <v/>
      </c>
      <c r="B4" s="31" t="n"/>
      <c r="C4" s="31" t="n"/>
      <c r="D4" s="31" t="n"/>
      <c r="E4" s="31" t="n"/>
      <c r="F4" s="31" t="n"/>
      <c r="G4" s="31" t="n"/>
      <c r="H4" s="31" t="n"/>
      <c r="I4" s="31" t="n"/>
      <c r="J4" s="31" t="n"/>
      <c r="K4" s="31">
        <f>IF(COUNTA($D4:$J4)&lt;7,"",ROUND(MIN(10000, MAX(0, ((((($D4*1.2)+($E4*1.2)+($F4*1.1)+($G4*1.0)+($H4*1.0)+($I4*1.1)+($J4*0.9))/7.5)-1)/4*8000 + MIN($B4*20,1000) + MIN($C4*100,1000))),0))</f>
        <v/>
      </c>
      <c r="L4" s="31">
        <f>IF($K4="","",MIN(100,INT(SQRT($K4))))</f>
        <v/>
      </c>
      <c r="M4" s="31" t="n"/>
      <c r="N4" s="31">
        <f>IF($M4="Yes",$K4,"")</f>
        <v/>
      </c>
      <c r="O4" s="31" t="n"/>
      <c r="P4" s="59" t="n"/>
      <c r="Q4" s="59" t="n"/>
    </row>
    <row r="5">
      <c r="A5" s="31">
        <f>IF(Members!$A5="","",Members!$A5)</f>
        <v/>
      </c>
      <c r="B5" s="31" t="n"/>
      <c r="C5" s="31" t="n"/>
      <c r="D5" s="31" t="n"/>
      <c r="E5" s="31" t="n"/>
      <c r="F5" s="31" t="n"/>
      <c r="G5" s="31" t="n"/>
      <c r="H5" s="31" t="n"/>
      <c r="I5" s="31" t="n"/>
      <c r="J5" s="31" t="n"/>
      <c r="K5" s="31">
        <f>IF(COUNTA($D5:$J5)&lt;7,"",ROUND(MIN(10000, MAX(0, ((((($D5*1.2)+($E5*1.2)+($F5*1.1)+($G5*1.0)+($H5*1.0)+($I5*1.1)+($J5*0.9))/7.5)-1)/4*8000 + MIN($B5*20,1000) + MIN($C5*100,1000))),0))</f>
        <v/>
      </c>
      <c r="L5" s="31">
        <f>IF($K5="","",MIN(100,INT(SQRT($K5))))</f>
        <v/>
      </c>
      <c r="M5" s="31" t="n"/>
      <c r="N5" s="31">
        <f>IF($M5="Yes",$K5,"")</f>
        <v/>
      </c>
      <c r="O5" s="31" t="n"/>
      <c r="P5" s="59" t="n"/>
      <c r="Q5" s="59" t="n"/>
    </row>
    <row r="6">
      <c r="A6" s="31">
        <f>IF(Members!$A6="","",Members!$A6)</f>
        <v/>
      </c>
      <c r="B6" s="31" t="n"/>
      <c r="C6" s="31" t="n"/>
      <c r="D6" s="31" t="n"/>
      <c r="E6" s="31" t="n"/>
      <c r="F6" s="31" t="n"/>
      <c r="G6" s="31" t="n"/>
      <c r="H6" s="31" t="n"/>
      <c r="I6" s="31" t="n"/>
      <c r="J6" s="31" t="n"/>
      <c r="K6" s="31">
        <f>IF(COUNTA($D6:$J6)&lt;7,"",ROUND(MIN(10000, MAX(0, ((((($D6*1.2)+($E6*1.2)+($F6*1.1)+($G6*1.0)+($H6*1.0)+($I6*1.1)+($J6*0.9))/7.5)-1)/4*8000 + MIN($B6*20,1000) + MIN($C6*100,1000))),0))</f>
        <v/>
      </c>
      <c r="L6" s="31">
        <f>IF($K6="","",MIN(100,INT(SQRT($K6))))</f>
        <v/>
      </c>
      <c r="M6" s="31" t="n"/>
      <c r="N6" s="31">
        <f>IF($M6="Yes",$K6,"")</f>
        <v/>
      </c>
      <c r="O6" s="31" t="n"/>
      <c r="P6" s="59" t="n"/>
      <c r="Q6" s="59" t="n"/>
    </row>
    <row r="7">
      <c r="A7" s="31">
        <f>IF(Members!$A7="","",Members!$A7)</f>
        <v/>
      </c>
      <c r="B7" s="31" t="n"/>
      <c r="C7" s="31" t="n"/>
      <c r="D7" s="31" t="n"/>
      <c r="E7" s="31" t="n"/>
      <c r="F7" s="31" t="n"/>
      <c r="G7" s="31" t="n"/>
      <c r="H7" s="31" t="n"/>
      <c r="I7" s="31" t="n"/>
      <c r="J7" s="31" t="n"/>
      <c r="K7" s="31">
        <f>IF(COUNTA($D7:$J7)&lt;7,"",ROUND(MIN(10000, MAX(0, ((((($D7*1.2)+($E7*1.2)+($F7*1.1)+($G7*1.0)+($H7*1.0)+($I7*1.1)+($J7*0.9))/7.5)-1)/4*8000 + MIN($B7*20,1000) + MIN($C7*100,1000))),0))</f>
        <v/>
      </c>
      <c r="L7" s="31">
        <f>IF($K7="","",MIN(100,INT(SQRT($K7))))</f>
        <v/>
      </c>
      <c r="M7" s="31" t="n"/>
      <c r="N7" s="31">
        <f>IF($M7="Yes",$K7,"")</f>
        <v/>
      </c>
      <c r="O7" s="31" t="n"/>
      <c r="P7" s="59" t="n"/>
      <c r="Q7" s="59" t="n"/>
    </row>
    <row r="8">
      <c r="A8" s="31">
        <f>IF(Members!$A8="","",Members!$A8)</f>
        <v/>
      </c>
      <c r="B8" s="31" t="n"/>
      <c r="C8" s="31" t="n"/>
      <c r="D8" s="31" t="n"/>
      <c r="E8" s="31" t="n"/>
      <c r="F8" s="31" t="n"/>
      <c r="G8" s="31" t="n"/>
      <c r="H8" s="31" t="n"/>
      <c r="I8" s="31" t="n"/>
      <c r="J8" s="31" t="n"/>
      <c r="K8" s="31">
        <f>IF(COUNTA($D8:$J8)&lt;7,"",ROUND(MIN(10000, MAX(0, ((((($D8*1.2)+($E8*1.2)+($F8*1.1)+($G8*1.0)+($H8*1.0)+($I8*1.1)+($J8*0.9))/7.5)-1)/4*8000 + MIN($B8*20,1000) + MIN($C8*100,1000))),0))</f>
        <v/>
      </c>
      <c r="L8" s="31">
        <f>IF($K8="","",MIN(100,INT(SQRT($K8))))</f>
        <v/>
      </c>
      <c r="M8" s="31" t="n"/>
      <c r="N8" s="31">
        <f>IF($M8="Yes",$K8,"")</f>
        <v/>
      </c>
      <c r="O8" s="31" t="n"/>
      <c r="P8" s="59" t="n"/>
      <c r="Q8" s="59" t="n"/>
    </row>
    <row r="9">
      <c r="A9" s="31">
        <f>IF(Members!$A9="","",Members!$A9)</f>
        <v/>
      </c>
      <c r="B9" s="31" t="n"/>
      <c r="C9" s="31" t="n"/>
      <c r="D9" s="31" t="n"/>
      <c r="E9" s="31" t="n"/>
      <c r="F9" s="31" t="n"/>
      <c r="G9" s="31" t="n"/>
      <c r="H9" s="31" t="n"/>
      <c r="I9" s="31" t="n"/>
      <c r="J9" s="31" t="n"/>
      <c r="K9" s="31">
        <f>IF(COUNTA($D9:$J9)&lt;7,"",ROUND(MIN(10000, MAX(0, ((((($D9*1.2)+($E9*1.2)+($F9*1.1)+($G9*1.0)+($H9*1.0)+($I9*1.1)+($J9*0.9))/7.5)-1)/4*8000 + MIN($B9*20,1000) + MIN($C9*100,1000))),0))</f>
        <v/>
      </c>
      <c r="L9" s="31">
        <f>IF($K9="","",MIN(100,INT(SQRT($K9))))</f>
        <v/>
      </c>
      <c r="M9" s="31" t="n"/>
      <c r="N9" s="31">
        <f>IF($M9="Yes",$K9,"")</f>
        <v/>
      </c>
      <c r="O9" s="31" t="n"/>
      <c r="P9" s="59" t="n"/>
      <c r="Q9" s="59" t="n"/>
    </row>
    <row r="10">
      <c r="A10" s="31">
        <f>IF(Members!$A10="","",Members!$A10)</f>
        <v/>
      </c>
      <c r="B10" s="31" t="n"/>
      <c r="C10" s="31" t="n"/>
      <c r="D10" s="31" t="n"/>
      <c r="E10" s="31" t="n"/>
      <c r="F10" s="31" t="n"/>
      <c r="G10" s="31" t="n"/>
      <c r="H10" s="31" t="n"/>
      <c r="I10" s="31" t="n"/>
      <c r="J10" s="31" t="n"/>
      <c r="K10" s="31">
        <f>IF(COUNTA($D10:$J10)&lt;7,"",ROUND(MIN(10000, MAX(0, ((((($D10*1.2)+($E10*1.2)+($F10*1.1)+($G10*1.0)+($H10*1.0)+($I10*1.1)+($J10*0.9))/7.5)-1)/4*8000 + MIN($B10*20,1000) + MIN($C10*100,1000))),0))</f>
        <v/>
      </c>
      <c r="L10" s="31">
        <f>IF($K10="","",MIN(100,INT(SQRT($K10))))</f>
        <v/>
      </c>
      <c r="M10" s="31" t="n"/>
      <c r="N10" s="31">
        <f>IF($M10="Yes",$K10,"")</f>
        <v/>
      </c>
      <c r="O10" s="31" t="n"/>
      <c r="P10" s="59" t="n"/>
      <c r="Q10" s="59" t="n"/>
    </row>
    <row r="11">
      <c r="A11" s="31">
        <f>IF(Members!$A11="","",Members!$A11)</f>
        <v/>
      </c>
      <c r="B11" s="31" t="n"/>
      <c r="C11" s="31" t="n"/>
      <c r="D11" s="31" t="n"/>
      <c r="E11" s="31" t="n"/>
      <c r="F11" s="31" t="n"/>
      <c r="G11" s="31" t="n"/>
      <c r="H11" s="31" t="n"/>
      <c r="I11" s="31" t="n"/>
      <c r="J11" s="31" t="n"/>
      <c r="K11" s="31">
        <f>IF(COUNTA($D11:$J11)&lt;7,"",ROUND(MIN(10000, MAX(0, ((((($D11*1.2)+($E11*1.2)+($F11*1.1)+($G11*1.0)+($H11*1.0)+($I11*1.1)+($J11*0.9))/7.5)-1)/4*8000 + MIN($B11*20,1000) + MIN($C11*100,1000))),0))</f>
        <v/>
      </c>
      <c r="L11" s="31">
        <f>IF($K11="","",MIN(100,INT(SQRT($K11))))</f>
        <v/>
      </c>
      <c r="M11" s="31" t="n"/>
      <c r="N11" s="31">
        <f>IF($M11="Yes",$K11,"")</f>
        <v/>
      </c>
      <c r="O11" s="31" t="n"/>
      <c r="P11" s="59" t="n"/>
      <c r="Q11" s="59" t="n"/>
    </row>
    <row r="12">
      <c r="A12" s="31">
        <f>IF(Members!$A12="","",Members!$A12)</f>
        <v/>
      </c>
      <c r="B12" s="31" t="n"/>
      <c r="C12" s="31" t="n"/>
      <c r="D12" s="31" t="n"/>
      <c r="E12" s="31" t="n"/>
      <c r="F12" s="31" t="n"/>
      <c r="G12" s="31" t="n"/>
      <c r="H12" s="31" t="n"/>
      <c r="I12" s="31" t="n"/>
      <c r="J12" s="31" t="n"/>
      <c r="K12" s="31">
        <f>IF(COUNTA($D12:$J12)&lt;7,"",ROUND(MIN(10000, MAX(0, ((((($D12*1.2)+($E12*1.2)+($F12*1.1)+($G12*1.0)+($H12*1.0)+($I12*1.1)+($J12*0.9))/7.5)-1)/4*8000 + MIN($B12*20,1000) + MIN($C12*100,1000))),0))</f>
        <v/>
      </c>
      <c r="L12" s="31">
        <f>IF($K12="","",MIN(100,INT(SQRT($K12))))</f>
        <v/>
      </c>
      <c r="M12" s="31" t="n"/>
      <c r="N12" s="31">
        <f>IF($M12="Yes",$K12,"")</f>
        <v/>
      </c>
      <c r="O12" s="31" t="n"/>
      <c r="P12" s="59" t="n"/>
      <c r="Q12" s="59" t="n"/>
    </row>
    <row r="13">
      <c r="A13" s="31">
        <f>IF(Members!$A13="","",Members!$A13)</f>
        <v/>
      </c>
      <c r="B13" s="31" t="n"/>
      <c r="C13" s="31" t="n"/>
      <c r="D13" s="31" t="n"/>
      <c r="E13" s="31" t="n"/>
      <c r="F13" s="31" t="n"/>
      <c r="G13" s="31" t="n"/>
      <c r="H13" s="31" t="n"/>
      <c r="I13" s="31" t="n"/>
      <c r="J13" s="31" t="n"/>
      <c r="K13" s="31">
        <f>IF(COUNTA($D13:$J13)&lt;7,"",ROUND(MIN(10000, MAX(0, ((((($D13*1.2)+($E13*1.2)+($F13*1.1)+($G13*1.0)+($H13*1.0)+($I13*1.1)+($J13*0.9))/7.5)-1)/4*8000 + MIN($B13*20,1000) + MIN($C13*100,1000))),0))</f>
        <v/>
      </c>
      <c r="L13" s="31">
        <f>IF($K13="","",MIN(100,INT(SQRT($K13))))</f>
        <v/>
      </c>
      <c r="M13" s="31" t="n"/>
      <c r="N13" s="31">
        <f>IF($M13="Yes",$K13,"")</f>
        <v/>
      </c>
      <c r="O13" s="31" t="n"/>
      <c r="P13" s="59" t="n"/>
      <c r="Q13" s="59" t="n"/>
    </row>
    <row r="14">
      <c r="A14" s="31">
        <f>IF(Members!$A14="","",Members!$A14)</f>
        <v/>
      </c>
      <c r="B14" s="31" t="n"/>
      <c r="C14" s="31" t="n"/>
      <c r="D14" s="31" t="n"/>
      <c r="E14" s="31" t="n"/>
      <c r="F14" s="31" t="n"/>
      <c r="G14" s="31" t="n"/>
      <c r="H14" s="31" t="n"/>
      <c r="I14" s="31" t="n"/>
      <c r="J14" s="31" t="n"/>
      <c r="K14" s="31">
        <f>IF(COUNTA($D14:$J14)&lt;7,"",ROUND(MIN(10000, MAX(0, ((((($D14*1.2)+($E14*1.2)+($F14*1.1)+($G14*1.0)+($H14*1.0)+($I14*1.1)+($J14*0.9))/7.5)-1)/4*8000 + MIN($B14*20,1000) + MIN($C14*100,1000))),0))</f>
        <v/>
      </c>
      <c r="L14" s="31">
        <f>IF($K14="","",MIN(100,INT(SQRT($K14))))</f>
        <v/>
      </c>
      <c r="M14" s="31" t="n"/>
      <c r="N14" s="31">
        <f>IF($M14="Yes",$K14,"")</f>
        <v/>
      </c>
      <c r="O14" s="31" t="n"/>
      <c r="P14" s="59" t="n"/>
      <c r="Q14" s="59" t="n"/>
    </row>
    <row r="15">
      <c r="A15" s="31">
        <f>IF(Members!$A15="","",Members!$A15)</f>
        <v/>
      </c>
      <c r="B15" s="31" t="n"/>
      <c r="C15" s="31" t="n"/>
      <c r="D15" s="31" t="n"/>
      <c r="E15" s="31" t="n"/>
      <c r="F15" s="31" t="n"/>
      <c r="G15" s="31" t="n"/>
      <c r="H15" s="31" t="n"/>
      <c r="I15" s="31" t="n"/>
      <c r="J15" s="31" t="n"/>
      <c r="K15" s="31">
        <f>IF(COUNTA($D15:$J15)&lt;7,"",ROUND(MIN(10000, MAX(0, ((((($D15*1.2)+($E15*1.2)+($F15*1.1)+($G15*1.0)+($H15*1.0)+($I15*1.1)+($J15*0.9))/7.5)-1)/4*8000 + MIN($B15*20,1000) + MIN($C15*100,1000))),0))</f>
        <v/>
      </c>
      <c r="L15" s="31">
        <f>IF($K15="","",MIN(100,INT(SQRT($K15))))</f>
        <v/>
      </c>
      <c r="M15" s="31" t="n"/>
      <c r="N15" s="31">
        <f>IF($M15="Yes",$K15,"")</f>
        <v/>
      </c>
      <c r="O15" s="31" t="n"/>
      <c r="P15" s="59" t="n"/>
      <c r="Q15" s="59" t="n"/>
    </row>
    <row r="16">
      <c r="A16" s="31">
        <f>IF(Members!$A16="","",Members!$A16)</f>
        <v/>
      </c>
      <c r="B16" s="31" t="n"/>
      <c r="C16" s="31" t="n"/>
      <c r="D16" s="31" t="n"/>
      <c r="E16" s="31" t="n"/>
      <c r="F16" s="31" t="n"/>
      <c r="G16" s="31" t="n"/>
      <c r="H16" s="31" t="n"/>
      <c r="I16" s="31" t="n"/>
      <c r="J16" s="31" t="n"/>
      <c r="K16" s="31">
        <f>IF(COUNTA($D16:$J16)&lt;7,"",ROUND(MIN(10000, MAX(0, ((((($D16*1.2)+($E16*1.2)+($F16*1.1)+($G16*1.0)+($H16*1.0)+($I16*1.1)+($J16*0.9))/7.5)-1)/4*8000 + MIN($B16*20,1000) + MIN($C16*100,1000))),0))</f>
        <v/>
      </c>
      <c r="L16" s="31">
        <f>IF($K16="","",MIN(100,INT(SQRT($K16))))</f>
        <v/>
      </c>
      <c r="M16" s="31" t="n"/>
      <c r="N16" s="31">
        <f>IF($M16="Yes",$K16,"")</f>
        <v/>
      </c>
      <c r="O16" s="31" t="n"/>
      <c r="P16" s="59" t="n"/>
      <c r="Q16" s="59" t="n"/>
    </row>
    <row r="17">
      <c r="A17" s="31">
        <f>IF(Members!$A17="","",Members!$A17)</f>
        <v/>
      </c>
      <c r="B17" s="31" t="n"/>
      <c r="C17" s="31" t="n"/>
      <c r="D17" s="31" t="n"/>
      <c r="E17" s="31" t="n"/>
      <c r="F17" s="31" t="n"/>
      <c r="G17" s="31" t="n"/>
      <c r="H17" s="31" t="n"/>
      <c r="I17" s="31" t="n"/>
      <c r="J17" s="31" t="n"/>
      <c r="K17" s="31">
        <f>IF(COUNTA($D17:$J17)&lt;7,"",ROUND(MIN(10000, MAX(0, ((((($D17*1.2)+($E17*1.2)+($F17*1.1)+($G17*1.0)+($H17*1.0)+($I17*1.1)+($J17*0.9))/7.5)-1)/4*8000 + MIN($B17*20,1000) + MIN($C17*100,1000))),0))</f>
        <v/>
      </c>
      <c r="L17" s="31">
        <f>IF($K17="","",MIN(100,INT(SQRT($K17))))</f>
        <v/>
      </c>
      <c r="M17" s="31" t="n"/>
      <c r="N17" s="31">
        <f>IF($M17="Yes",$K17,"")</f>
        <v/>
      </c>
      <c r="O17" s="31" t="n"/>
      <c r="P17" s="59" t="n"/>
      <c r="Q17" s="59" t="n"/>
    </row>
    <row r="18">
      <c r="A18" s="31">
        <f>IF(Members!$A18="","",Members!$A18)</f>
        <v/>
      </c>
      <c r="B18" s="31" t="n"/>
      <c r="C18" s="31" t="n"/>
      <c r="D18" s="31" t="n"/>
      <c r="E18" s="31" t="n"/>
      <c r="F18" s="31" t="n"/>
      <c r="G18" s="31" t="n"/>
      <c r="H18" s="31" t="n"/>
      <c r="I18" s="31" t="n"/>
      <c r="J18" s="31" t="n"/>
      <c r="K18" s="31">
        <f>IF(COUNTA($D18:$J18)&lt;7,"",ROUND(MIN(10000, MAX(0, ((((($D18*1.2)+($E18*1.2)+($F18*1.1)+($G18*1.0)+($H18*1.0)+($I18*1.1)+($J18*0.9))/7.5)-1)/4*8000 + MIN($B18*20,1000) + MIN($C18*100,1000))),0))</f>
        <v/>
      </c>
      <c r="L18" s="31">
        <f>IF($K18="","",MIN(100,INT(SQRT($K18))))</f>
        <v/>
      </c>
      <c r="M18" s="31" t="n"/>
      <c r="N18" s="31">
        <f>IF($M18="Yes",$K18,"")</f>
        <v/>
      </c>
      <c r="O18" s="31" t="n"/>
      <c r="P18" s="59" t="n"/>
      <c r="Q18" s="59" t="n"/>
    </row>
    <row r="19">
      <c r="A19" s="31">
        <f>IF(Members!$A19="","",Members!$A19)</f>
        <v/>
      </c>
      <c r="B19" s="31" t="n"/>
      <c r="C19" s="31" t="n"/>
      <c r="D19" s="31" t="n"/>
      <c r="E19" s="31" t="n"/>
      <c r="F19" s="31" t="n"/>
      <c r="G19" s="31" t="n"/>
      <c r="H19" s="31" t="n"/>
      <c r="I19" s="31" t="n"/>
      <c r="J19" s="31" t="n"/>
      <c r="K19" s="31">
        <f>IF(COUNTA($D19:$J19)&lt;7,"",ROUND(MIN(10000, MAX(0, ((((($D19*1.2)+($E19*1.2)+($F19*1.1)+($G19*1.0)+($H19*1.0)+($I19*1.1)+($J19*0.9))/7.5)-1)/4*8000 + MIN($B19*20,1000) + MIN($C19*100,1000))),0))</f>
        <v/>
      </c>
      <c r="L19" s="31">
        <f>IF($K19="","",MIN(100,INT(SQRT($K19))))</f>
        <v/>
      </c>
      <c r="M19" s="31" t="n"/>
      <c r="N19" s="31">
        <f>IF($M19="Yes",$K19,"")</f>
        <v/>
      </c>
      <c r="O19" s="31" t="n"/>
      <c r="P19" s="59" t="n"/>
      <c r="Q19" s="59" t="n"/>
    </row>
    <row r="20">
      <c r="A20" s="31">
        <f>IF(Members!$A20="","",Members!$A20)</f>
        <v/>
      </c>
      <c r="B20" s="31" t="n"/>
      <c r="C20" s="31" t="n"/>
      <c r="D20" s="31" t="n"/>
      <c r="E20" s="31" t="n"/>
      <c r="F20" s="31" t="n"/>
      <c r="G20" s="31" t="n"/>
      <c r="H20" s="31" t="n"/>
      <c r="I20" s="31" t="n"/>
      <c r="J20" s="31" t="n"/>
      <c r="K20" s="31">
        <f>IF(COUNTA($D20:$J20)&lt;7,"",ROUND(MIN(10000, MAX(0, ((((($D20*1.2)+($E20*1.2)+($F20*1.1)+($G20*1.0)+($H20*1.0)+($I20*1.1)+($J20*0.9))/7.5)-1)/4*8000 + MIN($B20*20,1000) + MIN($C20*100,1000))),0))</f>
        <v/>
      </c>
      <c r="L20" s="31">
        <f>IF($K20="","",MIN(100,INT(SQRT($K20))))</f>
        <v/>
      </c>
      <c r="M20" s="31" t="n"/>
      <c r="N20" s="31">
        <f>IF($M20="Yes",$K20,"")</f>
        <v/>
      </c>
      <c r="O20" s="31" t="n"/>
      <c r="P20" s="59" t="n"/>
      <c r="Q20" s="59" t="n"/>
    </row>
    <row r="21">
      <c r="A21" s="31">
        <f>IF(Members!$A21="","",Members!$A21)</f>
        <v/>
      </c>
      <c r="B21" s="31" t="n"/>
      <c r="C21" s="31" t="n"/>
      <c r="D21" s="31" t="n"/>
      <c r="E21" s="31" t="n"/>
      <c r="F21" s="31" t="n"/>
      <c r="G21" s="31" t="n"/>
      <c r="H21" s="31" t="n"/>
      <c r="I21" s="31" t="n"/>
      <c r="J21" s="31" t="n"/>
      <c r="K21" s="31">
        <f>IF(COUNTA($D21:$J21)&lt;7,"",ROUND(MIN(10000, MAX(0, ((((($D21*1.2)+($E21*1.2)+($F21*1.1)+($G21*1.0)+($H21*1.0)+($I21*1.1)+($J21*0.9))/7.5)-1)/4*8000 + MIN($B21*20,1000) + MIN($C21*100,1000))),0))</f>
        <v/>
      </c>
      <c r="L21" s="31">
        <f>IF($K21="","",MIN(100,INT(SQRT($K21))))</f>
        <v/>
      </c>
      <c r="M21" s="31" t="n"/>
      <c r="N21" s="31">
        <f>IF($M21="Yes",$K21,"")</f>
        <v/>
      </c>
      <c r="O21" s="31" t="n"/>
      <c r="P21" s="59" t="n"/>
      <c r="Q21" s="59" t="n"/>
    </row>
    <row r="22">
      <c r="A22" s="31">
        <f>IF(Members!$A22="","",Members!$A22)</f>
        <v/>
      </c>
      <c r="B22" s="31" t="n"/>
      <c r="C22" s="31" t="n"/>
      <c r="D22" s="31" t="n"/>
      <c r="E22" s="31" t="n"/>
      <c r="F22" s="31" t="n"/>
      <c r="G22" s="31" t="n"/>
      <c r="H22" s="31" t="n"/>
      <c r="I22" s="31" t="n"/>
      <c r="J22" s="31" t="n"/>
      <c r="K22" s="31">
        <f>IF(COUNTA($D22:$J22)&lt;7,"",ROUND(MIN(10000, MAX(0, ((((($D22*1.2)+($E22*1.2)+($F22*1.1)+($G22*1.0)+($H22*1.0)+($I22*1.1)+($J22*0.9))/7.5)-1)/4*8000 + MIN($B22*20,1000) + MIN($C22*100,1000))),0))</f>
        <v/>
      </c>
      <c r="L22" s="31">
        <f>IF($K22="","",MIN(100,INT(SQRT($K22))))</f>
        <v/>
      </c>
      <c r="M22" s="31" t="n"/>
      <c r="N22" s="31">
        <f>IF($M22="Yes",$K22,"")</f>
        <v/>
      </c>
      <c r="O22" s="31" t="n"/>
      <c r="P22" s="59" t="n"/>
      <c r="Q22" s="59" t="n"/>
    </row>
    <row r="23">
      <c r="A23" s="31">
        <f>IF(Members!$A23="","",Members!$A23)</f>
        <v/>
      </c>
      <c r="B23" s="31" t="n"/>
      <c r="C23" s="31" t="n"/>
      <c r="D23" s="31" t="n"/>
      <c r="E23" s="31" t="n"/>
      <c r="F23" s="31" t="n"/>
      <c r="G23" s="31" t="n"/>
      <c r="H23" s="31" t="n"/>
      <c r="I23" s="31" t="n"/>
      <c r="J23" s="31" t="n"/>
      <c r="K23" s="31">
        <f>IF(COUNTA($D23:$J23)&lt;7,"",ROUND(MIN(10000, MAX(0, ((((($D23*1.2)+($E23*1.2)+($F23*1.1)+($G23*1.0)+($H23*1.0)+($I23*1.1)+($J23*0.9))/7.5)-1)/4*8000 + MIN($B23*20,1000) + MIN($C23*100,1000))),0))</f>
        <v/>
      </c>
      <c r="L23" s="31">
        <f>IF($K23="","",MIN(100,INT(SQRT($K23))))</f>
        <v/>
      </c>
      <c r="M23" s="31" t="n"/>
      <c r="N23" s="31">
        <f>IF($M23="Yes",$K23,"")</f>
        <v/>
      </c>
      <c r="O23" s="31" t="n"/>
      <c r="P23" s="59" t="n"/>
      <c r="Q23" s="59" t="n"/>
    </row>
    <row r="24">
      <c r="A24" s="31">
        <f>IF(Members!$A24="","",Members!$A24)</f>
        <v/>
      </c>
      <c r="B24" s="31" t="n"/>
      <c r="C24" s="31" t="n"/>
      <c r="D24" s="31" t="n"/>
      <c r="E24" s="31" t="n"/>
      <c r="F24" s="31" t="n"/>
      <c r="G24" s="31" t="n"/>
      <c r="H24" s="31" t="n"/>
      <c r="I24" s="31" t="n"/>
      <c r="J24" s="31" t="n"/>
      <c r="K24" s="31">
        <f>IF(COUNTA($D24:$J24)&lt;7,"",ROUND(MIN(10000, MAX(0, ((((($D24*1.2)+($E24*1.2)+($F24*1.1)+($G24*1.0)+($H24*1.0)+($I24*1.1)+($J24*0.9))/7.5)-1)/4*8000 + MIN($B24*20,1000) + MIN($C24*100,1000))),0))</f>
        <v/>
      </c>
      <c r="L24" s="31">
        <f>IF($K24="","",MIN(100,INT(SQRT($K24))))</f>
        <v/>
      </c>
      <c r="M24" s="31" t="n"/>
      <c r="N24" s="31">
        <f>IF($M24="Yes",$K24,"")</f>
        <v/>
      </c>
      <c r="O24" s="31" t="n"/>
      <c r="P24" s="59" t="n"/>
      <c r="Q24" s="59" t="n"/>
    </row>
    <row r="25">
      <c r="A25" s="31">
        <f>IF(Members!$A25="","",Members!$A25)</f>
        <v/>
      </c>
      <c r="B25" s="31" t="n"/>
      <c r="C25" s="31" t="n"/>
      <c r="D25" s="31" t="n"/>
      <c r="E25" s="31" t="n"/>
      <c r="F25" s="31" t="n"/>
      <c r="G25" s="31" t="n"/>
      <c r="H25" s="31" t="n"/>
      <c r="I25" s="31" t="n"/>
      <c r="J25" s="31" t="n"/>
      <c r="K25" s="31">
        <f>IF(COUNTA($D25:$J25)&lt;7,"",ROUND(MIN(10000, MAX(0, ((((($D25*1.2)+($E25*1.2)+($F25*1.1)+($G25*1.0)+($H25*1.0)+($I25*1.1)+($J25*0.9))/7.5)-1)/4*8000 + MIN($B25*20,1000) + MIN($C25*100,1000))),0))</f>
        <v/>
      </c>
      <c r="L25" s="31">
        <f>IF($K25="","",MIN(100,INT(SQRT($K25))))</f>
        <v/>
      </c>
      <c r="M25" s="31" t="n"/>
      <c r="N25" s="31">
        <f>IF($M25="Yes",$K25,"")</f>
        <v/>
      </c>
      <c r="O25" s="31" t="n"/>
      <c r="P25" s="59" t="n"/>
      <c r="Q25" s="59" t="n"/>
    </row>
    <row r="26">
      <c r="A26" s="31">
        <f>IF(Members!$A26="","",Members!$A26)</f>
        <v/>
      </c>
      <c r="B26" s="31" t="n"/>
      <c r="C26" s="31" t="n"/>
      <c r="D26" s="31" t="n"/>
      <c r="E26" s="31" t="n"/>
      <c r="F26" s="31" t="n"/>
      <c r="G26" s="31" t="n"/>
      <c r="H26" s="31" t="n"/>
      <c r="I26" s="31" t="n"/>
      <c r="J26" s="31" t="n"/>
      <c r="K26" s="31">
        <f>IF(COUNTA($D26:$J26)&lt;7,"",ROUND(MIN(10000, MAX(0, ((((($D26*1.2)+($E26*1.2)+($F26*1.1)+($G26*1.0)+($H26*1.0)+($I26*1.1)+($J26*0.9))/7.5)-1)/4*8000 + MIN($B26*20,1000) + MIN($C26*100,1000))),0))</f>
        <v/>
      </c>
      <c r="L26" s="31">
        <f>IF($K26="","",MIN(100,INT(SQRT($K26))))</f>
        <v/>
      </c>
      <c r="M26" s="31" t="n"/>
      <c r="N26" s="31">
        <f>IF($M26="Yes",$K26,"")</f>
        <v/>
      </c>
      <c r="O26" s="31" t="n"/>
      <c r="P26" s="59" t="n"/>
      <c r="Q26" s="59" t="n"/>
    </row>
    <row r="27">
      <c r="A27" s="31">
        <f>IF(Members!$A27="","",Members!$A27)</f>
        <v/>
      </c>
      <c r="B27" s="31" t="n"/>
      <c r="C27" s="31" t="n"/>
      <c r="D27" s="31" t="n"/>
      <c r="E27" s="31" t="n"/>
      <c r="F27" s="31" t="n"/>
      <c r="G27" s="31" t="n"/>
      <c r="H27" s="31" t="n"/>
      <c r="I27" s="31" t="n"/>
      <c r="J27" s="31" t="n"/>
      <c r="K27" s="31">
        <f>IF(COUNTA($D27:$J27)&lt;7,"",ROUND(MIN(10000, MAX(0, ((((($D27*1.2)+($E27*1.2)+($F27*1.1)+($G27*1.0)+($H27*1.0)+($I27*1.1)+($J27*0.9))/7.5)-1)/4*8000 + MIN($B27*20,1000) + MIN($C27*100,1000))),0))</f>
        <v/>
      </c>
      <c r="L27" s="31">
        <f>IF($K27="","",MIN(100,INT(SQRT($K27))))</f>
        <v/>
      </c>
      <c r="M27" s="31" t="n"/>
      <c r="N27" s="31">
        <f>IF($M27="Yes",$K27,"")</f>
        <v/>
      </c>
      <c r="O27" s="31" t="n"/>
      <c r="P27" s="59" t="n"/>
      <c r="Q27" s="59" t="n"/>
    </row>
    <row r="28">
      <c r="A28" s="31">
        <f>IF(Members!$A28="","",Members!$A28)</f>
        <v/>
      </c>
      <c r="B28" s="31" t="n"/>
      <c r="C28" s="31" t="n"/>
      <c r="D28" s="31" t="n"/>
      <c r="E28" s="31" t="n"/>
      <c r="F28" s="31" t="n"/>
      <c r="G28" s="31" t="n"/>
      <c r="H28" s="31" t="n"/>
      <c r="I28" s="31" t="n"/>
      <c r="J28" s="31" t="n"/>
      <c r="K28" s="31">
        <f>IF(COUNTA($D28:$J28)&lt;7,"",ROUND(MIN(10000, MAX(0, ((((($D28*1.2)+($E28*1.2)+($F28*1.1)+($G28*1.0)+($H28*1.0)+($I28*1.1)+($J28*0.9))/7.5)-1)/4*8000 + MIN($B28*20,1000) + MIN($C28*100,1000))),0))</f>
        <v/>
      </c>
      <c r="L28" s="31">
        <f>IF($K28="","",MIN(100,INT(SQRT($K28))))</f>
        <v/>
      </c>
      <c r="M28" s="31" t="n"/>
      <c r="N28" s="31">
        <f>IF($M28="Yes",$K28,"")</f>
        <v/>
      </c>
      <c r="O28" s="31" t="n"/>
      <c r="P28" s="59" t="n"/>
      <c r="Q28" s="59" t="n"/>
    </row>
    <row r="29">
      <c r="A29" s="31">
        <f>IF(Members!$A29="","",Members!$A29)</f>
        <v/>
      </c>
      <c r="B29" s="31" t="n"/>
      <c r="C29" s="31" t="n"/>
      <c r="D29" s="31" t="n"/>
      <c r="E29" s="31" t="n"/>
      <c r="F29" s="31" t="n"/>
      <c r="G29" s="31" t="n"/>
      <c r="H29" s="31" t="n"/>
      <c r="I29" s="31" t="n"/>
      <c r="J29" s="31" t="n"/>
      <c r="K29" s="31">
        <f>IF(COUNTA($D29:$J29)&lt;7,"",ROUND(MIN(10000, MAX(0, ((((($D29*1.2)+($E29*1.2)+($F29*1.1)+($G29*1.0)+($H29*1.0)+($I29*1.1)+($J29*0.9))/7.5)-1)/4*8000 + MIN($B29*20,1000) + MIN($C29*100,1000))),0))</f>
        <v/>
      </c>
      <c r="L29" s="31">
        <f>IF($K29="","",MIN(100,INT(SQRT($K29))))</f>
        <v/>
      </c>
      <c r="M29" s="31" t="n"/>
      <c r="N29" s="31">
        <f>IF($M29="Yes",$K29,"")</f>
        <v/>
      </c>
      <c r="O29" s="31" t="n"/>
      <c r="P29" s="59" t="n"/>
      <c r="Q29" s="59" t="n"/>
    </row>
    <row r="30">
      <c r="A30" s="31">
        <f>IF(Members!$A30="","",Members!$A30)</f>
        <v/>
      </c>
      <c r="B30" s="31" t="n"/>
      <c r="C30" s="31" t="n"/>
      <c r="D30" s="31" t="n"/>
      <c r="E30" s="31" t="n"/>
      <c r="F30" s="31" t="n"/>
      <c r="G30" s="31" t="n"/>
      <c r="H30" s="31" t="n"/>
      <c r="I30" s="31" t="n"/>
      <c r="J30" s="31" t="n"/>
      <c r="K30" s="31">
        <f>IF(COUNTA($D30:$J30)&lt;7,"",ROUND(MIN(10000, MAX(0, ((((($D30*1.2)+($E30*1.2)+($F30*1.1)+($G30*1.0)+($H30*1.0)+($I30*1.1)+($J30*0.9))/7.5)-1)/4*8000 + MIN($B30*20,1000) + MIN($C30*100,1000))),0))</f>
        <v/>
      </c>
      <c r="L30" s="31">
        <f>IF($K30="","",MIN(100,INT(SQRT($K30))))</f>
        <v/>
      </c>
      <c r="M30" s="31" t="n"/>
      <c r="N30" s="31">
        <f>IF($M30="Yes",$K30,"")</f>
        <v/>
      </c>
      <c r="O30" s="31" t="n"/>
      <c r="P30" s="59" t="n"/>
      <c r="Q30" s="59" t="n"/>
    </row>
    <row r="31">
      <c r="A31" s="31">
        <f>IF(Members!$A31="","",Members!$A31)</f>
        <v/>
      </c>
      <c r="B31" s="31" t="n"/>
      <c r="C31" s="31" t="n"/>
      <c r="D31" s="31" t="n"/>
      <c r="E31" s="31" t="n"/>
      <c r="F31" s="31" t="n"/>
      <c r="G31" s="31" t="n"/>
      <c r="H31" s="31" t="n"/>
      <c r="I31" s="31" t="n"/>
      <c r="J31" s="31" t="n"/>
      <c r="K31" s="31">
        <f>IF(COUNTA($D31:$J31)&lt;7,"",ROUND(MIN(10000, MAX(0, ((((($D31*1.2)+($E31*1.2)+($F31*1.1)+($G31*1.0)+($H31*1.0)+($I31*1.1)+($J31*0.9))/7.5)-1)/4*8000 + MIN($B31*20,1000) + MIN($C31*100,1000))),0))</f>
        <v/>
      </c>
      <c r="L31" s="31">
        <f>IF($K31="","",MIN(100,INT(SQRT($K31))))</f>
        <v/>
      </c>
      <c r="M31" s="31" t="n"/>
      <c r="N31" s="31">
        <f>IF($M31="Yes",$K31,"")</f>
        <v/>
      </c>
      <c r="O31" s="31" t="n"/>
      <c r="P31" s="59" t="n"/>
      <c r="Q31" s="59" t="n"/>
    </row>
    <row r="32">
      <c r="A32" s="31">
        <f>IF(Members!$A32="","",Members!$A32)</f>
        <v/>
      </c>
      <c r="B32" s="31" t="n"/>
      <c r="C32" s="31" t="n"/>
      <c r="D32" s="31" t="n"/>
      <c r="E32" s="31" t="n"/>
      <c r="F32" s="31" t="n"/>
      <c r="G32" s="31" t="n"/>
      <c r="H32" s="31" t="n"/>
      <c r="I32" s="31" t="n"/>
      <c r="J32" s="31" t="n"/>
      <c r="K32" s="31">
        <f>IF(COUNTA($D32:$J32)&lt;7,"",ROUND(MIN(10000, MAX(0, ((((($D32*1.2)+($E32*1.2)+($F32*1.1)+($G32*1.0)+($H32*1.0)+($I32*1.1)+($J32*0.9))/7.5)-1)/4*8000 + MIN($B32*20,1000) + MIN($C32*100,1000))),0))</f>
        <v/>
      </c>
      <c r="L32" s="31">
        <f>IF($K32="","",MIN(100,INT(SQRT($K32))))</f>
        <v/>
      </c>
      <c r="M32" s="31" t="n"/>
      <c r="N32" s="31">
        <f>IF($M32="Yes",$K32,"")</f>
        <v/>
      </c>
      <c r="O32" s="31" t="n"/>
      <c r="P32" s="59" t="n"/>
      <c r="Q32" s="59" t="n"/>
    </row>
    <row r="33">
      <c r="A33" s="31">
        <f>IF(Members!$A33="","",Members!$A33)</f>
        <v/>
      </c>
      <c r="B33" s="31" t="n"/>
      <c r="C33" s="31" t="n"/>
      <c r="D33" s="31" t="n"/>
      <c r="E33" s="31" t="n"/>
      <c r="F33" s="31" t="n"/>
      <c r="G33" s="31" t="n"/>
      <c r="H33" s="31" t="n"/>
      <c r="I33" s="31" t="n"/>
      <c r="J33" s="31" t="n"/>
      <c r="K33" s="31">
        <f>IF(COUNTA($D33:$J33)&lt;7,"",ROUND(MIN(10000, MAX(0, ((((($D33*1.2)+($E33*1.2)+($F33*1.1)+($G33*1.0)+($H33*1.0)+($I33*1.1)+($J33*0.9))/7.5)-1)/4*8000 + MIN($B33*20,1000) + MIN($C33*100,1000))),0))</f>
        <v/>
      </c>
      <c r="L33" s="31">
        <f>IF($K33="","",MIN(100,INT(SQRT($K33))))</f>
        <v/>
      </c>
      <c r="M33" s="31" t="n"/>
      <c r="N33" s="31">
        <f>IF($M33="Yes",$K33,"")</f>
        <v/>
      </c>
      <c r="O33" s="31" t="n"/>
      <c r="P33" s="59" t="n"/>
      <c r="Q33" s="59" t="n"/>
    </row>
    <row r="34">
      <c r="A34" s="31">
        <f>IF(Members!$A34="","",Members!$A34)</f>
        <v/>
      </c>
      <c r="B34" s="31" t="n"/>
      <c r="C34" s="31" t="n"/>
      <c r="D34" s="31" t="n"/>
      <c r="E34" s="31" t="n"/>
      <c r="F34" s="31" t="n"/>
      <c r="G34" s="31" t="n"/>
      <c r="H34" s="31" t="n"/>
      <c r="I34" s="31" t="n"/>
      <c r="J34" s="31" t="n"/>
      <c r="K34" s="31">
        <f>IF(COUNTA($D34:$J34)&lt;7,"",ROUND(MIN(10000, MAX(0, ((((($D34*1.2)+($E34*1.2)+($F34*1.1)+($G34*1.0)+($H34*1.0)+($I34*1.1)+($J34*0.9))/7.5)-1)/4*8000 + MIN($B34*20,1000) + MIN($C34*100,1000))),0))</f>
        <v/>
      </c>
      <c r="L34" s="31">
        <f>IF($K34="","",MIN(100,INT(SQRT($K34))))</f>
        <v/>
      </c>
      <c r="M34" s="31" t="n"/>
      <c r="N34" s="31">
        <f>IF($M34="Yes",$K34,"")</f>
        <v/>
      </c>
      <c r="O34" s="31" t="n"/>
      <c r="P34" s="59" t="n"/>
      <c r="Q34" s="59" t="n"/>
    </row>
    <row r="35">
      <c r="A35" s="31">
        <f>IF(Members!$A35="","",Members!$A35)</f>
        <v/>
      </c>
      <c r="B35" s="31" t="n"/>
      <c r="C35" s="31" t="n"/>
      <c r="D35" s="31" t="n"/>
      <c r="E35" s="31" t="n"/>
      <c r="F35" s="31" t="n"/>
      <c r="G35" s="31" t="n"/>
      <c r="H35" s="31" t="n"/>
      <c r="I35" s="31" t="n"/>
      <c r="J35" s="31" t="n"/>
      <c r="K35" s="31">
        <f>IF(COUNTA($D35:$J35)&lt;7,"",ROUND(MIN(10000, MAX(0, ((((($D35*1.2)+($E35*1.2)+($F35*1.1)+($G35*1.0)+($H35*1.0)+($I35*1.1)+($J35*0.9))/7.5)-1)/4*8000 + MIN($B35*20,1000) + MIN($C35*100,1000))),0))</f>
        <v/>
      </c>
      <c r="L35" s="31">
        <f>IF($K35="","",MIN(100,INT(SQRT($K35))))</f>
        <v/>
      </c>
      <c r="M35" s="31" t="n"/>
      <c r="N35" s="31">
        <f>IF($M35="Yes",$K35,"")</f>
        <v/>
      </c>
      <c r="O35" s="31" t="n"/>
      <c r="P35" s="59" t="n"/>
      <c r="Q35" s="59" t="n"/>
    </row>
    <row r="36">
      <c r="A36" s="31">
        <f>IF(Members!$A36="","",Members!$A36)</f>
        <v/>
      </c>
      <c r="B36" s="31" t="n"/>
      <c r="C36" s="31" t="n"/>
      <c r="D36" s="31" t="n"/>
      <c r="E36" s="31" t="n"/>
      <c r="F36" s="31" t="n"/>
      <c r="G36" s="31" t="n"/>
      <c r="H36" s="31" t="n"/>
      <c r="I36" s="31" t="n"/>
      <c r="J36" s="31" t="n"/>
      <c r="K36" s="31">
        <f>IF(COUNTA($D36:$J36)&lt;7,"",ROUND(MIN(10000, MAX(0, ((((($D36*1.2)+($E36*1.2)+($F36*1.1)+($G36*1.0)+($H36*1.0)+($I36*1.1)+($J36*0.9))/7.5)-1)/4*8000 + MIN($B36*20,1000) + MIN($C36*100,1000))),0))</f>
        <v/>
      </c>
      <c r="L36" s="31">
        <f>IF($K36="","",MIN(100,INT(SQRT($K36))))</f>
        <v/>
      </c>
      <c r="M36" s="31" t="n"/>
      <c r="N36" s="31">
        <f>IF($M36="Yes",$K36,"")</f>
        <v/>
      </c>
      <c r="O36" s="31" t="n"/>
      <c r="P36" s="59" t="n"/>
      <c r="Q36" s="59" t="n"/>
    </row>
    <row r="37">
      <c r="A37" s="31">
        <f>IF(Members!$A37="","",Members!$A37)</f>
        <v/>
      </c>
      <c r="B37" s="31" t="n"/>
      <c r="C37" s="31" t="n"/>
      <c r="D37" s="31" t="n"/>
      <c r="E37" s="31" t="n"/>
      <c r="F37" s="31" t="n"/>
      <c r="G37" s="31" t="n"/>
      <c r="H37" s="31" t="n"/>
      <c r="I37" s="31" t="n"/>
      <c r="J37" s="31" t="n"/>
      <c r="K37" s="31">
        <f>IF(COUNTA($D37:$J37)&lt;7,"",ROUND(MIN(10000, MAX(0, ((((($D37*1.2)+($E37*1.2)+($F37*1.1)+($G37*1.0)+($H37*1.0)+($I37*1.1)+($J37*0.9))/7.5)-1)/4*8000 + MIN($B37*20,1000) + MIN($C37*100,1000))),0))</f>
        <v/>
      </c>
      <c r="L37" s="31">
        <f>IF($K37="","",MIN(100,INT(SQRT($K37))))</f>
        <v/>
      </c>
      <c r="M37" s="31" t="n"/>
      <c r="N37" s="31">
        <f>IF($M37="Yes",$K37,"")</f>
        <v/>
      </c>
      <c r="O37" s="31" t="n"/>
      <c r="P37" s="59" t="n"/>
      <c r="Q37" s="59" t="n"/>
    </row>
    <row r="38">
      <c r="A38" s="31">
        <f>IF(Members!$A38="","",Members!$A38)</f>
        <v/>
      </c>
      <c r="B38" s="31" t="n"/>
      <c r="C38" s="31" t="n"/>
      <c r="D38" s="31" t="n"/>
      <c r="E38" s="31" t="n"/>
      <c r="F38" s="31" t="n"/>
      <c r="G38" s="31" t="n"/>
      <c r="H38" s="31" t="n"/>
      <c r="I38" s="31" t="n"/>
      <c r="J38" s="31" t="n"/>
      <c r="K38" s="31">
        <f>IF(COUNTA($D38:$J38)&lt;7,"",ROUND(MIN(10000, MAX(0, ((((($D38*1.2)+($E38*1.2)+($F38*1.1)+($G38*1.0)+($H38*1.0)+($I38*1.1)+($J38*0.9))/7.5)-1)/4*8000 + MIN($B38*20,1000) + MIN($C38*100,1000))),0))</f>
        <v/>
      </c>
      <c r="L38" s="31">
        <f>IF($K38="","",MIN(100,INT(SQRT($K38))))</f>
        <v/>
      </c>
      <c r="M38" s="31" t="n"/>
      <c r="N38" s="31">
        <f>IF($M38="Yes",$K38,"")</f>
        <v/>
      </c>
      <c r="O38" s="31" t="n"/>
      <c r="P38" s="59" t="n"/>
      <c r="Q38" s="59" t="n"/>
    </row>
    <row r="39">
      <c r="A39" s="31">
        <f>IF(Members!$A39="","",Members!$A39)</f>
        <v/>
      </c>
      <c r="B39" s="31" t="n"/>
      <c r="C39" s="31" t="n"/>
      <c r="D39" s="31" t="n"/>
      <c r="E39" s="31" t="n"/>
      <c r="F39" s="31" t="n"/>
      <c r="G39" s="31" t="n"/>
      <c r="H39" s="31" t="n"/>
      <c r="I39" s="31" t="n"/>
      <c r="J39" s="31" t="n"/>
      <c r="K39" s="31">
        <f>IF(COUNTA($D39:$J39)&lt;7,"",ROUND(MIN(10000, MAX(0, ((((($D39*1.2)+($E39*1.2)+($F39*1.1)+($G39*1.0)+($H39*1.0)+($I39*1.1)+($J39*0.9))/7.5)-1)/4*8000 + MIN($B39*20,1000) + MIN($C39*100,1000))),0))</f>
        <v/>
      </c>
      <c r="L39" s="31">
        <f>IF($K39="","",MIN(100,INT(SQRT($K39))))</f>
        <v/>
      </c>
      <c r="M39" s="31" t="n"/>
      <c r="N39" s="31">
        <f>IF($M39="Yes",$K39,"")</f>
        <v/>
      </c>
      <c r="O39" s="31" t="n"/>
      <c r="P39" s="59" t="n"/>
      <c r="Q39" s="59" t="n"/>
    </row>
    <row r="40">
      <c r="A40" s="31">
        <f>IF(Members!$A40="","",Members!$A40)</f>
        <v/>
      </c>
      <c r="B40" s="31" t="n"/>
      <c r="C40" s="31" t="n"/>
      <c r="D40" s="31" t="n"/>
      <c r="E40" s="31" t="n"/>
      <c r="F40" s="31" t="n"/>
      <c r="G40" s="31" t="n"/>
      <c r="H40" s="31" t="n"/>
      <c r="I40" s="31" t="n"/>
      <c r="J40" s="31" t="n"/>
      <c r="K40" s="31">
        <f>IF(COUNTA($D40:$J40)&lt;7,"",ROUND(MIN(10000, MAX(0, ((((($D40*1.2)+($E40*1.2)+($F40*1.1)+($G40*1.0)+($H40*1.0)+($I40*1.1)+($J40*0.9))/7.5)-1)/4*8000 + MIN($B40*20,1000) + MIN($C40*100,1000))),0))</f>
        <v/>
      </c>
      <c r="L40" s="31">
        <f>IF($K40="","",MIN(100,INT(SQRT($K40))))</f>
        <v/>
      </c>
      <c r="M40" s="31" t="n"/>
      <c r="N40" s="31">
        <f>IF($M40="Yes",$K40,"")</f>
        <v/>
      </c>
      <c r="O40" s="31" t="n"/>
      <c r="P40" s="59" t="n"/>
      <c r="Q40" s="59" t="n"/>
    </row>
    <row r="41">
      <c r="A41" s="31">
        <f>IF(Members!$A41="","",Members!$A41)</f>
        <v/>
      </c>
      <c r="B41" s="31" t="n"/>
      <c r="C41" s="31" t="n"/>
      <c r="D41" s="31" t="n"/>
      <c r="E41" s="31" t="n"/>
      <c r="F41" s="31" t="n"/>
      <c r="G41" s="31" t="n"/>
      <c r="H41" s="31" t="n"/>
      <c r="I41" s="31" t="n"/>
      <c r="J41" s="31" t="n"/>
      <c r="K41" s="31">
        <f>IF(COUNTA($D41:$J41)&lt;7,"",ROUND(MIN(10000, MAX(0, ((((($D41*1.2)+($E41*1.2)+($F41*1.1)+($G41*1.0)+($H41*1.0)+($I41*1.1)+($J41*0.9))/7.5)-1)/4*8000 + MIN($B41*20,1000) + MIN($C41*100,1000))),0))</f>
        <v/>
      </c>
      <c r="L41" s="31">
        <f>IF($K41="","",MIN(100,INT(SQRT($K41))))</f>
        <v/>
      </c>
      <c r="M41" s="31" t="n"/>
      <c r="N41" s="31">
        <f>IF($M41="Yes",$K41,"")</f>
        <v/>
      </c>
      <c r="O41" s="31" t="n"/>
      <c r="P41" s="59" t="n"/>
      <c r="Q41" s="59" t="n"/>
    </row>
    <row r="42">
      <c r="A42" s="31">
        <f>IF(Members!$A42="","",Members!$A42)</f>
        <v/>
      </c>
      <c r="B42" s="31" t="n"/>
      <c r="C42" s="31" t="n"/>
      <c r="D42" s="31" t="n"/>
      <c r="E42" s="31" t="n"/>
      <c r="F42" s="31" t="n"/>
      <c r="G42" s="31" t="n"/>
      <c r="H42" s="31" t="n"/>
      <c r="I42" s="31" t="n"/>
      <c r="J42" s="31" t="n"/>
      <c r="K42" s="31">
        <f>IF(COUNTA($D42:$J42)&lt;7,"",ROUND(MIN(10000, MAX(0, ((((($D42*1.2)+($E42*1.2)+($F42*1.1)+($G42*1.0)+($H42*1.0)+($I42*1.1)+($J42*0.9))/7.5)-1)/4*8000 + MIN($B42*20,1000) + MIN($C42*100,1000))),0))</f>
        <v/>
      </c>
      <c r="L42" s="31">
        <f>IF($K42="","",MIN(100,INT(SQRT($K42))))</f>
        <v/>
      </c>
      <c r="M42" s="31" t="n"/>
      <c r="N42" s="31">
        <f>IF($M42="Yes",$K42,"")</f>
        <v/>
      </c>
      <c r="O42" s="31" t="n"/>
      <c r="P42" s="59" t="n"/>
      <c r="Q42" s="59" t="n"/>
    </row>
    <row r="43">
      <c r="A43" s="31">
        <f>IF(Members!$A43="","",Members!$A43)</f>
        <v/>
      </c>
      <c r="B43" s="31" t="n"/>
      <c r="C43" s="31" t="n"/>
      <c r="D43" s="31" t="n"/>
      <c r="E43" s="31" t="n"/>
      <c r="F43" s="31" t="n"/>
      <c r="G43" s="31" t="n"/>
      <c r="H43" s="31" t="n"/>
      <c r="I43" s="31" t="n"/>
      <c r="J43" s="31" t="n"/>
      <c r="K43" s="31">
        <f>IF(COUNTA($D43:$J43)&lt;7,"",ROUND(MIN(10000, MAX(0, ((((($D43*1.2)+($E43*1.2)+($F43*1.1)+($G43*1.0)+($H43*1.0)+($I43*1.1)+($J43*0.9))/7.5)-1)/4*8000 + MIN($B43*20,1000) + MIN($C43*100,1000))),0))</f>
        <v/>
      </c>
      <c r="L43" s="31">
        <f>IF($K43="","",MIN(100,INT(SQRT($K43))))</f>
        <v/>
      </c>
      <c r="M43" s="31" t="n"/>
      <c r="N43" s="31">
        <f>IF($M43="Yes",$K43,"")</f>
        <v/>
      </c>
      <c r="O43" s="31" t="n"/>
      <c r="P43" s="59" t="n"/>
      <c r="Q43" s="59" t="n"/>
    </row>
    <row r="44">
      <c r="A44" s="31">
        <f>IF(Members!$A44="","",Members!$A44)</f>
        <v/>
      </c>
      <c r="B44" s="31" t="n"/>
      <c r="C44" s="31" t="n"/>
      <c r="D44" s="31" t="n"/>
      <c r="E44" s="31" t="n"/>
      <c r="F44" s="31" t="n"/>
      <c r="G44" s="31" t="n"/>
      <c r="H44" s="31" t="n"/>
      <c r="I44" s="31" t="n"/>
      <c r="J44" s="31" t="n"/>
      <c r="K44" s="31">
        <f>IF(COUNTA($D44:$J44)&lt;7,"",ROUND(MIN(10000, MAX(0, ((((($D44*1.2)+($E44*1.2)+($F44*1.1)+($G44*1.0)+($H44*1.0)+($I44*1.1)+($J44*0.9))/7.5)-1)/4*8000 + MIN($B44*20,1000) + MIN($C44*100,1000))),0))</f>
        <v/>
      </c>
      <c r="L44" s="31">
        <f>IF($K44="","",MIN(100,INT(SQRT($K44))))</f>
        <v/>
      </c>
      <c r="M44" s="31" t="n"/>
      <c r="N44" s="31">
        <f>IF($M44="Yes",$K44,"")</f>
        <v/>
      </c>
      <c r="O44" s="31" t="n"/>
      <c r="P44" s="59" t="n"/>
      <c r="Q44" s="59" t="n"/>
    </row>
    <row r="45">
      <c r="A45" s="31">
        <f>IF(Members!$A45="","",Members!$A45)</f>
        <v/>
      </c>
      <c r="B45" s="31" t="n"/>
      <c r="C45" s="31" t="n"/>
      <c r="D45" s="31" t="n"/>
      <c r="E45" s="31" t="n"/>
      <c r="F45" s="31" t="n"/>
      <c r="G45" s="31" t="n"/>
      <c r="H45" s="31" t="n"/>
      <c r="I45" s="31" t="n"/>
      <c r="J45" s="31" t="n"/>
      <c r="K45" s="31">
        <f>IF(COUNTA($D45:$J45)&lt;7,"",ROUND(MIN(10000, MAX(0, ((((($D45*1.2)+($E45*1.2)+($F45*1.1)+($G45*1.0)+($H45*1.0)+($I45*1.1)+($J45*0.9))/7.5)-1)/4*8000 + MIN($B45*20,1000) + MIN($C45*100,1000))),0))</f>
        <v/>
      </c>
      <c r="L45" s="31">
        <f>IF($K45="","",MIN(100,INT(SQRT($K45))))</f>
        <v/>
      </c>
      <c r="M45" s="31" t="n"/>
      <c r="N45" s="31">
        <f>IF($M45="Yes",$K45,"")</f>
        <v/>
      </c>
      <c r="O45" s="31" t="n"/>
      <c r="P45" s="59" t="n"/>
      <c r="Q45" s="59" t="n"/>
    </row>
    <row r="46">
      <c r="A46" s="31">
        <f>IF(Members!$A46="","",Members!$A46)</f>
        <v/>
      </c>
      <c r="B46" s="31" t="n"/>
      <c r="C46" s="31" t="n"/>
      <c r="D46" s="31" t="n"/>
      <c r="E46" s="31" t="n"/>
      <c r="F46" s="31" t="n"/>
      <c r="G46" s="31" t="n"/>
      <c r="H46" s="31" t="n"/>
      <c r="I46" s="31" t="n"/>
      <c r="J46" s="31" t="n"/>
      <c r="K46" s="31">
        <f>IF(COUNTA($D46:$J46)&lt;7,"",ROUND(MIN(10000, MAX(0, ((((($D46*1.2)+($E46*1.2)+($F46*1.1)+($G46*1.0)+($H46*1.0)+($I46*1.1)+($J46*0.9))/7.5)-1)/4*8000 + MIN($B46*20,1000) + MIN($C46*100,1000))),0))</f>
        <v/>
      </c>
      <c r="L46" s="31">
        <f>IF($K46="","",MIN(100,INT(SQRT($K46))))</f>
        <v/>
      </c>
      <c r="M46" s="31" t="n"/>
      <c r="N46" s="31">
        <f>IF($M46="Yes",$K46,"")</f>
        <v/>
      </c>
      <c r="O46" s="31" t="n"/>
      <c r="P46" s="59" t="n"/>
      <c r="Q46" s="59" t="n"/>
    </row>
    <row r="47">
      <c r="A47" s="31">
        <f>IF(Members!$A47="","",Members!$A47)</f>
        <v/>
      </c>
      <c r="B47" s="31" t="n"/>
      <c r="C47" s="31" t="n"/>
      <c r="D47" s="31" t="n"/>
      <c r="E47" s="31" t="n"/>
      <c r="F47" s="31" t="n"/>
      <c r="G47" s="31" t="n"/>
      <c r="H47" s="31" t="n"/>
      <c r="I47" s="31" t="n"/>
      <c r="J47" s="31" t="n"/>
      <c r="K47" s="31">
        <f>IF(COUNTA($D47:$J47)&lt;7,"",ROUND(MIN(10000, MAX(0, ((((($D47*1.2)+($E47*1.2)+($F47*1.1)+($G47*1.0)+($H47*1.0)+($I47*1.1)+($J47*0.9))/7.5)-1)/4*8000 + MIN($B47*20,1000) + MIN($C47*100,1000))),0))</f>
        <v/>
      </c>
      <c r="L47" s="31">
        <f>IF($K47="","",MIN(100,INT(SQRT($K47))))</f>
        <v/>
      </c>
      <c r="M47" s="31" t="n"/>
      <c r="N47" s="31">
        <f>IF($M47="Yes",$K47,"")</f>
        <v/>
      </c>
      <c r="O47" s="31" t="n"/>
      <c r="P47" s="59" t="n"/>
      <c r="Q47" s="59" t="n"/>
    </row>
    <row r="48">
      <c r="A48" s="31">
        <f>IF(Members!$A48="","",Members!$A48)</f>
        <v/>
      </c>
      <c r="B48" s="31" t="n"/>
      <c r="C48" s="31" t="n"/>
      <c r="D48" s="31" t="n"/>
      <c r="E48" s="31" t="n"/>
      <c r="F48" s="31" t="n"/>
      <c r="G48" s="31" t="n"/>
      <c r="H48" s="31" t="n"/>
      <c r="I48" s="31" t="n"/>
      <c r="J48" s="31" t="n"/>
      <c r="K48" s="31">
        <f>IF(COUNTA($D48:$J48)&lt;7,"",ROUND(MIN(10000, MAX(0, ((((($D48*1.2)+($E48*1.2)+($F48*1.1)+($G48*1.0)+($H48*1.0)+($I48*1.1)+($J48*0.9))/7.5)-1)/4*8000 + MIN($B48*20,1000) + MIN($C48*100,1000))),0))</f>
        <v/>
      </c>
      <c r="L48" s="31">
        <f>IF($K48="","",MIN(100,INT(SQRT($K48))))</f>
        <v/>
      </c>
      <c r="M48" s="31" t="n"/>
      <c r="N48" s="31">
        <f>IF($M48="Yes",$K48,"")</f>
        <v/>
      </c>
      <c r="O48" s="31" t="n"/>
      <c r="P48" s="59" t="n"/>
      <c r="Q48" s="59" t="n"/>
    </row>
    <row r="49">
      <c r="A49" s="31">
        <f>IF(Members!$A49="","",Members!$A49)</f>
        <v/>
      </c>
      <c r="B49" s="31" t="n"/>
      <c r="C49" s="31" t="n"/>
      <c r="D49" s="31" t="n"/>
      <c r="E49" s="31" t="n"/>
      <c r="F49" s="31" t="n"/>
      <c r="G49" s="31" t="n"/>
      <c r="H49" s="31" t="n"/>
      <c r="I49" s="31" t="n"/>
      <c r="J49" s="31" t="n"/>
      <c r="K49" s="31">
        <f>IF(COUNTA($D49:$J49)&lt;7,"",ROUND(MIN(10000, MAX(0, ((((($D49*1.2)+($E49*1.2)+($F49*1.1)+($G49*1.0)+($H49*1.0)+($I49*1.1)+($J49*0.9))/7.5)-1)/4*8000 + MIN($B49*20,1000) + MIN($C49*100,1000))),0))</f>
        <v/>
      </c>
      <c r="L49" s="31">
        <f>IF($K49="","",MIN(100,INT(SQRT($K49))))</f>
        <v/>
      </c>
      <c r="M49" s="31" t="n"/>
      <c r="N49" s="31">
        <f>IF($M49="Yes",$K49,"")</f>
        <v/>
      </c>
      <c r="O49" s="31" t="n"/>
      <c r="P49" s="59" t="n"/>
      <c r="Q49" s="59" t="n"/>
    </row>
    <row r="50">
      <c r="A50" s="31">
        <f>IF(Members!$A50="","",Members!$A50)</f>
        <v/>
      </c>
      <c r="B50" s="31" t="n"/>
      <c r="C50" s="31" t="n"/>
      <c r="D50" s="31" t="n"/>
      <c r="E50" s="31" t="n"/>
      <c r="F50" s="31" t="n"/>
      <c r="G50" s="31" t="n"/>
      <c r="H50" s="31" t="n"/>
      <c r="I50" s="31" t="n"/>
      <c r="J50" s="31" t="n"/>
      <c r="K50" s="31">
        <f>IF(COUNTA($D50:$J50)&lt;7,"",ROUND(MIN(10000, MAX(0, ((((($D50*1.2)+($E50*1.2)+($F50*1.1)+($G50*1.0)+($H50*1.0)+($I50*1.1)+($J50*0.9))/7.5)-1)/4*8000 + MIN($B50*20,1000) + MIN($C50*100,1000))),0))</f>
        <v/>
      </c>
      <c r="L50" s="31">
        <f>IF($K50="","",MIN(100,INT(SQRT($K50))))</f>
        <v/>
      </c>
      <c r="M50" s="31" t="n"/>
      <c r="N50" s="31">
        <f>IF($M50="Yes",$K50,"")</f>
        <v/>
      </c>
      <c r="O50" s="31" t="n"/>
      <c r="P50" s="59" t="n"/>
      <c r="Q50" s="59" t="n"/>
    </row>
    <row r="51">
      <c r="A51" s="31">
        <f>IF(Members!$A51="","",Members!$A51)</f>
        <v/>
      </c>
      <c r="B51" s="31" t="n"/>
      <c r="C51" s="31" t="n"/>
      <c r="D51" s="31" t="n"/>
      <c r="E51" s="31" t="n"/>
      <c r="F51" s="31" t="n"/>
      <c r="G51" s="31" t="n"/>
      <c r="H51" s="31" t="n"/>
      <c r="I51" s="31" t="n"/>
      <c r="J51" s="31" t="n"/>
      <c r="K51" s="31">
        <f>IF(COUNTA($D51:$J51)&lt;7,"",ROUND(MIN(10000, MAX(0, ((((($D51*1.2)+($E51*1.2)+($F51*1.1)+($G51*1.0)+($H51*1.0)+($I51*1.1)+($J51*0.9))/7.5)-1)/4*8000 + MIN($B51*20,1000) + MIN($C51*100,1000))),0))</f>
        <v/>
      </c>
      <c r="L51" s="31">
        <f>IF($K51="","",MIN(100,INT(SQRT($K51))))</f>
        <v/>
      </c>
      <c r="M51" s="31" t="n"/>
      <c r="N51" s="31">
        <f>IF($M51="Yes",$K51,"")</f>
        <v/>
      </c>
      <c r="O51" s="31" t="n"/>
      <c r="P51" s="59" t="n"/>
      <c r="Q51" s="59" t="n"/>
    </row>
    <row r="52">
      <c r="A52" s="31">
        <f>IF(Members!$A52="","",Members!$A52)</f>
        <v/>
      </c>
      <c r="B52" s="31" t="n"/>
      <c r="C52" s="31" t="n"/>
      <c r="D52" s="31" t="n"/>
      <c r="E52" s="31" t="n"/>
      <c r="F52" s="31" t="n"/>
      <c r="G52" s="31" t="n"/>
      <c r="H52" s="31" t="n"/>
      <c r="I52" s="31" t="n"/>
      <c r="J52" s="31" t="n"/>
      <c r="K52" s="31">
        <f>IF(COUNTA($D52:$J52)&lt;7,"",ROUND(MIN(10000, MAX(0, ((((($D52*1.2)+($E52*1.2)+($F52*1.1)+($G52*1.0)+($H52*1.0)+($I52*1.1)+($J52*0.9))/7.5)-1)/4*8000 + MIN($B52*20,1000) + MIN($C52*100,1000))),0))</f>
        <v/>
      </c>
      <c r="L52" s="31">
        <f>IF($K52="","",MIN(100,INT(SQRT($K52))))</f>
        <v/>
      </c>
      <c r="M52" s="31" t="n"/>
      <c r="N52" s="31">
        <f>IF($M52="Yes",$K52,"")</f>
        <v/>
      </c>
      <c r="O52" s="31" t="n"/>
      <c r="P52" s="59" t="n"/>
      <c r="Q52" s="59" t="n"/>
    </row>
    <row r="53">
      <c r="A53" s="31">
        <f>IF(Members!$A53="","",Members!$A53)</f>
        <v/>
      </c>
      <c r="B53" s="31" t="n"/>
      <c r="C53" s="31" t="n"/>
      <c r="D53" s="31" t="n"/>
      <c r="E53" s="31" t="n"/>
      <c r="F53" s="31" t="n"/>
      <c r="G53" s="31" t="n"/>
      <c r="H53" s="31" t="n"/>
      <c r="I53" s="31" t="n"/>
      <c r="J53" s="31" t="n"/>
      <c r="K53" s="31">
        <f>IF(COUNTA($D53:$J53)&lt;7,"",ROUND(MIN(10000, MAX(0, ((((($D53*1.2)+($E53*1.2)+($F53*1.1)+($G53*1.0)+($H53*1.0)+($I53*1.1)+($J53*0.9))/7.5)-1)/4*8000 + MIN($B53*20,1000) + MIN($C53*100,1000))),0))</f>
        <v/>
      </c>
      <c r="L53" s="31">
        <f>IF($K53="","",MIN(100,INT(SQRT($K53))))</f>
        <v/>
      </c>
      <c r="M53" s="31" t="n"/>
      <c r="N53" s="31">
        <f>IF($M53="Yes",$K53,"")</f>
        <v/>
      </c>
      <c r="O53" s="31" t="n"/>
      <c r="P53" s="59" t="n"/>
      <c r="Q53" s="59" t="n"/>
    </row>
    <row r="54">
      <c r="A54" s="31">
        <f>IF(Members!$A54="","",Members!$A54)</f>
        <v/>
      </c>
      <c r="B54" s="31" t="n"/>
      <c r="C54" s="31" t="n"/>
      <c r="D54" s="31" t="n"/>
      <c r="E54" s="31" t="n"/>
      <c r="F54" s="31" t="n"/>
      <c r="G54" s="31" t="n"/>
      <c r="H54" s="31" t="n"/>
      <c r="I54" s="31" t="n"/>
      <c r="J54" s="31" t="n"/>
      <c r="K54" s="31">
        <f>IF(COUNTA($D54:$J54)&lt;7,"",ROUND(MIN(10000, MAX(0, ((((($D54*1.2)+($E54*1.2)+($F54*1.1)+($G54*1.0)+($H54*1.0)+($I54*1.1)+($J54*0.9))/7.5)-1)/4*8000 + MIN($B54*20,1000) + MIN($C54*100,1000))),0))</f>
        <v/>
      </c>
      <c r="L54" s="31">
        <f>IF($K54="","",MIN(100,INT(SQRT($K54))))</f>
        <v/>
      </c>
      <c r="M54" s="31" t="n"/>
      <c r="N54" s="31">
        <f>IF($M54="Yes",$K54,"")</f>
        <v/>
      </c>
      <c r="O54" s="31" t="n"/>
      <c r="P54" s="59" t="n"/>
      <c r="Q54" s="59" t="n"/>
    </row>
    <row r="55">
      <c r="A55" s="31">
        <f>IF(Members!$A55="","",Members!$A55)</f>
        <v/>
      </c>
      <c r="B55" s="31" t="n"/>
      <c r="C55" s="31" t="n"/>
      <c r="D55" s="31" t="n"/>
      <c r="E55" s="31" t="n"/>
      <c r="F55" s="31" t="n"/>
      <c r="G55" s="31" t="n"/>
      <c r="H55" s="31" t="n"/>
      <c r="I55" s="31" t="n"/>
      <c r="J55" s="31" t="n"/>
      <c r="K55" s="31">
        <f>IF(COUNTA($D55:$J55)&lt;7,"",ROUND(MIN(10000, MAX(0, ((((($D55*1.2)+($E55*1.2)+($F55*1.1)+($G55*1.0)+($H55*1.0)+($I55*1.1)+($J55*0.9))/7.5)-1)/4*8000 + MIN($B55*20,1000) + MIN($C55*100,1000))),0))</f>
        <v/>
      </c>
      <c r="L55" s="31">
        <f>IF($K55="","",MIN(100,INT(SQRT($K55))))</f>
        <v/>
      </c>
      <c r="M55" s="31" t="n"/>
      <c r="N55" s="31">
        <f>IF($M55="Yes",$K55,"")</f>
        <v/>
      </c>
      <c r="O55" s="31" t="n"/>
      <c r="P55" s="59" t="n"/>
      <c r="Q55" s="59" t="n"/>
    </row>
    <row r="56">
      <c r="A56" s="31">
        <f>IF(Members!$A56="","",Members!$A56)</f>
        <v/>
      </c>
      <c r="B56" s="31" t="n"/>
      <c r="C56" s="31" t="n"/>
      <c r="D56" s="31" t="n"/>
      <c r="E56" s="31" t="n"/>
      <c r="F56" s="31" t="n"/>
      <c r="G56" s="31" t="n"/>
      <c r="H56" s="31" t="n"/>
      <c r="I56" s="31" t="n"/>
      <c r="J56" s="31" t="n"/>
      <c r="K56" s="31">
        <f>IF(COUNTA($D56:$J56)&lt;7,"",ROUND(MIN(10000, MAX(0, ((((($D56*1.2)+($E56*1.2)+($F56*1.1)+($G56*1.0)+($H56*1.0)+($I56*1.1)+($J56*0.9))/7.5)-1)/4*8000 + MIN($B56*20,1000) + MIN($C56*100,1000))),0))</f>
        <v/>
      </c>
      <c r="L56" s="31">
        <f>IF($K56="","",MIN(100,INT(SQRT($K56))))</f>
        <v/>
      </c>
      <c r="M56" s="31" t="n"/>
      <c r="N56" s="31">
        <f>IF($M56="Yes",$K56,"")</f>
        <v/>
      </c>
      <c r="O56" s="31" t="n"/>
      <c r="P56" s="59" t="n"/>
      <c r="Q56" s="59" t="n"/>
    </row>
    <row r="57">
      <c r="A57" s="31">
        <f>IF(Members!$A57="","",Members!$A57)</f>
        <v/>
      </c>
      <c r="B57" s="31" t="n"/>
      <c r="C57" s="31" t="n"/>
      <c r="D57" s="31" t="n"/>
      <c r="E57" s="31" t="n"/>
      <c r="F57" s="31" t="n"/>
      <c r="G57" s="31" t="n"/>
      <c r="H57" s="31" t="n"/>
      <c r="I57" s="31" t="n"/>
      <c r="J57" s="31" t="n"/>
      <c r="K57" s="31">
        <f>IF(COUNTA($D57:$J57)&lt;7,"",ROUND(MIN(10000, MAX(0, ((((($D57*1.2)+($E57*1.2)+($F57*1.1)+($G57*1.0)+($H57*1.0)+($I57*1.1)+($J57*0.9))/7.5)-1)/4*8000 + MIN($B57*20,1000) + MIN($C57*100,1000))),0))</f>
        <v/>
      </c>
      <c r="L57" s="31">
        <f>IF($K57="","",MIN(100,INT(SQRT($K57))))</f>
        <v/>
      </c>
      <c r="M57" s="31" t="n"/>
      <c r="N57" s="31">
        <f>IF($M57="Yes",$K57,"")</f>
        <v/>
      </c>
      <c r="O57" s="31" t="n"/>
      <c r="P57" s="59" t="n"/>
      <c r="Q57" s="59" t="n"/>
    </row>
    <row r="58">
      <c r="A58" s="31">
        <f>IF(Members!$A58="","",Members!$A58)</f>
        <v/>
      </c>
      <c r="B58" s="31" t="n"/>
      <c r="C58" s="31" t="n"/>
      <c r="D58" s="31" t="n"/>
      <c r="E58" s="31" t="n"/>
      <c r="F58" s="31" t="n"/>
      <c r="G58" s="31" t="n"/>
      <c r="H58" s="31" t="n"/>
      <c r="I58" s="31" t="n"/>
      <c r="J58" s="31" t="n"/>
      <c r="K58" s="31">
        <f>IF(COUNTA($D58:$J58)&lt;7,"",ROUND(MIN(10000, MAX(0, ((((($D58*1.2)+($E58*1.2)+($F58*1.1)+($G58*1.0)+($H58*1.0)+($I58*1.1)+($J58*0.9))/7.5)-1)/4*8000 + MIN($B58*20,1000) + MIN($C58*100,1000))),0))</f>
        <v/>
      </c>
      <c r="L58" s="31">
        <f>IF($K58="","",MIN(100,INT(SQRT($K58))))</f>
        <v/>
      </c>
      <c r="M58" s="31" t="n"/>
      <c r="N58" s="31">
        <f>IF($M58="Yes",$K58,"")</f>
        <v/>
      </c>
      <c r="O58" s="31" t="n"/>
      <c r="P58" s="59" t="n"/>
      <c r="Q58" s="59" t="n"/>
    </row>
    <row r="59">
      <c r="A59" s="31">
        <f>IF(Members!$A59="","",Members!$A59)</f>
        <v/>
      </c>
      <c r="B59" s="31" t="n"/>
      <c r="C59" s="31" t="n"/>
      <c r="D59" s="31" t="n"/>
      <c r="E59" s="31" t="n"/>
      <c r="F59" s="31" t="n"/>
      <c r="G59" s="31" t="n"/>
      <c r="H59" s="31" t="n"/>
      <c r="I59" s="31" t="n"/>
      <c r="J59" s="31" t="n"/>
      <c r="K59" s="31">
        <f>IF(COUNTA($D59:$J59)&lt;7,"",ROUND(MIN(10000, MAX(0, ((((($D59*1.2)+($E59*1.2)+($F59*1.1)+($G59*1.0)+($H59*1.0)+($I59*1.1)+($J59*0.9))/7.5)-1)/4*8000 + MIN($B59*20,1000) + MIN($C59*100,1000))),0))</f>
        <v/>
      </c>
      <c r="L59" s="31">
        <f>IF($K59="","",MIN(100,INT(SQRT($K59))))</f>
        <v/>
      </c>
      <c r="M59" s="31" t="n"/>
      <c r="N59" s="31">
        <f>IF($M59="Yes",$K59,"")</f>
        <v/>
      </c>
      <c r="O59" s="31" t="n"/>
      <c r="P59" s="59" t="n"/>
      <c r="Q59" s="59" t="n"/>
    </row>
    <row r="60">
      <c r="A60" s="31">
        <f>IF(Members!$A60="","",Members!$A60)</f>
        <v/>
      </c>
      <c r="B60" s="31" t="n"/>
      <c r="C60" s="31" t="n"/>
      <c r="D60" s="31" t="n"/>
      <c r="E60" s="31" t="n"/>
      <c r="F60" s="31" t="n"/>
      <c r="G60" s="31" t="n"/>
      <c r="H60" s="31" t="n"/>
      <c r="I60" s="31" t="n"/>
      <c r="J60" s="31" t="n"/>
      <c r="K60" s="31">
        <f>IF(COUNTA($D60:$J60)&lt;7,"",ROUND(MIN(10000, MAX(0, ((((($D60*1.2)+($E60*1.2)+($F60*1.1)+($G60*1.0)+($H60*1.0)+($I60*1.1)+($J60*0.9))/7.5)-1)/4*8000 + MIN($B60*20,1000) + MIN($C60*100,1000))),0))</f>
        <v/>
      </c>
      <c r="L60" s="31">
        <f>IF($K60="","",MIN(100,INT(SQRT($K60))))</f>
        <v/>
      </c>
      <c r="M60" s="31" t="n"/>
      <c r="N60" s="31">
        <f>IF($M60="Yes",$K60,"")</f>
        <v/>
      </c>
      <c r="O60" s="31" t="n"/>
      <c r="P60" s="59" t="n"/>
      <c r="Q60" s="59" t="n"/>
    </row>
    <row r="61">
      <c r="A61" s="31">
        <f>IF(Members!$A61="","",Members!$A61)</f>
        <v/>
      </c>
      <c r="B61" s="31" t="n"/>
      <c r="C61" s="31" t="n"/>
      <c r="D61" s="31" t="n"/>
      <c r="E61" s="31" t="n"/>
      <c r="F61" s="31" t="n"/>
      <c r="G61" s="31" t="n"/>
      <c r="H61" s="31" t="n"/>
      <c r="I61" s="31" t="n"/>
      <c r="J61" s="31" t="n"/>
      <c r="K61" s="31">
        <f>IF(COUNTA($D61:$J61)&lt;7,"",ROUND(MIN(10000, MAX(0, ((((($D61*1.2)+($E61*1.2)+($F61*1.1)+($G61*1.0)+($H61*1.0)+($I61*1.1)+($J61*0.9))/7.5)-1)/4*8000 + MIN($B61*20,1000) + MIN($C61*100,1000))),0))</f>
        <v/>
      </c>
      <c r="L61" s="31">
        <f>IF($K61="","",MIN(100,INT(SQRT($K61))))</f>
        <v/>
      </c>
      <c r="M61" s="31" t="n"/>
      <c r="N61" s="31">
        <f>IF($M61="Yes",$K61,"")</f>
        <v/>
      </c>
      <c r="O61" s="31" t="n"/>
      <c r="P61" s="59" t="n"/>
      <c r="Q61" s="59" t="n"/>
    </row>
    <row r="62">
      <c r="A62" s="31">
        <f>IF(Members!$A62="","",Members!$A62)</f>
        <v/>
      </c>
      <c r="B62" s="31" t="n"/>
      <c r="C62" s="31" t="n"/>
      <c r="D62" s="31" t="n"/>
      <c r="E62" s="31" t="n"/>
      <c r="F62" s="31" t="n"/>
      <c r="G62" s="31" t="n"/>
      <c r="H62" s="31" t="n"/>
      <c r="I62" s="31" t="n"/>
      <c r="J62" s="31" t="n"/>
      <c r="K62" s="31">
        <f>IF(COUNTA($D62:$J62)&lt;7,"",ROUND(MIN(10000, MAX(0, ((((($D62*1.2)+($E62*1.2)+($F62*1.1)+($G62*1.0)+($H62*1.0)+($I62*1.1)+($J62*0.9))/7.5)-1)/4*8000 + MIN($B62*20,1000) + MIN($C62*100,1000))),0))</f>
        <v/>
      </c>
      <c r="L62" s="31">
        <f>IF($K62="","",MIN(100,INT(SQRT($K62))))</f>
        <v/>
      </c>
      <c r="M62" s="31" t="n"/>
      <c r="N62" s="31">
        <f>IF($M62="Yes",$K62,"")</f>
        <v/>
      </c>
      <c r="O62" s="31" t="n"/>
      <c r="P62" s="59" t="n"/>
      <c r="Q62" s="59" t="n"/>
    </row>
    <row r="63">
      <c r="A63" s="31">
        <f>IF(Members!$A63="","",Members!$A63)</f>
        <v/>
      </c>
      <c r="B63" s="31" t="n"/>
      <c r="C63" s="31" t="n"/>
      <c r="D63" s="31" t="n"/>
      <c r="E63" s="31" t="n"/>
      <c r="F63" s="31" t="n"/>
      <c r="G63" s="31" t="n"/>
      <c r="H63" s="31" t="n"/>
      <c r="I63" s="31" t="n"/>
      <c r="J63" s="31" t="n"/>
      <c r="K63" s="31">
        <f>IF(COUNTA($D63:$J63)&lt;7,"",ROUND(MIN(10000, MAX(0, ((((($D63*1.2)+($E63*1.2)+($F63*1.1)+($G63*1.0)+($H63*1.0)+($I63*1.1)+($J63*0.9))/7.5)-1)/4*8000 + MIN($B63*20,1000) + MIN($C63*100,1000))),0))</f>
        <v/>
      </c>
      <c r="L63" s="31">
        <f>IF($K63="","",MIN(100,INT(SQRT($K63))))</f>
        <v/>
      </c>
      <c r="M63" s="31" t="n"/>
      <c r="N63" s="31">
        <f>IF($M63="Yes",$K63,"")</f>
        <v/>
      </c>
      <c r="O63" s="31" t="n"/>
      <c r="P63" s="59" t="n"/>
      <c r="Q63" s="59" t="n"/>
    </row>
    <row r="64">
      <c r="A64" s="31">
        <f>IF(Members!$A64="","",Members!$A64)</f>
        <v/>
      </c>
      <c r="B64" s="31" t="n"/>
      <c r="C64" s="31" t="n"/>
      <c r="D64" s="31" t="n"/>
      <c r="E64" s="31" t="n"/>
      <c r="F64" s="31" t="n"/>
      <c r="G64" s="31" t="n"/>
      <c r="H64" s="31" t="n"/>
      <c r="I64" s="31" t="n"/>
      <c r="J64" s="31" t="n"/>
      <c r="K64" s="31">
        <f>IF(COUNTA($D64:$J64)&lt;7,"",ROUND(MIN(10000, MAX(0, ((((($D64*1.2)+($E64*1.2)+($F64*1.1)+($G64*1.0)+($H64*1.0)+($I64*1.1)+($J64*0.9))/7.5)-1)/4*8000 + MIN($B64*20,1000) + MIN($C64*100,1000))),0))</f>
        <v/>
      </c>
      <c r="L64" s="31">
        <f>IF($K64="","",MIN(100,INT(SQRT($K64))))</f>
        <v/>
      </c>
      <c r="M64" s="31" t="n"/>
      <c r="N64" s="31">
        <f>IF($M64="Yes",$K64,"")</f>
        <v/>
      </c>
      <c r="O64" s="31" t="n"/>
      <c r="P64" s="59" t="n"/>
      <c r="Q64" s="59" t="n"/>
    </row>
    <row r="65">
      <c r="A65" s="31">
        <f>IF(Members!$A65="","",Members!$A65)</f>
        <v/>
      </c>
      <c r="B65" s="31" t="n"/>
      <c r="C65" s="31" t="n"/>
      <c r="D65" s="31" t="n"/>
      <c r="E65" s="31" t="n"/>
      <c r="F65" s="31" t="n"/>
      <c r="G65" s="31" t="n"/>
      <c r="H65" s="31" t="n"/>
      <c r="I65" s="31" t="n"/>
      <c r="J65" s="31" t="n"/>
      <c r="K65" s="31">
        <f>IF(COUNTA($D65:$J65)&lt;7,"",ROUND(MIN(10000, MAX(0, ((((($D65*1.2)+($E65*1.2)+($F65*1.1)+($G65*1.0)+($H65*1.0)+($I65*1.1)+($J65*0.9))/7.5)-1)/4*8000 + MIN($B65*20,1000) + MIN($C65*100,1000))),0))</f>
        <v/>
      </c>
      <c r="L65" s="31">
        <f>IF($K65="","",MIN(100,INT(SQRT($K65))))</f>
        <v/>
      </c>
      <c r="M65" s="31" t="n"/>
      <c r="N65" s="31">
        <f>IF($M65="Yes",$K65,"")</f>
        <v/>
      </c>
      <c r="O65" s="31" t="n"/>
      <c r="P65" s="59" t="n"/>
      <c r="Q65" s="59" t="n"/>
    </row>
    <row r="66">
      <c r="A66" s="31">
        <f>IF(Members!$A66="","",Members!$A66)</f>
        <v/>
      </c>
      <c r="B66" s="31" t="n"/>
      <c r="C66" s="31" t="n"/>
      <c r="D66" s="31" t="n"/>
      <c r="E66" s="31" t="n"/>
      <c r="F66" s="31" t="n"/>
      <c r="G66" s="31" t="n"/>
      <c r="H66" s="31" t="n"/>
      <c r="I66" s="31" t="n"/>
      <c r="J66" s="31" t="n"/>
      <c r="K66" s="31">
        <f>IF(COUNTA($D66:$J66)&lt;7,"",ROUND(MIN(10000, MAX(0, ((((($D66*1.2)+($E66*1.2)+($F66*1.1)+($G66*1.0)+($H66*1.0)+($I66*1.1)+($J66*0.9))/7.5)-1)/4*8000 + MIN($B66*20,1000) + MIN($C66*100,1000))),0))</f>
        <v/>
      </c>
      <c r="L66" s="31">
        <f>IF($K66="","",MIN(100,INT(SQRT($K66))))</f>
        <v/>
      </c>
      <c r="M66" s="31" t="n"/>
      <c r="N66" s="31">
        <f>IF($M66="Yes",$K66,"")</f>
        <v/>
      </c>
      <c r="O66" s="31" t="n"/>
      <c r="P66" s="59" t="n"/>
      <c r="Q66" s="59" t="n"/>
    </row>
    <row r="67">
      <c r="A67" s="31">
        <f>IF(Members!$A67="","",Members!$A67)</f>
        <v/>
      </c>
      <c r="B67" s="31" t="n"/>
      <c r="C67" s="31" t="n"/>
      <c r="D67" s="31" t="n"/>
      <c r="E67" s="31" t="n"/>
      <c r="F67" s="31" t="n"/>
      <c r="G67" s="31" t="n"/>
      <c r="H67" s="31" t="n"/>
      <c r="I67" s="31" t="n"/>
      <c r="J67" s="31" t="n"/>
      <c r="K67" s="31">
        <f>IF(COUNTA($D67:$J67)&lt;7,"",ROUND(MIN(10000, MAX(0, ((((($D67*1.2)+($E67*1.2)+($F67*1.1)+($G67*1.0)+($H67*1.0)+($I67*1.1)+($J67*0.9))/7.5)-1)/4*8000 + MIN($B67*20,1000) + MIN($C67*100,1000))),0))</f>
        <v/>
      </c>
      <c r="L67" s="31">
        <f>IF($K67="","",MIN(100,INT(SQRT($K67))))</f>
        <v/>
      </c>
      <c r="M67" s="31" t="n"/>
      <c r="N67" s="31">
        <f>IF($M67="Yes",$K67,"")</f>
        <v/>
      </c>
      <c r="O67" s="31" t="n"/>
      <c r="P67" s="59" t="n"/>
      <c r="Q67" s="59" t="n"/>
    </row>
    <row r="68">
      <c r="A68" s="31">
        <f>IF(Members!$A68="","",Members!$A68)</f>
        <v/>
      </c>
      <c r="B68" s="31" t="n"/>
      <c r="C68" s="31" t="n"/>
      <c r="D68" s="31" t="n"/>
      <c r="E68" s="31" t="n"/>
      <c r="F68" s="31" t="n"/>
      <c r="G68" s="31" t="n"/>
      <c r="H68" s="31" t="n"/>
      <c r="I68" s="31" t="n"/>
      <c r="J68" s="31" t="n"/>
      <c r="K68" s="31">
        <f>IF(COUNTA($D68:$J68)&lt;7,"",ROUND(MIN(10000, MAX(0, ((((($D68*1.2)+($E68*1.2)+($F68*1.1)+($G68*1.0)+($H68*1.0)+($I68*1.1)+($J68*0.9))/7.5)-1)/4*8000 + MIN($B68*20,1000) + MIN($C68*100,1000))),0))</f>
        <v/>
      </c>
      <c r="L68" s="31">
        <f>IF($K68="","",MIN(100,INT(SQRT($K68))))</f>
        <v/>
      </c>
      <c r="M68" s="31" t="n"/>
      <c r="N68" s="31">
        <f>IF($M68="Yes",$K68,"")</f>
        <v/>
      </c>
      <c r="O68" s="31" t="n"/>
      <c r="P68" s="59" t="n"/>
      <c r="Q68" s="59" t="n"/>
    </row>
    <row r="69">
      <c r="A69" s="31">
        <f>IF(Members!$A69="","",Members!$A69)</f>
        <v/>
      </c>
      <c r="B69" s="31" t="n"/>
      <c r="C69" s="31" t="n"/>
      <c r="D69" s="31" t="n"/>
      <c r="E69" s="31" t="n"/>
      <c r="F69" s="31" t="n"/>
      <c r="G69" s="31" t="n"/>
      <c r="H69" s="31" t="n"/>
      <c r="I69" s="31" t="n"/>
      <c r="J69" s="31" t="n"/>
      <c r="K69" s="31">
        <f>IF(COUNTA($D69:$J69)&lt;7,"",ROUND(MIN(10000, MAX(0, ((((($D69*1.2)+($E69*1.2)+($F69*1.1)+($G69*1.0)+($H69*1.0)+($I69*1.1)+($J69*0.9))/7.5)-1)/4*8000 + MIN($B69*20,1000) + MIN($C69*100,1000))),0))</f>
        <v/>
      </c>
      <c r="L69" s="31">
        <f>IF($K69="","",MIN(100,INT(SQRT($K69))))</f>
        <v/>
      </c>
      <c r="M69" s="31" t="n"/>
      <c r="N69" s="31">
        <f>IF($M69="Yes",$K69,"")</f>
        <v/>
      </c>
      <c r="O69" s="31" t="n"/>
      <c r="P69" s="59" t="n"/>
      <c r="Q69" s="59" t="n"/>
    </row>
    <row r="70">
      <c r="A70" s="31">
        <f>IF(Members!$A70="","",Members!$A70)</f>
        <v/>
      </c>
      <c r="B70" s="31" t="n"/>
      <c r="C70" s="31" t="n"/>
      <c r="D70" s="31" t="n"/>
      <c r="E70" s="31" t="n"/>
      <c r="F70" s="31" t="n"/>
      <c r="G70" s="31" t="n"/>
      <c r="H70" s="31" t="n"/>
      <c r="I70" s="31" t="n"/>
      <c r="J70" s="31" t="n"/>
      <c r="K70" s="31">
        <f>IF(COUNTA($D70:$J70)&lt;7,"",ROUND(MIN(10000, MAX(0, ((((($D70*1.2)+($E70*1.2)+($F70*1.1)+($G70*1.0)+($H70*1.0)+($I70*1.1)+($J70*0.9))/7.5)-1)/4*8000 + MIN($B70*20,1000) + MIN($C70*100,1000))),0))</f>
        <v/>
      </c>
      <c r="L70" s="31">
        <f>IF($K70="","",MIN(100,INT(SQRT($K70))))</f>
        <v/>
      </c>
      <c r="M70" s="31" t="n"/>
      <c r="N70" s="31">
        <f>IF($M70="Yes",$K70,"")</f>
        <v/>
      </c>
      <c r="O70" s="31" t="n"/>
      <c r="P70" s="59" t="n"/>
      <c r="Q70" s="59" t="n"/>
    </row>
    <row r="71">
      <c r="A71" s="31">
        <f>IF(Members!$A71="","",Members!$A71)</f>
        <v/>
      </c>
      <c r="B71" s="31" t="n"/>
      <c r="C71" s="31" t="n"/>
      <c r="D71" s="31" t="n"/>
      <c r="E71" s="31" t="n"/>
      <c r="F71" s="31" t="n"/>
      <c r="G71" s="31" t="n"/>
      <c r="H71" s="31" t="n"/>
      <c r="I71" s="31" t="n"/>
      <c r="J71" s="31" t="n"/>
      <c r="K71" s="31">
        <f>IF(COUNTA($D71:$J71)&lt;7,"",ROUND(MIN(10000, MAX(0, ((((($D71*1.2)+($E71*1.2)+($F71*1.1)+($G71*1.0)+($H71*1.0)+($I71*1.1)+($J71*0.9))/7.5)-1)/4*8000 + MIN($B71*20,1000) + MIN($C71*100,1000))),0))</f>
        <v/>
      </c>
      <c r="L71" s="31">
        <f>IF($K71="","",MIN(100,INT(SQRT($K71))))</f>
        <v/>
      </c>
      <c r="M71" s="31" t="n"/>
      <c r="N71" s="31">
        <f>IF($M71="Yes",$K71,"")</f>
        <v/>
      </c>
      <c r="O71" s="31" t="n"/>
      <c r="P71" s="59" t="n"/>
      <c r="Q71" s="59" t="n"/>
    </row>
    <row r="72">
      <c r="A72" s="31">
        <f>IF(Members!$A72="","",Members!$A72)</f>
        <v/>
      </c>
      <c r="B72" s="31" t="n"/>
      <c r="C72" s="31" t="n"/>
      <c r="D72" s="31" t="n"/>
      <c r="E72" s="31" t="n"/>
      <c r="F72" s="31" t="n"/>
      <c r="G72" s="31" t="n"/>
      <c r="H72" s="31" t="n"/>
      <c r="I72" s="31" t="n"/>
      <c r="J72" s="31" t="n"/>
      <c r="K72" s="31">
        <f>IF(COUNTA($D72:$J72)&lt;7,"",ROUND(MIN(10000, MAX(0, ((((($D72*1.2)+($E72*1.2)+($F72*1.1)+($G72*1.0)+($H72*1.0)+($I72*1.1)+($J72*0.9))/7.5)-1)/4*8000 + MIN($B72*20,1000) + MIN($C72*100,1000))),0))</f>
        <v/>
      </c>
      <c r="L72" s="31">
        <f>IF($K72="","",MIN(100,INT(SQRT($K72))))</f>
        <v/>
      </c>
      <c r="M72" s="31" t="n"/>
      <c r="N72" s="31">
        <f>IF($M72="Yes",$K72,"")</f>
        <v/>
      </c>
      <c r="O72" s="31" t="n"/>
      <c r="P72" s="59" t="n"/>
      <c r="Q72" s="59" t="n"/>
    </row>
    <row r="73">
      <c r="A73" s="31">
        <f>IF(Members!$A73="","",Members!$A73)</f>
        <v/>
      </c>
      <c r="B73" s="31" t="n"/>
      <c r="C73" s="31" t="n"/>
      <c r="D73" s="31" t="n"/>
      <c r="E73" s="31" t="n"/>
      <c r="F73" s="31" t="n"/>
      <c r="G73" s="31" t="n"/>
      <c r="H73" s="31" t="n"/>
      <c r="I73" s="31" t="n"/>
      <c r="J73" s="31" t="n"/>
      <c r="K73" s="31">
        <f>IF(COUNTA($D73:$J73)&lt;7,"",ROUND(MIN(10000, MAX(0, ((((($D73*1.2)+($E73*1.2)+($F73*1.1)+($G73*1.0)+($H73*1.0)+($I73*1.1)+($J73*0.9))/7.5)-1)/4*8000 + MIN($B73*20,1000) + MIN($C73*100,1000))),0))</f>
        <v/>
      </c>
      <c r="L73" s="31">
        <f>IF($K73="","",MIN(100,INT(SQRT($K73))))</f>
        <v/>
      </c>
      <c r="M73" s="31" t="n"/>
      <c r="N73" s="31">
        <f>IF($M73="Yes",$K73,"")</f>
        <v/>
      </c>
      <c r="O73" s="31" t="n"/>
      <c r="P73" s="59" t="n"/>
      <c r="Q73" s="59" t="n"/>
    </row>
    <row r="74">
      <c r="A74" s="31">
        <f>IF(Members!$A74="","",Members!$A74)</f>
        <v/>
      </c>
      <c r="B74" s="31" t="n"/>
      <c r="C74" s="31" t="n"/>
      <c r="D74" s="31" t="n"/>
      <c r="E74" s="31" t="n"/>
      <c r="F74" s="31" t="n"/>
      <c r="G74" s="31" t="n"/>
      <c r="H74" s="31" t="n"/>
      <c r="I74" s="31" t="n"/>
      <c r="J74" s="31" t="n"/>
      <c r="K74" s="31">
        <f>IF(COUNTA($D74:$J74)&lt;7,"",ROUND(MIN(10000, MAX(0, ((((($D74*1.2)+($E74*1.2)+($F74*1.1)+($G74*1.0)+($H74*1.0)+($I74*1.1)+($J74*0.9))/7.5)-1)/4*8000 + MIN($B74*20,1000) + MIN($C74*100,1000))),0))</f>
        <v/>
      </c>
      <c r="L74" s="31">
        <f>IF($K74="","",MIN(100,INT(SQRT($K74))))</f>
        <v/>
      </c>
      <c r="M74" s="31" t="n"/>
      <c r="N74" s="31">
        <f>IF($M74="Yes",$K74,"")</f>
        <v/>
      </c>
      <c r="O74" s="31" t="n"/>
      <c r="P74" s="59" t="n"/>
      <c r="Q74" s="59" t="n"/>
    </row>
    <row r="75">
      <c r="A75" s="31">
        <f>IF(Members!$A75="","",Members!$A75)</f>
        <v/>
      </c>
      <c r="B75" s="31" t="n"/>
      <c r="C75" s="31" t="n"/>
      <c r="D75" s="31" t="n"/>
      <c r="E75" s="31" t="n"/>
      <c r="F75" s="31" t="n"/>
      <c r="G75" s="31" t="n"/>
      <c r="H75" s="31" t="n"/>
      <c r="I75" s="31" t="n"/>
      <c r="J75" s="31" t="n"/>
      <c r="K75" s="31">
        <f>IF(COUNTA($D75:$J75)&lt;7,"",ROUND(MIN(10000, MAX(0, ((((($D75*1.2)+($E75*1.2)+($F75*1.1)+($G75*1.0)+($H75*1.0)+($I75*1.1)+($J75*0.9))/7.5)-1)/4*8000 + MIN($B75*20,1000) + MIN($C75*100,1000))),0))</f>
        <v/>
      </c>
      <c r="L75" s="31">
        <f>IF($K75="","",MIN(100,INT(SQRT($K75))))</f>
        <v/>
      </c>
      <c r="M75" s="31" t="n"/>
      <c r="N75" s="31">
        <f>IF($M75="Yes",$K75,"")</f>
        <v/>
      </c>
      <c r="O75" s="31" t="n"/>
      <c r="P75" s="59" t="n"/>
      <c r="Q75" s="59" t="n"/>
    </row>
    <row r="76">
      <c r="A76" s="31">
        <f>IF(Members!$A76="","",Members!$A76)</f>
        <v/>
      </c>
      <c r="B76" s="31" t="n"/>
      <c r="C76" s="31" t="n"/>
      <c r="D76" s="31" t="n"/>
      <c r="E76" s="31" t="n"/>
      <c r="F76" s="31" t="n"/>
      <c r="G76" s="31" t="n"/>
      <c r="H76" s="31" t="n"/>
      <c r="I76" s="31" t="n"/>
      <c r="J76" s="31" t="n"/>
      <c r="K76" s="31">
        <f>IF(COUNTA($D76:$J76)&lt;7,"",ROUND(MIN(10000, MAX(0, ((((($D76*1.2)+($E76*1.2)+($F76*1.1)+($G76*1.0)+($H76*1.0)+($I76*1.1)+($J76*0.9))/7.5)-1)/4*8000 + MIN($B76*20,1000) + MIN($C76*100,1000))),0))</f>
        <v/>
      </c>
      <c r="L76" s="31">
        <f>IF($K76="","",MIN(100,INT(SQRT($K76))))</f>
        <v/>
      </c>
      <c r="M76" s="31" t="n"/>
      <c r="N76" s="31">
        <f>IF($M76="Yes",$K76,"")</f>
        <v/>
      </c>
      <c r="O76" s="31" t="n"/>
      <c r="P76" s="59" t="n"/>
      <c r="Q76" s="59" t="n"/>
    </row>
    <row r="77">
      <c r="A77" s="31">
        <f>IF(Members!$A77="","",Members!$A77)</f>
        <v/>
      </c>
      <c r="B77" s="31" t="n"/>
      <c r="C77" s="31" t="n"/>
      <c r="D77" s="31" t="n"/>
      <c r="E77" s="31" t="n"/>
      <c r="F77" s="31" t="n"/>
      <c r="G77" s="31" t="n"/>
      <c r="H77" s="31" t="n"/>
      <c r="I77" s="31" t="n"/>
      <c r="J77" s="31" t="n"/>
      <c r="K77" s="31">
        <f>IF(COUNTA($D77:$J77)&lt;7,"",ROUND(MIN(10000, MAX(0, ((((($D77*1.2)+($E77*1.2)+($F77*1.1)+($G77*1.0)+($H77*1.0)+($I77*1.1)+($J77*0.9))/7.5)-1)/4*8000 + MIN($B77*20,1000) + MIN($C77*100,1000))),0))</f>
        <v/>
      </c>
      <c r="L77" s="31">
        <f>IF($K77="","",MIN(100,INT(SQRT($K77))))</f>
        <v/>
      </c>
      <c r="M77" s="31" t="n"/>
      <c r="N77" s="31">
        <f>IF($M77="Yes",$K77,"")</f>
        <v/>
      </c>
      <c r="O77" s="31" t="n"/>
      <c r="P77" s="59" t="n"/>
      <c r="Q77" s="59" t="n"/>
    </row>
    <row r="78">
      <c r="A78" s="31">
        <f>IF(Members!$A78="","",Members!$A78)</f>
        <v/>
      </c>
      <c r="B78" s="31" t="n"/>
      <c r="C78" s="31" t="n"/>
      <c r="D78" s="31" t="n"/>
      <c r="E78" s="31" t="n"/>
      <c r="F78" s="31" t="n"/>
      <c r="G78" s="31" t="n"/>
      <c r="H78" s="31" t="n"/>
      <c r="I78" s="31" t="n"/>
      <c r="J78" s="31" t="n"/>
      <c r="K78" s="31">
        <f>IF(COUNTA($D78:$J78)&lt;7,"",ROUND(MIN(10000, MAX(0, ((((($D78*1.2)+($E78*1.2)+($F78*1.1)+($G78*1.0)+($H78*1.0)+($I78*1.1)+($J78*0.9))/7.5)-1)/4*8000 + MIN($B78*20,1000) + MIN($C78*100,1000))),0))</f>
        <v/>
      </c>
      <c r="L78" s="31">
        <f>IF($K78="","",MIN(100,INT(SQRT($K78))))</f>
        <v/>
      </c>
      <c r="M78" s="31" t="n"/>
      <c r="N78" s="31">
        <f>IF($M78="Yes",$K78,"")</f>
        <v/>
      </c>
      <c r="O78" s="31" t="n"/>
      <c r="P78" s="59" t="n"/>
      <c r="Q78" s="59" t="n"/>
    </row>
    <row r="79">
      <c r="A79" s="31">
        <f>IF(Members!$A79="","",Members!$A79)</f>
        <v/>
      </c>
      <c r="B79" s="31" t="n"/>
      <c r="C79" s="31" t="n"/>
      <c r="D79" s="31" t="n"/>
      <c r="E79" s="31" t="n"/>
      <c r="F79" s="31" t="n"/>
      <c r="G79" s="31" t="n"/>
      <c r="H79" s="31" t="n"/>
      <c r="I79" s="31" t="n"/>
      <c r="J79" s="31" t="n"/>
      <c r="K79" s="31">
        <f>IF(COUNTA($D79:$J79)&lt;7,"",ROUND(MIN(10000, MAX(0, ((((($D79*1.2)+($E79*1.2)+($F79*1.1)+($G79*1.0)+($H79*1.0)+($I79*1.1)+($J79*0.9))/7.5)-1)/4*8000 + MIN($B79*20,1000) + MIN($C79*100,1000))),0))</f>
        <v/>
      </c>
      <c r="L79" s="31">
        <f>IF($K79="","",MIN(100,INT(SQRT($K79))))</f>
        <v/>
      </c>
      <c r="M79" s="31" t="n"/>
      <c r="N79" s="31">
        <f>IF($M79="Yes",$K79,"")</f>
        <v/>
      </c>
      <c r="O79" s="31" t="n"/>
      <c r="P79" s="59" t="n"/>
      <c r="Q79" s="59" t="n"/>
    </row>
    <row r="80">
      <c r="A80" s="31">
        <f>IF(Members!$A80="","",Members!$A80)</f>
        <v/>
      </c>
      <c r="B80" s="31" t="n"/>
      <c r="C80" s="31" t="n"/>
      <c r="D80" s="31" t="n"/>
      <c r="E80" s="31" t="n"/>
      <c r="F80" s="31" t="n"/>
      <c r="G80" s="31" t="n"/>
      <c r="H80" s="31" t="n"/>
      <c r="I80" s="31" t="n"/>
      <c r="J80" s="31" t="n"/>
      <c r="K80" s="31">
        <f>IF(COUNTA($D80:$J80)&lt;7,"",ROUND(MIN(10000, MAX(0, ((((($D80*1.2)+($E80*1.2)+($F80*1.1)+($G80*1.0)+($H80*1.0)+($I80*1.1)+($J80*0.9))/7.5)-1)/4*8000 + MIN($B80*20,1000) + MIN($C80*100,1000))),0))</f>
        <v/>
      </c>
      <c r="L80" s="31">
        <f>IF($K80="","",MIN(100,INT(SQRT($K80))))</f>
        <v/>
      </c>
      <c r="M80" s="31" t="n"/>
      <c r="N80" s="31">
        <f>IF($M80="Yes",$K80,"")</f>
        <v/>
      </c>
      <c r="O80" s="31" t="n"/>
      <c r="P80" s="59" t="n"/>
      <c r="Q80" s="59" t="n"/>
    </row>
    <row r="81">
      <c r="A81" s="31">
        <f>IF(Members!$A81="","",Members!$A81)</f>
        <v/>
      </c>
      <c r="B81" s="31" t="n"/>
      <c r="C81" s="31" t="n"/>
      <c r="D81" s="31" t="n"/>
      <c r="E81" s="31" t="n"/>
      <c r="F81" s="31" t="n"/>
      <c r="G81" s="31" t="n"/>
      <c r="H81" s="31" t="n"/>
      <c r="I81" s="31" t="n"/>
      <c r="J81" s="31" t="n"/>
      <c r="K81" s="31">
        <f>IF(COUNTA($D81:$J81)&lt;7,"",ROUND(MIN(10000, MAX(0, ((((($D81*1.2)+($E81*1.2)+($F81*1.1)+($G81*1.0)+($H81*1.0)+($I81*1.1)+($J81*0.9))/7.5)-1)/4*8000 + MIN($B81*20,1000) + MIN($C81*100,1000))),0))</f>
        <v/>
      </c>
      <c r="L81" s="31">
        <f>IF($K81="","",MIN(100,INT(SQRT($K81))))</f>
        <v/>
      </c>
      <c r="M81" s="31" t="n"/>
      <c r="N81" s="31">
        <f>IF($M81="Yes",$K81,"")</f>
        <v/>
      </c>
      <c r="O81" s="31" t="n"/>
      <c r="P81" s="59" t="n"/>
      <c r="Q81" s="59" t="n"/>
    </row>
    <row r="82">
      <c r="A82" s="31">
        <f>IF(Members!$A82="","",Members!$A82)</f>
        <v/>
      </c>
      <c r="B82" s="31" t="n"/>
      <c r="C82" s="31" t="n"/>
      <c r="D82" s="31" t="n"/>
      <c r="E82" s="31" t="n"/>
      <c r="F82" s="31" t="n"/>
      <c r="G82" s="31" t="n"/>
      <c r="H82" s="31" t="n"/>
      <c r="I82" s="31" t="n"/>
      <c r="J82" s="31" t="n"/>
      <c r="K82" s="31">
        <f>IF(COUNTA($D82:$J82)&lt;7,"",ROUND(MIN(10000, MAX(0, ((((($D82*1.2)+($E82*1.2)+($F82*1.1)+($G82*1.0)+($H82*1.0)+($I82*1.1)+($J82*0.9))/7.5)-1)/4*8000 + MIN($B82*20,1000) + MIN($C82*100,1000))),0))</f>
        <v/>
      </c>
      <c r="L82" s="31">
        <f>IF($K82="","",MIN(100,INT(SQRT($K82))))</f>
        <v/>
      </c>
      <c r="M82" s="31" t="n"/>
      <c r="N82" s="31">
        <f>IF($M82="Yes",$K82,"")</f>
        <v/>
      </c>
      <c r="O82" s="31" t="n"/>
      <c r="P82" s="59" t="n"/>
      <c r="Q82" s="59" t="n"/>
    </row>
    <row r="83">
      <c r="A83" s="31">
        <f>IF(Members!$A83="","",Members!$A83)</f>
        <v/>
      </c>
      <c r="B83" s="31" t="n"/>
      <c r="C83" s="31" t="n"/>
      <c r="D83" s="31" t="n"/>
      <c r="E83" s="31" t="n"/>
      <c r="F83" s="31" t="n"/>
      <c r="G83" s="31" t="n"/>
      <c r="H83" s="31" t="n"/>
      <c r="I83" s="31" t="n"/>
      <c r="J83" s="31" t="n"/>
      <c r="K83" s="31">
        <f>IF(COUNTA($D83:$J83)&lt;7,"",ROUND(MIN(10000, MAX(0, ((((($D83*1.2)+($E83*1.2)+($F83*1.1)+($G83*1.0)+($H83*1.0)+($I83*1.1)+($J83*0.9))/7.5)-1)/4*8000 + MIN($B83*20,1000) + MIN($C83*100,1000))),0))</f>
        <v/>
      </c>
      <c r="L83" s="31">
        <f>IF($K83="","",MIN(100,INT(SQRT($K83))))</f>
        <v/>
      </c>
      <c r="M83" s="31" t="n"/>
      <c r="N83" s="31">
        <f>IF($M83="Yes",$K83,"")</f>
        <v/>
      </c>
      <c r="O83" s="31" t="n"/>
      <c r="P83" s="59" t="n"/>
      <c r="Q83" s="59" t="n"/>
    </row>
    <row r="84">
      <c r="A84" s="31">
        <f>IF(Members!$A84="","",Members!$A84)</f>
        <v/>
      </c>
      <c r="B84" s="31" t="n"/>
      <c r="C84" s="31" t="n"/>
      <c r="D84" s="31" t="n"/>
      <c r="E84" s="31" t="n"/>
      <c r="F84" s="31" t="n"/>
      <c r="G84" s="31" t="n"/>
      <c r="H84" s="31" t="n"/>
      <c r="I84" s="31" t="n"/>
      <c r="J84" s="31" t="n"/>
      <c r="K84" s="31">
        <f>IF(COUNTA($D84:$J84)&lt;7,"",ROUND(MIN(10000, MAX(0, ((((($D84*1.2)+($E84*1.2)+($F84*1.1)+($G84*1.0)+($H84*1.0)+($I84*1.1)+($J84*0.9))/7.5)-1)/4*8000 + MIN($B84*20,1000) + MIN($C84*100,1000))),0))</f>
        <v/>
      </c>
      <c r="L84" s="31">
        <f>IF($K84="","",MIN(100,INT(SQRT($K84))))</f>
        <v/>
      </c>
      <c r="M84" s="31" t="n"/>
      <c r="N84" s="31">
        <f>IF($M84="Yes",$K84,"")</f>
        <v/>
      </c>
      <c r="O84" s="31" t="n"/>
      <c r="P84" s="59" t="n"/>
      <c r="Q84" s="59" t="n"/>
    </row>
    <row r="85">
      <c r="A85" s="31">
        <f>IF(Members!$A85="","",Members!$A85)</f>
        <v/>
      </c>
      <c r="B85" s="31" t="n"/>
      <c r="C85" s="31" t="n"/>
      <c r="D85" s="31" t="n"/>
      <c r="E85" s="31" t="n"/>
      <c r="F85" s="31" t="n"/>
      <c r="G85" s="31" t="n"/>
      <c r="H85" s="31" t="n"/>
      <c r="I85" s="31" t="n"/>
      <c r="J85" s="31" t="n"/>
      <c r="K85" s="31">
        <f>IF(COUNTA($D85:$J85)&lt;7,"",ROUND(MIN(10000, MAX(0, ((((($D85*1.2)+($E85*1.2)+($F85*1.1)+($G85*1.0)+($H85*1.0)+($I85*1.1)+($J85*0.9))/7.5)-1)/4*8000 + MIN($B85*20,1000) + MIN($C85*100,1000))),0))</f>
        <v/>
      </c>
      <c r="L85" s="31">
        <f>IF($K85="","",MIN(100,INT(SQRT($K85))))</f>
        <v/>
      </c>
      <c r="M85" s="31" t="n"/>
      <c r="N85" s="31">
        <f>IF($M85="Yes",$K85,"")</f>
        <v/>
      </c>
      <c r="O85" s="31" t="n"/>
      <c r="P85" s="59" t="n"/>
      <c r="Q85" s="59" t="n"/>
    </row>
    <row r="86">
      <c r="A86" s="31">
        <f>IF(Members!$A86="","",Members!$A86)</f>
        <v/>
      </c>
      <c r="B86" s="31" t="n"/>
      <c r="C86" s="31" t="n"/>
      <c r="D86" s="31" t="n"/>
      <c r="E86" s="31" t="n"/>
      <c r="F86" s="31" t="n"/>
      <c r="G86" s="31" t="n"/>
      <c r="H86" s="31" t="n"/>
      <c r="I86" s="31" t="n"/>
      <c r="J86" s="31" t="n"/>
      <c r="K86" s="31">
        <f>IF(COUNTA($D86:$J86)&lt;7,"",ROUND(MIN(10000, MAX(0, ((((($D86*1.2)+($E86*1.2)+($F86*1.1)+($G86*1.0)+($H86*1.0)+($I86*1.1)+($J86*0.9))/7.5)-1)/4*8000 + MIN($B86*20,1000) + MIN($C86*100,1000))),0))</f>
        <v/>
      </c>
      <c r="L86" s="31">
        <f>IF($K86="","",MIN(100,INT(SQRT($K86))))</f>
        <v/>
      </c>
      <c r="M86" s="31" t="n"/>
      <c r="N86" s="31">
        <f>IF($M86="Yes",$K86,"")</f>
        <v/>
      </c>
      <c r="O86" s="31" t="n"/>
      <c r="P86" s="59" t="n"/>
      <c r="Q86" s="59" t="n"/>
    </row>
    <row r="87">
      <c r="A87" s="31">
        <f>IF(Members!$A87="","",Members!$A87)</f>
        <v/>
      </c>
      <c r="B87" s="31" t="n"/>
      <c r="C87" s="31" t="n"/>
      <c r="D87" s="31" t="n"/>
      <c r="E87" s="31" t="n"/>
      <c r="F87" s="31" t="n"/>
      <c r="G87" s="31" t="n"/>
      <c r="H87" s="31" t="n"/>
      <c r="I87" s="31" t="n"/>
      <c r="J87" s="31" t="n"/>
      <c r="K87" s="31">
        <f>IF(COUNTA($D87:$J87)&lt;7,"",ROUND(MIN(10000, MAX(0, ((((($D87*1.2)+($E87*1.2)+($F87*1.1)+($G87*1.0)+($H87*1.0)+($I87*1.1)+($J87*0.9))/7.5)-1)/4*8000 + MIN($B87*20,1000) + MIN($C87*100,1000))),0))</f>
        <v/>
      </c>
      <c r="L87" s="31">
        <f>IF($K87="","",MIN(100,INT(SQRT($K87))))</f>
        <v/>
      </c>
      <c r="M87" s="31" t="n"/>
      <c r="N87" s="31">
        <f>IF($M87="Yes",$K87,"")</f>
        <v/>
      </c>
      <c r="O87" s="31" t="n"/>
      <c r="P87" s="59" t="n"/>
      <c r="Q87" s="59" t="n"/>
    </row>
    <row r="88">
      <c r="A88" s="31">
        <f>IF(Members!$A88="","",Members!$A88)</f>
        <v/>
      </c>
      <c r="B88" s="31" t="n"/>
      <c r="C88" s="31" t="n"/>
      <c r="D88" s="31" t="n"/>
      <c r="E88" s="31" t="n"/>
      <c r="F88" s="31" t="n"/>
      <c r="G88" s="31" t="n"/>
      <c r="H88" s="31" t="n"/>
      <c r="I88" s="31" t="n"/>
      <c r="J88" s="31" t="n"/>
      <c r="K88" s="31">
        <f>IF(COUNTA($D88:$J88)&lt;7,"",ROUND(MIN(10000, MAX(0, ((((($D88*1.2)+($E88*1.2)+($F88*1.1)+($G88*1.0)+($H88*1.0)+($I88*1.1)+($J88*0.9))/7.5)-1)/4*8000 + MIN($B88*20,1000) + MIN($C88*100,1000))),0))</f>
        <v/>
      </c>
      <c r="L88" s="31">
        <f>IF($K88="","",MIN(100,INT(SQRT($K88))))</f>
        <v/>
      </c>
      <c r="M88" s="31" t="n"/>
      <c r="N88" s="31">
        <f>IF($M88="Yes",$K88,"")</f>
        <v/>
      </c>
      <c r="O88" s="31" t="n"/>
      <c r="P88" s="59" t="n"/>
      <c r="Q88" s="59" t="n"/>
    </row>
    <row r="89">
      <c r="A89" s="31">
        <f>IF(Members!$A89="","",Members!$A89)</f>
        <v/>
      </c>
      <c r="B89" s="31" t="n"/>
      <c r="C89" s="31" t="n"/>
      <c r="D89" s="31" t="n"/>
      <c r="E89" s="31" t="n"/>
      <c r="F89" s="31" t="n"/>
      <c r="G89" s="31" t="n"/>
      <c r="H89" s="31" t="n"/>
      <c r="I89" s="31" t="n"/>
      <c r="J89" s="31" t="n"/>
      <c r="K89" s="31">
        <f>IF(COUNTA($D89:$J89)&lt;7,"",ROUND(MIN(10000, MAX(0, ((((($D89*1.2)+($E89*1.2)+($F89*1.1)+($G89*1.0)+($H89*1.0)+($I89*1.1)+($J89*0.9))/7.5)-1)/4*8000 + MIN($B89*20,1000) + MIN($C89*100,1000))),0))</f>
        <v/>
      </c>
      <c r="L89" s="31">
        <f>IF($K89="","",MIN(100,INT(SQRT($K89))))</f>
        <v/>
      </c>
      <c r="M89" s="31" t="n"/>
      <c r="N89" s="31">
        <f>IF($M89="Yes",$K89,"")</f>
        <v/>
      </c>
      <c r="O89" s="31" t="n"/>
      <c r="P89" s="59" t="n"/>
      <c r="Q89" s="59" t="n"/>
    </row>
    <row r="90">
      <c r="A90" s="31">
        <f>IF(Members!$A90="","",Members!$A90)</f>
        <v/>
      </c>
      <c r="B90" s="31" t="n"/>
      <c r="C90" s="31" t="n"/>
      <c r="D90" s="31" t="n"/>
      <c r="E90" s="31" t="n"/>
      <c r="F90" s="31" t="n"/>
      <c r="G90" s="31" t="n"/>
      <c r="H90" s="31" t="n"/>
      <c r="I90" s="31" t="n"/>
      <c r="J90" s="31" t="n"/>
      <c r="K90" s="31">
        <f>IF(COUNTA($D90:$J90)&lt;7,"",ROUND(MIN(10000, MAX(0, ((((($D90*1.2)+($E90*1.2)+($F90*1.1)+($G90*1.0)+($H90*1.0)+($I90*1.1)+($J90*0.9))/7.5)-1)/4*8000 + MIN($B90*20,1000) + MIN($C90*100,1000))),0))</f>
        <v/>
      </c>
      <c r="L90" s="31">
        <f>IF($K90="","",MIN(100,INT(SQRT($K90))))</f>
        <v/>
      </c>
      <c r="M90" s="31" t="n"/>
      <c r="N90" s="31">
        <f>IF($M90="Yes",$K90,"")</f>
        <v/>
      </c>
      <c r="O90" s="31" t="n"/>
      <c r="P90" s="59" t="n"/>
      <c r="Q90" s="59" t="n"/>
    </row>
    <row r="91">
      <c r="A91" s="31">
        <f>IF(Members!$A91="","",Members!$A91)</f>
        <v/>
      </c>
      <c r="B91" s="31" t="n"/>
      <c r="C91" s="31" t="n"/>
      <c r="D91" s="31" t="n"/>
      <c r="E91" s="31" t="n"/>
      <c r="F91" s="31" t="n"/>
      <c r="G91" s="31" t="n"/>
      <c r="H91" s="31" t="n"/>
      <c r="I91" s="31" t="n"/>
      <c r="J91" s="31" t="n"/>
      <c r="K91" s="31">
        <f>IF(COUNTA($D91:$J91)&lt;7,"",ROUND(MIN(10000, MAX(0, ((((($D91*1.2)+($E91*1.2)+($F91*1.1)+($G91*1.0)+($H91*1.0)+($I91*1.1)+($J91*0.9))/7.5)-1)/4*8000 + MIN($B91*20,1000) + MIN($C91*100,1000))),0))</f>
        <v/>
      </c>
      <c r="L91" s="31">
        <f>IF($K91="","",MIN(100,INT(SQRT($K91))))</f>
        <v/>
      </c>
      <c r="M91" s="31" t="n"/>
      <c r="N91" s="31">
        <f>IF($M91="Yes",$K91,"")</f>
        <v/>
      </c>
      <c r="O91" s="31" t="n"/>
      <c r="P91" s="59" t="n"/>
      <c r="Q91" s="59" t="n"/>
    </row>
    <row r="92">
      <c r="A92" s="31">
        <f>IF(Members!$A92="","",Members!$A92)</f>
        <v/>
      </c>
      <c r="B92" s="31" t="n"/>
      <c r="C92" s="31" t="n"/>
      <c r="D92" s="31" t="n"/>
      <c r="E92" s="31" t="n"/>
      <c r="F92" s="31" t="n"/>
      <c r="G92" s="31" t="n"/>
      <c r="H92" s="31" t="n"/>
      <c r="I92" s="31" t="n"/>
      <c r="J92" s="31" t="n"/>
      <c r="K92" s="31">
        <f>IF(COUNTA($D92:$J92)&lt;7,"",ROUND(MIN(10000, MAX(0, ((((($D92*1.2)+($E92*1.2)+($F92*1.1)+($G92*1.0)+($H92*1.0)+($I92*1.1)+($J92*0.9))/7.5)-1)/4*8000 + MIN($B92*20,1000) + MIN($C92*100,1000))),0))</f>
        <v/>
      </c>
      <c r="L92" s="31">
        <f>IF($K92="","",MIN(100,INT(SQRT($K92))))</f>
        <v/>
      </c>
      <c r="M92" s="31" t="n"/>
      <c r="N92" s="31">
        <f>IF($M92="Yes",$K92,"")</f>
        <v/>
      </c>
      <c r="O92" s="31" t="n"/>
      <c r="P92" s="59" t="n"/>
      <c r="Q92" s="59" t="n"/>
    </row>
    <row r="93">
      <c r="A93" s="31">
        <f>IF(Members!$A93="","",Members!$A93)</f>
        <v/>
      </c>
      <c r="B93" s="31" t="n"/>
      <c r="C93" s="31" t="n"/>
      <c r="D93" s="31" t="n"/>
      <c r="E93" s="31" t="n"/>
      <c r="F93" s="31" t="n"/>
      <c r="G93" s="31" t="n"/>
      <c r="H93" s="31" t="n"/>
      <c r="I93" s="31" t="n"/>
      <c r="J93" s="31" t="n"/>
      <c r="K93" s="31">
        <f>IF(COUNTA($D93:$J93)&lt;7,"",ROUND(MIN(10000, MAX(0, ((((($D93*1.2)+($E93*1.2)+($F93*1.1)+($G93*1.0)+($H93*1.0)+($I93*1.1)+($J93*0.9))/7.5)-1)/4*8000 + MIN($B93*20,1000) + MIN($C93*100,1000))),0))</f>
        <v/>
      </c>
      <c r="L93" s="31">
        <f>IF($K93="","",MIN(100,INT(SQRT($K93))))</f>
        <v/>
      </c>
      <c r="M93" s="31" t="n"/>
      <c r="N93" s="31">
        <f>IF($M93="Yes",$K93,"")</f>
        <v/>
      </c>
      <c r="O93" s="31" t="n"/>
      <c r="P93" s="59" t="n"/>
      <c r="Q93" s="59" t="n"/>
    </row>
    <row r="94">
      <c r="A94" s="31">
        <f>IF(Members!$A94="","",Members!$A94)</f>
        <v/>
      </c>
      <c r="B94" s="31" t="n"/>
      <c r="C94" s="31" t="n"/>
      <c r="D94" s="31" t="n"/>
      <c r="E94" s="31" t="n"/>
      <c r="F94" s="31" t="n"/>
      <c r="G94" s="31" t="n"/>
      <c r="H94" s="31" t="n"/>
      <c r="I94" s="31" t="n"/>
      <c r="J94" s="31" t="n"/>
      <c r="K94" s="31">
        <f>IF(COUNTA($D94:$J94)&lt;7,"",ROUND(MIN(10000, MAX(0, ((((($D94*1.2)+($E94*1.2)+($F94*1.1)+($G94*1.0)+($H94*1.0)+($I94*1.1)+($J94*0.9))/7.5)-1)/4*8000 + MIN($B94*20,1000) + MIN($C94*100,1000))),0))</f>
        <v/>
      </c>
      <c r="L94" s="31">
        <f>IF($K94="","",MIN(100,INT(SQRT($K94))))</f>
        <v/>
      </c>
      <c r="M94" s="31" t="n"/>
      <c r="N94" s="31">
        <f>IF($M94="Yes",$K94,"")</f>
        <v/>
      </c>
      <c r="O94" s="31" t="n"/>
      <c r="P94" s="59" t="n"/>
      <c r="Q94" s="59" t="n"/>
    </row>
    <row r="95">
      <c r="A95" s="31">
        <f>IF(Members!$A95="","",Members!$A95)</f>
        <v/>
      </c>
      <c r="B95" s="31" t="n"/>
      <c r="C95" s="31" t="n"/>
      <c r="D95" s="31" t="n"/>
      <c r="E95" s="31" t="n"/>
      <c r="F95" s="31" t="n"/>
      <c r="G95" s="31" t="n"/>
      <c r="H95" s="31" t="n"/>
      <c r="I95" s="31" t="n"/>
      <c r="J95" s="31" t="n"/>
      <c r="K95" s="31">
        <f>IF(COUNTA($D95:$J95)&lt;7,"",ROUND(MIN(10000, MAX(0, ((((($D95*1.2)+($E95*1.2)+($F95*1.1)+($G95*1.0)+($H95*1.0)+($I95*1.1)+($J95*0.9))/7.5)-1)/4*8000 + MIN($B95*20,1000) + MIN($C95*100,1000))),0))</f>
        <v/>
      </c>
      <c r="L95" s="31">
        <f>IF($K95="","",MIN(100,INT(SQRT($K95))))</f>
        <v/>
      </c>
      <c r="M95" s="31" t="n"/>
      <c r="N95" s="31">
        <f>IF($M95="Yes",$K95,"")</f>
        <v/>
      </c>
      <c r="O95" s="31" t="n"/>
      <c r="P95" s="59" t="n"/>
      <c r="Q95" s="59" t="n"/>
    </row>
    <row r="96">
      <c r="A96" s="31">
        <f>IF(Members!$A96="","",Members!$A96)</f>
        <v/>
      </c>
      <c r="B96" s="31" t="n"/>
      <c r="C96" s="31" t="n"/>
      <c r="D96" s="31" t="n"/>
      <c r="E96" s="31" t="n"/>
      <c r="F96" s="31" t="n"/>
      <c r="G96" s="31" t="n"/>
      <c r="H96" s="31" t="n"/>
      <c r="I96" s="31" t="n"/>
      <c r="J96" s="31" t="n"/>
      <c r="K96" s="31">
        <f>IF(COUNTA($D96:$J96)&lt;7,"",ROUND(MIN(10000, MAX(0, ((((($D96*1.2)+($E96*1.2)+($F96*1.1)+($G96*1.0)+($H96*1.0)+($I96*1.1)+($J96*0.9))/7.5)-1)/4*8000 + MIN($B96*20,1000) + MIN($C96*100,1000))),0))</f>
        <v/>
      </c>
      <c r="L96" s="31">
        <f>IF($K96="","",MIN(100,INT(SQRT($K96))))</f>
        <v/>
      </c>
      <c r="M96" s="31" t="n"/>
      <c r="N96" s="31">
        <f>IF($M96="Yes",$K96,"")</f>
        <v/>
      </c>
      <c r="O96" s="31" t="n"/>
      <c r="P96" s="59" t="n"/>
      <c r="Q96" s="59" t="n"/>
    </row>
    <row r="97">
      <c r="A97" s="31">
        <f>IF(Members!$A97="","",Members!$A97)</f>
        <v/>
      </c>
      <c r="B97" s="31" t="n"/>
      <c r="C97" s="31" t="n"/>
      <c r="D97" s="31" t="n"/>
      <c r="E97" s="31" t="n"/>
      <c r="F97" s="31" t="n"/>
      <c r="G97" s="31" t="n"/>
      <c r="H97" s="31" t="n"/>
      <c r="I97" s="31" t="n"/>
      <c r="J97" s="31" t="n"/>
      <c r="K97" s="31">
        <f>IF(COUNTA($D97:$J97)&lt;7,"",ROUND(MIN(10000, MAX(0, ((((($D97*1.2)+($E97*1.2)+($F97*1.1)+($G97*1.0)+($H97*1.0)+($I97*1.1)+($J97*0.9))/7.5)-1)/4*8000 + MIN($B97*20,1000) + MIN($C97*100,1000))),0))</f>
        <v/>
      </c>
      <c r="L97" s="31">
        <f>IF($K97="","",MIN(100,INT(SQRT($K97))))</f>
        <v/>
      </c>
      <c r="M97" s="31" t="n"/>
      <c r="N97" s="31">
        <f>IF($M97="Yes",$K97,"")</f>
        <v/>
      </c>
      <c r="O97" s="31" t="n"/>
      <c r="P97" s="59" t="n"/>
      <c r="Q97" s="59" t="n"/>
    </row>
    <row r="98">
      <c r="A98" s="31">
        <f>IF(Members!$A98="","",Members!$A98)</f>
        <v/>
      </c>
      <c r="B98" s="31" t="n"/>
      <c r="C98" s="31" t="n"/>
      <c r="D98" s="31" t="n"/>
      <c r="E98" s="31" t="n"/>
      <c r="F98" s="31" t="n"/>
      <c r="G98" s="31" t="n"/>
      <c r="H98" s="31" t="n"/>
      <c r="I98" s="31" t="n"/>
      <c r="J98" s="31" t="n"/>
      <c r="K98" s="31">
        <f>IF(COUNTA($D98:$J98)&lt;7,"",ROUND(MIN(10000, MAX(0, ((((($D98*1.2)+($E98*1.2)+($F98*1.1)+($G98*1.0)+($H98*1.0)+($I98*1.1)+($J98*0.9))/7.5)-1)/4*8000 + MIN($B98*20,1000) + MIN($C98*100,1000))),0))</f>
        <v/>
      </c>
      <c r="L98" s="31">
        <f>IF($K98="","",MIN(100,INT(SQRT($K98))))</f>
        <v/>
      </c>
      <c r="M98" s="31" t="n"/>
      <c r="N98" s="31">
        <f>IF($M98="Yes",$K98,"")</f>
        <v/>
      </c>
      <c r="O98" s="31" t="n"/>
      <c r="P98" s="59" t="n"/>
      <c r="Q98" s="59" t="n"/>
    </row>
    <row r="99">
      <c r="A99" s="31">
        <f>IF(Members!$A99="","",Members!$A99)</f>
        <v/>
      </c>
      <c r="B99" s="31" t="n"/>
      <c r="C99" s="31" t="n"/>
      <c r="D99" s="31" t="n"/>
      <c r="E99" s="31" t="n"/>
      <c r="F99" s="31" t="n"/>
      <c r="G99" s="31" t="n"/>
      <c r="H99" s="31" t="n"/>
      <c r="I99" s="31" t="n"/>
      <c r="J99" s="31" t="n"/>
      <c r="K99" s="31">
        <f>IF(COUNTA($D99:$J99)&lt;7,"",ROUND(MIN(10000, MAX(0, ((((($D99*1.2)+($E99*1.2)+($F99*1.1)+($G99*1.0)+($H99*1.0)+($I99*1.1)+($J99*0.9))/7.5)-1)/4*8000 + MIN($B99*20,1000) + MIN($C99*100,1000))),0))</f>
        <v/>
      </c>
      <c r="L99" s="31">
        <f>IF($K99="","",MIN(100,INT(SQRT($K99))))</f>
        <v/>
      </c>
      <c r="M99" s="31" t="n"/>
      <c r="N99" s="31">
        <f>IF($M99="Yes",$K99,"")</f>
        <v/>
      </c>
      <c r="O99" s="31" t="n"/>
      <c r="P99" s="59" t="n"/>
      <c r="Q99" s="59" t="n"/>
    </row>
    <row r="100">
      <c r="A100" s="31">
        <f>IF(Members!$A100="","",Members!$A100)</f>
        <v/>
      </c>
      <c r="B100" s="31" t="n"/>
      <c r="C100" s="31" t="n"/>
      <c r="D100" s="31" t="n"/>
      <c r="E100" s="31" t="n"/>
      <c r="F100" s="31" t="n"/>
      <c r="G100" s="31" t="n"/>
      <c r="H100" s="31" t="n"/>
      <c r="I100" s="31" t="n"/>
      <c r="J100" s="31" t="n"/>
      <c r="K100" s="31">
        <f>IF(COUNTA($D100:$J100)&lt;7,"",ROUND(MIN(10000, MAX(0, ((((($D100*1.2)+($E100*1.2)+($F100*1.1)+($G100*1.0)+($H100*1.0)+($I100*1.1)+($J100*0.9))/7.5)-1)/4*8000 + MIN($B100*20,1000) + MIN($C100*100,1000))),0))</f>
        <v/>
      </c>
      <c r="L100" s="31">
        <f>IF($K100="","",MIN(100,INT(SQRT($K100))))</f>
        <v/>
      </c>
      <c r="M100" s="31" t="n"/>
      <c r="N100" s="31">
        <f>IF($M100="Yes",$K100,"")</f>
        <v/>
      </c>
      <c r="O100" s="31" t="n"/>
      <c r="P100" s="59" t="n"/>
      <c r="Q100" s="59" t="n"/>
    </row>
    <row r="101">
      <c r="A101" s="31">
        <f>IF(Members!$A101="","",Members!$A101)</f>
        <v/>
      </c>
      <c r="B101" s="31" t="n"/>
      <c r="C101" s="31" t="n"/>
      <c r="D101" s="31" t="n"/>
      <c r="E101" s="31" t="n"/>
      <c r="F101" s="31" t="n"/>
      <c r="G101" s="31" t="n"/>
      <c r="H101" s="31" t="n"/>
      <c r="I101" s="31" t="n"/>
      <c r="J101" s="31" t="n"/>
      <c r="K101" s="31">
        <f>IF(COUNTA($D101:$J101)&lt;7,"",ROUND(MIN(10000, MAX(0, ((((($D101*1.2)+($E101*1.2)+($F101*1.1)+($G101*1.0)+($H101*1.0)+($I101*1.1)+($J101*0.9))/7.5)-1)/4*8000 + MIN($B101*20,1000) + MIN($C101*100,1000))),0))</f>
        <v/>
      </c>
      <c r="L101" s="31">
        <f>IF($K101="","",MIN(100,INT(SQRT($K101))))</f>
        <v/>
      </c>
      <c r="M101" s="31" t="n"/>
      <c r="N101" s="31">
        <f>IF($M101="Yes",$K101,"")</f>
        <v/>
      </c>
      <c r="O101" s="31" t="n"/>
      <c r="P101" s="59" t="n"/>
      <c r="Q101" s="59" t="n"/>
    </row>
    <row r="102">
      <c r="A102" s="31">
        <f>IF(Members!$A102="","",Members!$A102)</f>
        <v/>
      </c>
      <c r="B102" s="31" t="n"/>
      <c r="C102" s="31" t="n"/>
      <c r="D102" s="31" t="n"/>
      <c r="E102" s="31" t="n"/>
      <c r="F102" s="31" t="n"/>
      <c r="G102" s="31" t="n"/>
      <c r="H102" s="31" t="n"/>
      <c r="I102" s="31" t="n"/>
      <c r="J102" s="31" t="n"/>
      <c r="K102" s="31">
        <f>IF(COUNTA($D102:$J102)&lt;7,"",ROUND(MIN(10000, MAX(0, ((((($D102*1.2)+($E102*1.2)+($F102*1.1)+($G102*1.0)+($H102*1.0)+($I102*1.1)+($J102*0.9))/7.5)-1)/4*8000 + MIN($B102*20,1000) + MIN($C102*100,1000))),0))</f>
        <v/>
      </c>
      <c r="L102" s="31">
        <f>IF($K102="","",MIN(100,INT(SQRT($K102))))</f>
        <v/>
      </c>
      <c r="M102" s="31" t="n"/>
      <c r="N102" s="31">
        <f>IF($M102="Yes",$K102,"")</f>
        <v/>
      </c>
      <c r="O102" s="31" t="n"/>
      <c r="P102" s="59" t="n"/>
      <c r="Q102" s="59" t="n"/>
    </row>
    <row r="103">
      <c r="A103" s="31">
        <f>IF(Members!$A103="","",Members!$A103)</f>
        <v/>
      </c>
      <c r="B103" s="31" t="n"/>
      <c r="C103" s="31" t="n"/>
      <c r="D103" s="31" t="n"/>
      <c r="E103" s="31" t="n"/>
      <c r="F103" s="31" t="n"/>
      <c r="G103" s="31" t="n"/>
      <c r="H103" s="31" t="n"/>
      <c r="I103" s="31" t="n"/>
      <c r="J103" s="31" t="n"/>
      <c r="K103" s="31">
        <f>IF(COUNTA($D103:$J103)&lt;7,"",ROUND(MIN(10000, MAX(0, ((((($D103*1.2)+($E103*1.2)+($F103*1.1)+($G103*1.0)+($H103*1.0)+($I103*1.1)+($J103*0.9))/7.5)-1)/4*8000 + MIN($B103*20,1000) + MIN($C103*100,1000))),0))</f>
        <v/>
      </c>
      <c r="L103" s="31">
        <f>IF($K103="","",MIN(100,INT(SQRT($K103))))</f>
        <v/>
      </c>
      <c r="M103" s="31" t="n"/>
      <c r="N103" s="31">
        <f>IF($M103="Yes",$K103,"")</f>
        <v/>
      </c>
      <c r="O103" s="31" t="n"/>
      <c r="P103" s="59" t="n"/>
      <c r="Q103" s="59" t="n"/>
    </row>
    <row r="104">
      <c r="A104" s="31">
        <f>IF(Members!$A104="","",Members!$A104)</f>
        <v/>
      </c>
      <c r="B104" s="31" t="n"/>
      <c r="C104" s="31" t="n"/>
      <c r="D104" s="31" t="n"/>
      <c r="E104" s="31" t="n"/>
      <c r="F104" s="31" t="n"/>
      <c r="G104" s="31" t="n"/>
      <c r="H104" s="31" t="n"/>
      <c r="I104" s="31" t="n"/>
      <c r="J104" s="31" t="n"/>
      <c r="K104" s="31">
        <f>IF(COUNTA($D104:$J104)&lt;7,"",ROUND(MIN(10000, MAX(0, ((((($D104*1.2)+($E104*1.2)+($F104*1.1)+($G104*1.0)+($H104*1.0)+($I104*1.1)+($J104*0.9))/7.5)-1)/4*8000 + MIN($B104*20,1000) + MIN($C104*100,1000))),0))</f>
        <v/>
      </c>
      <c r="L104" s="31">
        <f>IF($K104="","",MIN(100,INT(SQRT($K104))))</f>
        <v/>
      </c>
      <c r="M104" s="31" t="n"/>
      <c r="N104" s="31">
        <f>IF($M104="Yes",$K104,"")</f>
        <v/>
      </c>
      <c r="O104" s="31" t="n"/>
      <c r="P104" s="59" t="n"/>
      <c r="Q104" s="59" t="n"/>
    </row>
    <row r="105">
      <c r="A105" s="31">
        <f>IF(Members!$A105="","",Members!$A105)</f>
        <v/>
      </c>
      <c r="B105" s="31" t="n"/>
      <c r="C105" s="31" t="n"/>
      <c r="D105" s="31" t="n"/>
      <c r="E105" s="31" t="n"/>
      <c r="F105" s="31" t="n"/>
      <c r="G105" s="31" t="n"/>
      <c r="H105" s="31" t="n"/>
      <c r="I105" s="31" t="n"/>
      <c r="J105" s="31" t="n"/>
      <c r="K105" s="31">
        <f>IF(COUNTA($D105:$J105)&lt;7,"",ROUND(MIN(10000, MAX(0, ((((($D105*1.2)+($E105*1.2)+($F105*1.1)+($G105*1.0)+($H105*1.0)+($I105*1.1)+($J105*0.9))/7.5)-1)/4*8000 + MIN($B105*20,1000) + MIN($C105*100,1000))),0))</f>
        <v/>
      </c>
      <c r="L105" s="31">
        <f>IF($K105="","",MIN(100,INT(SQRT($K105))))</f>
        <v/>
      </c>
      <c r="M105" s="31" t="n"/>
      <c r="N105" s="31">
        <f>IF($M105="Yes",$K105,"")</f>
        <v/>
      </c>
      <c r="O105" s="31" t="n"/>
      <c r="P105" s="59" t="n"/>
      <c r="Q105" s="59" t="n"/>
    </row>
    <row r="106">
      <c r="A106" s="31">
        <f>IF(Members!$A106="","",Members!$A106)</f>
        <v/>
      </c>
      <c r="B106" s="31" t="n"/>
      <c r="C106" s="31" t="n"/>
      <c r="D106" s="31" t="n"/>
      <c r="E106" s="31" t="n"/>
      <c r="F106" s="31" t="n"/>
      <c r="G106" s="31" t="n"/>
      <c r="H106" s="31" t="n"/>
      <c r="I106" s="31" t="n"/>
      <c r="J106" s="31" t="n"/>
      <c r="K106" s="31">
        <f>IF(COUNTA($D106:$J106)&lt;7,"",ROUND(MIN(10000, MAX(0, ((((($D106*1.2)+($E106*1.2)+($F106*1.1)+($G106*1.0)+($H106*1.0)+($I106*1.1)+($J106*0.9))/7.5)-1)/4*8000 + MIN($B106*20,1000) + MIN($C106*100,1000))),0))</f>
        <v/>
      </c>
      <c r="L106" s="31">
        <f>IF($K106="","",MIN(100,INT(SQRT($K106))))</f>
        <v/>
      </c>
      <c r="M106" s="31" t="n"/>
      <c r="N106" s="31">
        <f>IF($M106="Yes",$K106,"")</f>
        <v/>
      </c>
      <c r="O106" s="31" t="n"/>
      <c r="P106" s="59" t="n"/>
      <c r="Q106" s="59" t="n"/>
    </row>
    <row r="107">
      <c r="A107" s="31">
        <f>IF(Members!$A107="","",Members!$A107)</f>
        <v/>
      </c>
      <c r="B107" s="31" t="n"/>
      <c r="C107" s="31" t="n"/>
      <c r="D107" s="31" t="n"/>
      <c r="E107" s="31" t="n"/>
      <c r="F107" s="31" t="n"/>
      <c r="G107" s="31" t="n"/>
      <c r="H107" s="31" t="n"/>
      <c r="I107" s="31" t="n"/>
      <c r="J107" s="31" t="n"/>
      <c r="K107" s="31">
        <f>IF(COUNTA($D107:$J107)&lt;7,"",ROUND(MIN(10000, MAX(0, ((((($D107*1.2)+($E107*1.2)+($F107*1.1)+($G107*1.0)+($H107*1.0)+($I107*1.1)+($J107*0.9))/7.5)-1)/4*8000 + MIN($B107*20,1000) + MIN($C107*100,1000))),0))</f>
        <v/>
      </c>
      <c r="L107" s="31">
        <f>IF($K107="","",MIN(100,INT(SQRT($K107))))</f>
        <v/>
      </c>
      <c r="M107" s="31" t="n"/>
      <c r="N107" s="31">
        <f>IF($M107="Yes",$K107,"")</f>
        <v/>
      </c>
      <c r="O107" s="31" t="n"/>
      <c r="P107" s="59" t="n"/>
      <c r="Q107" s="59" t="n"/>
    </row>
    <row r="108">
      <c r="A108" s="31">
        <f>IF(Members!$A108="","",Members!$A108)</f>
        <v/>
      </c>
      <c r="B108" s="31" t="n"/>
      <c r="C108" s="31" t="n"/>
      <c r="D108" s="31" t="n"/>
      <c r="E108" s="31" t="n"/>
      <c r="F108" s="31" t="n"/>
      <c r="G108" s="31" t="n"/>
      <c r="H108" s="31" t="n"/>
      <c r="I108" s="31" t="n"/>
      <c r="J108" s="31" t="n"/>
      <c r="K108" s="31">
        <f>IF(COUNTA($D108:$J108)&lt;7,"",ROUND(MIN(10000, MAX(0, ((((($D108*1.2)+($E108*1.2)+($F108*1.1)+($G108*1.0)+($H108*1.0)+($I108*1.1)+($J108*0.9))/7.5)-1)/4*8000 + MIN($B108*20,1000) + MIN($C108*100,1000))),0))</f>
        <v/>
      </c>
      <c r="L108" s="31">
        <f>IF($K108="","",MIN(100,INT(SQRT($K108))))</f>
        <v/>
      </c>
      <c r="M108" s="31" t="n"/>
      <c r="N108" s="31">
        <f>IF($M108="Yes",$K108,"")</f>
        <v/>
      </c>
      <c r="O108" s="31" t="n"/>
      <c r="P108" s="59" t="n"/>
      <c r="Q108" s="59" t="n"/>
    </row>
    <row r="109">
      <c r="A109" s="31">
        <f>IF(Members!$A109="","",Members!$A109)</f>
        <v/>
      </c>
      <c r="B109" s="31" t="n"/>
      <c r="C109" s="31" t="n"/>
      <c r="D109" s="31" t="n"/>
      <c r="E109" s="31" t="n"/>
      <c r="F109" s="31" t="n"/>
      <c r="G109" s="31" t="n"/>
      <c r="H109" s="31" t="n"/>
      <c r="I109" s="31" t="n"/>
      <c r="J109" s="31" t="n"/>
      <c r="K109" s="31">
        <f>IF(COUNTA($D109:$J109)&lt;7,"",ROUND(MIN(10000, MAX(0, ((((($D109*1.2)+($E109*1.2)+($F109*1.1)+($G109*1.0)+($H109*1.0)+($I109*1.1)+($J109*0.9))/7.5)-1)/4*8000 + MIN($B109*20,1000) + MIN($C109*100,1000))),0))</f>
        <v/>
      </c>
      <c r="L109" s="31">
        <f>IF($K109="","",MIN(100,INT(SQRT($K109))))</f>
        <v/>
      </c>
      <c r="M109" s="31" t="n"/>
      <c r="N109" s="31">
        <f>IF($M109="Yes",$K109,"")</f>
        <v/>
      </c>
      <c r="O109" s="31" t="n"/>
      <c r="P109" s="59" t="n"/>
      <c r="Q109" s="59" t="n"/>
    </row>
    <row r="110">
      <c r="A110" s="31">
        <f>IF(Members!$A110="","",Members!$A110)</f>
        <v/>
      </c>
      <c r="B110" s="31" t="n"/>
      <c r="C110" s="31" t="n"/>
      <c r="D110" s="31" t="n"/>
      <c r="E110" s="31" t="n"/>
      <c r="F110" s="31" t="n"/>
      <c r="G110" s="31" t="n"/>
      <c r="H110" s="31" t="n"/>
      <c r="I110" s="31" t="n"/>
      <c r="J110" s="31" t="n"/>
      <c r="K110" s="31">
        <f>IF(COUNTA($D110:$J110)&lt;7,"",ROUND(MIN(10000, MAX(0, ((((($D110*1.2)+($E110*1.2)+($F110*1.1)+($G110*1.0)+($H110*1.0)+($I110*1.1)+($J110*0.9))/7.5)-1)/4*8000 + MIN($B110*20,1000) + MIN($C110*100,1000))),0))</f>
        <v/>
      </c>
      <c r="L110" s="31">
        <f>IF($K110="","",MIN(100,INT(SQRT($K110))))</f>
        <v/>
      </c>
      <c r="M110" s="31" t="n"/>
      <c r="N110" s="31">
        <f>IF($M110="Yes",$K110,"")</f>
        <v/>
      </c>
      <c r="O110" s="31" t="n"/>
      <c r="P110" s="59" t="n"/>
      <c r="Q110" s="59" t="n"/>
    </row>
    <row r="111">
      <c r="A111" s="31">
        <f>IF(Members!$A111="","",Members!$A111)</f>
        <v/>
      </c>
      <c r="B111" s="31" t="n"/>
      <c r="C111" s="31" t="n"/>
      <c r="D111" s="31" t="n"/>
      <c r="E111" s="31" t="n"/>
      <c r="F111" s="31" t="n"/>
      <c r="G111" s="31" t="n"/>
      <c r="H111" s="31" t="n"/>
      <c r="I111" s="31" t="n"/>
      <c r="J111" s="31" t="n"/>
      <c r="K111" s="31">
        <f>IF(COUNTA($D111:$J111)&lt;7,"",ROUND(MIN(10000, MAX(0, ((((($D111*1.2)+($E111*1.2)+($F111*1.1)+($G111*1.0)+($H111*1.0)+($I111*1.1)+($J111*0.9))/7.5)-1)/4*8000 + MIN($B111*20,1000) + MIN($C111*100,1000))),0))</f>
        <v/>
      </c>
      <c r="L111" s="31">
        <f>IF($K111="","",MIN(100,INT(SQRT($K111))))</f>
        <v/>
      </c>
      <c r="M111" s="31" t="n"/>
      <c r="N111" s="31">
        <f>IF($M111="Yes",$K111,"")</f>
        <v/>
      </c>
      <c r="O111" s="31" t="n"/>
      <c r="P111" s="59" t="n"/>
      <c r="Q111" s="59" t="n"/>
    </row>
    <row r="112">
      <c r="A112" s="31">
        <f>IF(Members!$A112="","",Members!$A112)</f>
        <v/>
      </c>
      <c r="B112" s="31" t="n"/>
      <c r="C112" s="31" t="n"/>
      <c r="D112" s="31" t="n"/>
      <c r="E112" s="31" t="n"/>
      <c r="F112" s="31" t="n"/>
      <c r="G112" s="31" t="n"/>
      <c r="H112" s="31" t="n"/>
      <c r="I112" s="31" t="n"/>
      <c r="J112" s="31" t="n"/>
      <c r="K112" s="31">
        <f>IF(COUNTA($D112:$J112)&lt;7,"",ROUND(MIN(10000, MAX(0, ((((($D112*1.2)+($E112*1.2)+($F112*1.1)+($G112*1.0)+($H112*1.0)+($I112*1.1)+($J112*0.9))/7.5)-1)/4*8000 + MIN($B112*20,1000) + MIN($C112*100,1000))),0))</f>
        <v/>
      </c>
      <c r="L112" s="31">
        <f>IF($K112="","",MIN(100,INT(SQRT($K112))))</f>
        <v/>
      </c>
      <c r="M112" s="31" t="n"/>
      <c r="N112" s="31">
        <f>IF($M112="Yes",$K112,"")</f>
        <v/>
      </c>
      <c r="O112" s="31" t="n"/>
      <c r="P112" s="59" t="n"/>
      <c r="Q112" s="59" t="n"/>
    </row>
    <row r="113">
      <c r="A113" s="31">
        <f>IF(Members!$A113="","",Members!$A113)</f>
        <v/>
      </c>
      <c r="B113" s="31" t="n"/>
      <c r="C113" s="31" t="n"/>
      <c r="D113" s="31" t="n"/>
      <c r="E113" s="31" t="n"/>
      <c r="F113" s="31" t="n"/>
      <c r="G113" s="31" t="n"/>
      <c r="H113" s="31" t="n"/>
      <c r="I113" s="31" t="n"/>
      <c r="J113" s="31" t="n"/>
      <c r="K113" s="31">
        <f>IF(COUNTA($D113:$J113)&lt;7,"",ROUND(MIN(10000, MAX(0, ((((($D113*1.2)+($E113*1.2)+($F113*1.1)+($G113*1.0)+($H113*1.0)+($I113*1.1)+($J113*0.9))/7.5)-1)/4*8000 + MIN($B113*20,1000) + MIN($C113*100,1000))),0))</f>
        <v/>
      </c>
      <c r="L113" s="31">
        <f>IF($K113="","",MIN(100,INT(SQRT($K113))))</f>
        <v/>
      </c>
      <c r="M113" s="31" t="n"/>
      <c r="N113" s="31">
        <f>IF($M113="Yes",$K113,"")</f>
        <v/>
      </c>
      <c r="O113" s="31" t="n"/>
      <c r="P113" s="59" t="n"/>
      <c r="Q113" s="59" t="n"/>
    </row>
    <row r="114">
      <c r="A114" s="31">
        <f>IF(Members!$A114="","",Members!$A114)</f>
        <v/>
      </c>
      <c r="B114" s="31" t="n"/>
      <c r="C114" s="31" t="n"/>
      <c r="D114" s="31" t="n"/>
      <c r="E114" s="31" t="n"/>
      <c r="F114" s="31" t="n"/>
      <c r="G114" s="31" t="n"/>
      <c r="H114" s="31" t="n"/>
      <c r="I114" s="31" t="n"/>
      <c r="J114" s="31" t="n"/>
      <c r="K114" s="31">
        <f>IF(COUNTA($D114:$J114)&lt;7,"",ROUND(MIN(10000, MAX(0, ((((($D114*1.2)+($E114*1.2)+($F114*1.1)+($G114*1.0)+($H114*1.0)+($I114*1.1)+($J114*0.9))/7.5)-1)/4*8000 + MIN($B114*20,1000) + MIN($C114*100,1000))),0))</f>
        <v/>
      </c>
      <c r="L114" s="31">
        <f>IF($K114="","",MIN(100,INT(SQRT($K114))))</f>
        <v/>
      </c>
      <c r="M114" s="31" t="n"/>
      <c r="N114" s="31">
        <f>IF($M114="Yes",$K114,"")</f>
        <v/>
      </c>
      <c r="O114" s="31" t="n"/>
      <c r="P114" s="59" t="n"/>
      <c r="Q114" s="59" t="n"/>
    </row>
    <row r="115">
      <c r="A115" s="31">
        <f>IF(Members!$A115="","",Members!$A115)</f>
        <v/>
      </c>
      <c r="B115" s="31" t="n"/>
      <c r="C115" s="31" t="n"/>
      <c r="D115" s="31" t="n"/>
      <c r="E115" s="31" t="n"/>
      <c r="F115" s="31" t="n"/>
      <c r="G115" s="31" t="n"/>
      <c r="H115" s="31" t="n"/>
      <c r="I115" s="31" t="n"/>
      <c r="J115" s="31" t="n"/>
      <c r="K115" s="31">
        <f>IF(COUNTA($D115:$J115)&lt;7,"",ROUND(MIN(10000, MAX(0, ((((($D115*1.2)+($E115*1.2)+($F115*1.1)+($G115*1.0)+($H115*1.0)+($I115*1.1)+($J115*0.9))/7.5)-1)/4*8000 + MIN($B115*20,1000) + MIN($C115*100,1000))),0))</f>
        <v/>
      </c>
      <c r="L115" s="31">
        <f>IF($K115="","",MIN(100,INT(SQRT($K115))))</f>
        <v/>
      </c>
      <c r="M115" s="31" t="n"/>
      <c r="N115" s="31">
        <f>IF($M115="Yes",$K115,"")</f>
        <v/>
      </c>
      <c r="O115" s="31" t="n"/>
      <c r="P115" s="59" t="n"/>
      <c r="Q115" s="59" t="n"/>
    </row>
    <row r="116">
      <c r="A116" s="31">
        <f>IF(Members!$A116="","",Members!$A116)</f>
        <v/>
      </c>
      <c r="B116" s="31" t="n"/>
      <c r="C116" s="31" t="n"/>
      <c r="D116" s="31" t="n"/>
      <c r="E116" s="31" t="n"/>
      <c r="F116" s="31" t="n"/>
      <c r="G116" s="31" t="n"/>
      <c r="H116" s="31" t="n"/>
      <c r="I116" s="31" t="n"/>
      <c r="J116" s="31" t="n"/>
      <c r="K116" s="31">
        <f>IF(COUNTA($D116:$J116)&lt;7,"",ROUND(MIN(10000, MAX(0, ((((($D116*1.2)+($E116*1.2)+($F116*1.1)+($G116*1.0)+($H116*1.0)+($I116*1.1)+($J116*0.9))/7.5)-1)/4*8000 + MIN($B116*20,1000) + MIN($C116*100,1000))),0))</f>
        <v/>
      </c>
      <c r="L116" s="31">
        <f>IF($K116="","",MIN(100,INT(SQRT($K116))))</f>
        <v/>
      </c>
      <c r="M116" s="31" t="n"/>
      <c r="N116" s="31">
        <f>IF($M116="Yes",$K116,"")</f>
        <v/>
      </c>
      <c r="O116" s="31" t="n"/>
      <c r="P116" s="59" t="n"/>
      <c r="Q116" s="59" t="n"/>
    </row>
    <row r="117">
      <c r="A117" s="31">
        <f>IF(Members!$A117="","",Members!$A117)</f>
        <v/>
      </c>
      <c r="B117" s="31" t="n"/>
      <c r="C117" s="31" t="n"/>
      <c r="D117" s="31" t="n"/>
      <c r="E117" s="31" t="n"/>
      <c r="F117" s="31" t="n"/>
      <c r="G117" s="31" t="n"/>
      <c r="H117" s="31" t="n"/>
      <c r="I117" s="31" t="n"/>
      <c r="J117" s="31" t="n"/>
      <c r="K117" s="31">
        <f>IF(COUNTA($D117:$J117)&lt;7,"",ROUND(MIN(10000, MAX(0, ((((($D117*1.2)+($E117*1.2)+($F117*1.1)+($G117*1.0)+($H117*1.0)+($I117*1.1)+($J117*0.9))/7.5)-1)/4*8000 + MIN($B117*20,1000) + MIN($C117*100,1000))),0))</f>
        <v/>
      </c>
      <c r="L117" s="31">
        <f>IF($K117="","",MIN(100,INT(SQRT($K117))))</f>
        <v/>
      </c>
      <c r="M117" s="31" t="n"/>
      <c r="N117" s="31">
        <f>IF($M117="Yes",$K117,"")</f>
        <v/>
      </c>
      <c r="O117" s="31" t="n"/>
      <c r="P117" s="59" t="n"/>
      <c r="Q117" s="59" t="n"/>
    </row>
    <row r="118">
      <c r="A118" s="31">
        <f>IF(Members!$A118="","",Members!$A118)</f>
        <v/>
      </c>
      <c r="B118" s="31" t="n"/>
      <c r="C118" s="31" t="n"/>
      <c r="D118" s="31" t="n"/>
      <c r="E118" s="31" t="n"/>
      <c r="F118" s="31" t="n"/>
      <c r="G118" s="31" t="n"/>
      <c r="H118" s="31" t="n"/>
      <c r="I118" s="31" t="n"/>
      <c r="J118" s="31" t="n"/>
      <c r="K118" s="31">
        <f>IF(COUNTA($D118:$J118)&lt;7,"",ROUND(MIN(10000, MAX(0, ((((($D118*1.2)+($E118*1.2)+($F118*1.1)+($G118*1.0)+($H118*1.0)+($I118*1.1)+($J118*0.9))/7.5)-1)/4*8000 + MIN($B118*20,1000) + MIN($C118*100,1000))),0))</f>
        <v/>
      </c>
      <c r="L118" s="31">
        <f>IF($K118="","",MIN(100,INT(SQRT($K118))))</f>
        <v/>
      </c>
      <c r="M118" s="31" t="n"/>
      <c r="N118" s="31">
        <f>IF($M118="Yes",$K118,"")</f>
        <v/>
      </c>
      <c r="O118" s="31" t="n"/>
      <c r="P118" s="59" t="n"/>
      <c r="Q118" s="59" t="n"/>
    </row>
    <row r="119">
      <c r="A119" s="31">
        <f>IF(Members!$A119="","",Members!$A119)</f>
        <v/>
      </c>
      <c r="B119" s="31" t="n"/>
      <c r="C119" s="31" t="n"/>
      <c r="D119" s="31" t="n"/>
      <c r="E119" s="31" t="n"/>
      <c r="F119" s="31" t="n"/>
      <c r="G119" s="31" t="n"/>
      <c r="H119" s="31" t="n"/>
      <c r="I119" s="31" t="n"/>
      <c r="J119" s="31" t="n"/>
      <c r="K119" s="31">
        <f>IF(COUNTA($D119:$J119)&lt;7,"",ROUND(MIN(10000, MAX(0, ((((($D119*1.2)+($E119*1.2)+($F119*1.1)+($G119*1.0)+($H119*1.0)+($I119*1.1)+($J119*0.9))/7.5)-1)/4*8000 + MIN($B119*20,1000) + MIN($C119*100,1000))),0))</f>
        <v/>
      </c>
      <c r="L119" s="31">
        <f>IF($K119="","",MIN(100,INT(SQRT($K119))))</f>
        <v/>
      </c>
      <c r="M119" s="31" t="n"/>
      <c r="N119" s="31">
        <f>IF($M119="Yes",$K119,"")</f>
        <v/>
      </c>
      <c r="O119" s="31" t="n"/>
      <c r="P119" s="59" t="n"/>
      <c r="Q119" s="59" t="n"/>
    </row>
    <row r="120">
      <c r="A120" s="31">
        <f>IF(Members!$A120="","",Members!$A120)</f>
        <v/>
      </c>
      <c r="B120" s="31" t="n"/>
      <c r="C120" s="31" t="n"/>
      <c r="D120" s="31" t="n"/>
      <c r="E120" s="31" t="n"/>
      <c r="F120" s="31" t="n"/>
      <c r="G120" s="31" t="n"/>
      <c r="H120" s="31" t="n"/>
      <c r="I120" s="31" t="n"/>
      <c r="J120" s="31" t="n"/>
      <c r="K120" s="31">
        <f>IF(COUNTA($D120:$J120)&lt;7,"",ROUND(MIN(10000, MAX(0, ((((($D120*1.2)+($E120*1.2)+($F120*1.1)+($G120*1.0)+($H120*1.0)+($I120*1.1)+($J120*0.9))/7.5)-1)/4*8000 + MIN($B120*20,1000) + MIN($C120*100,1000))),0))</f>
        <v/>
      </c>
      <c r="L120" s="31">
        <f>IF($K120="","",MIN(100,INT(SQRT($K120))))</f>
        <v/>
      </c>
      <c r="M120" s="31" t="n"/>
      <c r="N120" s="31">
        <f>IF($M120="Yes",$K120,"")</f>
        <v/>
      </c>
      <c r="O120" s="31" t="n"/>
      <c r="P120" s="59" t="n"/>
      <c r="Q120" s="59" t="n"/>
    </row>
    <row r="121">
      <c r="A121" s="31">
        <f>IF(Members!$A121="","",Members!$A121)</f>
        <v/>
      </c>
      <c r="B121" s="31" t="n"/>
      <c r="C121" s="31" t="n"/>
      <c r="D121" s="31" t="n"/>
      <c r="E121" s="31" t="n"/>
      <c r="F121" s="31" t="n"/>
      <c r="G121" s="31" t="n"/>
      <c r="H121" s="31" t="n"/>
      <c r="I121" s="31" t="n"/>
      <c r="J121" s="31" t="n"/>
      <c r="K121" s="31">
        <f>IF(COUNTA($D121:$J121)&lt;7,"",ROUND(MIN(10000, MAX(0, ((((($D121*1.2)+($E121*1.2)+($F121*1.1)+($G121*1.0)+($H121*1.0)+($I121*1.1)+($J121*0.9))/7.5)-1)/4*8000 + MIN($B121*20,1000) + MIN($C121*100,1000))),0))</f>
        <v/>
      </c>
      <c r="L121" s="31">
        <f>IF($K121="","",MIN(100,INT(SQRT($K121))))</f>
        <v/>
      </c>
      <c r="M121" s="31" t="n"/>
      <c r="N121" s="31">
        <f>IF($M121="Yes",$K121,"")</f>
        <v/>
      </c>
      <c r="O121" s="31" t="n"/>
      <c r="P121" s="59" t="n"/>
      <c r="Q121" s="59" t="n"/>
    </row>
    <row r="122">
      <c r="A122" s="31">
        <f>IF(Members!$A122="","",Members!$A122)</f>
        <v/>
      </c>
      <c r="B122" s="31" t="n"/>
      <c r="C122" s="31" t="n"/>
      <c r="D122" s="31" t="n"/>
      <c r="E122" s="31" t="n"/>
      <c r="F122" s="31" t="n"/>
      <c r="G122" s="31" t="n"/>
      <c r="H122" s="31" t="n"/>
      <c r="I122" s="31" t="n"/>
      <c r="J122" s="31" t="n"/>
      <c r="K122" s="31">
        <f>IF(COUNTA($D122:$J122)&lt;7,"",ROUND(MIN(10000, MAX(0, ((((($D122*1.2)+($E122*1.2)+($F122*1.1)+($G122*1.0)+($H122*1.0)+($I122*1.1)+($J122*0.9))/7.5)-1)/4*8000 + MIN($B122*20,1000) + MIN($C122*100,1000))),0))</f>
        <v/>
      </c>
      <c r="L122" s="31">
        <f>IF($K122="","",MIN(100,INT(SQRT($K122))))</f>
        <v/>
      </c>
      <c r="M122" s="31" t="n"/>
      <c r="N122" s="31">
        <f>IF($M122="Yes",$K122,"")</f>
        <v/>
      </c>
      <c r="O122" s="31" t="n"/>
      <c r="P122" s="59" t="n"/>
      <c r="Q122" s="59" t="n"/>
    </row>
    <row r="123">
      <c r="A123" s="31">
        <f>IF(Members!$A123="","",Members!$A123)</f>
        <v/>
      </c>
      <c r="B123" s="31" t="n"/>
      <c r="C123" s="31" t="n"/>
      <c r="D123" s="31" t="n"/>
      <c r="E123" s="31" t="n"/>
      <c r="F123" s="31" t="n"/>
      <c r="G123" s="31" t="n"/>
      <c r="H123" s="31" t="n"/>
      <c r="I123" s="31" t="n"/>
      <c r="J123" s="31" t="n"/>
      <c r="K123" s="31">
        <f>IF(COUNTA($D123:$J123)&lt;7,"",ROUND(MIN(10000, MAX(0, ((((($D123*1.2)+($E123*1.2)+($F123*1.1)+($G123*1.0)+($H123*1.0)+($I123*1.1)+($J123*0.9))/7.5)-1)/4*8000 + MIN($B123*20,1000) + MIN($C123*100,1000))),0))</f>
        <v/>
      </c>
      <c r="L123" s="31">
        <f>IF($K123="","",MIN(100,INT(SQRT($K123))))</f>
        <v/>
      </c>
      <c r="M123" s="31" t="n"/>
      <c r="N123" s="31">
        <f>IF($M123="Yes",$K123,"")</f>
        <v/>
      </c>
      <c r="O123" s="31" t="n"/>
      <c r="P123" s="59" t="n"/>
      <c r="Q123" s="59" t="n"/>
    </row>
    <row r="124">
      <c r="A124" s="31">
        <f>IF(Members!$A124="","",Members!$A124)</f>
        <v/>
      </c>
      <c r="B124" s="31" t="n"/>
      <c r="C124" s="31" t="n"/>
      <c r="D124" s="31" t="n"/>
      <c r="E124" s="31" t="n"/>
      <c r="F124" s="31" t="n"/>
      <c r="G124" s="31" t="n"/>
      <c r="H124" s="31" t="n"/>
      <c r="I124" s="31" t="n"/>
      <c r="J124" s="31" t="n"/>
      <c r="K124" s="31">
        <f>IF(COUNTA($D124:$J124)&lt;7,"",ROUND(MIN(10000, MAX(0, ((((($D124*1.2)+($E124*1.2)+($F124*1.1)+($G124*1.0)+($H124*1.0)+($I124*1.1)+($J124*0.9))/7.5)-1)/4*8000 + MIN($B124*20,1000) + MIN($C124*100,1000))),0))</f>
        <v/>
      </c>
      <c r="L124" s="31">
        <f>IF($K124="","",MIN(100,INT(SQRT($K124))))</f>
        <v/>
      </c>
      <c r="M124" s="31" t="n"/>
      <c r="N124" s="31">
        <f>IF($M124="Yes",$K124,"")</f>
        <v/>
      </c>
      <c r="O124" s="31" t="n"/>
      <c r="P124" s="59" t="n"/>
      <c r="Q124" s="59" t="n"/>
    </row>
    <row r="125">
      <c r="A125" s="31">
        <f>IF(Members!$A125="","",Members!$A125)</f>
        <v/>
      </c>
      <c r="B125" s="31" t="n"/>
      <c r="C125" s="31" t="n"/>
      <c r="D125" s="31" t="n"/>
      <c r="E125" s="31" t="n"/>
      <c r="F125" s="31" t="n"/>
      <c r="G125" s="31" t="n"/>
      <c r="H125" s="31" t="n"/>
      <c r="I125" s="31" t="n"/>
      <c r="J125" s="31" t="n"/>
      <c r="K125" s="31">
        <f>IF(COUNTA($D125:$J125)&lt;7,"",ROUND(MIN(10000, MAX(0, ((((($D125*1.2)+($E125*1.2)+($F125*1.1)+($G125*1.0)+($H125*1.0)+($I125*1.1)+($J125*0.9))/7.5)-1)/4*8000 + MIN($B125*20,1000) + MIN($C125*100,1000))),0))</f>
        <v/>
      </c>
      <c r="L125" s="31">
        <f>IF($K125="","",MIN(100,INT(SQRT($K125))))</f>
        <v/>
      </c>
      <c r="M125" s="31" t="n"/>
      <c r="N125" s="31">
        <f>IF($M125="Yes",$K125,"")</f>
        <v/>
      </c>
      <c r="O125" s="31" t="n"/>
      <c r="P125" s="59" t="n"/>
      <c r="Q125" s="59" t="n"/>
    </row>
    <row r="126">
      <c r="A126" s="31">
        <f>IF(Members!$A126="","",Members!$A126)</f>
        <v/>
      </c>
      <c r="B126" s="31" t="n"/>
      <c r="C126" s="31" t="n"/>
      <c r="D126" s="31" t="n"/>
      <c r="E126" s="31" t="n"/>
      <c r="F126" s="31" t="n"/>
      <c r="G126" s="31" t="n"/>
      <c r="H126" s="31" t="n"/>
      <c r="I126" s="31" t="n"/>
      <c r="J126" s="31" t="n"/>
      <c r="K126" s="31">
        <f>IF(COUNTA($D126:$J126)&lt;7,"",ROUND(MIN(10000, MAX(0, ((((($D126*1.2)+($E126*1.2)+($F126*1.1)+($G126*1.0)+($H126*1.0)+($I126*1.1)+($J126*0.9))/7.5)-1)/4*8000 + MIN($B126*20,1000) + MIN($C126*100,1000))),0))</f>
        <v/>
      </c>
      <c r="L126" s="31">
        <f>IF($K126="","",MIN(100,INT(SQRT($K126))))</f>
        <v/>
      </c>
      <c r="M126" s="31" t="n"/>
      <c r="N126" s="31">
        <f>IF($M126="Yes",$K126,"")</f>
        <v/>
      </c>
      <c r="O126" s="31" t="n"/>
      <c r="P126" s="59" t="n"/>
      <c r="Q126" s="59" t="n"/>
    </row>
    <row r="127">
      <c r="A127" s="31">
        <f>IF(Members!$A127="","",Members!$A127)</f>
        <v/>
      </c>
      <c r="B127" s="31" t="n"/>
      <c r="C127" s="31" t="n"/>
      <c r="D127" s="31" t="n"/>
      <c r="E127" s="31" t="n"/>
      <c r="F127" s="31" t="n"/>
      <c r="G127" s="31" t="n"/>
      <c r="H127" s="31" t="n"/>
      <c r="I127" s="31" t="n"/>
      <c r="J127" s="31" t="n"/>
      <c r="K127" s="31">
        <f>IF(COUNTA($D127:$J127)&lt;7,"",ROUND(MIN(10000, MAX(0, ((((($D127*1.2)+($E127*1.2)+($F127*1.1)+($G127*1.0)+($H127*1.0)+($I127*1.1)+($J127*0.9))/7.5)-1)/4*8000 + MIN($B127*20,1000) + MIN($C127*100,1000))),0))</f>
        <v/>
      </c>
      <c r="L127" s="31">
        <f>IF($K127="","",MIN(100,INT(SQRT($K127))))</f>
        <v/>
      </c>
      <c r="M127" s="31" t="n"/>
      <c r="N127" s="31">
        <f>IF($M127="Yes",$K127,"")</f>
        <v/>
      </c>
      <c r="O127" s="31" t="n"/>
      <c r="P127" s="59" t="n"/>
      <c r="Q127" s="59" t="n"/>
    </row>
    <row r="128">
      <c r="A128" s="31">
        <f>IF(Members!$A128="","",Members!$A128)</f>
        <v/>
      </c>
      <c r="B128" s="31" t="n"/>
      <c r="C128" s="31" t="n"/>
      <c r="D128" s="31" t="n"/>
      <c r="E128" s="31" t="n"/>
      <c r="F128" s="31" t="n"/>
      <c r="G128" s="31" t="n"/>
      <c r="H128" s="31" t="n"/>
      <c r="I128" s="31" t="n"/>
      <c r="J128" s="31" t="n"/>
      <c r="K128" s="31">
        <f>IF(COUNTA($D128:$J128)&lt;7,"",ROUND(MIN(10000, MAX(0, ((((($D128*1.2)+($E128*1.2)+($F128*1.1)+($G128*1.0)+($H128*1.0)+($I128*1.1)+($J128*0.9))/7.5)-1)/4*8000 + MIN($B128*20,1000) + MIN($C128*100,1000))),0))</f>
        <v/>
      </c>
      <c r="L128" s="31">
        <f>IF($K128="","",MIN(100,INT(SQRT($K128))))</f>
        <v/>
      </c>
      <c r="M128" s="31" t="n"/>
      <c r="N128" s="31">
        <f>IF($M128="Yes",$K128,"")</f>
        <v/>
      </c>
      <c r="O128" s="31" t="n"/>
      <c r="P128" s="59" t="n"/>
      <c r="Q128" s="59" t="n"/>
    </row>
    <row r="129">
      <c r="A129" s="31">
        <f>IF(Members!$A129="","",Members!$A129)</f>
        <v/>
      </c>
      <c r="B129" s="31" t="n"/>
      <c r="C129" s="31" t="n"/>
      <c r="D129" s="31" t="n"/>
      <c r="E129" s="31" t="n"/>
      <c r="F129" s="31" t="n"/>
      <c r="G129" s="31" t="n"/>
      <c r="H129" s="31" t="n"/>
      <c r="I129" s="31" t="n"/>
      <c r="J129" s="31" t="n"/>
      <c r="K129" s="31">
        <f>IF(COUNTA($D129:$J129)&lt;7,"",ROUND(MIN(10000, MAX(0, ((((($D129*1.2)+($E129*1.2)+($F129*1.1)+($G129*1.0)+($H129*1.0)+($I129*1.1)+($J129*0.9))/7.5)-1)/4*8000 + MIN($B129*20,1000) + MIN($C129*100,1000))),0))</f>
        <v/>
      </c>
      <c r="L129" s="31">
        <f>IF($K129="","",MIN(100,INT(SQRT($K129))))</f>
        <v/>
      </c>
      <c r="M129" s="31" t="n"/>
      <c r="N129" s="31">
        <f>IF($M129="Yes",$K129,"")</f>
        <v/>
      </c>
      <c r="O129" s="31" t="n"/>
      <c r="P129" s="59" t="n"/>
      <c r="Q129" s="59" t="n"/>
    </row>
    <row r="130">
      <c r="A130" s="31">
        <f>IF(Members!$A130="","",Members!$A130)</f>
        <v/>
      </c>
      <c r="B130" s="31" t="n"/>
      <c r="C130" s="31" t="n"/>
      <c r="D130" s="31" t="n"/>
      <c r="E130" s="31" t="n"/>
      <c r="F130" s="31" t="n"/>
      <c r="G130" s="31" t="n"/>
      <c r="H130" s="31" t="n"/>
      <c r="I130" s="31" t="n"/>
      <c r="J130" s="31" t="n"/>
      <c r="K130" s="31">
        <f>IF(COUNTA($D130:$J130)&lt;7,"",ROUND(MIN(10000, MAX(0, ((((($D130*1.2)+($E130*1.2)+($F130*1.1)+($G130*1.0)+($H130*1.0)+($I130*1.1)+($J130*0.9))/7.5)-1)/4*8000 + MIN($B130*20,1000) + MIN($C130*100,1000))),0))</f>
        <v/>
      </c>
      <c r="L130" s="31">
        <f>IF($K130="","",MIN(100,INT(SQRT($K130))))</f>
        <v/>
      </c>
      <c r="M130" s="31" t="n"/>
      <c r="N130" s="31">
        <f>IF($M130="Yes",$K130,"")</f>
        <v/>
      </c>
      <c r="O130" s="31" t="n"/>
      <c r="P130" s="59" t="n"/>
      <c r="Q130" s="59" t="n"/>
    </row>
    <row r="131">
      <c r="A131" s="31">
        <f>IF(Members!$A131="","",Members!$A131)</f>
        <v/>
      </c>
      <c r="B131" s="31" t="n"/>
      <c r="C131" s="31" t="n"/>
      <c r="D131" s="31" t="n"/>
      <c r="E131" s="31" t="n"/>
      <c r="F131" s="31" t="n"/>
      <c r="G131" s="31" t="n"/>
      <c r="H131" s="31" t="n"/>
      <c r="I131" s="31" t="n"/>
      <c r="J131" s="31" t="n"/>
      <c r="K131" s="31">
        <f>IF(COUNTA($D131:$J131)&lt;7,"",ROUND(MIN(10000, MAX(0, ((((($D131*1.2)+($E131*1.2)+($F131*1.1)+($G131*1.0)+($H131*1.0)+($I131*1.1)+($J131*0.9))/7.5)-1)/4*8000 + MIN($B131*20,1000) + MIN($C131*100,1000))),0))</f>
        <v/>
      </c>
      <c r="L131" s="31">
        <f>IF($K131="","",MIN(100,INT(SQRT($K131))))</f>
        <v/>
      </c>
      <c r="M131" s="31" t="n"/>
      <c r="N131" s="31">
        <f>IF($M131="Yes",$K131,"")</f>
        <v/>
      </c>
      <c r="O131" s="31" t="n"/>
      <c r="P131" s="59" t="n"/>
      <c r="Q131" s="59" t="n"/>
    </row>
    <row r="132">
      <c r="A132" s="31">
        <f>IF(Members!$A132="","",Members!$A132)</f>
        <v/>
      </c>
      <c r="B132" s="31" t="n"/>
      <c r="C132" s="31" t="n"/>
      <c r="D132" s="31" t="n"/>
      <c r="E132" s="31" t="n"/>
      <c r="F132" s="31" t="n"/>
      <c r="G132" s="31" t="n"/>
      <c r="H132" s="31" t="n"/>
      <c r="I132" s="31" t="n"/>
      <c r="J132" s="31" t="n"/>
      <c r="K132" s="31">
        <f>IF(COUNTA($D132:$J132)&lt;7,"",ROUND(MIN(10000, MAX(0, ((((($D132*1.2)+($E132*1.2)+($F132*1.1)+($G132*1.0)+($H132*1.0)+($I132*1.1)+($J132*0.9))/7.5)-1)/4*8000 + MIN($B132*20,1000) + MIN($C132*100,1000))),0))</f>
        <v/>
      </c>
      <c r="L132" s="31">
        <f>IF($K132="","",MIN(100,INT(SQRT($K132))))</f>
        <v/>
      </c>
      <c r="M132" s="31" t="n"/>
      <c r="N132" s="31">
        <f>IF($M132="Yes",$K132,"")</f>
        <v/>
      </c>
      <c r="O132" s="31" t="n"/>
      <c r="P132" s="59" t="n"/>
      <c r="Q132" s="59" t="n"/>
    </row>
    <row r="133">
      <c r="A133" s="31">
        <f>IF(Members!$A133="","",Members!$A133)</f>
        <v/>
      </c>
      <c r="B133" s="31" t="n"/>
      <c r="C133" s="31" t="n"/>
      <c r="D133" s="31" t="n"/>
      <c r="E133" s="31" t="n"/>
      <c r="F133" s="31" t="n"/>
      <c r="G133" s="31" t="n"/>
      <c r="H133" s="31" t="n"/>
      <c r="I133" s="31" t="n"/>
      <c r="J133" s="31" t="n"/>
      <c r="K133" s="31">
        <f>IF(COUNTA($D133:$J133)&lt;7,"",ROUND(MIN(10000, MAX(0, ((((($D133*1.2)+($E133*1.2)+($F133*1.1)+($G133*1.0)+($H133*1.0)+($I133*1.1)+($J133*0.9))/7.5)-1)/4*8000 + MIN($B133*20,1000) + MIN($C133*100,1000))),0))</f>
        <v/>
      </c>
      <c r="L133" s="31">
        <f>IF($K133="","",MIN(100,INT(SQRT($K133))))</f>
        <v/>
      </c>
      <c r="M133" s="31" t="n"/>
      <c r="N133" s="31">
        <f>IF($M133="Yes",$K133,"")</f>
        <v/>
      </c>
      <c r="O133" s="31" t="n"/>
      <c r="P133" s="59" t="n"/>
      <c r="Q133" s="59" t="n"/>
    </row>
    <row r="134">
      <c r="A134" s="31">
        <f>IF(Members!$A134="","",Members!$A134)</f>
        <v/>
      </c>
      <c r="B134" s="31" t="n"/>
      <c r="C134" s="31" t="n"/>
      <c r="D134" s="31" t="n"/>
      <c r="E134" s="31" t="n"/>
      <c r="F134" s="31" t="n"/>
      <c r="G134" s="31" t="n"/>
      <c r="H134" s="31" t="n"/>
      <c r="I134" s="31" t="n"/>
      <c r="J134" s="31" t="n"/>
      <c r="K134" s="31">
        <f>IF(COUNTA($D134:$J134)&lt;7,"",ROUND(MIN(10000, MAX(0, ((((($D134*1.2)+($E134*1.2)+($F134*1.1)+($G134*1.0)+($H134*1.0)+($I134*1.1)+($J134*0.9))/7.5)-1)/4*8000 + MIN($B134*20,1000) + MIN($C134*100,1000))),0))</f>
        <v/>
      </c>
      <c r="L134" s="31">
        <f>IF($K134="","",MIN(100,INT(SQRT($K134))))</f>
        <v/>
      </c>
      <c r="M134" s="31" t="n"/>
      <c r="N134" s="31">
        <f>IF($M134="Yes",$K134,"")</f>
        <v/>
      </c>
      <c r="O134" s="31" t="n"/>
      <c r="P134" s="59" t="n"/>
      <c r="Q134" s="59" t="n"/>
    </row>
    <row r="135">
      <c r="A135" s="31">
        <f>IF(Members!$A135="","",Members!$A135)</f>
        <v/>
      </c>
      <c r="B135" s="31" t="n"/>
      <c r="C135" s="31" t="n"/>
      <c r="D135" s="31" t="n"/>
      <c r="E135" s="31" t="n"/>
      <c r="F135" s="31" t="n"/>
      <c r="G135" s="31" t="n"/>
      <c r="H135" s="31" t="n"/>
      <c r="I135" s="31" t="n"/>
      <c r="J135" s="31" t="n"/>
      <c r="K135" s="31">
        <f>IF(COUNTA($D135:$J135)&lt;7,"",ROUND(MIN(10000, MAX(0, ((((($D135*1.2)+($E135*1.2)+($F135*1.1)+($G135*1.0)+($H135*1.0)+($I135*1.1)+($J135*0.9))/7.5)-1)/4*8000 + MIN($B135*20,1000) + MIN($C135*100,1000))),0))</f>
        <v/>
      </c>
      <c r="L135" s="31">
        <f>IF($K135="","",MIN(100,INT(SQRT($K135))))</f>
        <v/>
      </c>
      <c r="M135" s="31" t="n"/>
      <c r="N135" s="31">
        <f>IF($M135="Yes",$K135,"")</f>
        <v/>
      </c>
      <c r="O135" s="31" t="n"/>
      <c r="P135" s="59" t="n"/>
      <c r="Q135" s="59" t="n"/>
    </row>
    <row r="136">
      <c r="A136" s="31">
        <f>IF(Members!$A136="","",Members!$A136)</f>
        <v/>
      </c>
      <c r="B136" s="31" t="n"/>
      <c r="C136" s="31" t="n"/>
      <c r="D136" s="31" t="n"/>
      <c r="E136" s="31" t="n"/>
      <c r="F136" s="31" t="n"/>
      <c r="G136" s="31" t="n"/>
      <c r="H136" s="31" t="n"/>
      <c r="I136" s="31" t="n"/>
      <c r="J136" s="31" t="n"/>
      <c r="K136" s="31">
        <f>IF(COUNTA($D136:$J136)&lt;7,"",ROUND(MIN(10000, MAX(0, ((((($D136*1.2)+($E136*1.2)+($F136*1.1)+($G136*1.0)+($H136*1.0)+($I136*1.1)+($J136*0.9))/7.5)-1)/4*8000 + MIN($B136*20,1000) + MIN($C136*100,1000))),0))</f>
        <v/>
      </c>
      <c r="L136" s="31">
        <f>IF($K136="","",MIN(100,INT(SQRT($K136))))</f>
        <v/>
      </c>
      <c r="M136" s="31" t="n"/>
      <c r="N136" s="31">
        <f>IF($M136="Yes",$K136,"")</f>
        <v/>
      </c>
      <c r="O136" s="31" t="n"/>
      <c r="P136" s="59" t="n"/>
      <c r="Q136" s="59" t="n"/>
    </row>
    <row r="137">
      <c r="A137" s="31">
        <f>IF(Members!$A137="","",Members!$A137)</f>
        <v/>
      </c>
      <c r="B137" s="31" t="n"/>
      <c r="C137" s="31" t="n"/>
      <c r="D137" s="31" t="n"/>
      <c r="E137" s="31" t="n"/>
      <c r="F137" s="31" t="n"/>
      <c r="G137" s="31" t="n"/>
      <c r="H137" s="31" t="n"/>
      <c r="I137" s="31" t="n"/>
      <c r="J137" s="31" t="n"/>
      <c r="K137" s="31">
        <f>IF(COUNTA($D137:$J137)&lt;7,"",ROUND(MIN(10000, MAX(0, ((((($D137*1.2)+($E137*1.2)+($F137*1.1)+($G137*1.0)+($H137*1.0)+($I137*1.1)+($J137*0.9))/7.5)-1)/4*8000 + MIN($B137*20,1000) + MIN($C137*100,1000))),0))</f>
        <v/>
      </c>
      <c r="L137" s="31">
        <f>IF($K137="","",MIN(100,INT(SQRT($K137))))</f>
        <v/>
      </c>
      <c r="M137" s="31" t="n"/>
      <c r="N137" s="31">
        <f>IF($M137="Yes",$K137,"")</f>
        <v/>
      </c>
      <c r="O137" s="31" t="n"/>
      <c r="P137" s="59" t="n"/>
      <c r="Q137" s="59" t="n"/>
    </row>
    <row r="138">
      <c r="A138" s="31">
        <f>IF(Members!$A138="","",Members!$A138)</f>
        <v/>
      </c>
      <c r="B138" s="31" t="n"/>
      <c r="C138" s="31" t="n"/>
      <c r="D138" s="31" t="n"/>
      <c r="E138" s="31" t="n"/>
      <c r="F138" s="31" t="n"/>
      <c r="G138" s="31" t="n"/>
      <c r="H138" s="31" t="n"/>
      <c r="I138" s="31" t="n"/>
      <c r="J138" s="31" t="n"/>
      <c r="K138" s="31">
        <f>IF(COUNTA($D138:$J138)&lt;7,"",ROUND(MIN(10000, MAX(0, ((((($D138*1.2)+($E138*1.2)+($F138*1.1)+($G138*1.0)+($H138*1.0)+($I138*1.1)+($J138*0.9))/7.5)-1)/4*8000 + MIN($B138*20,1000) + MIN($C138*100,1000))),0))</f>
        <v/>
      </c>
      <c r="L138" s="31">
        <f>IF($K138="","",MIN(100,INT(SQRT($K138))))</f>
        <v/>
      </c>
      <c r="M138" s="31" t="n"/>
      <c r="N138" s="31">
        <f>IF($M138="Yes",$K138,"")</f>
        <v/>
      </c>
      <c r="O138" s="31" t="n"/>
      <c r="P138" s="59" t="n"/>
      <c r="Q138" s="59" t="n"/>
    </row>
    <row r="139">
      <c r="A139" s="31">
        <f>IF(Members!$A139="","",Members!$A139)</f>
        <v/>
      </c>
      <c r="B139" s="31" t="n"/>
      <c r="C139" s="31" t="n"/>
      <c r="D139" s="31" t="n"/>
      <c r="E139" s="31" t="n"/>
      <c r="F139" s="31" t="n"/>
      <c r="G139" s="31" t="n"/>
      <c r="H139" s="31" t="n"/>
      <c r="I139" s="31" t="n"/>
      <c r="J139" s="31" t="n"/>
      <c r="K139" s="31">
        <f>IF(COUNTA($D139:$J139)&lt;7,"",ROUND(MIN(10000, MAX(0, ((((($D139*1.2)+($E139*1.2)+($F139*1.1)+($G139*1.0)+($H139*1.0)+($I139*1.1)+($J139*0.9))/7.5)-1)/4*8000 + MIN($B139*20,1000) + MIN($C139*100,1000))),0))</f>
        <v/>
      </c>
      <c r="L139" s="31">
        <f>IF($K139="","",MIN(100,INT(SQRT($K139))))</f>
        <v/>
      </c>
      <c r="M139" s="31" t="n"/>
      <c r="N139" s="31">
        <f>IF($M139="Yes",$K139,"")</f>
        <v/>
      </c>
      <c r="O139" s="31" t="n"/>
      <c r="P139" s="59" t="n"/>
      <c r="Q139" s="59" t="n"/>
    </row>
    <row r="140">
      <c r="A140" s="31">
        <f>IF(Members!$A140="","",Members!$A140)</f>
        <v/>
      </c>
      <c r="B140" s="31" t="n"/>
      <c r="C140" s="31" t="n"/>
      <c r="D140" s="31" t="n"/>
      <c r="E140" s="31" t="n"/>
      <c r="F140" s="31" t="n"/>
      <c r="G140" s="31" t="n"/>
      <c r="H140" s="31" t="n"/>
      <c r="I140" s="31" t="n"/>
      <c r="J140" s="31" t="n"/>
      <c r="K140" s="31">
        <f>IF(COUNTA($D140:$J140)&lt;7,"",ROUND(MIN(10000, MAX(0, ((((($D140*1.2)+($E140*1.2)+($F140*1.1)+($G140*1.0)+($H140*1.0)+($I140*1.1)+($J140*0.9))/7.5)-1)/4*8000 + MIN($B140*20,1000) + MIN($C140*100,1000))),0))</f>
        <v/>
      </c>
      <c r="L140" s="31">
        <f>IF($K140="","",MIN(100,INT(SQRT($K140))))</f>
        <v/>
      </c>
      <c r="M140" s="31" t="n"/>
      <c r="N140" s="31">
        <f>IF($M140="Yes",$K140,"")</f>
        <v/>
      </c>
      <c r="O140" s="31" t="n"/>
      <c r="P140" s="59" t="n"/>
      <c r="Q140" s="59" t="n"/>
    </row>
    <row r="141">
      <c r="A141" s="31">
        <f>IF(Members!$A141="","",Members!$A141)</f>
        <v/>
      </c>
      <c r="B141" s="31" t="n"/>
      <c r="C141" s="31" t="n"/>
      <c r="D141" s="31" t="n"/>
      <c r="E141" s="31" t="n"/>
      <c r="F141" s="31" t="n"/>
      <c r="G141" s="31" t="n"/>
      <c r="H141" s="31" t="n"/>
      <c r="I141" s="31" t="n"/>
      <c r="J141" s="31" t="n"/>
      <c r="K141" s="31">
        <f>IF(COUNTA($D141:$J141)&lt;7,"",ROUND(MIN(10000, MAX(0, ((((($D141*1.2)+($E141*1.2)+($F141*1.1)+($G141*1.0)+($H141*1.0)+($I141*1.1)+($J141*0.9))/7.5)-1)/4*8000 + MIN($B141*20,1000) + MIN($C141*100,1000))),0))</f>
        <v/>
      </c>
      <c r="L141" s="31">
        <f>IF($K141="","",MIN(100,INT(SQRT($K141))))</f>
        <v/>
      </c>
      <c r="M141" s="31" t="n"/>
      <c r="N141" s="31">
        <f>IF($M141="Yes",$K141,"")</f>
        <v/>
      </c>
      <c r="O141" s="31" t="n"/>
      <c r="P141" s="59" t="n"/>
      <c r="Q141" s="59" t="n"/>
    </row>
    <row r="142">
      <c r="A142" s="31">
        <f>IF(Members!$A142="","",Members!$A142)</f>
        <v/>
      </c>
      <c r="B142" s="31" t="n"/>
      <c r="C142" s="31" t="n"/>
      <c r="D142" s="31" t="n"/>
      <c r="E142" s="31" t="n"/>
      <c r="F142" s="31" t="n"/>
      <c r="G142" s="31" t="n"/>
      <c r="H142" s="31" t="n"/>
      <c r="I142" s="31" t="n"/>
      <c r="J142" s="31" t="n"/>
      <c r="K142" s="31">
        <f>IF(COUNTA($D142:$J142)&lt;7,"",ROUND(MIN(10000, MAX(0, ((((($D142*1.2)+($E142*1.2)+($F142*1.1)+($G142*1.0)+($H142*1.0)+($I142*1.1)+($J142*0.9))/7.5)-1)/4*8000 + MIN($B142*20,1000) + MIN($C142*100,1000))),0))</f>
        <v/>
      </c>
      <c r="L142" s="31">
        <f>IF($K142="","",MIN(100,INT(SQRT($K142))))</f>
        <v/>
      </c>
      <c r="M142" s="31" t="n"/>
      <c r="N142" s="31">
        <f>IF($M142="Yes",$K142,"")</f>
        <v/>
      </c>
      <c r="O142" s="31" t="n"/>
      <c r="P142" s="59" t="n"/>
      <c r="Q142" s="59" t="n"/>
    </row>
    <row r="143">
      <c r="A143" s="31">
        <f>IF(Members!$A143="","",Members!$A143)</f>
        <v/>
      </c>
      <c r="B143" s="31" t="n"/>
      <c r="C143" s="31" t="n"/>
      <c r="D143" s="31" t="n"/>
      <c r="E143" s="31" t="n"/>
      <c r="F143" s="31" t="n"/>
      <c r="G143" s="31" t="n"/>
      <c r="H143" s="31" t="n"/>
      <c r="I143" s="31" t="n"/>
      <c r="J143" s="31" t="n"/>
      <c r="K143" s="31">
        <f>IF(COUNTA($D143:$J143)&lt;7,"",ROUND(MIN(10000, MAX(0, ((((($D143*1.2)+($E143*1.2)+($F143*1.1)+($G143*1.0)+($H143*1.0)+($I143*1.1)+($J143*0.9))/7.5)-1)/4*8000 + MIN($B143*20,1000) + MIN($C143*100,1000))),0))</f>
        <v/>
      </c>
      <c r="L143" s="31">
        <f>IF($K143="","",MIN(100,INT(SQRT($K143))))</f>
        <v/>
      </c>
      <c r="M143" s="31" t="n"/>
      <c r="N143" s="31">
        <f>IF($M143="Yes",$K143,"")</f>
        <v/>
      </c>
      <c r="O143" s="31" t="n"/>
      <c r="P143" s="59" t="n"/>
      <c r="Q143" s="59" t="n"/>
    </row>
    <row r="144">
      <c r="A144" s="31">
        <f>IF(Members!$A144="","",Members!$A144)</f>
        <v/>
      </c>
      <c r="B144" s="31" t="n"/>
      <c r="C144" s="31" t="n"/>
      <c r="D144" s="31" t="n"/>
      <c r="E144" s="31" t="n"/>
      <c r="F144" s="31" t="n"/>
      <c r="G144" s="31" t="n"/>
      <c r="H144" s="31" t="n"/>
      <c r="I144" s="31" t="n"/>
      <c r="J144" s="31" t="n"/>
      <c r="K144" s="31">
        <f>IF(COUNTA($D144:$J144)&lt;7,"",ROUND(MIN(10000, MAX(0, ((((($D144*1.2)+($E144*1.2)+($F144*1.1)+($G144*1.0)+($H144*1.0)+($I144*1.1)+($J144*0.9))/7.5)-1)/4*8000 + MIN($B144*20,1000) + MIN($C144*100,1000))),0))</f>
        <v/>
      </c>
      <c r="L144" s="31">
        <f>IF($K144="","",MIN(100,INT(SQRT($K144))))</f>
        <v/>
      </c>
      <c r="M144" s="31" t="n"/>
      <c r="N144" s="31">
        <f>IF($M144="Yes",$K144,"")</f>
        <v/>
      </c>
      <c r="O144" s="31" t="n"/>
      <c r="P144" s="59" t="n"/>
      <c r="Q144" s="59" t="n"/>
    </row>
    <row r="145">
      <c r="A145" s="31">
        <f>IF(Members!$A145="","",Members!$A145)</f>
        <v/>
      </c>
      <c r="B145" s="31" t="n"/>
      <c r="C145" s="31" t="n"/>
      <c r="D145" s="31" t="n"/>
      <c r="E145" s="31" t="n"/>
      <c r="F145" s="31" t="n"/>
      <c r="G145" s="31" t="n"/>
      <c r="H145" s="31" t="n"/>
      <c r="I145" s="31" t="n"/>
      <c r="J145" s="31" t="n"/>
      <c r="K145" s="31">
        <f>IF(COUNTA($D145:$J145)&lt;7,"",ROUND(MIN(10000, MAX(0, ((((($D145*1.2)+($E145*1.2)+($F145*1.1)+($G145*1.0)+($H145*1.0)+($I145*1.1)+($J145*0.9))/7.5)-1)/4*8000 + MIN($B145*20,1000) + MIN($C145*100,1000))),0))</f>
        <v/>
      </c>
      <c r="L145" s="31">
        <f>IF($K145="","",MIN(100,INT(SQRT($K145))))</f>
        <v/>
      </c>
      <c r="M145" s="31" t="n"/>
      <c r="N145" s="31">
        <f>IF($M145="Yes",$K145,"")</f>
        <v/>
      </c>
      <c r="O145" s="31" t="n"/>
      <c r="P145" s="59" t="n"/>
      <c r="Q145" s="59" t="n"/>
    </row>
    <row r="146">
      <c r="A146" s="31">
        <f>IF(Members!$A146="","",Members!$A146)</f>
        <v/>
      </c>
      <c r="B146" s="31" t="n"/>
      <c r="C146" s="31" t="n"/>
      <c r="D146" s="31" t="n"/>
      <c r="E146" s="31" t="n"/>
      <c r="F146" s="31" t="n"/>
      <c r="G146" s="31" t="n"/>
      <c r="H146" s="31" t="n"/>
      <c r="I146" s="31" t="n"/>
      <c r="J146" s="31" t="n"/>
      <c r="K146" s="31">
        <f>IF(COUNTA($D146:$J146)&lt;7,"",ROUND(MIN(10000, MAX(0, ((((($D146*1.2)+($E146*1.2)+($F146*1.1)+($G146*1.0)+($H146*1.0)+($I146*1.1)+($J146*0.9))/7.5)-1)/4*8000 + MIN($B146*20,1000) + MIN($C146*100,1000))),0))</f>
        <v/>
      </c>
      <c r="L146" s="31">
        <f>IF($K146="","",MIN(100,INT(SQRT($K146))))</f>
        <v/>
      </c>
      <c r="M146" s="31" t="n"/>
      <c r="N146" s="31">
        <f>IF($M146="Yes",$K146,"")</f>
        <v/>
      </c>
      <c r="O146" s="31" t="n"/>
      <c r="P146" s="59" t="n"/>
      <c r="Q146" s="59" t="n"/>
    </row>
    <row r="147">
      <c r="A147" s="31">
        <f>IF(Members!$A147="","",Members!$A147)</f>
        <v/>
      </c>
      <c r="B147" s="31" t="n"/>
      <c r="C147" s="31" t="n"/>
      <c r="D147" s="31" t="n"/>
      <c r="E147" s="31" t="n"/>
      <c r="F147" s="31" t="n"/>
      <c r="G147" s="31" t="n"/>
      <c r="H147" s="31" t="n"/>
      <c r="I147" s="31" t="n"/>
      <c r="J147" s="31" t="n"/>
      <c r="K147" s="31">
        <f>IF(COUNTA($D147:$J147)&lt;7,"",ROUND(MIN(10000, MAX(0, ((((($D147*1.2)+($E147*1.2)+($F147*1.1)+($G147*1.0)+($H147*1.0)+($I147*1.1)+($J147*0.9))/7.5)-1)/4*8000 + MIN($B147*20,1000) + MIN($C147*100,1000))),0))</f>
        <v/>
      </c>
      <c r="L147" s="31">
        <f>IF($K147="","",MIN(100,INT(SQRT($K147))))</f>
        <v/>
      </c>
      <c r="M147" s="31" t="n"/>
      <c r="N147" s="31">
        <f>IF($M147="Yes",$K147,"")</f>
        <v/>
      </c>
      <c r="O147" s="31" t="n"/>
      <c r="P147" s="59" t="n"/>
      <c r="Q147" s="59" t="n"/>
    </row>
    <row r="148">
      <c r="A148" s="31">
        <f>IF(Members!$A148="","",Members!$A148)</f>
        <v/>
      </c>
      <c r="B148" s="31" t="n"/>
      <c r="C148" s="31" t="n"/>
      <c r="D148" s="31" t="n"/>
      <c r="E148" s="31" t="n"/>
      <c r="F148" s="31" t="n"/>
      <c r="G148" s="31" t="n"/>
      <c r="H148" s="31" t="n"/>
      <c r="I148" s="31" t="n"/>
      <c r="J148" s="31" t="n"/>
      <c r="K148" s="31">
        <f>IF(COUNTA($D148:$J148)&lt;7,"",ROUND(MIN(10000, MAX(0, ((((($D148*1.2)+($E148*1.2)+($F148*1.1)+($G148*1.0)+($H148*1.0)+($I148*1.1)+($J148*0.9))/7.5)-1)/4*8000 + MIN($B148*20,1000) + MIN($C148*100,1000))),0))</f>
        <v/>
      </c>
      <c r="L148" s="31">
        <f>IF($K148="","",MIN(100,INT(SQRT($K148))))</f>
        <v/>
      </c>
      <c r="M148" s="31" t="n"/>
      <c r="N148" s="31">
        <f>IF($M148="Yes",$K148,"")</f>
        <v/>
      </c>
      <c r="O148" s="31" t="n"/>
      <c r="P148" s="59" t="n"/>
      <c r="Q148" s="59" t="n"/>
    </row>
    <row r="149">
      <c r="A149" s="31">
        <f>IF(Members!$A149="","",Members!$A149)</f>
        <v/>
      </c>
      <c r="B149" s="31" t="n"/>
      <c r="C149" s="31" t="n"/>
      <c r="D149" s="31" t="n"/>
      <c r="E149" s="31" t="n"/>
      <c r="F149" s="31" t="n"/>
      <c r="G149" s="31" t="n"/>
      <c r="H149" s="31" t="n"/>
      <c r="I149" s="31" t="n"/>
      <c r="J149" s="31" t="n"/>
      <c r="K149" s="31">
        <f>IF(COUNTA($D149:$J149)&lt;7,"",ROUND(MIN(10000, MAX(0, ((((($D149*1.2)+($E149*1.2)+($F149*1.1)+($G149*1.0)+($H149*1.0)+($I149*1.1)+($J149*0.9))/7.5)-1)/4*8000 + MIN($B149*20,1000) + MIN($C149*100,1000))),0))</f>
        <v/>
      </c>
      <c r="L149" s="31">
        <f>IF($K149="","",MIN(100,INT(SQRT($K149))))</f>
        <v/>
      </c>
      <c r="M149" s="31" t="n"/>
      <c r="N149" s="31">
        <f>IF($M149="Yes",$K149,"")</f>
        <v/>
      </c>
      <c r="O149" s="31" t="n"/>
      <c r="P149" s="59" t="n"/>
      <c r="Q149" s="59" t="n"/>
    </row>
    <row r="150">
      <c r="A150" s="31">
        <f>IF(Members!$A150="","",Members!$A150)</f>
        <v/>
      </c>
      <c r="B150" s="31" t="n"/>
      <c r="C150" s="31" t="n"/>
      <c r="D150" s="31" t="n"/>
      <c r="E150" s="31" t="n"/>
      <c r="F150" s="31" t="n"/>
      <c r="G150" s="31" t="n"/>
      <c r="H150" s="31" t="n"/>
      <c r="I150" s="31" t="n"/>
      <c r="J150" s="31" t="n"/>
      <c r="K150" s="31">
        <f>IF(COUNTA($D150:$J150)&lt;7,"",ROUND(MIN(10000, MAX(0, ((((($D150*1.2)+($E150*1.2)+($F150*1.1)+($G150*1.0)+($H150*1.0)+($I150*1.1)+($J150*0.9))/7.5)-1)/4*8000 + MIN($B150*20,1000) + MIN($C150*100,1000))),0))</f>
        <v/>
      </c>
      <c r="L150" s="31">
        <f>IF($K150="","",MIN(100,INT(SQRT($K150))))</f>
        <v/>
      </c>
      <c r="M150" s="31" t="n"/>
      <c r="N150" s="31">
        <f>IF($M150="Yes",$K150,"")</f>
        <v/>
      </c>
      <c r="O150" s="31" t="n"/>
      <c r="P150" s="59" t="n"/>
      <c r="Q150" s="59" t="n"/>
    </row>
    <row r="151">
      <c r="A151" s="31">
        <f>IF(Members!$A151="","",Members!$A151)</f>
        <v/>
      </c>
      <c r="B151" s="31" t="n"/>
      <c r="C151" s="31" t="n"/>
      <c r="D151" s="31" t="n"/>
      <c r="E151" s="31" t="n"/>
      <c r="F151" s="31" t="n"/>
      <c r="G151" s="31" t="n"/>
      <c r="H151" s="31" t="n"/>
      <c r="I151" s="31" t="n"/>
      <c r="J151" s="31" t="n"/>
      <c r="K151" s="31">
        <f>IF(COUNTA($D151:$J151)&lt;7,"",ROUND(MIN(10000, MAX(0, ((((($D151*1.2)+($E151*1.2)+($F151*1.1)+($G151*1.0)+($H151*1.0)+($I151*1.1)+($J151*0.9))/7.5)-1)/4*8000 + MIN($B151*20,1000) + MIN($C151*100,1000))),0))</f>
        <v/>
      </c>
      <c r="L151" s="31">
        <f>IF($K151="","",MIN(100,INT(SQRT($K151))))</f>
        <v/>
      </c>
      <c r="M151" s="31" t="n"/>
      <c r="N151" s="31">
        <f>IF($M151="Yes",$K151,"")</f>
        <v/>
      </c>
      <c r="O151" s="31" t="n"/>
      <c r="P151" s="59" t="n"/>
      <c r="Q151" s="59" t="n"/>
    </row>
    <row r="152">
      <c r="A152" s="31">
        <f>IF(Members!$A152="","",Members!$A152)</f>
        <v/>
      </c>
      <c r="B152" s="31" t="n"/>
      <c r="C152" s="31" t="n"/>
      <c r="D152" s="31" t="n"/>
      <c r="E152" s="31" t="n"/>
      <c r="F152" s="31" t="n"/>
      <c r="G152" s="31" t="n"/>
      <c r="H152" s="31" t="n"/>
      <c r="I152" s="31" t="n"/>
      <c r="J152" s="31" t="n"/>
      <c r="K152" s="31">
        <f>IF(COUNTA($D152:$J152)&lt;7,"",ROUND(MIN(10000, MAX(0, ((((($D152*1.2)+($E152*1.2)+($F152*1.1)+($G152*1.0)+($H152*1.0)+($I152*1.1)+($J152*0.9))/7.5)-1)/4*8000 + MIN($B152*20,1000) + MIN($C152*100,1000))),0))</f>
        <v/>
      </c>
      <c r="L152" s="31">
        <f>IF($K152="","",MIN(100,INT(SQRT($K152))))</f>
        <v/>
      </c>
      <c r="M152" s="31" t="n"/>
      <c r="N152" s="31">
        <f>IF($M152="Yes",$K152,"")</f>
        <v/>
      </c>
      <c r="O152" s="31" t="n"/>
      <c r="P152" s="59" t="n"/>
      <c r="Q152" s="59" t="n"/>
    </row>
    <row r="153">
      <c r="A153" s="31">
        <f>IF(Members!$A153="","",Members!$A153)</f>
        <v/>
      </c>
      <c r="B153" s="31" t="n"/>
      <c r="C153" s="31" t="n"/>
      <c r="D153" s="31" t="n"/>
      <c r="E153" s="31" t="n"/>
      <c r="F153" s="31" t="n"/>
      <c r="G153" s="31" t="n"/>
      <c r="H153" s="31" t="n"/>
      <c r="I153" s="31" t="n"/>
      <c r="J153" s="31" t="n"/>
      <c r="K153" s="31">
        <f>IF(COUNTA($D153:$J153)&lt;7,"",ROUND(MIN(10000, MAX(0, ((((($D153*1.2)+($E153*1.2)+($F153*1.1)+($G153*1.0)+($H153*1.0)+($I153*1.1)+($J153*0.9))/7.5)-1)/4*8000 + MIN($B153*20,1000) + MIN($C153*100,1000))),0))</f>
        <v/>
      </c>
      <c r="L153" s="31">
        <f>IF($K153="","",MIN(100,INT(SQRT($K153))))</f>
        <v/>
      </c>
      <c r="M153" s="31" t="n"/>
      <c r="N153" s="31">
        <f>IF($M153="Yes",$K153,"")</f>
        <v/>
      </c>
      <c r="O153" s="31" t="n"/>
      <c r="P153" s="59" t="n"/>
      <c r="Q153" s="59" t="n"/>
    </row>
    <row r="154">
      <c r="A154" s="31">
        <f>IF(Members!$A154="","",Members!$A154)</f>
        <v/>
      </c>
      <c r="B154" s="31" t="n"/>
      <c r="C154" s="31" t="n"/>
      <c r="D154" s="31" t="n"/>
      <c r="E154" s="31" t="n"/>
      <c r="F154" s="31" t="n"/>
      <c r="G154" s="31" t="n"/>
      <c r="H154" s="31" t="n"/>
      <c r="I154" s="31" t="n"/>
      <c r="J154" s="31" t="n"/>
      <c r="K154" s="31">
        <f>IF(COUNTA($D154:$J154)&lt;7,"",ROUND(MIN(10000, MAX(0, ((((($D154*1.2)+($E154*1.2)+($F154*1.1)+($G154*1.0)+($H154*1.0)+($I154*1.1)+($J154*0.9))/7.5)-1)/4*8000 + MIN($B154*20,1000) + MIN($C154*100,1000))),0))</f>
        <v/>
      </c>
      <c r="L154" s="31">
        <f>IF($K154="","",MIN(100,INT(SQRT($K154))))</f>
        <v/>
      </c>
      <c r="M154" s="31" t="n"/>
      <c r="N154" s="31">
        <f>IF($M154="Yes",$K154,"")</f>
        <v/>
      </c>
      <c r="O154" s="31" t="n"/>
      <c r="P154" s="59" t="n"/>
      <c r="Q154" s="59" t="n"/>
    </row>
    <row r="155">
      <c r="A155" s="31">
        <f>IF(Members!$A155="","",Members!$A155)</f>
        <v/>
      </c>
      <c r="B155" s="31" t="n"/>
      <c r="C155" s="31" t="n"/>
      <c r="D155" s="31" t="n"/>
      <c r="E155" s="31" t="n"/>
      <c r="F155" s="31" t="n"/>
      <c r="G155" s="31" t="n"/>
      <c r="H155" s="31" t="n"/>
      <c r="I155" s="31" t="n"/>
      <c r="J155" s="31" t="n"/>
      <c r="K155" s="31">
        <f>IF(COUNTA($D155:$J155)&lt;7,"",ROUND(MIN(10000, MAX(0, ((((($D155*1.2)+($E155*1.2)+($F155*1.1)+($G155*1.0)+($H155*1.0)+($I155*1.1)+($J155*0.9))/7.5)-1)/4*8000 + MIN($B155*20,1000) + MIN($C155*100,1000))),0))</f>
        <v/>
      </c>
      <c r="L155" s="31">
        <f>IF($K155="","",MIN(100,INT(SQRT($K155))))</f>
        <v/>
      </c>
      <c r="M155" s="31" t="n"/>
      <c r="N155" s="31">
        <f>IF($M155="Yes",$K155,"")</f>
        <v/>
      </c>
      <c r="O155" s="31" t="n"/>
      <c r="P155" s="59" t="n"/>
      <c r="Q155" s="59" t="n"/>
    </row>
    <row r="156">
      <c r="A156" s="31">
        <f>IF(Members!$A156="","",Members!$A156)</f>
        <v/>
      </c>
      <c r="B156" s="31" t="n"/>
      <c r="C156" s="31" t="n"/>
      <c r="D156" s="31" t="n"/>
      <c r="E156" s="31" t="n"/>
      <c r="F156" s="31" t="n"/>
      <c r="G156" s="31" t="n"/>
      <c r="H156" s="31" t="n"/>
      <c r="I156" s="31" t="n"/>
      <c r="J156" s="31" t="n"/>
      <c r="K156" s="31">
        <f>IF(COUNTA($D156:$J156)&lt;7,"",ROUND(MIN(10000, MAX(0, ((((($D156*1.2)+($E156*1.2)+($F156*1.1)+($G156*1.0)+($H156*1.0)+($I156*1.1)+($J156*0.9))/7.5)-1)/4*8000 + MIN($B156*20,1000) + MIN($C156*100,1000))),0))</f>
        <v/>
      </c>
      <c r="L156" s="31">
        <f>IF($K156="","",MIN(100,INT(SQRT($K156))))</f>
        <v/>
      </c>
      <c r="M156" s="31" t="n"/>
      <c r="N156" s="31">
        <f>IF($M156="Yes",$K156,"")</f>
        <v/>
      </c>
      <c r="O156" s="31" t="n"/>
      <c r="P156" s="59" t="n"/>
      <c r="Q156" s="59" t="n"/>
    </row>
    <row r="157">
      <c r="A157" s="31">
        <f>IF(Members!$A157="","",Members!$A157)</f>
        <v/>
      </c>
      <c r="B157" s="31" t="n"/>
      <c r="C157" s="31" t="n"/>
      <c r="D157" s="31" t="n"/>
      <c r="E157" s="31" t="n"/>
      <c r="F157" s="31" t="n"/>
      <c r="G157" s="31" t="n"/>
      <c r="H157" s="31" t="n"/>
      <c r="I157" s="31" t="n"/>
      <c r="J157" s="31" t="n"/>
      <c r="K157" s="31">
        <f>IF(COUNTA($D157:$J157)&lt;7,"",ROUND(MIN(10000, MAX(0, ((((($D157*1.2)+($E157*1.2)+($F157*1.1)+($G157*1.0)+($H157*1.0)+($I157*1.1)+($J157*0.9))/7.5)-1)/4*8000 + MIN($B157*20,1000) + MIN($C157*100,1000))),0))</f>
        <v/>
      </c>
      <c r="L157" s="31">
        <f>IF($K157="","",MIN(100,INT(SQRT($K157))))</f>
        <v/>
      </c>
      <c r="M157" s="31" t="n"/>
      <c r="N157" s="31">
        <f>IF($M157="Yes",$K157,"")</f>
        <v/>
      </c>
      <c r="O157" s="31" t="n"/>
      <c r="P157" s="59" t="n"/>
      <c r="Q157" s="59" t="n"/>
    </row>
    <row r="158">
      <c r="A158" s="31">
        <f>IF(Members!$A158="","",Members!$A158)</f>
        <v/>
      </c>
      <c r="B158" s="31" t="n"/>
      <c r="C158" s="31" t="n"/>
      <c r="D158" s="31" t="n"/>
      <c r="E158" s="31" t="n"/>
      <c r="F158" s="31" t="n"/>
      <c r="G158" s="31" t="n"/>
      <c r="H158" s="31" t="n"/>
      <c r="I158" s="31" t="n"/>
      <c r="J158" s="31" t="n"/>
      <c r="K158" s="31">
        <f>IF(COUNTA($D158:$J158)&lt;7,"",ROUND(MIN(10000, MAX(0, ((((($D158*1.2)+($E158*1.2)+($F158*1.1)+($G158*1.0)+($H158*1.0)+($I158*1.1)+($J158*0.9))/7.5)-1)/4*8000 + MIN($B158*20,1000) + MIN($C158*100,1000))),0))</f>
        <v/>
      </c>
      <c r="L158" s="31">
        <f>IF($K158="","",MIN(100,INT(SQRT($K158))))</f>
        <v/>
      </c>
      <c r="M158" s="31" t="n"/>
      <c r="N158" s="31">
        <f>IF($M158="Yes",$K158,"")</f>
        <v/>
      </c>
      <c r="O158" s="31" t="n"/>
      <c r="P158" s="59" t="n"/>
      <c r="Q158" s="59" t="n"/>
    </row>
    <row r="159">
      <c r="A159" s="31">
        <f>IF(Members!$A159="","",Members!$A159)</f>
        <v/>
      </c>
      <c r="B159" s="31" t="n"/>
      <c r="C159" s="31" t="n"/>
      <c r="D159" s="31" t="n"/>
      <c r="E159" s="31" t="n"/>
      <c r="F159" s="31" t="n"/>
      <c r="G159" s="31" t="n"/>
      <c r="H159" s="31" t="n"/>
      <c r="I159" s="31" t="n"/>
      <c r="J159" s="31" t="n"/>
      <c r="K159" s="31">
        <f>IF(COUNTA($D159:$J159)&lt;7,"",ROUND(MIN(10000, MAX(0, ((((($D159*1.2)+($E159*1.2)+($F159*1.1)+($G159*1.0)+($H159*1.0)+($I159*1.1)+($J159*0.9))/7.5)-1)/4*8000 + MIN($B159*20,1000) + MIN($C159*100,1000))),0))</f>
        <v/>
      </c>
      <c r="L159" s="31">
        <f>IF($K159="","",MIN(100,INT(SQRT($K159))))</f>
        <v/>
      </c>
      <c r="M159" s="31" t="n"/>
      <c r="N159" s="31">
        <f>IF($M159="Yes",$K159,"")</f>
        <v/>
      </c>
      <c r="O159" s="31" t="n"/>
      <c r="P159" s="59" t="n"/>
      <c r="Q159" s="59" t="n"/>
    </row>
    <row r="160">
      <c r="A160" s="31">
        <f>IF(Members!$A160="","",Members!$A160)</f>
        <v/>
      </c>
      <c r="B160" s="31" t="n"/>
      <c r="C160" s="31" t="n"/>
      <c r="D160" s="31" t="n"/>
      <c r="E160" s="31" t="n"/>
      <c r="F160" s="31" t="n"/>
      <c r="G160" s="31" t="n"/>
      <c r="H160" s="31" t="n"/>
      <c r="I160" s="31" t="n"/>
      <c r="J160" s="31" t="n"/>
      <c r="K160" s="31">
        <f>IF(COUNTA($D160:$J160)&lt;7,"",ROUND(MIN(10000, MAX(0, ((((($D160*1.2)+($E160*1.2)+($F160*1.1)+($G160*1.0)+($H160*1.0)+($I160*1.1)+($J160*0.9))/7.5)-1)/4*8000 + MIN($B160*20,1000) + MIN($C160*100,1000))),0))</f>
        <v/>
      </c>
      <c r="L160" s="31">
        <f>IF($K160="","",MIN(100,INT(SQRT($K160))))</f>
        <v/>
      </c>
      <c r="M160" s="31" t="n"/>
      <c r="N160" s="31">
        <f>IF($M160="Yes",$K160,"")</f>
        <v/>
      </c>
      <c r="O160" s="31" t="n"/>
      <c r="P160" s="59" t="n"/>
      <c r="Q160" s="59" t="n"/>
    </row>
    <row r="161">
      <c r="A161" s="31">
        <f>IF(Members!$A161="","",Members!$A161)</f>
        <v/>
      </c>
      <c r="B161" s="31" t="n"/>
      <c r="C161" s="31" t="n"/>
      <c r="D161" s="31" t="n"/>
      <c r="E161" s="31" t="n"/>
      <c r="F161" s="31" t="n"/>
      <c r="G161" s="31" t="n"/>
      <c r="H161" s="31" t="n"/>
      <c r="I161" s="31" t="n"/>
      <c r="J161" s="31" t="n"/>
      <c r="K161" s="31">
        <f>IF(COUNTA($D161:$J161)&lt;7,"",ROUND(MIN(10000, MAX(0, ((((($D161*1.2)+($E161*1.2)+($F161*1.1)+($G161*1.0)+($H161*1.0)+($I161*1.1)+($J161*0.9))/7.5)-1)/4*8000 + MIN($B161*20,1000) + MIN($C161*100,1000))),0))</f>
        <v/>
      </c>
      <c r="L161" s="31">
        <f>IF($K161="","",MIN(100,INT(SQRT($K161))))</f>
        <v/>
      </c>
      <c r="M161" s="31" t="n"/>
      <c r="N161" s="31">
        <f>IF($M161="Yes",$K161,"")</f>
        <v/>
      </c>
      <c r="O161" s="31" t="n"/>
      <c r="P161" s="59" t="n"/>
      <c r="Q161" s="59" t="n"/>
    </row>
    <row r="162">
      <c r="A162" s="31">
        <f>IF(Members!$A162="","",Members!$A162)</f>
        <v/>
      </c>
      <c r="B162" s="31" t="n"/>
      <c r="C162" s="31" t="n"/>
      <c r="D162" s="31" t="n"/>
      <c r="E162" s="31" t="n"/>
      <c r="F162" s="31" t="n"/>
      <c r="G162" s="31" t="n"/>
      <c r="H162" s="31" t="n"/>
      <c r="I162" s="31" t="n"/>
      <c r="J162" s="31" t="n"/>
      <c r="K162" s="31">
        <f>IF(COUNTA($D162:$J162)&lt;7,"",ROUND(MIN(10000, MAX(0, ((((($D162*1.2)+($E162*1.2)+($F162*1.1)+($G162*1.0)+($H162*1.0)+($I162*1.1)+($J162*0.9))/7.5)-1)/4*8000 + MIN($B162*20,1000) + MIN($C162*100,1000))),0))</f>
        <v/>
      </c>
      <c r="L162" s="31">
        <f>IF($K162="","",MIN(100,INT(SQRT($K162))))</f>
        <v/>
      </c>
      <c r="M162" s="31" t="n"/>
      <c r="N162" s="31">
        <f>IF($M162="Yes",$K162,"")</f>
        <v/>
      </c>
      <c r="O162" s="31" t="n"/>
      <c r="P162" s="59" t="n"/>
      <c r="Q162" s="59" t="n"/>
    </row>
    <row r="163">
      <c r="A163" s="31">
        <f>IF(Members!$A163="","",Members!$A163)</f>
        <v/>
      </c>
      <c r="B163" s="31" t="n"/>
      <c r="C163" s="31" t="n"/>
      <c r="D163" s="31" t="n"/>
      <c r="E163" s="31" t="n"/>
      <c r="F163" s="31" t="n"/>
      <c r="G163" s="31" t="n"/>
      <c r="H163" s="31" t="n"/>
      <c r="I163" s="31" t="n"/>
      <c r="J163" s="31" t="n"/>
      <c r="K163" s="31">
        <f>IF(COUNTA($D163:$J163)&lt;7,"",ROUND(MIN(10000, MAX(0, ((((($D163*1.2)+($E163*1.2)+($F163*1.1)+($G163*1.0)+($H163*1.0)+($I163*1.1)+($J163*0.9))/7.5)-1)/4*8000 + MIN($B163*20,1000) + MIN($C163*100,1000))),0))</f>
        <v/>
      </c>
      <c r="L163" s="31">
        <f>IF($K163="","",MIN(100,INT(SQRT($K163))))</f>
        <v/>
      </c>
      <c r="M163" s="31" t="n"/>
      <c r="N163" s="31">
        <f>IF($M163="Yes",$K163,"")</f>
        <v/>
      </c>
      <c r="O163" s="31" t="n"/>
      <c r="P163" s="59" t="n"/>
      <c r="Q163" s="59" t="n"/>
    </row>
    <row r="164">
      <c r="A164" s="31">
        <f>IF(Members!$A164="","",Members!$A164)</f>
        <v/>
      </c>
      <c r="B164" s="31" t="n"/>
      <c r="C164" s="31" t="n"/>
      <c r="D164" s="31" t="n"/>
      <c r="E164" s="31" t="n"/>
      <c r="F164" s="31" t="n"/>
      <c r="G164" s="31" t="n"/>
      <c r="H164" s="31" t="n"/>
      <c r="I164" s="31" t="n"/>
      <c r="J164" s="31" t="n"/>
      <c r="K164" s="31">
        <f>IF(COUNTA($D164:$J164)&lt;7,"",ROUND(MIN(10000, MAX(0, ((((($D164*1.2)+($E164*1.2)+($F164*1.1)+($G164*1.0)+($H164*1.0)+($I164*1.1)+($J164*0.9))/7.5)-1)/4*8000 + MIN($B164*20,1000) + MIN($C164*100,1000))),0))</f>
        <v/>
      </c>
      <c r="L164" s="31">
        <f>IF($K164="","",MIN(100,INT(SQRT($K164))))</f>
        <v/>
      </c>
      <c r="M164" s="31" t="n"/>
      <c r="N164" s="31">
        <f>IF($M164="Yes",$K164,"")</f>
        <v/>
      </c>
      <c r="O164" s="31" t="n"/>
      <c r="P164" s="59" t="n"/>
      <c r="Q164" s="59" t="n"/>
    </row>
    <row r="165">
      <c r="A165" s="31">
        <f>IF(Members!$A165="","",Members!$A165)</f>
        <v/>
      </c>
      <c r="B165" s="31" t="n"/>
      <c r="C165" s="31" t="n"/>
      <c r="D165" s="31" t="n"/>
      <c r="E165" s="31" t="n"/>
      <c r="F165" s="31" t="n"/>
      <c r="G165" s="31" t="n"/>
      <c r="H165" s="31" t="n"/>
      <c r="I165" s="31" t="n"/>
      <c r="J165" s="31" t="n"/>
      <c r="K165" s="31">
        <f>IF(COUNTA($D165:$J165)&lt;7,"",ROUND(MIN(10000, MAX(0, ((((($D165*1.2)+($E165*1.2)+($F165*1.1)+($G165*1.0)+($H165*1.0)+($I165*1.1)+($J165*0.9))/7.5)-1)/4*8000 + MIN($B165*20,1000) + MIN($C165*100,1000))),0))</f>
        <v/>
      </c>
      <c r="L165" s="31">
        <f>IF($K165="","",MIN(100,INT(SQRT($K165))))</f>
        <v/>
      </c>
      <c r="M165" s="31" t="n"/>
      <c r="N165" s="31">
        <f>IF($M165="Yes",$K165,"")</f>
        <v/>
      </c>
      <c r="O165" s="31" t="n"/>
      <c r="P165" s="59" t="n"/>
      <c r="Q165" s="59" t="n"/>
    </row>
    <row r="166">
      <c r="A166" s="31">
        <f>IF(Members!$A166="","",Members!$A166)</f>
        <v/>
      </c>
      <c r="B166" s="31" t="n"/>
      <c r="C166" s="31" t="n"/>
      <c r="D166" s="31" t="n"/>
      <c r="E166" s="31" t="n"/>
      <c r="F166" s="31" t="n"/>
      <c r="G166" s="31" t="n"/>
      <c r="H166" s="31" t="n"/>
      <c r="I166" s="31" t="n"/>
      <c r="J166" s="31" t="n"/>
      <c r="K166" s="31">
        <f>IF(COUNTA($D166:$J166)&lt;7,"",ROUND(MIN(10000, MAX(0, ((((($D166*1.2)+($E166*1.2)+($F166*1.1)+($G166*1.0)+($H166*1.0)+($I166*1.1)+($J166*0.9))/7.5)-1)/4*8000 + MIN($B166*20,1000) + MIN($C166*100,1000))),0))</f>
        <v/>
      </c>
      <c r="L166" s="31">
        <f>IF($K166="","",MIN(100,INT(SQRT($K166))))</f>
        <v/>
      </c>
      <c r="M166" s="31" t="n"/>
      <c r="N166" s="31">
        <f>IF($M166="Yes",$K166,"")</f>
        <v/>
      </c>
      <c r="O166" s="31" t="n"/>
      <c r="P166" s="59" t="n"/>
      <c r="Q166" s="59" t="n"/>
    </row>
    <row r="167">
      <c r="A167" s="31">
        <f>IF(Members!$A167="","",Members!$A167)</f>
        <v/>
      </c>
      <c r="B167" s="31" t="n"/>
      <c r="C167" s="31" t="n"/>
      <c r="D167" s="31" t="n"/>
      <c r="E167" s="31" t="n"/>
      <c r="F167" s="31" t="n"/>
      <c r="G167" s="31" t="n"/>
      <c r="H167" s="31" t="n"/>
      <c r="I167" s="31" t="n"/>
      <c r="J167" s="31" t="n"/>
      <c r="K167" s="31">
        <f>IF(COUNTA($D167:$J167)&lt;7,"",ROUND(MIN(10000, MAX(0, ((((($D167*1.2)+($E167*1.2)+($F167*1.1)+($G167*1.0)+($H167*1.0)+($I167*1.1)+($J167*0.9))/7.5)-1)/4*8000 + MIN($B167*20,1000) + MIN($C167*100,1000))),0))</f>
        <v/>
      </c>
      <c r="L167" s="31">
        <f>IF($K167="","",MIN(100,INT(SQRT($K167))))</f>
        <v/>
      </c>
      <c r="M167" s="31" t="n"/>
      <c r="N167" s="31">
        <f>IF($M167="Yes",$K167,"")</f>
        <v/>
      </c>
      <c r="O167" s="31" t="n"/>
      <c r="P167" s="59" t="n"/>
      <c r="Q167" s="59" t="n"/>
    </row>
    <row r="168">
      <c r="A168" s="31">
        <f>IF(Members!$A168="","",Members!$A168)</f>
        <v/>
      </c>
      <c r="B168" s="31" t="n"/>
      <c r="C168" s="31" t="n"/>
      <c r="D168" s="31" t="n"/>
      <c r="E168" s="31" t="n"/>
      <c r="F168" s="31" t="n"/>
      <c r="G168" s="31" t="n"/>
      <c r="H168" s="31" t="n"/>
      <c r="I168" s="31" t="n"/>
      <c r="J168" s="31" t="n"/>
      <c r="K168" s="31">
        <f>IF(COUNTA($D168:$J168)&lt;7,"",ROUND(MIN(10000, MAX(0, ((((($D168*1.2)+($E168*1.2)+($F168*1.1)+($G168*1.0)+($H168*1.0)+($I168*1.1)+($J168*0.9))/7.5)-1)/4*8000 + MIN($B168*20,1000) + MIN($C168*100,1000))),0))</f>
        <v/>
      </c>
      <c r="L168" s="31">
        <f>IF($K168="","",MIN(100,INT(SQRT($K168))))</f>
        <v/>
      </c>
      <c r="M168" s="31" t="n"/>
      <c r="N168" s="31">
        <f>IF($M168="Yes",$K168,"")</f>
        <v/>
      </c>
      <c r="O168" s="31" t="n"/>
      <c r="P168" s="59" t="n"/>
      <c r="Q168" s="59" t="n"/>
    </row>
    <row r="169">
      <c r="A169" s="31">
        <f>IF(Members!$A169="","",Members!$A169)</f>
        <v/>
      </c>
      <c r="B169" s="31" t="n"/>
      <c r="C169" s="31" t="n"/>
      <c r="D169" s="31" t="n"/>
      <c r="E169" s="31" t="n"/>
      <c r="F169" s="31" t="n"/>
      <c r="G169" s="31" t="n"/>
      <c r="H169" s="31" t="n"/>
      <c r="I169" s="31" t="n"/>
      <c r="J169" s="31" t="n"/>
      <c r="K169" s="31">
        <f>IF(COUNTA($D169:$J169)&lt;7,"",ROUND(MIN(10000, MAX(0, ((((($D169*1.2)+($E169*1.2)+($F169*1.1)+($G169*1.0)+($H169*1.0)+($I169*1.1)+($J169*0.9))/7.5)-1)/4*8000 + MIN($B169*20,1000) + MIN($C169*100,1000))),0))</f>
        <v/>
      </c>
      <c r="L169" s="31">
        <f>IF($K169="","",MIN(100,INT(SQRT($K169))))</f>
        <v/>
      </c>
      <c r="M169" s="31" t="n"/>
      <c r="N169" s="31">
        <f>IF($M169="Yes",$K169,"")</f>
        <v/>
      </c>
      <c r="O169" s="31" t="n"/>
      <c r="P169" s="59" t="n"/>
      <c r="Q169" s="59" t="n"/>
    </row>
    <row r="170">
      <c r="A170" s="31">
        <f>IF(Members!$A170="","",Members!$A170)</f>
        <v/>
      </c>
      <c r="B170" s="31" t="n"/>
      <c r="C170" s="31" t="n"/>
      <c r="D170" s="31" t="n"/>
      <c r="E170" s="31" t="n"/>
      <c r="F170" s="31" t="n"/>
      <c r="G170" s="31" t="n"/>
      <c r="H170" s="31" t="n"/>
      <c r="I170" s="31" t="n"/>
      <c r="J170" s="31" t="n"/>
      <c r="K170" s="31">
        <f>IF(COUNTA($D170:$J170)&lt;7,"",ROUND(MIN(10000, MAX(0, ((((($D170*1.2)+($E170*1.2)+($F170*1.1)+($G170*1.0)+($H170*1.0)+($I170*1.1)+($J170*0.9))/7.5)-1)/4*8000 + MIN($B170*20,1000) + MIN($C170*100,1000))),0))</f>
        <v/>
      </c>
      <c r="L170" s="31">
        <f>IF($K170="","",MIN(100,INT(SQRT($K170))))</f>
        <v/>
      </c>
      <c r="M170" s="31" t="n"/>
      <c r="N170" s="31">
        <f>IF($M170="Yes",$K170,"")</f>
        <v/>
      </c>
      <c r="O170" s="31" t="n"/>
      <c r="P170" s="59" t="n"/>
      <c r="Q170" s="59" t="n"/>
    </row>
    <row r="171">
      <c r="A171" s="31">
        <f>IF(Members!$A171="","",Members!$A171)</f>
        <v/>
      </c>
      <c r="B171" s="31" t="n"/>
      <c r="C171" s="31" t="n"/>
      <c r="D171" s="31" t="n"/>
      <c r="E171" s="31" t="n"/>
      <c r="F171" s="31" t="n"/>
      <c r="G171" s="31" t="n"/>
      <c r="H171" s="31" t="n"/>
      <c r="I171" s="31" t="n"/>
      <c r="J171" s="31" t="n"/>
      <c r="K171" s="31">
        <f>IF(COUNTA($D171:$J171)&lt;7,"",ROUND(MIN(10000, MAX(0, ((((($D171*1.2)+($E171*1.2)+($F171*1.1)+($G171*1.0)+($H171*1.0)+($I171*1.1)+($J171*0.9))/7.5)-1)/4*8000 + MIN($B171*20,1000) + MIN($C171*100,1000))),0))</f>
        <v/>
      </c>
      <c r="L171" s="31">
        <f>IF($K171="","",MIN(100,INT(SQRT($K171))))</f>
        <v/>
      </c>
      <c r="M171" s="31" t="n"/>
      <c r="N171" s="31">
        <f>IF($M171="Yes",$K171,"")</f>
        <v/>
      </c>
      <c r="O171" s="31" t="n"/>
      <c r="P171" s="59" t="n"/>
      <c r="Q171" s="59" t="n"/>
    </row>
    <row r="172">
      <c r="A172" s="31">
        <f>IF(Members!$A172="","",Members!$A172)</f>
        <v/>
      </c>
      <c r="B172" s="31" t="n"/>
      <c r="C172" s="31" t="n"/>
      <c r="D172" s="31" t="n"/>
      <c r="E172" s="31" t="n"/>
      <c r="F172" s="31" t="n"/>
      <c r="G172" s="31" t="n"/>
      <c r="H172" s="31" t="n"/>
      <c r="I172" s="31" t="n"/>
      <c r="J172" s="31" t="n"/>
      <c r="K172" s="31">
        <f>IF(COUNTA($D172:$J172)&lt;7,"",ROUND(MIN(10000, MAX(0, ((((($D172*1.2)+($E172*1.2)+($F172*1.1)+($G172*1.0)+($H172*1.0)+($I172*1.1)+($J172*0.9))/7.5)-1)/4*8000 + MIN($B172*20,1000) + MIN($C172*100,1000))),0))</f>
        <v/>
      </c>
      <c r="L172" s="31">
        <f>IF($K172="","",MIN(100,INT(SQRT($K172))))</f>
        <v/>
      </c>
      <c r="M172" s="31" t="n"/>
      <c r="N172" s="31">
        <f>IF($M172="Yes",$K172,"")</f>
        <v/>
      </c>
      <c r="O172" s="31" t="n"/>
      <c r="P172" s="59" t="n"/>
      <c r="Q172" s="59" t="n"/>
    </row>
    <row r="173">
      <c r="A173" s="31">
        <f>IF(Members!$A173="","",Members!$A173)</f>
        <v/>
      </c>
      <c r="B173" s="31" t="n"/>
      <c r="C173" s="31" t="n"/>
      <c r="D173" s="31" t="n"/>
      <c r="E173" s="31" t="n"/>
      <c r="F173" s="31" t="n"/>
      <c r="G173" s="31" t="n"/>
      <c r="H173" s="31" t="n"/>
      <c r="I173" s="31" t="n"/>
      <c r="J173" s="31" t="n"/>
      <c r="K173" s="31">
        <f>IF(COUNTA($D173:$J173)&lt;7,"",ROUND(MIN(10000, MAX(0, ((((($D173*1.2)+($E173*1.2)+($F173*1.1)+($G173*1.0)+($H173*1.0)+($I173*1.1)+($J173*0.9))/7.5)-1)/4*8000 + MIN($B173*20,1000) + MIN($C173*100,1000))),0))</f>
        <v/>
      </c>
      <c r="L173" s="31">
        <f>IF($K173="","",MIN(100,INT(SQRT($K173))))</f>
        <v/>
      </c>
      <c r="M173" s="31" t="n"/>
      <c r="N173" s="31">
        <f>IF($M173="Yes",$K173,"")</f>
        <v/>
      </c>
      <c r="O173" s="31" t="n"/>
      <c r="P173" s="59" t="n"/>
      <c r="Q173" s="59" t="n"/>
    </row>
    <row r="174">
      <c r="A174" s="31">
        <f>IF(Members!$A174="","",Members!$A174)</f>
        <v/>
      </c>
      <c r="B174" s="31" t="n"/>
      <c r="C174" s="31" t="n"/>
      <c r="D174" s="31" t="n"/>
      <c r="E174" s="31" t="n"/>
      <c r="F174" s="31" t="n"/>
      <c r="G174" s="31" t="n"/>
      <c r="H174" s="31" t="n"/>
      <c r="I174" s="31" t="n"/>
      <c r="J174" s="31" t="n"/>
      <c r="K174" s="31">
        <f>IF(COUNTA($D174:$J174)&lt;7,"",ROUND(MIN(10000, MAX(0, ((((($D174*1.2)+($E174*1.2)+($F174*1.1)+($G174*1.0)+($H174*1.0)+($I174*1.1)+($J174*0.9))/7.5)-1)/4*8000 + MIN($B174*20,1000) + MIN($C174*100,1000))),0))</f>
        <v/>
      </c>
      <c r="L174" s="31">
        <f>IF($K174="","",MIN(100,INT(SQRT($K174))))</f>
        <v/>
      </c>
      <c r="M174" s="31" t="n"/>
      <c r="N174" s="31">
        <f>IF($M174="Yes",$K174,"")</f>
        <v/>
      </c>
      <c r="O174" s="31" t="n"/>
      <c r="P174" s="59" t="n"/>
      <c r="Q174" s="59" t="n"/>
    </row>
    <row r="175">
      <c r="A175" s="31">
        <f>IF(Members!$A175="","",Members!$A175)</f>
        <v/>
      </c>
      <c r="B175" s="31" t="n"/>
      <c r="C175" s="31" t="n"/>
      <c r="D175" s="31" t="n"/>
      <c r="E175" s="31" t="n"/>
      <c r="F175" s="31" t="n"/>
      <c r="G175" s="31" t="n"/>
      <c r="H175" s="31" t="n"/>
      <c r="I175" s="31" t="n"/>
      <c r="J175" s="31" t="n"/>
      <c r="K175" s="31">
        <f>IF(COUNTA($D175:$J175)&lt;7,"",ROUND(MIN(10000, MAX(0, ((((($D175*1.2)+($E175*1.2)+($F175*1.1)+($G175*1.0)+($H175*1.0)+($I175*1.1)+($J175*0.9))/7.5)-1)/4*8000 + MIN($B175*20,1000) + MIN($C175*100,1000))),0))</f>
        <v/>
      </c>
      <c r="L175" s="31">
        <f>IF($K175="","",MIN(100,INT(SQRT($K175))))</f>
        <v/>
      </c>
      <c r="M175" s="31" t="n"/>
      <c r="N175" s="31">
        <f>IF($M175="Yes",$K175,"")</f>
        <v/>
      </c>
      <c r="O175" s="31" t="n"/>
      <c r="P175" s="59" t="n"/>
      <c r="Q175" s="59" t="n"/>
    </row>
    <row r="176">
      <c r="A176" s="31">
        <f>IF(Members!$A176="","",Members!$A176)</f>
        <v/>
      </c>
      <c r="B176" s="31" t="n"/>
      <c r="C176" s="31" t="n"/>
      <c r="D176" s="31" t="n"/>
      <c r="E176" s="31" t="n"/>
      <c r="F176" s="31" t="n"/>
      <c r="G176" s="31" t="n"/>
      <c r="H176" s="31" t="n"/>
      <c r="I176" s="31" t="n"/>
      <c r="J176" s="31" t="n"/>
      <c r="K176" s="31">
        <f>IF(COUNTA($D176:$J176)&lt;7,"",ROUND(MIN(10000, MAX(0, ((((($D176*1.2)+($E176*1.2)+($F176*1.1)+($G176*1.0)+($H176*1.0)+($I176*1.1)+($J176*0.9))/7.5)-1)/4*8000 + MIN($B176*20,1000) + MIN($C176*100,1000))),0))</f>
        <v/>
      </c>
      <c r="L176" s="31">
        <f>IF($K176="","",MIN(100,INT(SQRT($K176))))</f>
        <v/>
      </c>
      <c r="M176" s="31" t="n"/>
      <c r="N176" s="31">
        <f>IF($M176="Yes",$K176,"")</f>
        <v/>
      </c>
      <c r="O176" s="31" t="n"/>
      <c r="P176" s="59" t="n"/>
      <c r="Q176" s="59" t="n"/>
    </row>
    <row r="177">
      <c r="A177" s="31">
        <f>IF(Members!$A177="","",Members!$A177)</f>
        <v/>
      </c>
      <c r="B177" s="31" t="n"/>
      <c r="C177" s="31" t="n"/>
      <c r="D177" s="31" t="n"/>
      <c r="E177" s="31" t="n"/>
      <c r="F177" s="31" t="n"/>
      <c r="G177" s="31" t="n"/>
      <c r="H177" s="31" t="n"/>
      <c r="I177" s="31" t="n"/>
      <c r="J177" s="31" t="n"/>
      <c r="K177" s="31">
        <f>IF(COUNTA($D177:$J177)&lt;7,"",ROUND(MIN(10000, MAX(0, ((((($D177*1.2)+($E177*1.2)+($F177*1.1)+($G177*1.0)+($H177*1.0)+($I177*1.1)+($J177*0.9))/7.5)-1)/4*8000 + MIN($B177*20,1000) + MIN($C177*100,1000))),0))</f>
        <v/>
      </c>
      <c r="L177" s="31">
        <f>IF($K177="","",MIN(100,INT(SQRT($K177))))</f>
        <v/>
      </c>
      <c r="M177" s="31" t="n"/>
      <c r="N177" s="31">
        <f>IF($M177="Yes",$K177,"")</f>
        <v/>
      </c>
      <c r="O177" s="31" t="n"/>
      <c r="P177" s="59" t="n"/>
      <c r="Q177" s="59" t="n"/>
    </row>
    <row r="178">
      <c r="A178" s="31">
        <f>IF(Members!$A178="","",Members!$A178)</f>
        <v/>
      </c>
      <c r="B178" s="31" t="n"/>
      <c r="C178" s="31" t="n"/>
      <c r="D178" s="31" t="n"/>
      <c r="E178" s="31" t="n"/>
      <c r="F178" s="31" t="n"/>
      <c r="G178" s="31" t="n"/>
      <c r="H178" s="31" t="n"/>
      <c r="I178" s="31" t="n"/>
      <c r="J178" s="31" t="n"/>
      <c r="K178" s="31">
        <f>IF(COUNTA($D178:$J178)&lt;7,"",ROUND(MIN(10000, MAX(0, ((((($D178*1.2)+($E178*1.2)+($F178*1.1)+($G178*1.0)+($H178*1.0)+($I178*1.1)+($J178*0.9))/7.5)-1)/4*8000 + MIN($B178*20,1000) + MIN($C178*100,1000))),0))</f>
        <v/>
      </c>
      <c r="L178" s="31">
        <f>IF($K178="","",MIN(100,INT(SQRT($K178))))</f>
        <v/>
      </c>
      <c r="M178" s="31" t="n"/>
      <c r="N178" s="31">
        <f>IF($M178="Yes",$K178,"")</f>
        <v/>
      </c>
      <c r="O178" s="31" t="n"/>
      <c r="P178" s="59" t="n"/>
      <c r="Q178" s="59" t="n"/>
    </row>
    <row r="179">
      <c r="A179" s="31">
        <f>IF(Members!$A179="","",Members!$A179)</f>
        <v/>
      </c>
      <c r="B179" s="31" t="n"/>
      <c r="C179" s="31" t="n"/>
      <c r="D179" s="31" t="n"/>
      <c r="E179" s="31" t="n"/>
      <c r="F179" s="31" t="n"/>
      <c r="G179" s="31" t="n"/>
      <c r="H179" s="31" t="n"/>
      <c r="I179" s="31" t="n"/>
      <c r="J179" s="31" t="n"/>
      <c r="K179" s="31">
        <f>IF(COUNTA($D179:$J179)&lt;7,"",ROUND(MIN(10000, MAX(0, ((((($D179*1.2)+($E179*1.2)+($F179*1.1)+($G179*1.0)+($H179*1.0)+($I179*1.1)+($J179*0.9))/7.5)-1)/4*8000 + MIN($B179*20,1000) + MIN($C179*100,1000))),0))</f>
        <v/>
      </c>
      <c r="L179" s="31">
        <f>IF($K179="","",MIN(100,INT(SQRT($K179))))</f>
        <v/>
      </c>
      <c r="M179" s="31" t="n"/>
      <c r="N179" s="31">
        <f>IF($M179="Yes",$K179,"")</f>
        <v/>
      </c>
      <c r="O179" s="31" t="n"/>
      <c r="P179" s="59" t="n"/>
      <c r="Q179" s="59" t="n"/>
    </row>
    <row r="180">
      <c r="A180" s="31">
        <f>IF(Members!$A180="","",Members!$A180)</f>
        <v/>
      </c>
      <c r="B180" s="31" t="n"/>
      <c r="C180" s="31" t="n"/>
      <c r="D180" s="31" t="n"/>
      <c r="E180" s="31" t="n"/>
      <c r="F180" s="31" t="n"/>
      <c r="G180" s="31" t="n"/>
      <c r="H180" s="31" t="n"/>
      <c r="I180" s="31" t="n"/>
      <c r="J180" s="31" t="n"/>
      <c r="K180" s="31">
        <f>IF(COUNTA($D180:$J180)&lt;7,"",ROUND(MIN(10000, MAX(0, ((((($D180*1.2)+($E180*1.2)+($F180*1.1)+($G180*1.0)+($H180*1.0)+($I180*1.1)+($J180*0.9))/7.5)-1)/4*8000 + MIN($B180*20,1000) + MIN($C180*100,1000))),0))</f>
        <v/>
      </c>
      <c r="L180" s="31">
        <f>IF($K180="","",MIN(100,INT(SQRT($K180))))</f>
        <v/>
      </c>
      <c r="M180" s="31" t="n"/>
      <c r="N180" s="31">
        <f>IF($M180="Yes",$K180,"")</f>
        <v/>
      </c>
      <c r="O180" s="31" t="n"/>
      <c r="P180" s="59" t="n"/>
      <c r="Q180" s="59" t="n"/>
    </row>
    <row r="181">
      <c r="A181" s="31">
        <f>IF(Members!$A181="","",Members!$A181)</f>
        <v/>
      </c>
      <c r="B181" s="31" t="n"/>
      <c r="C181" s="31" t="n"/>
      <c r="D181" s="31" t="n"/>
      <c r="E181" s="31" t="n"/>
      <c r="F181" s="31" t="n"/>
      <c r="G181" s="31" t="n"/>
      <c r="H181" s="31" t="n"/>
      <c r="I181" s="31" t="n"/>
      <c r="J181" s="31" t="n"/>
      <c r="K181" s="31">
        <f>IF(COUNTA($D181:$J181)&lt;7,"",ROUND(MIN(10000, MAX(0, ((((($D181*1.2)+($E181*1.2)+($F181*1.1)+($G181*1.0)+($H181*1.0)+($I181*1.1)+($J181*0.9))/7.5)-1)/4*8000 + MIN($B181*20,1000) + MIN($C181*100,1000))),0))</f>
        <v/>
      </c>
      <c r="L181" s="31">
        <f>IF($K181="","",MIN(100,INT(SQRT($K181))))</f>
        <v/>
      </c>
      <c r="M181" s="31" t="n"/>
      <c r="N181" s="31">
        <f>IF($M181="Yes",$K181,"")</f>
        <v/>
      </c>
      <c r="O181" s="31" t="n"/>
      <c r="P181" s="59" t="n"/>
      <c r="Q181" s="59" t="n"/>
    </row>
    <row r="182">
      <c r="A182" s="31">
        <f>IF(Members!$A182="","",Members!$A182)</f>
        <v/>
      </c>
      <c r="B182" s="31" t="n"/>
      <c r="C182" s="31" t="n"/>
      <c r="D182" s="31" t="n"/>
      <c r="E182" s="31" t="n"/>
      <c r="F182" s="31" t="n"/>
      <c r="G182" s="31" t="n"/>
      <c r="H182" s="31" t="n"/>
      <c r="I182" s="31" t="n"/>
      <c r="J182" s="31" t="n"/>
      <c r="K182" s="31">
        <f>IF(COUNTA($D182:$J182)&lt;7,"",ROUND(MIN(10000, MAX(0, ((((($D182*1.2)+($E182*1.2)+($F182*1.1)+($G182*1.0)+($H182*1.0)+($I182*1.1)+($J182*0.9))/7.5)-1)/4*8000 + MIN($B182*20,1000) + MIN($C182*100,1000))),0))</f>
        <v/>
      </c>
      <c r="L182" s="31">
        <f>IF($K182="","",MIN(100,INT(SQRT($K182))))</f>
        <v/>
      </c>
      <c r="M182" s="31" t="n"/>
      <c r="N182" s="31">
        <f>IF($M182="Yes",$K182,"")</f>
        <v/>
      </c>
      <c r="O182" s="31" t="n"/>
      <c r="P182" s="59" t="n"/>
      <c r="Q182" s="59" t="n"/>
    </row>
    <row r="183">
      <c r="A183" s="31">
        <f>IF(Members!$A183="","",Members!$A183)</f>
        <v/>
      </c>
      <c r="B183" s="31" t="n"/>
      <c r="C183" s="31" t="n"/>
      <c r="D183" s="31" t="n"/>
      <c r="E183" s="31" t="n"/>
      <c r="F183" s="31" t="n"/>
      <c r="G183" s="31" t="n"/>
      <c r="H183" s="31" t="n"/>
      <c r="I183" s="31" t="n"/>
      <c r="J183" s="31" t="n"/>
      <c r="K183" s="31">
        <f>IF(COUNTA($D183:$J183)&lt;7,"",ROUND(MIN(10000, MAX(0, ((((($D183*1.2)+($E183*1.2)+($F183*1.1)+($G183*1.0)+($H183*1.0)+($I183*1.1)+($J183*0.9))/7.5)-1)/4*8000 + MIN($B183*20,1000) + MIN($C183*100,1000))),0))</f>
        <v/>
      </c>
      <c r="L183" s="31">
        <f>IF($K183="","",MIN(100,INT(SQRT($K183))))</f>
        <v/>
      </c>
      <c r="M183" s="31" t="n"/>
      <c r="N183" s="31">
        <f>IF($M183="Yes",$K183,"")</f>
        <v/>
      </c>
      <c r="O183" s="31" t="n"/>
      <c r="P183" s="59" t="n"/>
      <c r="Q183" s="59" t="n"/>
    </row>
    <row r="184">
      <c r="A184" s="31">
        <f>IF(Members!$A184="","",Members!$A184)</f>
        <v/>
      </c>
      <c r="B184" s="31" t="n"/>
      <c r="C184" s="31" t="n"/>
      <c r="D184" s="31" t="n"/>
      <c r="E184" s="31" t="n"/>
      <c r="F184" s="31" t="n"/>
      <c r="G184" s="31" t="n"/>
      <c r="H184" s="31" t="n"/>
      <c r="I184" s="31" t="n"/>
      <c r="J184" s="31" t="n"/>
      <c r="K184" s="31">
        <f>IF(COUNTA($D184:$J184)&lt;7,"",ROUND(MIN(10000, MAX(0, ((((($D184*1.2)+($E184*1.2)+($F184*1.1)+($G184*1.0)+($H184*1.0)+($I184*1.1)+($J184*0.9))/7.5)-1)/4*8000 + MIN($B184*20,1000) + MIN($C184*100,1000))),0))</f>
        <v/>
      </c>
      <c r="L184" s="31">
        <f>IF($K184="","",MIN(100,INT(SQRT($K184))))</f>
        <v/>
      </c>
      <c r="M184" s="31" t="n"/>
      <c r="N184" s="31">
        <f>IF($M184="Yes",$K184,"")</f>
        <v/>
      </c>
      <c r="O184" s="31" t="n"/>
      <c r="P184" s="59" t="n"/>
      <c r="Q184" s="59" t="n"/>
    </row>
    <row r="185">
      <c r="A185" s="31">
        <f>IF(Members!$A185="","",Members!$A185)</f>
        <v/>
      </c>
      <c r="B185" s="31" t="n"/>
      <c r="C185" s="31" t="n"/>
      <c r="D185" s="31" t="n"/>
      <c r="E185" s="31" t="n"/>
      <c r="F185" s="31" t="n"/>
      <c r="G185" s="31" t="n"/>
      <c r="H185" s="31" t="n"/>
      <c r="I185" s="31" t="n"/>
      <c r="J185" s="31" t="n"/>
      <c r="K185" s="31">
        <f>IF(COUNTA($D185:$J185)&lt;7,"",ROUND(MIN(10000, MAX(0, ((((($D185*1.2)+($E185*1.2)+($F185*1.1)+($G185*1.0)+($H185*1.0)+($I185*1.1)+($J185*0.9))/7.5)-1)/4*8000 + MIN($B185*20,1000) + MIN($C185*100,1000))),0))</f>
        <v/>
      </c>
      <c r="L185" s="31">
        <f>IF($K185="","",MIN(100,INT(SQRT($K185))))</f>
        <v/>
      </c>
      <c r="M185" s="31" t="n"/>
      <c r="N185" s="31">
        <f>IF($M185="Yes",$K185,"")</f>
        <v/>
      </c>
      <c r="O185" s="31" t="n"/>
      <c r="P185" s="59" t="n"/>
      <c r="Q185" s="59" t="n"/>
    </row>
    <row r="186">
      <c r="A186" s="31">
        <f>IF(Members!$A186="","",Members!$A186)</f>
        <v/>
      </c>
      <c r="B186" s="31" t="n"/>
      <c r="C186" s="31" t="n"/>
      <c r="D186" s="31" t="n"/>
      <c r="E186" s="31" t="n"/>
      <c r="F186" s="31" t="n"/>
      <c r="G186" s="31" t="n"/>
      <c r="H186" s="31" t="n"/>
      <c r="I186" s="31" t="n"/>
      <c r="J186" s="31" t="n"/>
      <c r="K186" s="31">
        <f>IF(COUNTA($D186:$J186)&lt;7,"",ROUND(MIN(10000, MAX(0, ((((($D186*1.2)+($E186*1.2)+($F186*1.1)+($G186*1.0)+($H186*1.0)+($I186*1.1)+($J186*0.9))/7.5)-1)/4*8000 + MIN($B186*20,1000) + MIN($C186*100,1000))),0))</f>
        <v/>
      </c>
      <c r="L186" s="31">
        <f>IF($K186="","",MIN(100,INT(SQRT($K186))))</f>
        <v/>
      </c>
      <c r="M186" s="31" t="n"/>
      <c r="N186" s="31">
        <f>IF($M186="Yes",$K186,"")</f>
        <v/>
      </c>
      <c r="O186" s="31" t="n"/>
      <c r="P186" s="59" t="n"/>
      <c r="Q186" s="59" t="n"/>
    </row>
    <row r="187">
      <c r="A187" s="31">
        <f>IF(Members!$A187="","",Members!$A187)</f>
        <v/>
      </c>
      <c r="B187" s="31" t="n"/>
      <c r="C187" s="31" t="n"/>
      <c r="D187" s="31" t="n"/>
      <c r="E187" s="31" t="n"/>
      <c r="F187" s="31" t="n"/>
      <c r="G187" s="31" t="n"/>
      <c r="H187" s="31" t="n"/>
      <c r="I187" s="31" t="n"/>
      <c r="J187" s="31" t="n"/>
      <c r="K187" s="31">
        <f>IF(COUNTA($D187:$J187)&lt;7,"",ROUND(MIN(10000, MAX(0, ((((($D187*1.2)+($E187*1.2)+($F187*1.1)+($G187*1.0)+($H187*1.0)+($I187*1.1)+($J187*0.9))/7.5)-1)/4*8000 + MIN($B187*20,1000) + MIN($C187*100,1000))),0))</f>
        <v/>
      </c>
      <c r="L187" s="31">
        <f>IF($K187="","",MIN(100,INT(SQRT($K187))))</f>
        <v/>
      </c>
      <c r="M187" s="31" t="n"/>
      <c r="N187" s="31">
        <f>IF($M187="Yes",$K187,"")</f>
        <v/>
      </c>
      <c r="O187" s="31" t="n"/>
      <c r="P187" s="59" t="n"/>
      <c r="Q187" s="59" t="n"/>
    </row>
    <row r="188">
      <c r="A188" s="31">
        <f>IF(Members!$A188="","",Members!$A188)</f>
        <v/>
      </c>
      <c r="B188" s="31" t="n"/>
      <c r="C188" s="31" t="n"/>
      <c r="D188" s="31" t="n"/>
      <c r="E188" s="31" t="n"/>
      <c r="F188" s="31" t="n"/>
      <c r="G188" s="31" t="n"/>
      <c r="H188" s="31" t="n"/>
      <c r="I188" s="31" t="n"/>
      <c r="J188" s="31" t="n"/>
      <c r="K188" s="31">
        <f>IF(COUNTA($D188:$J188)&lt;7,"",ROUND(MIN(10000, MAX(0, ((((($D188*1.2)+($E188*1.2)+($F188*1.1)+($G188*1.0)+($H188*1.0)+($I188*1.1)+($J188*0.9))/7.5)-1)/4*8000 + MIN($B188*20,1000) + MIN($C188*100,1000))),0))</f>
        <v/>
      </c>
      <c r="L188" s="31">
        <f>IF($K188="","",MIN(100,INT(SQRT($K188))))</f>
        <v/>
      </c>
      <c r="M188" s="31" t="n"/>
      <c r="N188" s="31">
        <f>IF($M188="Yes",$K188,"")</f>
        <v/>
      </c>
      <c r="O188" s="31" t="n"/>
      <c r="P188" s="59" t="n"/>
      <c r="Q188" s="59" t="n"/>
    </row>
    <row r="189">
      <c r="A189" s="31">
        <f>IF(Members!$A189="","",Members!$A189)</f>
        <v/>
      </c>
      <c r="B189" s="31" t="n"/>
      <c r="C189" s="31" t="n"/>
      <c r="D189" s="31" t="n"/>
      <c r="E189" s="31" t="n"/>
      <c r="F189" s="31" t="n"/>
      <c r="G189" s="31" t="n"/>
      <c r="H189" s="31" t="n"/>
      <c r="I189" s="31" t="n"/>
      <c r="J189" s="31" t="n"/>
      <c r="K189" s="31">
        <f>IF(COUNTA($D189:$J189)&lt;7,"",ROUND(MIN(10000, MAX(0, ((((($D189*1.2)+($E189*1.2)+($F189*1.1)+($G189*1.0)+($H189*1.0)+($I189*1.1)+($J189*0.9))/7.5)-1)/4*8000 + MIN($B189*20,1000) + MIN($C189*100,1000))),0))</f>
        <v/>
      </c>
      <c r="L189" s="31">
        <f>IF($K189="","",MIN(100,INT(SQRT($K189))))</f>
        <v/>
      </c>
      <c r="M189" s="31" t="n"/>
      <c r="N189" s="31">
        <f>IF($M189="Yes",$K189,"")</f>
        <v/>
      </c>
      <c r="O189" s="31" t="n"/>
      <c r="P189" s="59" t="n"/>
      <c r="Q189" s="59" t="n"/>
    </row>
    <row r="190">
      <c r="A190" s="31">
        <f>IF(Members!$A190="","",Members!$A190)</f>
        <v/>
      </c>
      <c r="B190" s="31" t="n"/>
      <c r="C190" s="31" t="n"/>
      <c r="D190" s="31" t="n"/>
      <c r="E190" s="31" t="n"/>
      <c r="F190" s="31" t="n"/>
      <c r="G190" s="31" t="n"/>
      <c r="H190" s="31" t="n"/>
      <c r="I190" s="31" t="n"/>
      <c r="J190" s="31" t="n"/>
      <c r="K190" s="31">
        <f>IF(COUNTA($D190:$J190)&lt;7,"",ROUND(MIN(10000, MAX(0, ((((($D190*1.2)+($E190*1.2)+($F190*1.1)+($G190*1.0)+($H190*1.0)+($I190*1.1)+($J190*0.9))/7.5)-1)/4*8000 + MIN($B190*20,1000) + MIN($C190*100,1000))),0))</f>
        <v/>
      </c>
      <c r="L190" s="31">
        <f>IF($K190="","",MIN(100,INT(SQRT($K190))))</f>
        <v/>
      </c>
      <c r="M190" s="31" t="n"/>
      <c r="N190" s="31">
        <f>IF($M190="Yes",$K190,"")</f>
        <v/>
      </c>
      <c r="O190" s="31" t="n"/>
      <c r="P190" s="59" t="n"/>
      <c r="Q190" s="59" t="n"/>
    </row>
    <row r="191">
      <c r="A191" s="31">
        <f>IF(Members!$A191="","",Members!$A191)</f>
        <v/>
      </c>
      <c r="B191" s="31" t="n"/>
      <c r="C191" s="31" t="n"/>
      <c r="D191" s="31" t="n"/>
      <c r="E191" s="31" t="n"/>
      <c r="F191" s="31" t="n"/>
      <c r="G191" s="31" t="n"/>
      <c r="H191" s="31" t="n"/>
      <c r="I191" s="31" t="n"/>
      <c r="J191" s="31" t="n"/>
      <c r="K191" s="31">
        <f>IF(COUNTA($D191:$J191)&lt;7,"",ROUND(MIN(10000, MAX(0, ((((($D191*1.2)+($E191*1.2)+($F191*1.1)+($G191*1.0)+($H191*1.0)+($I191*1.1)+($J191*0.9))/7.5)-1)/4*8000 + MIN($B191*20,1000) + MIN($C191*100,1000))),0))</f>
        <v/>
      </c>
      <c r="L191" s="31">
        <f>IF($K191="","",MIN(100,INT(SQRT($K191))))</f>
        <v/>
      </c>
      <c r="M191" s="31" t="n"/>
      <c r="N191" s="31">
        <f>IF($M191="Yes",$K191,"")</f>
        <v/>
      </c>
      <c r="O191" s="31" t="n"/>
      <c r="P191" s="59" t="n"/>
      <c r="Q191" s="59" t="n"/>
    </row>
    <row r="192">
      <c r="A192" s="31">
        <f>IF(Members!$A192="","",Members!$A192)</f>
        <v/>
      </c>
      <c r="B192" s="31" t="n"/>
      <c r="C192" s="31" t="n"/>
      <c r="D192" s="31" t="n"/>
      <c r="E192" s="31" t="n"/>
      <c r="F192" s="31" t="n"/>
      <c r="G192" s="31" t="n"/>
      <c r="H192" s="31" t="n"/>
      <c r="I192" s="31" t="n"/>
      <c r="J192" s="31" t="n"/>
      <c r="K192" s="31">
        <f>IF(COUNTA($D192:$J192)&lt;7,"",ROUND(MIN(10000, MAX(0, ((((($D192*1.2)+($E192*1.2)+($F192*1.1)+($G192*1.0)+($H192*1.0)+($I192*1.1)+($J192*0.9))/7.5)-1)/4*8000 + MIN($B192*20,1000) + MIN($C192*100,1000))),0))</f>
        <v/>
      </c>
      <c r="L192" s="31">
        <f>IF($K192="","",MIN(100,INT(SQRT($K192))))</f>
        <v/>
      </c>
      <c r="M192" s="31" t="n"/>
      <c r="N192" s="31">
        <f>IF($M192="Yes",$K192,"")</f>
        <v/>
      </c>
      <c r="O192" s="31" t="n"/>
      <c r="P192" s="59" t="n"/>
      <c r="Q192" s="59" t="n"/>
    </row>
    <row r="193">
      <c r="A193" s="31">
        <f>IF(Members!$A193="","",Members!$A193)</f>
        <v/>
      </c>
      <c r="B193" s="31" t="n"/>
      <c r="C193" s="31" t="n"/>
      <c r="D193" s="31" t="n"/>
      <c r="E193" s="31" t="n"/>
      <c r="F193" s="31" t="n"/>
      <c r="G193" s="31" t="n"/>
      <c r="H193" s="31" t="n"/>
      <c r="I193" s="31" t="n"/>
      <c r="J193" s="31" t="n"/>
      <c r="K193" s="31">
        <f>IF(COUNTA($D193:$J193)&lt;7,"",ROUND(MIN(10000, MAX(0, ((((($D193*1.2)+($E193*1.2)+($F193*1.1)+($G193*1.0)+($H193*1.0)+($I193*1.1)+($J193*0.9))/7.5)-1)/4*8000 + MIN($B193*20,1000) + MIN($C193*100,1000))),0))</f>
        <v/>
      </c>
      <c r="L193" s="31">
        <f>IF($K193="","",MIN(100,INT(SQRT($K193))))</f>
        <v/>
      </c>
      <c r="M193" s="31" t="n"/>
      <c r="N193" s="31">
        <f>IF($M193="Yes",$K193,"")</f>
        <v/>
      </c>
      <c r="O193" s="31" t="n"/>
      <c r="P193" s="59" t="n"/>
      <c r="Q193" s="59" t="n"/>
    </row>
    <row r="194">
      <c r="A194" s="31">
        <f>IF(Members!$A194="","",Members!$A194)</f>
        <v/>
      </c>
      <c r="B194" s="31" t="n"/>
      <c r="C194" s="31" t="n"/>
      <c r="D194" s="31" t="n"/>
      <c r="E194" s="31" t="n"/>
      <c r="F194" s="31" t="n"/>
      <c r="G194" s="31" t="n"/>
      <c r="H194" s="31" t="n"/>
      <c r="I194" s="31" t="n"/>
      <c r="J194" s="31" t="n"/>
      <c r="K194" s="31">
        <f>IF(COUNTA($D194:$J194)&lt;7,"",ROUND(MIN(10000, MAX(0, ((((($D194*1.2)+($E194*1.2)+($F194*1.1)+($G194*1.0)+($H194*1.0)+($I194*1.1)+($J194*0.9))/7.5)-1)/4*8000 + MIN($B194*20,1000) + MIN($C194*100,1000))),0))</f>
        <v/>
      </c>
      <c r="L194" s="31">
        <f>IF($K194="","",MIN(100,INT(SQRT($K194))))</f>
        <v/>
      </c>
      <c r="M194" s="31" t="n"/>
      <c r="N194" s="31">
        <f>IF($M194="Yes",$K194,"")</f>
        <v/>
      </c>
      <c r="O194" s="31" t="n"/>
      <c r="P194" s="59" t="n"/>
      <c r="Q194" s="59" t="n"/>
    </row>
    <row r="195">
      <c r="A195" s="31">
        <f>IF(Members!$A195="","",Members!$A195)</f>
        <v/>
      </c>
      <c r="B195" s="31" t="n"/>
      <c r="C195" s="31" t="n"/>
      <c r="D195" s="31" t="n"/>
      <c r="E195" s="31" t="n"/>
      <c r="F195" s="31" t="n"/>
      <c r="G195" s="31" t="n"/>
      <c r="H195" s="31" t="n"/>
      <c r="I195" s="31" t="n"/>
      <c r="J195" s="31" t="n"/>
      <c r="K195" s="31">
        <f>IF(COUNTA($D195:$J195)&lt;7,"",ROUND(MIN(10000, MAX(0, ((((($D195*1.2)+($E195*1.2)+($F195*1.1)+($G195*1.0)+($H195*1.0)+($I195*1.1)+($J195*0.9))/7.5)-1)/4*8000 + MIN($B195*20,1000) + MIN($C195*100,1000))),0))</f>
        <v/>
      </c>
      <c r="L195" s="31">
        <f>IF($K195="","",MIN(100,INT(SQRT($K195))))</f>
        <v/>
      </c>
      <c r="M195" s="31" t="n"/>
      <c r="N195" s="31">
        <f>IF($M195="Yes",$K195,"")</f>
        <v/>
      </c>
      <c r="O195" s="31" t="n"/>
      <c r="P195" s="59" t="n"/>
      <c r="Q195" s="59" t="n"/>
    </row>
    <row r="196">
      <c r="A196" s="31">
        <f>IF(Members!$A196="","",Members!$A196)</f>
        <v/>
      </c>
      <c r="B196" s="31" t="n"/>
      <c r="C196" s="31" t="n"/>
      <c r="D196" s="31" t="n"/>
      <c r="E196" s="31" t="n"/>
      <c r="F196" s="31" t="n"/>
      <c r="G196" s="31" t="n"/>
      <c r="H196" s="31" t="n"/>
      <c r="I196" s="31" t="n"/>
      <c r="J196" s="31" t="n"/>
      <c r="K196" s="31">
        <f>IF(COUNTA($D196:$J196)&lt;7,"",ROUND(MIN(10000, MAX(0, ((((($D196*1.2)+($E196*1.2)+($F196*1.1)+($G196*1.0)+($H196*1.0)+($I196*1.1)+($J196*0.9))/7.5)-1)/4*8000 + MIN($B196*20,1000) + MIN($C196*100,1000))),0))</f>
        <v/>
      </c>
      <c r="L196" s="31">
        <f>IF($K196="","",MIN(100,INT(SQRT($K196))))</f>
        <v/>
      </c>
      <c r="M196" s="31" t="n"/>
      <c r="N196" s="31">
        <f>IF($M196="Yes",$K196,"")</f>
        <v/>
      </c>
      <c r="O196" s="31" t="n"/>
      <c r="P196" s="59" t="n"/>
      <c r="Q196" s="59" t="n"/>
    </row>
    <row r="197">
      <c r="A197" s="31">
        <f>IF(Members!$A197="","",Members!$A197)</f>
        <v/>
      </c>
      <c r="B197" s="31" t="n"/>
      <c r="C197" s="31" t="n"/>
      <c r="D197" s="31" t="n"/>
      <c r="E197" s="31" t="n"/>
      <c r="F197" s="31" t="n"/>
      <c r="G197" s="31" t="n"/>
      <c r="H197" s="31" t="n"/>
      <c r="I197" s="31" t="n"/>
      <c r="J197" s="31" t="n"/>
      <c r="K197" s="31">
        <f>IF(COUNTA($D197:$J197)&lt;7,"",ROUND(MIN(10000, MAX(0, ((((($D197*1.2)+($E197*1.2)+($F197*1.1)+($G197*1.0)+($H197*1.0)+($I197*1.1)+($J197*0.9))/7.5)-1)/4*8000 + MIN($B197*20,1000) + MIN($C197*100,1000))),0))</f>
        <v/>
      </c>
      <c r="L197" s="31">
        <f>IF($K197="","",MIN(100,INT(SQRT($K197))))</f>
        <v/>
      </c>
      <c r="M197" s="31" t="n"/>
      <c r="N197" s="31">
        <f>IF($M197="Yes",$K197,"")</f>
        <v/>
      </c>
      <c r="O197" s="31" t="n"/>
      <c r="P197" s="59" t="n"/>
      <c r="Q197" s="59" t="n"/>
    </row>
    <row r="198">
      <c r="A198" s="31">
        <f>IF(Members!$A198="","",Members!$A198)</f>
        <v/>
      </c>
      <c r="B198" s="31" t="n"/>
      <c r="C198" s="31" t="n"/>
      <c r="D198" s="31" t="n"/>
      <c r="E198" s="31" t="n"/>
      <c r="F198" s="31" t="n"/>
      <c r="G198" s="31" t="n"/>
      <c r="H198" s="31" t="n"/>
      <c r="I198" s="31" t="n"/>
      <c r="J198" s="31" t="n"/>
      <c r="K198" s="31">
        <f>IF(COUNTA($D198:$J198)&lt;7,"",ROUND(MIN(10000, MAX(0, ((((($D198*1.2)+($E198*1.2)+($F198*1.1)+($G198*1.0)+($H198*1.0)+($I198*1.1)+($J198*0.9))/7.5)-1)/4*8000 + MIN($B198*20,1000) + MIN($C198*100,1000))),0))</f>
        <v/>
      </c>
      <c r="L198" s="31">
        <f>IF($K198="","",MIN(100,INT(SQRT($K198))))</f>
        <v/>
      </c>
      <c r="M198" s="31" t="n"/>
      <c r="N198" s="31">
        <f>IF($M198="Yes",$K198,"")</f>
        <v/>
      </c>
      <c r="O198" s="31" t="n"/>
      <c r="P198" s="59" t="n"/>
      <c r="Q198" s="59" t="n"/>
    </row>
    <row r="199">
      <c r="A199" s="31">
        <f>IF(Members!$A199="","",Members!$A199)</f>
        <v/>
      </c>
      <c r="B199" s="31" t="n"/>
      <c r="C199" s="31" t="n"/>
      <c r="D199" s="31" t="n"/>
      <c r="E199" s="31" t="n"/>
      <c r="F199" s="31" t="n"/>
      <c r="G199" s="31" t="n"/>
      <c r="H199" s="31" t="n"/>
      <c r="I199" s="31" t="n"/>
      <c r="J199" s="31" t="n"/>
      <c r="K199" s="31">
        <f>IF(COUNTA($D199:$J199)&lt;7,"",ROUND(MIN(10000, MAX(0, ((((($D199*1.2)+($E199*1.2)+($F199*1.1)+($G199*1.0)+($H199*1.0)+($I199*1.1)+($J199*0.9))/7.5)-1)/4*8000 + MIN($B199*20,1000) + MIN($C199*100,1000))),0))</f>
        <v/>
      </c>
      <c r="L199" s="31">
        <f>IF($K199="","",MIN(100,INT(SQRT($K199))))</f>
        <v/>
      </c>
      <c r="M199" s="31" t="n"/>
      <c r="N199" s="31">
        <f>IF($M199="Yes",$K199,"")</f>
        <v/>
      </c>
      <c r="O199" s="31" t="n"/>
      <c r="P199" s="59" t="n"/>
      <c r="Q199" s="59" t="n"/>
    </row>
    <row r="200">
      <c r="A200" s="31">
        <f>IF(Members!$A200="","",Members!$A200)</f>
        <v/>
      </c>
      <c r="B200" s="31" t="n"/>
      <c r="C200" s="31" t="n"/>
      <c r="D200" s="31" t="n"/>
      <c r="E200" s="31" t="n"/>
      <c r="F200" s="31" t="n"/>
      <c r="G200" s="31" t="n"/>
      <c r="H200" s="31" t="n"/>
      <c r="I200" s="31" t="n"/>
      <c r="J200" s="31" t="n"/>
      <c r="K200" s="31">
        <f>IF(COUNTA($D200:$J200)&lt;7,"",ROUND(MIN(10000, MAX(0, ((((($D200*1.2)+($E200*1.2)+($F200*1.1)+($G200*1.0)+($H200*1.0)+($I200*1.1)+($J200*0.9))/7.5)-1)/4*8000 + MIN($B200*20,1000) + MIN($C200*100,1000))),0))</f>
        <v/>
      </c>
      <c r="L200" s="31">
        <f>IF($K200="","",MIN(100,INT(SQRT($K200))))</f>
        <v/>
      </c>
      <c r="M200" s="31" t="n"/>
      <c r="N200" s="31">
        <f>IF($M200="Yes",$K200,"")</f>
        <v/>
      </c>
      <c r="O200" s="31" t="n"/>
      <c r="P200" s="59" t="n"/>
      <c r="Q200" s="59" t="n"/>
    </row>
    <row r="201">
      <c r="A201" s="31">
        <f>IF(Members!$A201="","",Members!$A201)</f>
        <v/>
      </c>
      <c r="B201" s="31" t="n"/>
      <c r="C201" s="31" t="n"/>
      <c r="D201" s="31" t="n"/>
      <c r="E201" s="31" t="n"/>
      <c r="F201" s="31" t="n"/>
      <c r="G201" s="31" t="n"/>
      <c r="H201" s="31" t="n"/>
      <c r="I201" s="31" t="n"/>
      <c r="J201" s="31" t="n"/>
      <c r="K201" s="31">
        <f>IF(COUNTA($D201:$J201)&lt;7,"",ROUND(MIN(10000, MAX(0, ((((($D201*1.2)+($E201*1.2)+($F201*1.1)+($G201*1.0)+($H201*1.0)+($I201*1.1)+($J201*0.9))/7.5)-1)/4*8000 + MIN($B201*20,1000) + MIN($C201*100,1000))),0))</f>
        <v/>
      </c>
      <c r="L201" s="31">
        <f>IF($K201="","",MIN(100,INT(SQRT($K201))))</f>
        <v/>
      </c>
      <c r="M201" s="31" t="n"/>
      <c r="N201" s="31">
        <f>IF($M201="Yes",$K201,"")</f>
        <v/>
      </c>
      <c r="O201" s="31" t="n"/>
      <c r="P201" s="59" t="n"/>
      <c r="Q201" s="59" t="n"/>
    </row>
    <row r="202">
      <c r="A202" s="31">
        <f>IF(Members!$A202="","",Members!$A202)</f>
        <v/>
      </c>
      <c r="B202" s="31" t="n"/>
      <c r="C202" s="31" t="n"/>
      <c r="D202" s="31" t="n"/>
      <c r="E202" s="31" t="n"/>
      <c r="F202" s="31" t="n"/>
      <c r="G202" s="31" t="n"/>
      <c r="H202" s="31" t="n"/>
      <c r="I202" s="31" t="n"/>
      <c r="J202" s="31" t="n"/>
      <c r="K202" s="31">
        <f>IF(COUNTA($D202:$J202)&lt;7,"",ROUND(MIN(10000, MAX(0, ((((($D202*1.2)+($E202*1.2)+($F202*1.1)+($G202*1.0)+($H202*1.0)+($I202*1.1)+($J202*0.9))/7.5)-1)/4*8000 + MIN($B202*20,1000) + MIN($C202*100,1000))),0))</f>
        <v/>
      </c>
      <c r="L202" s="31">
        <f>IF($K202="","",MIN(100,INT(SQRT($K202))))</f>
        <v/>
      </c>
      <c r="M202" s="31" t="n"/>
      <c r="N202" s="31">
        <f>IF($M202="Yes",$K202,"")</f>
        <v/>
      </c>
      <c r="O202" s="31" t="n"/>
      <c r="P202" s="59" t="n"/>
      <c r="Q202" s="59" t="n"/>
    </row>
    <row r="203">
      <c r="A203" s="31">
        <f>IF(Members!$A203="","",Members!$A203)</f>
        <v/>
      </c>
      <c r="B203" s="31" t="n"/>
      <c r="C203" s="31" t="n"/>
      <c r="D203" s="31" t="n"/>
      <c r="E203" s="31" t="n"/>
      <c r="F203" s="31" t="n"/>
      <c r="G203" s="31" t="n"/>
      <c r="H203" s="31" t="n"/>
      <c r="I203" s="31" t="n"/>
      <c r="J203" s="31" t="n"/>
      <c r="K203" s="31">
        <f>IF(COUNTA($D203:$J203)&lt;7,"",ROUND(MIN(10000, MAX(0, ((((($D203*1.2)+($E203*1.2)+($F203*1.1)+($G203*1.0)+($H203*1.0)+($I203*1.1)+($J203*0.9))/7.5)-1)/4*8000 + MIN($B203*20,1000) + MIN($C203*100,1000))),0))</f>
        <v/>
      </c>
      <c r="L203" s="31">
        <f>IF($K203="","",MIN(100,INT(SQRT($K203))))</f>
        <v/>
      </c>
      <c r="M203" s="31" t="n"/>
      <c r="N203" s="31">
        <f>IF($M203="Yes",$K203,"")</f>
        <v/>
      </c>
      <c r="O203" s="31" t="n"/>
      <c r="P203" s="59" t="n"/>
      <c r="Q203" s="59" t="n"/>
    </row>
    <row r="204">
      <c r="A204" s="31">
        <f>IF(Members!$A204="","",Members!$A204)</f>
        <v/>
      </c>
      <c r="B204" s="31" t="n"/>
      <c r="C204" s="31" t="n"/>
      <c r="D204" s="31" t="n"/>
      <c r="E204" s="31" t="n"/>
      <c r="F204" s="31" t="n"/>
      <c r="G204" s="31" t="n"/>
      <c r="H204" s="31" t="n"/>
      <c r="I204" s="31" t="n"/>
      <c r="J204" s="31" t="n"/>
      <c r="K204" s="31">
        <f>IF(COUNTA($D204:$J204)&lt;7,"",ROUND(MIN(10000, MAX(0, ((((($D204*1.2)+($E204*1.2)+($F204*1.1)+($G204*1.0)+($H204*1.0)+($I204*1.1)+($J204*0.9))/7.5)-1)/4*8000 + MIN($B204*20,1000) + MIN($C204*100,1000))),0))</f>
        <v/>
      </c>
      <c r="L204" s="31">
        <f>IF($K204="","",MIN(100,INT(SQRT($K204))))</f>
        <v/>
      </c>
      <c r="M204" s="31" t="n"/>
      <c r="N204" s="31">
        <f>IF($M204="Yes",$K204,"")</f>
        <v/>
      </c>
      <c r="O204" s="31" t="n"/>
      <c r="P204" s="59" t="n"/>
      <c r="Q204" s="59" t="n"/>
    </row>
    <row r="205">
      <c r="A205" s="31">
        <f>IF(Members!$A205="","",Members!$A205)</f>
        <v/>
      </c>
      <c r="B205" s="31" t="n"/>
      <c r="C205" s="31" t="n"/>
      <c r="D205" s="31" t="n"/>
      <c r="E205" s="31" t="n"/>
      <c r="F205" s="31" t="n"/>
      <c r="G205" s="31" t="n"/>
      <c r="H205" s="31" t="n"/>
      <c r="I205" s="31" t="n"/>
      <c r="J205" s="31" t="n"/>
      <c r="K205" s="31">
        <f>IF(COUNTA($D205:$J205)&lt;7,"",ROUND(MIN(10000, MAX(0, ((((($D205*1.2)+($E205*1.2)+($F205*1.1)+($G205*1.0)+($H205*1.0)+($I205*1.1)+($J205*0.9))/7.5)-1)/4*8000 + MIN($B205*20,1000) + MIN($C205*100,1000))),0))</f>
        <v/>
      </c>
      <c r="L205" s="31">
        <f>IF($K205="","",MIN(100,INT(SQRT($K205))))</f>
        <v/>
      </c>
      <c r="M205" s="31" t="n"/>
      <c r="N205" s="31">
        <f>IF($M205="Yes",$K205,"")</f>
        <v/>
      </c>
      <c r="O205" s="31" t="n"/>
      <c r="P205" s="59" t="n"/>
      <c r="Q205" s="59" t="n"/>
    </row>
    <row r="206">
      <c r="A206" s="31">
        <f>IF(Members!$A206="","",Members!$A206)</f>
        <v/>
      </c>
      <c r="B206" s="31" t="n"/>
      <c r="C206" s="31" t="n"/>
      <c r="D206" s="31" t="n"/>
      <c r="E206" s="31" t="n"/>
      <c r="F206" s="31" t="n"/>
      <c r="G206" s="31" t="n"/>
      <c r="H206" s="31" t="n"/>
      <c r="I206" s="31" t="n"/>
      <c r="J206" s="31" t="n"/>
      <c r="K206" s="31">
        <f>IF(COUNTA($D206:$J206)&lt;7,"",ROUND(MIN(10000, MAX(0, ((((($D206*1.2)+($E206*1.2)+($F206*1.1)+($G206*1.0)+($H206*1.0)+($I206*1.1)+($J206*0.9))/7.5)-1)/4*8000 + MIN($B206*20,1000) + MIN($C206*100,1000))),0))</f>
        <v/>
      </c>
      <c r="L206" s="31">
        <f>IF($K206="","",MIN(100,INT(SQRT($K206))))</f>
        <v/>
      </c>
      <c r="M206" s="31" t="n"/>
      <c r="N206" s="31">
        <f>IF($M206="Yes",$K206,"")</f>
        <v/>
      </c>
      <c r="O206" s="31" t="n"/>
      <c r="P206" s="59" t="n"/>
      <c r="Q206" s="59" t="n"/>
    </row>
    <row r="207">
      <c r="A207" s="31">
        <f>IF(Members!$A207="","",Members!$A207)</f>
        <v/>
      </c>
      <c r="B207" s="31" t="n"/>
      <c r="C207" s="31" t="n"/>
      <c r="D207" s="31" t="n"/>
      <c r="E207" s="31" t="n"/>
      <c r="F207" s="31" t="n"/>
      <c r="G207" s="31" t="n"/>
      <c r="H207" s="31" t="n"/>
      <c r="I207" s="31" t="n"/>
      <c r="J207" s="31" t="n"/>
      <c r="K207" s="31">
        <f>IF(COUNTA($D207:$J207)&lt;7,"",ROUND(MIN(10000, MAX(0, ((((($D207*1.2)+($E207*1.2)+($F207*1.1)+($G207*1.0)+($H207*1.0)+($I207*1.1)+($J207*0.9))/7.5)-1)/4*8000 + MIN($B207*20,1000) + MIN($C207*100,1000))),0))</f>
        <v/>
      </c>
      <c r="L207" s="31">
        <f>IF($K207="","",MIN(100,INT(SQRT($K207))))</f>
        <v/>
      </c>
      <c r="M207" s="31" t="n"/>
      <c r="N207" s="31">
        <f>IF($M207="Yes",$K207,"")</f>
        <v/>
      </c>
      <c r="O207" s="31" t="n"/>
      <c r="P207" s="59" t="n"/>
      <c r="Q207" s="59" t="n"/>
    </row>
    <row r="208">
      <c r="A208" s="31">
        <f>IF(Members!$A208="","",Members!$A208)</f>
        <v/>
      </c>
      <c r="B208" s="31" t="n"/>
      <c r="C208" s="31" t="n"/>
      <c r="D208" s="31" t="n"/>
      <c r="E208" s="31" t="n"/>
      <c r="F208" s="31" t="n"/>
      <c r="G208" s="31" t="n"/>
      <c r="H208" s="31" t="n"/>
      <c r="I208" s="31" t="n"/>
      <c r="J208" s="31" t="n"/>
      <c r="K208" s="31">
        <f>IF(COUNTA($D208:$J208)&lt;7,"",ROUND(MIN(10000, MAX(0, ((((($D208*1.2)+($E208*1.2)+($F208*1.1)+($G208*1.0)+($H208*1.0)+($I208*1.1)+($J208*0.9))/7.5)-1)/4*8000 + MIN($B208*20,1000) + MIN($C208*100,1000))),0))</f>
        <v/>
      </c>
      <c r="L208" s="31">
        <f>IF($K208="","",MIN(100,INT(SQRT($K208))))</f>
        <v/>
      </c>
      <c r="M208" s="31" t="n"/>
      <c r="N208" s="31">
        <f>IF($M208="Yes",$K208,"")</f>
        <v/>
      </c>
      <c r="O208" s="31" t="n"/>
      <c r="P208" s="59" t="n"/>
      <c r="Q208" s="59" t="n"/>
    </row>
    <row r="209">
      <c r="A209" s="31">
        <f>IF(Members!$A209="","",Members!$A209)</f>
        <v/>
      </c>
      <c r="B209" s="31" t="n"/>
      <c r="C209" s="31" t="n"/>
      <c r="D209" s="31" t="n"/>
      <c r="E209" s="31" t="n"/>
      <c r="F209" s="31" t="n"/>
      <c r="G209" s="31" t="n"/>
      <c r="H209" s="31" t="n"/>
      <c r="I209" s="31" t="n"/>
      <c r="J209" s="31" t="n"/>
      <c r="K209" s="31">
        <f>IF(COUNTA($D209:$J209)&lt;7,"",ROUND(MIN(10000, MAX(0, ((((($D209*1.2)+($E209*1.2)+($F209*1.1)+($G209*1.0)+($H209*1.0)+($I209*1.1)+($J209*0.9))/7.5)-1)/4*8000 + MIN($B209*20,1000) + MIN($C209*100,1000))),0))</f>
        <v/>
      </c>
      <c r="L209" s="31">
        <f>IF($K209="","",MIN(100,INT(SQRT($K209))))</f>
        <v/>
      </c>
      <c r="M209" s="31" t="n"/>
      <c r="N209" s="31">
        <f>IF($M209="Yes",$K209,"")</f>
        <v/>
      </c>
      <c r="O209" s="31" t="n"/>
      <c r="P209" s="59" t="n"/>
      <c r="Q209" s="59" t="n"/>
    </row>
    <row r="210">
      <c r="A210" s="31">
        <f>IF(Members!$A210="","",Members!$A210)</f>
        <v/>
      </c>
      <c r="B210" s="31" t="n"/>
      <c r="C210" s="31" t="n"/>
      <c r="D210" s="31" t="n"/>
      <c r="E210" s="31" t="n"/>
      <c r="F210" s="31" t="n"/>
      <c r="G210" s="31" t="n"/>
      <c r="H210" s="31" t="n"/>
      <c r="I210" s="31" t="n"/>
      <c r="J210" s="31" t="n"/>
      <c r="K210" s="31">
        <f>IF(COUNTA($D210:$J210)&lt;7,"",ROUND(MIN(10000, MAX(0, ((((($D210*1.2)+($E210*1.2)+($F210*1.1)+($G210*1.0)+($H210*1.0)+($I210*1.1)+($J210*0.9))/7.5)-1)/4*8000 + MIN($B210*20,1000) + MIN($C210*100,1000))),0))</f>
        <v/>
      </c>
      <c r="L210" s="31">
        <f>IF($K210="","",MIN(100,INT(SQRT($K210))))</f>
        <v/>
      </c>
      <c r="M210" s="31" t="n"/>
      <c r="N210" s="31">
        <f>IF($M210="Yes",$K210,"")</f>
        <v/>
      </c>
      <c r="O210" s="31" t="n"/>
      <c r="P210" s="59" t="n"/>
      <c r="Q210" s="59" t="n"/>
    </row>
    <row r="211">
      <c r="A211" s="31">
        <f>IF(Members!$A211="","",Members!$A211)</f>
        <v/>
      </c>
      <c r="B211" s="31" t="n"/>
      <c r="C211" s="31" t="n"/>
      <c r="D211" s="31" t="n"/>
      <c r="E211" s="31" t="n"/>
      <c r="F211" s="31" t="n"/>
      <c r="G211" s="31" t="n"/>
      <c r="H211" s="31" t="n"/>
      <c r="I211" s="31" t="n"/>
      <c r="J211" s="31" t="n"/>
      <c r="K211" s="31">
        <f>IF(COUNTA($D211:$J211)&lt;7,"",ROUND(MIN(10000, MAX(0, ((((($D211*1.2)+($E211*1.2)+($F211*1.1)+($G211*1.0)+($H211*1.0)+($I211*1.1)+($J211*0.9))/7.5)-1)/4*8000 + MIN($B211*20,1000) + MIN($C211*100,1000))),0))</f>
        <v/>
      </c>
      <c r="L211" s="31">
        <f>IF($K211="","",MIN(100,INT(SQRT($K211))))</f>
        <v/>
      </c>
      <c r="M211" s="31" t="n"/>
      <c r="N211" s="31">
        <f>IF($M211="Yes",$K211,"")</f>
        <v/>
      </c>
      <c r="O211" s="31" t="n"/>
      <c r="P211" s="59" t="n"/>
      <c r="Q211" s="59" t="n"/>
    </row>
    <row r="212">
      <c r="A212" s="31">
        <f>IF(Members!$A212="","",Members!$A212)</f>
        <v/>
      </c>
      <c r="B212" s="31" t="n"/>
      <c r="C212" s="31" t="n"/>
      <c r="D212" s="31" t="n"/>
      <c r="E212" s="31" t="n"/>
      <c r="F212" s="31" t="n"/>
      <c r="G212" s="31" t="n"/>
      <c r="H212" s="31" t="n"/>
      <c r="I212" s="31" t="n"/>
      <c r="J212" s="31" t="n"/>
      <c r="K212" s="31">
        <f>IF(COUNTA($D212:$J212)&lt;7,"",ROUND(MIN(10000, MAX(0, ((((($D212*1.2)+($E212*1.2)+($F212*1.1)+($G212*1.0)+($H212*1.0)+($I212*1.1)+($J212*0.9))/7.5)-1)/4*8000 + MIN($B212*20,1000) + MIN($C212*100,1000))),0))</f>
        <v/>
      </c>
      <c r="L212" s="31">
        <f>IF($K212="","",MIN(100,INT(SQRT($K212))))</f>
        <v/>
      </c>
      <c r="M212" s="31" t="n"/>
      <c r="N212" s="31">
        <f>IF($M212="Yes",$K212,"")</f>
        <v/>
      </c>
      <c r="O212" s="31" t="n"/>
      <c r="P212" s="59" t="n"/>
      <c r="Q212" s="59" t="n"/>
    </row>
    <row r="213">
      <c r="A213" s="31">
        <f>IF(Members!$A213="","",Members!$A213)</f>
        <v/>
      </c>
      <c r="B213" s="31" t="n"/>
      <c r="C213" s="31" t="n"/>
      <c r="D213" s="31" t="n"/>
      <c r="E213" s="31" t="n"/>
      <c r="F213" s="31" t="n"/>
      <c r="G213" s="31" t="n"/>
      <c r="H213" s="31" t="n"/>
      <c r="I213" s="31" t="n"/>
      <c r="J213" s="31" t="n"/>
      <c r="K213" s="31">
        <f>IF(COUNTA($D213:$J213)&lt;7,"",ROUND(MIN(10000, MAX(0, ((((($D213*1.2)+($E213*1.2)+($F213*1.1)+($G213*1.0)+($H213*1.0)+($I213*1.1)+($J213*0.9))/7.5)-1)/4*8000 + MIN($B213*20,1000) + MIN($C213*100,1000))),0))</f>
        <v/>
      </c>
      <c r="L213" s="31">
        <f>IF($K213="","",MIN(100,INT(SQRT($K213))))</f>
        <v/>
      </c>
      <c r="M213" s="31" t="n"/>
      <c r="N213" s="31">
        <f>IF($M213="Yes",$K213,"")</f>
        <v/>
      </c>
      <c r="O213" s="31" t="n"/>
      <c r="P213" s="59" t="n"/>
      <c r="Q213" s="59" t="n"/>
    </row>
    <row r="214">
      <c r="A214" s="31">
        <f>IF(Members!$A214="","",Members!$A214)</f>
        <v/>
      </c>
      <c r="B214" s="31" t="n"/>
      <c r="C214" s="31" t="n"/>
      <c r="D214" s="31" t="n"/>
      <c r="E214" s="31" t="n"/>
      <c r="F214" s="31" t="n"/>
      <c r="G214" s="31" t="n"/>
      <c r="H214" s="31" t="n"/>
      <c r="I214" s="31" t="n"/>
      <c r="J214" s="31" t="n"/>
      <c r="K214" s="31">
        <f>IF(COUNTA($D214:$J214)&lt;7,"",ROUND(MIN(10000, MAX(0, ((((($D214*1.2)+($E214*1.2)+($F214*1.1)+($G214*1.0)+($H214*1.0)+($I214*1.1)+($J214*0.9))/7.5)-1)/4*8000 + MIN($B214*20,1000) + MIN($C214*100,1000))),0))</f>
        <v/>
      </c>
      <c r="L214" s="31">
        <f>IF($K214="","",MIN(100,INT(SQRT($K214))))</f>
        <v/>
      </c>
      <c r="M214" s="31" t="n"/>
      <c r="N214" s="31">
        <f>IF($M214="Yes",$K214,"")</f>
        <v/>
      </c>
      <c r="O214" s="31" t="n"/>
      <c r="P214" s="59" t="n"/>
      <c r="Q214" s="59" t="n"/>
    </row>
    <row r="215">
      <c r="A215" s="31">
        <f>IF(Members!$A215="","",Members!$A215)</f>
        <v/>
      </c>
      <c r="B215" s="31" t="n"/>
      <c r="C215" s="31" t="n"/>
      <c r="D215" s="31" t="n"/>
      <c r="E215" s="31" t="n"/>
      <c r="F215" s="31" t="n"/>
      <c r="G215" s="31" t="n"/>
      <c r="H215" s="31" t="n"/>
      <c r="I215" s="31" t="n"/>
      <c r="J215" s="31" t="n"/>
      <c r="K215" s="31">
        <f>IF(COUNTA($D215:$J215)&lt;7,"",ROUND(MIN(10000, MAX(0, ((((($D215*1.2)+($E215*1.2)+($F215*1.1)+($G215*1.0)+($H215*1.0)+($I215*1.1)+($J215*0.9))/7.5)-1)/4*8000 + MIN($B215*20,1000) + MIN($C215*100,1000))),0))</f>
        <v/>
      </c>
      <c r="L215" s="31">
        <f>IF($K215="","",MIN(100,INT(SQRT($K215))))</f>
        <v/>
      </c>
      <c r="M215" s="31" t="n"/>
      <c r="N215" s="31">
        <f>IF($M215="Yes",$K215,"")</f>
        <v/>
      </c>
      <c r="O215" s="31" t="n"/>
      <c r="P215" s="59" t="n"/>
      <c r="Q215" s="59" t="n"/>
    </row>
    <row r="216">
      <c r="A216" s="31">
        <f>IF(Members!$A216="","",Members!$A216)</f>
        <v/>
      </c>
      <c r="B216" s="31" t="n"/>
      <c r="C216" s="31" t="n"/>
      <c r="D216" s="31" t="n"/>
      <c r="E216" s="31" t="n"/>
      <c r="F216" s="31" t="n"/>
      <c r="G216" s="31" t="n"/>
      <c r="H216" s="31" t="n"/>
      <c r="I216" s="31" t="n"/>
      <c r="J216" s="31" t="n"/>
      <c r="K216" s="31">
        <f>IF(COUNTA($D216:$J216)&lt;7,"",ROUND(MIN(10000, MAX(0, ((((($D216*1.2)+($E216*1.2)+($F216*1.1)+($G216*1.0)+($H216*1.0)+($I216*1.1)+($J216*0.9))/7.5)-1)/4*8000 + MIN($B216*20,1000) + MIN($C216*100,1000))),0))</f>
        <v/>
      </c>
      <c r="L216" s="31">
        <f>IF($K216="","",MIN(100,INT(SQRT($K216))))</f>
        <v/>
      </c>
      <c r="M216" s="31" t="n"/>
      <c r="N216" s="31">
        <f>IF($M216="Yes",$K216,"")</f>
        <v/>
      </c>
      <c r="O216" s="31" t="n"/>
      <c r="P216" s="59" t="n"/>
      <c r="Q216" s="59" t="n"/>
    </row>
    <row r="217">
      <c r="A217" s="31">
        <f>IF(Members!$A217="","",Members!$A217)</f>
        <v/>
      </c>
      <c r="B217" s="31" t="n"/>
      <c r="C217" s="31" t="n"/>
      <c r="D217" s="31" t="n"/>
      <c r="E217" s="31" t="n"/>
      <c r="F217" s="31" t="n"/>
      <c r="G217" s="31" t="n"/>
      <c r="H217" s="31" t="n"/>
      <c r="I217" s="31" t="n"/>
      <c r="J217" s="31" t="n"/>
      <c r="K217" s="31">
        <f>IF(COUNTA($D217:$J217)&lt;7,"",ROUND(MIN(10000, MAX(0, ((((($D217*1.2)+($E217*1.2)+($F217*1.1)+($G217*1.0)+($H217*1.0)+($I217*1.1)+($J217*0.9))/7.5)-1)/4*8000 + MIN($B217*20,1000) + MIN($C217*100,1000))),0))</f>
        <v/>
      </c>
      <c r="L217" s="31">
        <f>IF($K217="","",MIN(100,INT(SQRT($K217))))</f>
        <v/>
      </c>
      <c r="M217" s="31" t="n"/>
      <c r="N217" s="31">
        <f>IF($M217="Yes",$K217,"")</f>
        <v/>
      </c>
      <c r="O217" s="31" t="n"/>
      <c r="P217" s="59" t="n"/>
      <c r="Q217" s="59" t="n"/>
    </row>
    <row r="218">
      <c r="A218" s="31">
        <f>IF(Members!$A218="","",Members!$A218)</f>
        <v/>
      </c>
      <c r="B218" s="31" t="n"/>
      <c r="C218" s="31" t="n"/>
      <c r="D218" s="31" t="n"/>
      <c r="E218" s="31" t="n"/>
      <c r="F218" s="31" t="n"/>
      <c r="G218" s="31" t="n"/>
      <c r="H218" s="31" t="n"/>
      <c r="I218" s="31" t="n"/>
      <c r="J218" s="31" t="n"/>
      <c r="K218" s="31">
        <f>IF(COUNTA($D218:$J218)&lt;7,"",ROUND(MIN(10000, MAX(0, ((((($D218*1.2)+($E218*1.2)+($F218*1.1)+($G218*1.0)+($H218*1.0)+($I218*1.1)+($J218*0.9))/7.5)-1)/4*8000 + MIN($B218*20,1000) + MIN($C218*100,1000))),0))</f>
        <v/>
      </c>
      <c r="L218" s="31">
        <f>IF($K218="","",MIN(100,INT(SQRT($K218))))</f>
        <v/>
      </c>
      <c r="M218" s="31" t="n"/>
      <c r="N218" s="31">
        <f>IF($M218="Yes",$K218,"")</f>
        <v/>
      </c>
      <c r="O218" s="31" t="n"/>
      <c r="P218" s="59" t="n"/>
      <c r="Q218" s="59" t="n"/>
    </row>
    <row r="219">
      <c r="A219" s="31">
        <f>IF(Members!$A219="","",Members!$A219)</f>
        <v/>
      </c>
      <c r="B219" s="31" t="n"/>
      <c r="C219" s="31" t="n"/>
      <c r="D219" s="31" t="n"/>
      <c r="E219" s="31" t="n"/>
      <c r="F219" s="31" t="n"/>
      <c r="G219" s="31" t="n"/>
      <c r="H219" s="31" t="n"/>
      <c r="I219" s="31" t="n"/>
      <c r="J219" s="31" t="n"/>
      <c r="K219" s="31">
        <f>IF(COUNTA($D219:$J219)&lt;7,"",ROUND(MIN(10000, MAX(0, ((((($D219*1.2)+($E219*1.2)+($F219*1.1)+($G219*1.0)+($H219*1.0)+($I219*1.1)+($J219*0.9))/7.5)-1)/4*8000 + MIN($B219*20,1000) + MIN($C219*100,1000))),0))</f>
        <v/>
      </c>
      <c r="L219" s="31">
        <f>IF($K219="","",MIN(100,INT(SQRT($K219))))</f>
        <v/>
      </c>
      <c r="M219" s="31" t="n"/>
      <c r="N219" s="31">
        <f>IF($M219="Yes",$K219,"")</f>
        <v/>
      </c>
      <c r="O219" s="31" t="n"/>
      <c r="P219" s="59" t="n"/>
      <c r="Q219" s="59" t="n"/>
    </row>
    <row r="220">
      <c r="A220" s="31">
        <f>IF(Members!$A220="","",Members!$A220)</f>
        <v/>
      </c>
      <c r="B220" s="31" t="n"/>
      <c r="C220" s="31" t="n"/>
      <c r="D220" s="31" t="n"/>
      <c r="E220" s="31" t="n"/>
      <c r="F220" s="31" t="n"/>
      <c r="G220" s="31" t="n"/>
      <c r="H220" s="31" t="n"/>
      <c r="I220" s="31" t="n"/>
      <c r="J220" s="31" t="n"/>
      <c r="K220" s="31">
        <f>IF(COUNTA($D220:$J220)&lt;7,"",ROUND(MIN(10000, MAX(0, ((((($D220*1.2)+($E220*1.2)+($F220*1.1)+($G220*1.0)+($H220*1.0)+($I220*1.1)+($J220*0.9))/7.5)-1)/4*8000 + MIN($B220*20,1000) + MIN($C220*100,1000))),0))</f>
        <v/>
      </c>
      <c r="L220" s="31">
        <f>IF($K220="","",MIN(100,INT(SQRT($K220))))</f>
        <v/>
      </c>
      <c r="M220" s="31" t="n"/>
      <c r="N220" s="31">
        <f>IF($M220="Yes",$K220,"")</f>
        <v/>
      </c>
      <c r="O220" s="31" t="n"/>
      <c r="P220" s="59" t="n"/>
      <c r="Q220" s="59" t="n"/>
    </row>
    <row r="221">
      <c r="A221" s="31">
        <f>IF(Members!$A221="","",Members!$A221)</f>
        <v/>
      </c>
      <c r="B221" s="31" t="n"/>
      <c r="C221" s="31" t="n"/>
      <c r="D221" s="31" t="n"/>
      <c r="E221" s="31" t="n"/>
      <c r="F221" s="31" t="n"/>
      <c r="G221" s="31" t="n"/>
      <c r="H221" s="31" t="n"/>
      <c r="I221" s="31" t="n"/>
      <c r="J221" s="31" t="n"/>
      <c r="K221" s="31">
        <f>IF(COUNTA($D221:$J221)&lt;7,"",ROUND(MIN(10000, MAX(0, ((((($D221*1.2)+($E221*1.2)+($F221*1.1)+($G221*1.0)+($H221*1.0)+($I221*1.1)+($J221*0.9))/7.5)-1)/4*8000 + MIN($B221*20,1000) + MIN($C221*100,1000))),0))</f>
        <v/>
      </c>
      <c r="L221" s="31">
        <f>IF($K221="","",MIN(100,INT(SQRT($K221))))</f>
        <v/>
      </c>
      <c r="M221" s="31" t="n"/>
      <c r="N221" s="31">
        <f>IF($M221="Yes",$K221,"")</f>
        <v/>
      </c>
      <c r="O221" s="31" t="n"/>
      <c r="P221" s="59" t="n"/>
      <c r="Q221" s="59" t="n"/>
    </row>
    <row r="222">
      <c r="A222" s="31">
        <f>IF(Members!$A222="","",Members!$A222)</f>
        <v/>
      </c>
      <c r="B222" s="31" t="n"/>
      <c r="C222" s="31" t="n"/>
      <c r="D222" s="31" t="n"/>
      <c r="E222" s="31" t="n"/>
      <c r="F222" s="31" t="n"/>
      <c r="G222" s="31" t="n"/>
      <c r="H222" s="31" t="n"/>
      <c r="I222" s="31" t="n"/>
      <c r="J222" s="31" t="n"/>
      <c r="K222" s="31">
        <f>IF(COUNTA($D222:$J222)&lt;7,"",ROUND(MIN(10000, MAX(0, ((((($D222*1.2)+($E222*1.2)+($F222*1.1)+($G222*1.0)+($H222*1.0)+($I222*1.1)+($J222*0.9))/7.5)-1)/4*8000 + MIN($B222*20,1000) + MIN($C222*100,1000))),0))</f>
        <v/>
      </c>
      <c r="L222" s="31">
        <f>IF($K222="","",MIN(100,INT(SQRT($K222))))</f>
        <v/>
      </c>
      <c r="M222" s="31" t="n"/>
      <c r="N222" s="31">
        <f>IF($M222="Yes",$K222,"")</f>
        <v/>
      </c>
      <c r="O222" s="31" t="n"/>
      <c r="P222" s="59" t="n"/>
      <c r="Q222" s="59" t="n"/>
    </row>
    <row r="223">
      <c r="A223" s="31">
        <f>IF(Members!$A223="","",Members!$A223)</f>
        <v/>
      </c>
      <c r="B223" s="31" t="n"/>
      <c r="C223" s="31" t="n"/>
      <c r="D223" s="31" t="n"/>
      <c r="E223" s="31" t="n"/>
      <c r="F223" s="31" t="n"/>
      <c r="G223" s="31" t="n"/>
      <c r="H223" s="31" t="n"/>
      <c r="I223" s="31" t="n"/>
      <c r="J223" s="31" t="n"/>
      <c r="K223" s="31">
        <f>IF(COUNTA($D223:$J223)&lt;7,"",ROUND(MIN(10000, MAX(0, ((((($D223*1.2)+($E223*1.2)+($F223*1.1)+($G223*1.0)+($H223*1.0)+($I223*1.1)+($J223*0.9))/7.5)-1)/4*8000 + MIN($B223*20,1000) + MIN($C223*100,1000))),0))</f>
        <v/>
      </c>
      <c r="L223" s="31">
        <f>IF($K223="","",MIN(100,INT(SQRT($K223))))</f>
        <v/>
      </c>
      <c r="M223" s="31" t="n"/>
      <c r="N223" s="31">
        <f>IF($M223="Yes",$K223,"")</f>
        <v/>
      </c>
      <c r="O223" s="31" t="n"/>
      <c r="P223" s="59" t="n"/>
      <c r="Q223" s="59" t="n"/>
    </row>
    <row r="224">
      <c r="A224" s="31">
        <f>IF(Members!$A224="","",Members!$A224)</f>
        <v/>
      </c>
      <c r="B224" s="31" t="n"/>
      <c r="C224" s="31" t="n"/>
      <c r="D224" s="31" t="n"/>
      <c r="E224" s="31" t="n"/>
      <c r="F224" s="31" t="n"/>
      <c r="G224" s="31" t="n"/>
      <c r="H224" s="31" t="n"/>
      <c r="I224" s="31" t="n"/>
      <c r="J224" s="31" t="n"/>
      <c r="K224" s="31">
        <f>IF(COUNTA($D224:$J224)&lt;7,"",ROUND(MIN(10000, MAX(0, ((((($D224*1.2)+($E224*1.2)+($F224*1.1)+($G224*1.0)+($H224*1.0)+($I224*1.1)+($J224*0.9))/7.5)-1)/4*8000 + MIN($B224*20,1000) + MIN($C224*100,1000))),0))</f>
        <v/>
      </c>
      <c r="L224" s="31">
        <f>IF($K224="","",MIN(100,INT(SQRT($K224))))</f>
        <v/>
      </c>
      <c r="M224" s="31" t="n"/>
      <c r="N224" s="31">
        <f>IF($M224="Yes",$K224,"")</f>
        <v/>
      </c>
      <c r="O224" s="31" t="n"/>
      <c r="P224" s="59" t="n"/>
      <c r="Q224" s="59" t="n"/>
    </row>
    <row r="225">
      <c r="A225" s="31">
        <f>IF(Members!$A225="","",Members!$A225)</f>
        <v/>
      </c>
      <c r="B225" s="31" t="n"/>
      <c r="C225" s="31" t="n"/>
      <c r="D225" s="31" t="n"/>
      <c r="E225" s="31" t="n"/>
      <c r="F225" s="31" t="n"/>
      <c r="G225" s="31" t="n"/>
      <c r="H225" s="31" t="n"/>
      <c r="I225" s="31" t="n"/>
      <c r="J225" s="31" t="n"/>
      <c r="K225" s="31">
        <f>IF(COUNTA($D225:$J225)&lt;7,"",ROUND(MIN(10000, MAX(0, ((((($D225*1.2)+($E225*1.2)+($F225*1.1)+($G225*1.0)+($H225*1.0)+($I225*1.1)+($J225*0.9))/7.5)-1)/4*8000 + MIN($B225*20,1000) + MIN($C225*100,1000))),0))</f>
        <v/>
      </c>
      <c r="L225" s="31">
        <f>IF($K225="","",MIN(100,INT(SQRT($K225))))</f>
        <v/>
      </c>
      <c r="M225" s="31" t="n"/>
      <c r="N225" s="31">
        <f>IF($M225="Yes",$K225,"")</f>
        <v/>
      </c>
      <c r="O225" s="31" t="n"/>
      <c r="P225" s="59" t="n"/>
      <c r="Q225" s="59" t="n"/>
    </row>
    <row r="226">
      <c r="A226" s="31">
        <f>IF(Members!$A226="","",Members!$A226)</f>
        <v/>
      </c>
      <c r="B226" s="31" t="n"/>
      <c r="C226" s="31" t="n"/>
      <c r="D226" s="31" t="n"/>
      <c r="E226" s="31" t="n"/>
      <c r="F226" s="31" t="n"/>
      <c r="G226" s="31" t="n"/>
      <c r="H226" s="31" t="n"/>
      <c r="I226" s="31" t="n"/>
      <c r="J226" s="31" t="n"/>
      <c r="K226" s="31">
        <f>IF(COUNTA($D226:$J226)&lt;7,"",ROUND(MIN(10000, MAX(0, ((((($D226*1.2)+($E226*1.2)+($F226*1.1)+($G226*1.0)+($H226*1.0)+($I226*1.1)+($J226*0.9))/7.5)-1)/4*8000 + MIN($B226*20,1000) + MIN($C226*100,1000))),0))</f>
        <v/>
      </c>
      <c r="L226" s="31">
        <f>IF($K226="","",MIN(100,INT(SQRT($K226))))</f>
        <v/>
      </c>
      <c r="M226" s="31" t="n"/>
      <c r="N226" s="31">
        <f>IF($M226="Yes",$K226,"")</f>
        <v/>
      </c>
      <c r="O226" s="31" t="n"/>
      <c r="P226" s="59" t="n"/>
      <c r="Q226" s="59" t="n"/>
    </row>
    <row r="227">
      <c r="A227" s="31">
        <f>IF(Members!$A227="","",Members!$A227)</f>
        <v/>
      </c>
      <c r="B227" s="31" t="n"/>
      <c r="C227" s="31" t="n"/>
      <c r="D227" s="31" t="n"/>
      <c r="E227" s="31" t="n"/>
      <c r="F227" s="31" t="n"/>
      <c r="G227" s="31" t="n"/>
      <c r="H227" s="31" t="n"/>
      <c r="I227" s="31" t="n"/>
      <c r="J227" s="31" t="n"/>
      <c r="K227" s="31">
        <f>IF(COUNTA($D227:$J227)&lt;7,"",ROUND(MIN(10000, MAX(0, ((((($D227*1.2)+($E227*1.2)+($F227*1.1)+($G227*1.0)+($H227*1.0)+($I227*1.1)+($J227*0.9))/7.5)-1)/4*8000 + MIN($B227*20,1000) + MIN($C227*100,1000))),0))</f>
        <v/>
      </c>
      <c r="L227" s="31">
        <f>IF($K227="","",MIN(100,INT(SQRT($K227))))</f>
        <v/>
      </c>
      <c r="M227" s="31" t="n"/>
      <c r="N227" s="31">
        <f>IF($M227="Yes",$K227,"")</f>
        <v/>
      </c>
      <c r="O227" s="31" t="n"/>
      <c r="P227" s="59" t="n"/>
      <c r="Q227" s="59" t="n"/>
    </row>
    <row r="228">
      <c r="A228" s="31">
        <f>IF(Members!$A228="","",Members!$A228)</f>
        <v/>
      </c>
      <c r="B228" s="31" t="n"/>
      <c r="C228" s="31" t="n"/>
      <c r="D228" s="31" t="n"/>
      <c r="E228" s="31" t="n"/>
      <c r="F228" s="31" t="n"/>
      <c r="G228" s="31" t="n"/>
      <c r="H228" s="31" t="n"/>
      <c r="I228" s="31" t="n"/>
      <c r="J228" s="31" t="n"/>
      <c r="K228" s="31">
        <f>IF(COUNTA($D228:$J228)&lt;7,"",ROUND(MIN(10000, MAX(0, ((((($D228*1.2)+($E228*1.2)+($F228*1.1)+($G228*1.0)+($H228*1.0)+($I228*1.1)+($J228*0.9))/7.5)-1)/4*8000 + MIN($B228*20,1000) + MIN($C228*100,1000))),0))</f>
        <v/>
      </c>
      <c r="L228" s="31">
        <f>IF($K228="","",MIN(100,INT(SQRT($K228))))</f>
        <v/>
      </c>
      <c r="M228" s="31" t="n"/>
      <c r="N228" s="31">
        <f>IF($M228="Yes",$K228,"")</f>
        <v/>
      </c>
      <c r="O228" s="31" t="n"/>
      <c r="P228" s="59" t="n"/>
      <c r="Q228" s="59" t="n"/>
    </row>
    <row r="229">
      <c r="A229" s="31">
        <f>IF(Members!$A229="","",Members!$A229)</f>
        <v/>
      </c>
      <c r="B229" s="31" t="n"/>
      <c r="C229" s="31" t="n"/>
      <c r="D229" s="31" t="n"/>
      <c r="E229" s="31" t="n"/>
      <c r="F229" s="31" t="n"/>
      <c r="G229" s="31" t="n"/>
      <c r="H229" s="31" t="n"/>
      <c r="I229" s="31" t="n"/>
      <c r="J229" s="31" t="n"/>
      <c r="K229" s="31">
        <f>IF(COUNTA($D229:$J229)&lt;7,"",ROUND(MIN(10000, MAX(0, ((((($D229*1.2)+($E229*1.2)+($F229*1.1)+($G229*1.0)+($H229*1.0)+($I229*1.1)+($J229*0.9))/7.5)-1)/4*8000 + MIN($B229*20,1000) + MIN($C229*100,1000))),0))</f>
        <v/>
      </c>
      <c r="L229" s="31">
        <f>IF($K229="","",MIN(100,INT(SQRT($K229))))</f>
        <v/>
      </c>
      <c r="M229" s="31" t="n"/>
      <c r="N229" s="31">
        <f>IF($M229="Yes",$K229,"")</f>
        <v/>
      </c>
      <c r="O229" s="31" t="n"/>
      <c r="P229" s="59" t="n"/>
      <c r="Q229" s="59" t="n"/>
    </row>
    <row r="230">
      <c r="A230" s="31">
        <f>IF(Members!$A230="","",Members!$A230)</f>
        <v/>
      </c>
      <c r="B230" s="31" t="n"/>
      <c r="C230" s="31" t="n"/>
      <c r="D230" s="31" t="n"/>
      <c r="E230" s="31" t="n"/>
      <c r="F230" s="31" t="n"/>
      <c r="G230" s="31" t="n"/>
      <c r="H230" s="31" t="n"/>
      <c r="I230" s="31" t="n"/>
      <c r="J230" s="31" t="n"/>
      <c r="K230" s="31">
        <f>IF(COUNTA($D230:$J230)&lt;7,"",ROUND(MIN(10000, MAX(0, ((((($D230*1.2)+($E230*1.2)+($F230*1.1)+($G230*1.0)+($H230*1.0)+($I230*1.1)+($J230*0.9))/7.5)-1)/4*8000 + MIN($B230*20,1000) + MIN($C230*100,1000))),0))</f>
        <v/>
      </c>
      <c r="L230" s="31">
        <f>IF($K230="","",MIN(100,INT(SQRT($K230))))</f>
        <v/>
      </c>
      <c r="M230" s="31" t="n"/>
      <c r="N230" s="31">
        <f>IF($M230="Yes",$K230,"")</f>
        <v/>
      </c>
      <c r="O230" s="31" t="n"/>
      <c r="P230" s="59" t="n"/>
      <c r="Q230" s="59" t="n"/>
    </row>
    <row r="231">
      <c r="A231" s="31">
        <f>IF(Members!$A231="","",Members!$A231)</f>
        <v/>
      </c>
      <c r="B231" s="31" t="n"/>
      <c r="C231" s="31" t="n"/>
      <c r="D231" s="31" t="n"/>
      <c r="E231" s="31" t="n"/>
      <c r="F231" s="31" t="n"/>
      <c r="G231" s="31" t="n"/>
      <c r="H231" s="31" t="n"/>
      <c r="I231" s="31" t="n"/>
      <c r="J231" s="31" t="n"/>
      <c r="K231" s="31">
        <f>IF(COUNTA($D231:$J231)&lt;7,"",ROUND(MIN(10000, MAX(0, ((((($D231*1.2)+($E231*1.2)+($F231*1.1)+($G231*1.0)+($H231*1.0)+($I231*1.1)+($J231*0.9))/7.5)-1)/4*8000 + MIN($B231*20,1000) + MIN($C231*100,1000))),0))</f>
        <v/>
      </c>
      <c r="L231" s="31">
        <f>IF($K231="","",MIN(100,INT(SQRT($K231))))</f>
        <v/>
      </c>
      <c r="M231" s="31" t="n"/>
      <c r="N231" s="31">
        <f>IF($M231="Yes",$K231,"")</f>
        <v/>
      </c>
      <c r="O231" s="31" t="n"/>
      <c r="P231" s="59" t="n"/>
      <c r="Q231" s="59" t="n"/>
    </row>
    <row r="232">
      <c r="A232" s="31">
        <f>IF(Members!$A232="","",Members!$A232)</f>
        <v/>
      </c>
      <c r="B232" s="31" t="n"/>
      <c r="C232" s="31" t="n"/>
      <c r="D232" s="31" t="n"/>
      <c r="E232" s="31" t="n"/>
      <c r="F232" s="31" t="n"/>
      <c r="G232" s="31" t="n"/>
      <c r="H232" s="31" t="n"/>
      <c r="I232" s="31" t="n"/>
      <c r="J232" s="31" t="n"/>
      <c r="K232" s="31">
        <f>IF(COUNTA($D232:$J232)&lt;7,"",ROUND(MIN(10000, MAX(0, ((((($D232*1.2)+($E232*1.2)+($F232*1.1)+($G232*1.0)+($H232*1.0)+($I232*1.1)+($J232*0.9))/7.5)-1)/4*8000 + MIN($B232*20,1000) + MIN($C232*100,1000))),0))</f>
        <v/>
      </c>
      <c r="L232" s="31">
        <f>IF($K232="","",MIN(100,INT(SQRT($K232))))</f>
        <v/>
      </c>
      <c r="M232" s="31" t="n"/>
      <c r="N232" s="31">
        <f>IF($M232="Yes",$K232,"")</f>
        <v/>
      </c>
      <c r="O232" s="31" t="n"/>
      <c r="P232" s="59" t="n"/>
      <c r="Q232" s="59" t="n"/>
    </row>
    <row r="233">
      <c r="A233" s="31">
        <f>IF(Members!$A233="","",Members!$A233)</f>
        <v/>
      </c>
      <c r="B233" s="31" t="n"/>
      <c r="C233" s="31" t="n"/>
      <c r="D233" s="31" t="n"/>
      <c r="E233" s="31" t="n"/>
      <c r="F233" s="31" t="n"/>
      <c r="G233" s="31" t="n"/>
      <c r="H233" s="31" t="n"/>
      <c r="I233" s="31" t="n"/>
      <c r="J233" s="31" t="n"/>
      <c r="K233" s="31">
        <f>IF(COUNTA($D233:$J233)&lt;7,"",ROUND(MIN(10000, MAX(0, ((((($D233*1.2)+($E233*1.2)+($F233*1.1)+($G233*1.0)+($H233*1.0)+($I233*1.1)+($J233*0.9))/7.5)-1)/4*8000 + MIN($B233*20,1000) + MIN($C233*100,1000))),0))</f>
        <v/>
      </c>
      <c r="L233" s="31">
        <f>IF($K233="","",MIN(100,INT(SQRT($K233))))</f>
        <v/>
      </c>
      <c r="M233" s="31" t="n"/>
      <c r="N233" s="31">
        <f>IF($M233="Yes",$K233,"")</f>
        <v/>
      </c>
      <c r="O233" s="31" t="n"/>
      <c r="P233" s="59" t="n"/>
      <c r="Q233" s="59" t="n"/>
    </row>
    <row r="234">
      <c r="A234" s="31">
        <f>IF(Members!$A234="","",Members!$A234)</f>
        <v/>
      </c>
      <c r="B234" s="31" t="n"/>
      <c r="C234" s="31" t="n"/>
      <c r="D234" s="31" t="n"/>
      <c r="E234" s="31" t="n"/>
      <c r="F234" s="31" t="n"/>
      <c r="G234" s="31" t="n"/>
      <c r="H234" s="31" t="n"/>
      <c r="I234" s="31" t="n"/>
      <c r="J234" s="31" t="n"/>
      <c r="K234" s="31">
        <f>IF(COUNTA($D234:$J234)&lt;7,"",ROUND(MIN(10000, MAX(0, ((((($D234*1.2)+($E234*1.2)+($F234*1.1)+($G234*1.0)+($H234*1.0)+($I234*1.1)+($J234*0.9))/7.5)-1)/4*8000 + MIN($B234*20,1000) + MIN($C234*100,1000))),0))</f>
        <v/>
      </c>
      <c r="L234" s="31">
        <f>IF($K234="","",MIN(100,INT(SQRT($K234))))</f>
        <v/>
      </c>
      <c r="M234" s="31" t="n"/>
      <c r="N234" s="31">
        <f>IF($M234="Yes",$K234,"")</f>
        <v/>
      </c>
      <c r="O234" s="31" t="n"/>
      <c r="P234" s="59" t="n"/>
      <c r="Q234" s="59" t="n"/>
    </row>
    <row r="235">
      <c r="A235" s="31">
        <f>IF(Members!$A235="","",Members!$A235)</f>
        <v/>
      </c>
      <c r="B235" s="31" t="n"/>
      <c r="C235" s="31" t="n"/>
      <c r="D235" s="31" t="n"/>
      <c r="E235" s="31" t="n"/>
      <c r="F235" s="31" t="n"/>
      <c r="G235" s="31" t="n"/>
      <c r="H235" s="31" t="n"/>
      <c r="I235" s="31" t="n"/>
      <c r="J235" s="31" t="n"/>
      <c r="K235" s="31">
        <f>IF(COUNTA($D235:$J235)&lt;7,"",ROUND(MIN(10000, MAX(0, ((((($D235*1.2)+($E235*1.2)+($F235*1.1)+($G235*1.0)+($H235*1.0)+($I235*1.1)+($J235*0.9))/7.5)-1)/4*8000 + MIN($B235*20,1000) + MIN($C235*100,1000))),0))</f>
        <v/>
      </c>
      <c r="L235" s="31">
        <f>IF($K235="","",MIN(100,INT(SQRT($K235))))</f>
        <v/>
      </c>
      <c r="M235" s="31" t="n"/>
      <c r="N235" s="31">
        <f>IF($M235="Yes",$K235,"")</f>
        <v/>
      </c>
      <c r="O235" s="31" t="n"/>
      <c r="P235" s="59" t="n"/>
      <c r="Q235" s="59" t="n"/>
    </row>
    <row r="236">
      <c r="A236" s="31">
        <f>IF(Members!$A236="","",Members!$A236)</f>
        <v/>
      </c>
      <c r="B236" s="31" t="n"/>
      <c r="C236" s="31" t="n"/>
      <c r="D236" s="31" t="n"/>
      <c r="E236" s="31" t="n"/>
      <c r="F236" s="31" t="n"/>
      <c r="G236" s="31" t="n"/>
      <c r="H236" s="31" t="n"/>
      <c r="I236" s="31" t="n"/>
      <c r="J236" s="31" t="n"/>
      <c r="K236" s="31">
        <f>IF(COUNTA($D236:$J236)&lt;7,"",ROUND(MIN(10000, MAX(0, ((((($D236*1.2)+($E236*1.2)+($F236*1.1)+($G236*1.0)+($H236*1.0)+($I236*1.1)+($J236*0.9))/7.5)-1)/4*8000 + MIN($B236*20,1000) + MIN($C236*100,1000))),0))</f>
        <v/>
      </c>
      <c r="L236" s="31">
        <f>IF($K236="","",MIN(100,INT(SQRT($K236))))</f>
        <v/>
      </c>
      <c r="M236" s="31" t="n"/>
      <c r="N236" s="31">
        <f>IF($M236="Yes",$K236,"")</f>
        <v/>
      </c>
      <c r="O236" s="31" t="n"/>
      <c r="P236" s="59" t="n"/>
      <c r="Q236" s="59" t="n"/>
    </row>
    <row r="237">
      <c r="A237" s="31">
        <f>IF(Members!$A237="","",Members!$A237)</f>
        <v/>
      </c>
      <c r="B237" s="31" t="n"/>
      <c r="C237" s="31" t="n"/>
      <c r="D237" s="31" t="n"/>
      <c r="E237" s="31" t="n"/>
      <c r="F237" s="31" t="n"/>
      <c r="G237" s="31" t="n"/>
      <c r="H237" s="31" t="n"/>
      <c r="I237" s="31" t="n"/>
      <c r="J237" s="31" t="n"/>
      <c r="K237" s="31">
        <f>IF(COUNTA($D237:$J237)&lt;7,"",ROUND(MIN(10000, MAX(0, ((((($D237*1.2)+($E237*1.2)+($F237*1.1)+($G237*1.0)+($H237*1.0)+($I237*1.1)+($J237*0.9))/7.5)-1)/4*8000 + MIN($B237*20,1000) + MIN($C237*100,1000))),0))</f>
        <v/>
      </c>
      <c r="L237" s="31">
        <f>IF($K237="","",MIN(100,INT(SQRT($K237))))</f>
        <v/>
      </c>
      <c r="M237" s="31" t="n"/>
      <c r="N237" s="31">
        <f>IF($M237="Yes",$K237,"")</f>
        <v/>
      </c>
      <c r="O237" s="31" t="n"/>
      <c r="P237" s="59" t="n"/>
      <c r="Q237" s="59" t="n"/>
    </row>
    <row r="238">
      <c r="A238" s="31">
        <f>IF(Members!$A238="","",Members!$A238)</f>
        <v/>
      </c>
      <c r="B238" s="31" t="n"/>
      <c r="C238" s="31" t="n"/>
      <c r="D238" s="31" t="n"/>
      <c r="E238" s="31" t="n"/>
      <c r="F238" s="31" t="n"/>
      <c r="G238" s="31" t="n"/>
      <c r="H238" s="31" t="n"/>
      <c r="I238" s="31" t="n"/>
      <c r="J238" s="31" t="n"/>
      <c r="K238" s="31">
        <f>IF(COUNTA($D238:$J238)&lt;7,"",ROUND(MIN(10000, MAX(0, ((((($D238*1.2)+($E238*1.2)+($F238*1.1)+($G238*1.0)+($H238*1.0)+($I238*1.1)+($J238*0.9))/7.5)-1)/4*8000 + MIN($B238*20,1000) + MIN($C238*100,1000))),0))</f>
        <v/>
      </c>
      <c r="L238" s="31">
        <f>IF($K238="","",MIN(100,INT(SQRT($K238))))</f>
        <v/>
      </c>
      <c r="M238" s="31" t="n"/>
      <c r="N238" s="31">
        <f>IF($M238="Yes",$K238,"")</f>
        <v/>
      </c>
      <c r="O238" s="31" t="n"/>
      <c r="P238" s="59" t="n"/>
      <c r="Q238" s="59" t="n"/>
    </row>
    <row r="239">
      <c r="A239" s="31">
        <f>IF(Members!$A239="","",Members!$A239)</f>
        <v/>
      </c>
      <c r="B239" s="31" t="n"/>
      <c r="C239" s="31" t="n"/>
      <c r="D239" s="31" t="n"/>
      <c r="E239" s="31" t="n"/>
      <c r="F239" s="31" t="n"/>
      <c r="G239" s="31" t="n"/>
      <c r="H239" s="31" t="n"/>
      <c r="I239" s="31" t="n"/>
      <c r="J239" s="31" t="n"/>
      <c r="K239" s="31">
        <f>IF(COUNTA($D239:$J239)&lt;7,"",ROUND(MIN(10000, MAX(0, ((((($D239*1.2)+($E239*1.2)+($F239*1.1)+($G239*1.0)+($H239*1.0)+($I239*1.1)+($J239*0.9))/7.5)-1)/4*8000 + MIN($B239*20,1000) + MIN($C239*100,1000))),0))</f>
        <v/>
      </c>
      <c r="L239" s="31">
        <f>IF($K239="","",MIN(100,INT(SQRT($K239))))</f>
        <v/>
      </c>
      <c r="M239" s="31" t="n"/>
      <c r="N239" s="31">
        <f>IF($M239="Yes",$K239,"")</f>
        <v/>
      </c>
      <c r="O239" s="31" t="n"/>
      <c r="P239" s="59" t="n"/>
      <c r="Q239" s="59" t="n"/>
    </row>
    <row r="240">
      <c r="A240" s="31">
        <f>IF(Members!$A240="","",Members!$A240)</f>
        <v/>
      </c>
      <c r="B240" s="31" t="n"/>
      <c r="C240" s="31" t="n"/>
      <c r="D240" s="31" t="n"/>
      <c r="E240" s="31" t="n"/>
      <c r="F240" s="31" t="n"/>
      <c r="G240" s="31" t="n"/>
      <c r="H240" s="31" t="n"/>
      <c r="I240" s="31" t="n"/>
      <c r="J240" s="31" t="n"/>
      <c r="K240" s="31">
        <f>IF(COUNTA($D240:$J240)&lt;7,"",ROUND(MIN(10000, MAX(0, ((((($D240*1.2)+($E240*1.2)+($F240*1.1)+($G240*1.0)+($H240*1.0)+($I240*1.1)+($J240*0.9))/7.5)-1)/4*8000 + MIN($B240*20,1000) + MIN($C240*100,1000))),0))</f>
        <v/>
      </c>
      <c r="L240" s="31">
        <f>IF($K240="","",MIN(100,INT(SQRT($K240))))</f>
        <v/>
      </c>
      <c r="M240" s="31" t="n"/>
      <c r="N240" s="31">
        <f>IF($M240="Yes",$K240,"")</f>
        <v/>
      </c>
      <c r="O240" s="31" t="n"/>
      <c r="P240" s="59" t="n"/>
      <c r="Q240" s="59" t="n"/>
    </row>
    <row r="241">
      <c r="A241" s="31">
        <f>IF(Members!$A241="","",Members!$A241)</f>
        <v/>
      </c>
      <c r="B241" s="31" t="n"/>
      <c r="C241" s="31" t="n"/>
      <c r="D241" s="31" t="n"/>
      <c r="E241" s="31" t="n"/>
      <c r="F241" s="31" t="n"/>
      <c r="G241" s="31" t="n"/>
      <c r="H241" s="31" t="n"/>
      <c r="I241" s="31" t="n"/>
      <c r="J241" s="31" t="n"/>
      <c r="K241" s="31">
        <f>IF(COUNTA($D241:$J241)&lt;7,"",ROUND(MIN(10000, MAX(0, ((((($D241*1.2)+($E241*1.2)+($F241*1.1)+($G241*1.0)+($H241*1.0)+($I241*1.1)+($J241*0.9))/7.5)-1)/4*8000 + MIN($B241*20,1000) + MIN($C241*100,1000))),0))</f>
        <v/>
      </c>
      <c r="L241" s="31">
        <f>IF($K241="","",MIN(100,INT(SQRT($K241))))</f>
        <v/>
      </c>
      <c r="M241" s="31" t="n"/>
      <c r="N241" s="31">
        <f>IF($M241="Yes",$K241,"")</f>
        <v/>
      </c>
      <c r="O241" s="31" t="n"/>
      <c r="P241" s="59" t="n"/>
      <c r="Q241" s="59" t="n"/>
    </row>
    <row r="242">
      <c r="A242" s="31">
        <f>IF(Members!$A242="","",Members!$A242)</f>
        <v/>
      </c>
      <c r="B242" s="31" t="n"/>
      <c r="C242" s="31" t="n"/>
      <c r="D242" s="31" t="n"/>
      <c r="E242" s="31" t="n"/>
      <c r="F242" s="31" t="n"/>
      <c r="G242" s="31" t="n"/>
      <c r="H242" s="31" t="n"/>
      <c r="I242" s="31" t="n"/>
      <c r="J242" s="31" t="n"/>
      <c r="K242" s="31">
        <f>IF(COUNTA($D242:$J242)&lt;7,"",ROUND(MIN(10000, MAX(0, ((((($D242*1.2)+($E242*1.2)+($F242*1.1)+($G242*1.0)+($H242*1.0)+($I242*1.1)+($J242*0.9))/7.5)-1)/4*8000 + MIN($B242*20,1000) + MIN($C242*100,1000))),0))</f>
        <v/>
      </c>
      <c r="L242" s="31">
        <f>IF($K242="","",MIN(100,INT(SQRT($K242))))</f>
        <v/>
      </c>
      <c r="M242" s="31" t="n"/>
      <c r="N242" s="31">
        <f>IF($M242="Yes",$K242,"")</f>
        <v/>
      </c>
      <c r="O242" s="31" t="n"/>
      <c r="P242" s="59" t="n"/>
      <c r="Q242" s="59" t="n"/>
    </row>
    <row r="243">
      <c r="A243" s="31">
        <f>IF(Members!$A243="","",Members!$A243)</f>
        <v/>
      </c>
      <c r="B243" s="31" t="n"/>
      <c r="C243" s="31" t="n"/>
      <c r="D243" s="31" t="n"/>
      <c r="E243" s="31" t="n"/>
      <c r="F243" s="31" t="n"/>
      <c r="G243" s="31" t="n"/>
      <c r="H243" s="31" t="n"/>
      <c r="I243" s="31" t="n"/>
      <c r="J243" s="31" t="n"/>
      <c r="K243" s="31">
        <f>IF(COUNTA($D243:$J243)&lt;7,"",ROUND(MIN(10000, MAX(0, ((((($D243*1.2)+($E243*1.2)+($F243*1.1)+($G243*1.0)+($H243*1.0)+($I243*1.1)+($J243*0.9))/7.5)-1)/4*8000 + MIN($B243*20,1000) + MIN($C243*100,1000))),0))</f>
        <v/>
      </c>
      <c r="L243" s="31">
        <f>IF($K243="","",MIN(100,INT(SQRT($K243))))</f>
        <v/>
      </c>
      <c r="M243" s="31" t="n"/>
      <c r="N243" s="31">
        <f>IF($M243="Yes",$K243,"")</f>
        <v/>
      </c>
      <c r="O243" s="31" t="n"/>
      <c r="P243" s="59" t="n"/>
      <c r="Q243" s="59" t="n"/>
    </row>
    <row r="244">
      <c r="A244" s="31">
        <f>IF(Members!$A244="","",Members!$A244)</f>
        <v/>
      </c>
      <c r="B244" s="31" t="n"/>
      <c r="C244" s="31" t="n"/>
      <c r="D244" s="31" t="n"/>
      <c r="E244" s="31" t="n"/>
      <c r="F244" s="31" t="n"/>
      <c r="G244" s="31" t="n"/>
      <c r="H244" s="31" t="n"/>
      <c r="I244" s="31" t="n"/>
      <c r="J244" s="31" t="n"/>
      <c r="K244" s="31">
        <f>IF(COUNTA($D244:$J244)&lt;7,"",ROUND(MIN(10000, MAX(0, ((((($D244*1.2)+($E244*1.2)+($F244*1.1)+($G244*1.0)+($H244*1.0)+($I244*1.1)+($J244*0.9))/7.5)-1)/4*8000 + MIN($B244*20,1000) + MIN($C244*100,1000))),0))</f>
        <v/>
      </c>
      <c r="L244" s="31">
        <f>IF($K244="","",MIN(100,INT(SQRT($K244))))</f>
        <v/>
      </c>
      <c r="M244" s="31" t="n"/>
      <c r="N244" s="31">
        <f>IF($M244="Yes",$K244,"")</f>
        <v/>
      </c>
      <c r="O244" s="31" t="n"/>
      <c r="P244" s="59" t="n"/>
      <c r="Q244" s="59" t="n"/>
    </row>
    <row r="245">
      <c r="A245" s="31">
        <f>IF(Members!$A245="","",Members!$A245)</f>
        <v/>
      </c>
      <c r="B245" s="31" t="n"/>
      <c r="C245" s="31" t="n"/>
      <c r="D245" s="31" t="n"/>
      <c r="E245" s="31" t="n"/>
      <c r="F245" s="31" t="n"/>
      <c r="G245" s="31" t="n"/>
      <c r="H245" s="31" t="n"/>
      <c r="I245" s="31" t="n"/>
      <c r="J245" s="31" t="n"/>
      <c r="K245" s="31">
        <f>IF(COUNTA($D245:$J245)&lt;7,"",ROUND(MIN(10000, MAX(0, ((((($D245*1.2)+($E245*1.2)+($F245*1.1)+($G245*1.0)+($H245*1.0)+($I245*1.1)+($J245*0.9))/7.5)-1)/4*8000 + MIN($B245*20,1000) + MIN($C245*100,1000))),0))</f>
        <v/>
      </c>
      <c r="L245" s="31">
        <f>IF($K245="","",MIN(100,INT(SQRT($K245))))</f>
        <v/>
      </c>
      <c r="M245" s="31" t="n"/>
      <c r="N245" s="31">
        <f>IF($M245="Yes",$K245,"")</f>
        <v/>
      </c>
      <c r="O245" s="31" t="n"/>
      <c r="P245" s="59" t="n"/>
      <c r="Q245" s="59" t="n"/>
    </row>
    <row r="246">
      <c r="A246" s="31">
        <f>IF(Members!$A246="","",Members!$A246)</f>
        <v/>
      </c>
      <c r="B246" s="31" t="n"/>
      <c r="C246" s="31" t="n"/>
      <c r="D246" s="31" t="n"/>
      <c r="E246" s="31" t="n"/>
      <c r="F246" s="31" t="n"/>
      <c r="G246" s="31" t="n"/>
      <c r="H246" s="31" t="n"/>
      <c r="I246" s="31" t="n"/>
      <c r="J246" s="31" t="n"/>
      <c r="K246" s="31">
        <f>IF(COUNTA($D246:$J246)&lt;7,"",ROUND(MIN(10000, MAX(0, ((((($D246*1.2)+($E246*1.2)+($F246*1.1)+($G246*1.0)+($H246*1.0)+($I246*1.1)+($J246*0.9))/7.5)-1)/4*8000 + MIN($B246*20,1000) + MIN($C246*100,1000))),0))</f>
        <v/>
      </c>
      <c r="L246" s="31">
        <f>IF($K246="","",MIN(100,INT(SQRT($K246))))</f>
        <v/>
      </c>
      <c r="M246" s="31" t="n"/>
      <c r="N246" s="31">
        <f>IF($M246="Yes",$K246,"")</f>
        <v/>
      </c>
      <c r="O246" s="31" t="n"/>
      <c r="P246" s="59" t="n"/>
      <c r="Q246" s="59" t="n"/>
    </row>
    <row r="247">
      <c r="A247" s="31">
        <f>IF(Members!$A247="","",Members!$A247)</f>
        <v/>
      </c>
      <c r="B247" s="31" t="n"/>
      <c r="C247" s="31" t="n"/>
      <c r="D247" s="31" t="n"/>
      <c r="E247" s="31" t="n"/>
      <c r="F247" s="31" t="n"/>
      <c r="G247" s="31" t="n"/>
      <c r="H247" s="31" t="n"/>
      <c r="I247" s="31" t="n"/>
      <c r="J247" s="31" t="n"/>
      <c r="K247" s="31">
        <f>IF(COUNTA($D247:$J247)&lt;7,"",ROUND(MIN(10000, MAX(0, ((((($D247*1.2)+($E247*1.2)+($F247*1.1)+($G247*1.0)+($H247*1.0)+($I247*1.1)+($J247*0.9))/7.5)-1)/4*8000 + MIN($B247*20,1000) + MIN($C247*100,1000))),0))</f>
        <v/>
      </c>
      <c r="L247" s="31">
        <f>IF($K247="","",MIN(100,INT(SQRT($K247))))</f>
        <v/>
      </c>
      <c r="M247" s="31" t="n"/>
      <c r="N247" s="31">
        <f>IF($M247="Yes",$K247,"")</f>
        <v/>
      </c>
      <c r="O247" s="31" t="n"/>
      <c r="P247" s="59" t="n"/>
      <c r="Q247" s="59" t="n"/>
    </row>
    <row r="248">
      <c r="A248" s="31">
        <f>IF(Members!$A248="","",Members!$A248)</f>
        <v/>
      </c>
      <c r="B248" s="31" t="n"/>
      <c r="C248" s="31" t="n"/>
      <c r="D248" s="31" t="n"/>
      <c r="E248" s="31" t="n"/>
      <c r="F248" s="31" t="n"/>
      <c r="G248" s="31" t="n"/>
      <c r="H248" s="31" t="n"/>
      <c r="I248" s="31" t="n"/>
      <c r="J248" s="31" t="n"/>
      <c r="K248" s="31">
        <f>IF(COUNTA($D248:$J248)&lt;7,"",ROUND(MIN(10000, MAX(0, ((((($D248*1.2)+($E248*1.2)+($F248*1.1)+($G248*1.0)+($H248*1.0)+($I248*1.1)+($J248*0.9))/7.5)-1)/4*8000 + MIN($B248*20,1000) + MIN($C248*100,1000))),0))</f>
        <v/>
      </c>
      <c r="L248" s="31">
        <f>IF($K248="","",MIN(100,INT(SQRT($K248))))</f>
        <v/>
      </c>
      <c r="M248" s="31" t="n"/>
      <c r="N248" s="31">
        <f>IF($M248="Yes",$K248,"")</f>
        <v/>
      </c>
      <c r="O248" s="31" t="n"/>
      <c r="P248" s="59" t="n"/>
      <c r="Q248" s="59" t="n"/>
    </row>
    <row r="249">
      <c r="A249" s="31">
        <f>IF(Members!$A249="","",Members!$A249)</f>
        <v/>
      </c>
      <c r="B249" s="31" t="n"/>
      <c r="C249" s="31" t="n"/>
      <c r="D249" s="31" t="n"/>
      <c r="E249" s="31" t="n"/>
      <c r="F249" s="31" t="n"/>
      <c r="G249" s="31" t="n"/>
      <c r="H249" s="31" t="n"/>
      <c r="I249" s="31" t="n"/>
      <c r="J249" s="31" t="n"/>
      <c r="K249" s="31">
        <f>IF(COUNTA($D249:$J249)&lt;7,"",ROUND(MIN(10000, MAX(0, ((((($D249*1.2)+($E249*1.2)+($F249*1.1)+($G249*1.0)+($H249*1.0)+($I249*1.1)+($J249*0.9))/7.5)-1)/4*8000 + MIN($B249*20,1000) + MIN($C249*100,1000))),0))</f>
        <v/>
      </c>
      <c r="L249" s="31">
        <f>IF($K249="","",MIN(100,INT(SQRT($K249))))</f>
        <v/>
      </c>
      <c r="M249" s="31" t="n"/>
      <c r="N249" s="31">
        <f>IF($M249="Yes",$K249,"")</f>
        <v/>
      </c>
      <c r="O249" s="31" t="n"/>
      <c r="P249" s="59" t="n"/>
      <c r="Q249" s="59" t="n"/>
    </row>
    <row r="250">
      <c r="A250" s="31">
        <f>IF(Members!$A250="","",Members!$A250)</f>
        <v/>
      </c>
      <c r="B250" s="31" t="n"/>
      <c r="C250" s="31" t="n"/>
      <c r="D250" s="31" t="n"/>
      <c r="E250" s="31" t="n"/>
      <c r="F250" s="31" t="n"/>
      <c r="G250" s="31" t="n"/>
      <c r="H250" s="31" t="n"/>
      <c r="I250" s="31" t="n"/>
      <c r="J250" s="31" t="n"/>
      <c r="K250" s="31">
        <f>IF(COUNTA($D250:$J250)&lt;7,"",ROUND(MIN(10000, MAX(0, ((((($D250*1.2)+($E250*1.2)+($F250*1.1)+($G250*1.0)+($H250*1.0)+($I250*1.1)+($J250*0.9))/7.5)-1)/4*8000 + MIN($B250*20,1000) + MIN($C250*100,1000))),0))</f>
        <v/>
      </c>
      <c r="L250" s="31">
        <f>IF($K250="","",MIN(100,INT(SQRT($K250))))</f>
        <v/>
      </c>
      <c r="M250" s="31" t="n"/>
      <c r="N250" s="31">
        <f>IF($M250="Yes",$K250,"")</f>
        <v/>
      </c>
      <c r="O250" s="31" t="n"/>
      <c r="P250" s="59" t="n"/>
      <c r="Q250" s="59" t="n"/>
    </row>
    <row r="251">
      <c r="A251" s="31">
        <f>IF(Members!$A251="","",Members!$A251)</f>
        <v/>
      </c>
      <c r="B251" s="31" t="n"/>
      <c r="C251" s="31" t="n"/>
      <c r="D251" s="31" t="n"/>
      <c r="E251" s="31" t="n"/>
      <c r="F251" s="31" t="n"/>
      <c r="G251" s="31" t="n"/>
      <c r="H251" s="31" t="n"/>
      <c r="I251" s="31" t="n"/>
      <c r="J251" s="31" t="n"/>
      <c r="K251" s="31">
        <f>IF(COUNTA($D251:$J251)&lt;7,"",ROUND(MIN(10000, MAX(0, ((((($D251*1.2)+($E251*1.2)+($F251*1.1)+($G251*1.0)+($H251*1.0)+($I251*1.1)+($J251*0.9))/7.5)-1)/4*8000 + MIN($B251*20,1000) + MIN($C251*100,1000))),0))</f>
        <v/>
      </c>
      <c r="L251" s="31">
        <f>IF($K251="","",MIN(100,INT(SQRT($K251))))</f>
        <v/>
      </c>
      <c r="M251" s="31" t="n"/>
      <c r="N251" s="31">
        <f>IF($M251="Yes",$K251,"")</f>
        <v/>
      </c>
      <c r="O251" s="31" t="n"/>
      <c r="P251" s="59" t="n"/>
      <c r="Q251" s="59" t="n"/>
    </row>
    <row r="252">
      <c r="A252" s="31">
        <f>IF(Members!$A252="","",Members!$A252)</f>
        <v/>
      </c>
      <c r="B252" s="31" t="n"/>
      <c r="C252" s="31" t="n"/>
      <c r="D252" s="31" t="n"/>
      <c r="E252" s="31" t="n"/>
      <c r="F252" s="31" t="n"/>
      <c r="G252" s="31" t="n"/>
      <c r="H252" s="31" t="n"/>
      <c r="I252" s="31" t="n"/>
      <c r="J252" s="31" t="n"/>
      <c r="K252" s="31">
        <f>IF(COUNTA($D252:$J252)&lt;7,"",ROUND(MIN(10000, MAX(0, ((((($D252*1.2)+($E252*1.2)+($F252*1.1)+($G252*1.0)+($H252*1.0)+($I252*1.1)+($J252*0.9))/7.5)-1)/4*8000 + MIN($B252*20,1000) + MIN($C252*100,1000))),0))</f>
        <v/>
      </c>
      <c r="L252" s="31">
        <f>IF($K252="","",MIN(100,INT(SQRT($K252))))</f>
        <v/>
      </c>
      <c r="M252" s="31" t="n"/>
      <c r="N252" s="31">
        <f>IF($M252="Yes",$K252,"")</f>
        <v/>
      </c>
      <c r="O252" s="31" t="n"/>
      <c r="P252" s="59" t="n"/>
      <c r="Q252" s="59" t="n"/>
    </row>
    <row r="253">
      <c r="A253" s="31">
        <f>IF(Members!$A253="","",Members!$A253)</f>
        <v/>
      </c>
      <c r="B253" s="31" t="n"/>
      <c r="C253" s="31" t="n"/>
      <c r="D253" s="31" t="n"/>
      <c r="E253" s="31" t="n"/>
      <c r="F253" s="31" t="n"/>
      <c r="G253" s="31" t="n"/>
      <c r="H253" s="31" t="n"/>
      <c r="I253" s="31" t="n"/>
      <c r="J253" s="31" t="n"/>
      <c r="K253" s="31">
        <f>IF(COUNTA($D253:$J253)&lt;7,"",ROUND(MIN(10000, MAX(0, ((((($D253*1.2)+($E253*1.2)+($F253*1.1)+($G253*1.0)+($H253*1.0)+($I253*1.1)+($J253*0.9))/7.5)-1)/4*8000 + MIN($B253*20,1000) + MIN($C253*100,1000))),0))</f>
        <v/>
      </c>
      <c r="L253" s="31">
        <f>IF($K253="","",MIN(100,INT(SQRT($K253))))</f>
        <v/>
      </c>
      <c r="M253" s="31" t="n"/>
      <c r="N253" s="31">
        <f>IF($M253="Yes",$K253,"")</f>
        <v/>
      </c>
      <c r="O253" s="31" t="n"/>
      <c r="P253" s="59" t="n"/>
      <c r="Q253" s="59" t="n"/>
    </row>
    <row r="254">
      <c r="A254" s="31">
        <f>IF(Members!$A254="","",Members!$A254)</f>
        <v/>
      </c>
      <c r="B254" s="31" t="n"/>
      <c r="C254" s="31" t="n"/>
      <c r="D254" s="31" t="n"/>
      <c r="E254" s="31" t="n"/>
      <c r="F254" s="31" t="n"/>
      <c r="G254" s="31" t="n"/>
      <c r="H254" s="31" t="n"/>
      <c r="I254" s="31" t="n"/>
      <c r="J254" s="31" t="n"/>
      <c r="K254" s="31">
        <f>IF(COUNTA($D254:$J254)&lt;7,"",ROUND(MIN(10000, MAX(0, ((((($D254*1.2)+($E254*1.2)+($F254*1.1)+($G254*1.0)+($H254*1.0)+($I254*1.1)+($J254*0.9))/7.5)-1)/4*8000 + MIN($B254*20,1000) + MIN($C254*100,1000))),0))</f>
        <v/>
      </c>
      <c r="L254" s="31">
        <f>IF($K254="","",MIN(100,INT(SQRT($K254))))</f>
        <v/>
      </c>
      <c r="M254" s="31" t="n"/>
      <c r="N254" s="31">
        <f>IF($M254="Yes",$K254,"")</f>
        <v/>
      </c>
      <c r="O254" s="31" t="n"/>
      <c r="P254" s="59" t="n"/>
      <c r="Q254" s="59" t="n"/>
    </row>
    <row r="255">
      <c r="A255" s="31">
        <f>IF(Members!$A255="","",Members!$A255)</f>
        <v/>
      </c>
      <c r="B255" s="31" t="n"/>
      <c r="C255" s="31" t="n"/>
      <c r="D255" s="31" t="n"/>
      <c r="E255" s="31" t="n"/>
      <c r="F255" s="31" t="n"/>
      <c r="G255" s="31" t="n"/>
      <c r="H255" s="31" t="n"/>
      <c r="I255" s="31" t="n"/>
      <c r="J255" s="31" t="n"/>
      <c r="K255" s="31">
        <f>IF(COUNTA($D255:$J255)&lt;7,"",ROUND(MIN(10000, MAX(0, ((((($D255*1.2)+($E255*1.2)+($F255*1.1)+($G255*1.0)+($H255*1.0)+($I255*1.1)+($J255*0.9))/7.5)-1)/4*8000 + MIN($B255*20,1000) + MIN($C255*100,1000))),0))</f>
        <v/>
      </c>
      <c r="L255" s="31">
        <f>IF($K255="","",MIN(100,INT(SQRT($K255))))</f>
        <v/>
      </c>
      <c r="M255" s="31" t="n"/>
      <c r="N255" s="31">
        <f>IF($M255="Yes",$K255,"")</f>
        <v/>
      </c>
      <c r="O255" s="31" t="n"/>
      <c r="P255" s="59" t="n"/>
      <c r="Q255" s="59" t="n"/>
    </row>
    <row r="256">
      <c r="A256" s="31">
        <f>IF(Members!$A256="","",Members!$A256)</f>
        <v/>
      </c>
      <c r="B256" s="31" t="n"/>
      <c r="C256" s="31" t="n"/>
      <c r="D256" s="31" t="n"/>
      <c r="E256" s="31" t="n"/>
      <c r="F256" s="31" t="n"/>
      <c r="G256" s="31" t="n"/>
      <c r="H256" s="31" t="n"/>
      <c r="I256" s="31" t="n"/>
      <c r="J256" s="31" t="n"/>
      <c r="K256" s="31">
        <f>IF(COUNTA($D256:$J256)&lt;7,"",ROUND(MIN(10000, MAX(0, ((((($D256*1.2)+($E256*1.2)+($F256*1.1)+($G256*1.0)+($H256*1.0)+($I256*1.1)+($J256*0.9))/7.5)-1)/4*8000 + MIN($B256*20,1000) + MIN($C256*100,1000))),0))</f>
        <v/>
      </c>
      <c r="L256" s="31">
        <f>IF($K256="","",MIN(100,INT(SQRT($K256))))</f>
        <v/>
      </c>
      <c r="M256" s="31" t="n"/>
      <c r="N256" s="31">
        <f>IF($M256="Yes",$K256,"")</f>
        <v/>
      </c>
      <c r="O256" s="31" t="n"/>
      <c r="P256" s="59" t="n"/>
      <c r="Q256" s="59" t="n"/>
    </row>
    <row r="257">
      <c r="A257" s="31">
        <f>IF(Members!$A257="","",Members!$A257)</f>
        <v/>
      </c>
      <c r="B257" s="31" t="n"/>
      <c r="C257" s="31" t="n"/>
      <c r="D257" s="31" t="n"/>
      <c r="E257" s="31" t="n"/>
      <c r="F257" s="31" t="n"/>
      <c r="G257" s="31" t="n"/>
      <c r="H257" s="31" t="n"/>
      <c r="I257" s="31" t="n"/>
      <c r="J257" s="31" t="n"/>
      <c r="K257" s="31">
        <f>IF(COUNTA($D257:$J257)&lt;7,"",ROUND(MIN(10000, MAX(0, ((((($D257*1.2)+($E257*1.2)+($F257*1.1)+($G257*1.0)+($H257*1.0)+($I257*1.1)+($J257*0.9))/7.5)-1)/4*8000 + MIN($B257*20,1000) + MIN($C257*100,1000))),0))</f>
        <v/>
      </c>
      <c r="L257" s="31">
        <f>IF($K257="","",MIN(100,INT(SQRT($K257))))</f>
        <v/>
      </c>
      <c r="M257" s="31" t="n"/>
      <c r="N257" s="31">
        <f>IF($M257="Yes",$K257,"")</f>
        <v/>
      </c>
      <c r="O257" s="31" t="n"/>
      <c r="P257" s="59" t="n"/>
      <c r="Q257" s="59" t="n"/>
    </row>
    <row r="258">
      <c r="A258" s="31">
        <f>IF(Members!$A258="","",Members!$A258)</f>
        <v/>
      </c>
      <c r="B258" s="31" t="n"/>
      <c r="C258" s="31" t="n"/>
      <c r="D258" s="31" t="n"/>
      <c r="E258" s="31" t="n"/>
      <c r="F258" s="31" t="n"/>
      <c r="G258" s="31" t="n"/>
      <c r="H258" s="31" t="n"/>
      <c r="I258" s="31" t="n"/>
      <c r="J258" s="31" t="n"/>
      <c r="K258" s="31">
        <f>IF(COUNTA($D258:$J258)&lt;7,"",ROUND(MIN(10000, MAX(0, ((((($D258*1.2)+($E258*1.2)+($F258*1.1)+($G258*1.0)+($H258*1.0)+($I258*1.1)+($J258*0.9))/7.5)-1)/4*8000 + MIN($B258*20,1000) + MIN($C258*100,1000))),0))</f>
        <v/>
      </c>
      <c r="L258" s="31">
        <f>IF($K258="","",MIN(100,INT(SQRT($K258))))</f>
        <v/>
      </c>
      <c r="M258" s="31" t="n"/>
      <c r="N258" s="31">
        <f>IF($M258="Yes",$K258,"")</f>
        <v/>
      </c>
      <c r="O258" s="31" t="n"/>
      <c r="P258" s="59" t="n"/>
      <c r="Q258" s="59" t="n"/>
    </row>
    <row r="259">
      <c r="A259" s="31">
        <f>IF(Members!$A259="","",Members!$A259)</f>
        <v/>
      </c>
      <c r="B259" s="31" t="n"/>
      <c r="C259" s="31" t="n"/>
      <c r="D259" s="31" t="n"/>
      <c r="E259" s="31" t="n"/>
      <c r="F259" s="31" t="n"/>
      <c r="G259" s="31" t="n"/>
      <c r="H259" s="31" t="n"/>
      <c r="I259" s="31" t="n"/>
      <c r="J259" s="31" t="n"/>
      <c r="K259" s="31">
        <f>IF(COUNTA($D259:$J259)&lt;7,"",ROUND(MIN(10000, MAX(0, ((((($D259*1.2)+($E259*1.2)+($F259*1.1)+($G259*1.0)+($H259*1.0)+($I259*1.1)+($J259*0.9))/7.5)-1)/4*8000 + MIN($B259*20,1000) + MIN($C259*100,1000))),0))</f>
        <v/>
      </c>
      <c r="L259" s="31">
        <f>IF($K259="","",MIN(100,INT(SQRT($K259))))</f>
        <v/>
      </c>
      <c r="M259" s="31" t="n"/>
      <c r="N259" s="31">
        <f>IF($M259="Yes",$K259,"")</f>
        <v/>
      </c>
      <c r="O259" s="31" t="n"/>
      <c r="P259" s="59" t="n"/>
      <c r="Q259" s="59" t="n"/>
    </row>
    <row r="260">
      <c r="A260" s="31">
        <f>IF(Members!$A260="","",Members!$A260)</f>
        <v/>
      </c>
      <c r="B260" s="31" t="n"/>
      <c r="C260" s="31" t="n"/>
      <c r="D260" s="31" t="n"/>
      <c r="E260" s="31" t="n"/>
      <c r="F260" s="31" t="n"/>
      <c r="G260" s="31" t="n"/>
      <c r="H260" s="31" t="n"/>
      <c r="I260" s="31" t="n"/>
      <c r="J260" s="31" t="n"/>
      <c r="K260" s="31">
        <f>IF(COUNTA($D260:$J260)&lt;7,"",ROUND(MIN(10000, MAX(0, ((((($D260*1.2)+($E260*1.2)+($F260*1.1)+($G260*1.0)+($H260*1.0)+($I260*1.1)+($J260*0.9))/7.5)-1)/4*8000 + MIN($B260*20,1000) + MIN($C260*100,1000))),0))</f>
        <v/>
      </c>
      <c r="L260" s="31">
        <f>IF($K260="","",MIN(100,INT(SQRT($K260))))</f>
        <v/>
      </c>
      <c r="M260" s="31" t="n"/>
      <c r="N260" s="31">
        <f>IF($M260="Yes",$K260,"")</f>
        <v/>
      </c>
      <c r="O260" s="31" t="n"/>
      <c r="P260" s="59" t="n"/>
      <c r="Q260" s="59" t="n"/>
    </row>
    <row r="261">
      <c r="A261" s="31">
        <f>IF(Members!$A261="","",Members!$A261)</f>
        <v/>
      </c>
      <c r="B261" s="31" t="n"/>
      <c r="C261" s="31" t="n"/>
      <c r="D261" s="31" t="n"/>
      <c r="E261" s="31" t="n"/>
      <c r="F261" s="31" t="n"/>
      <c r="G261" s="31" t="n"/>
      <c r="H261" s="31" t="n"/>
      <c r="I261" s="31" t="n"/>
      <c r="J261" s="31" t="n"/>
      <c r="K261" s="31">
        <f>IF(COUNTA($D261:$J261)&lt;7,"",ROUND(MIN(10000, MAX(0, ((((($D261*1.2)+($E261*1.2)+($F261*1.1)+($G261*1.0)+($H261*1.0)+($I261*1.1)+($J261*0.9))/7.5)-1)/4*8000 + MIN($B261*20,1000) + MIN($C261*100,1000))),0))</f>
        <v/>
      </c>
      <c r="L261" s="31">
        <f>IF($K261="","",MIN(100,INT(SQRT($K261))))</f>
        <v/>
      </c>
      <c r="M261" s="31" t="n"/>
      <c r="N261" s="31">
        <f>IF($M261="Yes",$K261,"")</f>
        <v/>
      </c>
      <c r="O261" s="31" t="n"/>
      <c r="P261" s="59" t="n"/>
      <c r="Q261" s="59" t="n"/>
    </row>
    <row r="262">
      <c r="A262" s="31">
        <f>IF(Members!$A262="","",Members!$A262)</f>
        <v/>
      </c>
      <c r="B262" s="31" t="n"/>
      <c r="C262" s="31" t="n"/>
      <c r="D262" s="31" t="n"/>
      <c r="E262" s="31" t="n"/>
      <c r="F262" s="31" t="n"/>
      <c r="G262" s="31" t="n"/>
      <c r="H262" s="31" t="n"/>
      <c r="I262" s="31" t="n"/>
      <c r="J262" s="31" t="n"/>
      <c r="K262" s="31">
        <f>IF(COUNTA($D262:$J262)&lt;7,"",ROUND(MIN(10000, MAX(0, ((((($D262*1.2)+($E262*1.2)+($F262*1.1)+($G262*1.0)+($H262*1.0)+($I262*1.1)+($J262*0.9))/7.5)-1)/4*8000 + MIN($B262*20,1000) + MIN($C262*100,1000))),0))</f>
        <v/>
      </c>
      <c r="L262" s="31">
        <f>IF($K262="","",MIN(100,INT(SQRT($K262))))</f>
        <v/>
      </c>
      <c r="M262" s="31" t="n"/>
      <c r="N262" s="31">
        <f>IF($M262="Yes",$K262,"")</f>
        <v/>
      </c>
      <c r="O262" s="31" t="n"/>
      <c r="P262" s="59" t="n"/>
      <c r="Q262" s="59" t="n"/>
    </row>
    <row r="263">
      <c r="A263" s="31">
        <f>IF(Members!$A263="","",Members!$A263)</f>
        <v/>
      </c>
      <c r="B263" s="31" t="n"/>
      <c r="C263" s="31" t="n"/>
      <c r="D263" s="31" t="n"/>
      <c r="E263" s="31" t="n"/>
      <c r="F263" s="31" t="n"/>
      <c r="G263" s="31" t="n"/>
      <c r="H263" s="31" t="n"/>
      <c r="I263" s="31" t="n"/>
      <c r="J263" s="31" t="n"/>
      <c r="K263" s="31">
        <f>IF(COUNTA($D263:$J263)&lt;7,"",ROUND(MIN(10000, MAX(0, ((((($D263*1.2)+($E263*1.2)+($F263*1.1)+($G263*1.0)+($H263*1.0)+($I263*1.1)+($J263*0.9))/7.5)-1)/4*8000 + MIN($B263*20,1000) + MIN($C263*100,1000))),0))</f>
        <v/>
      </c>
      <c r="L263" s="31">
        <f>IF($K263="","",MIN(100,INT(SQRT($K263))))</f>
        <v/>
      </c>
      <c r="M263" s="31" t="n"/>
      <c r="N263" s="31">
        <f>IF($M263="Yes",$K263,"")</f>
        <v/>
      </c>
      <c r="O263" s="31" t="n"/>
      <c r="P263" s="59" t="n"/>
      <c r="Q263" s="59" t="n"/>
    </row>
    <row r="264">
      <c r="A264" s="31">
        <f>IF(Members!$A264="","",Members!$A264)</f>
        <v/>
      </c>
      <c r="B264" s="31" t="n"/>
      <c r="C264" s="31" t="n"/>
      <c r="D264" s="31" t="n"/>
      <c r="E264" s="31" t="n"/>
      <c r="F264" s="31" t="n"/>
      <c r="G264" s="31" t="n"/>
      <c r="H264" s="31" t="n"/>
      <c r="I264" s="31" t="n"/>
      <c r="J264" s="31" t="n"/>
      <c r="K264" s="31">
        <f>IF(COUNTA($D264:$J264)&lt;7,"",ROUND(MIN(10000, MAX(0, ((((($D264*1.2)+($E264*1.2)+($F264*1.1)+($G264*1.0)+($H264*1.0)+($I264*1.1)+($J264*0.9))/7.5)-1)/4*8000 + MIN($B264*20,1000) + MIN($C264*100,1000))),0))</f>
        <v/>
      </c>
      <c r="L264" s="31">
        <f>IF($K264="","",MIN(100,INT(SQRT($K264))))</f>
        <v/>
      </c>
      <c r="M264" s="31" t="n"/>
      <c r="N264" s="31">
        <f>IF($M264="Yes",$K264,"")</f>
        <v/>
      </c>
      <c r="O264" s="31" t="n"/>
      <c r="P264" s="59" t="n"/>
      <c r="Q264" s="59" t="n"/>
    </row>
    <row r="265">
      <c r="A265" s="31">
        <f>IF(Members!$A265="","",Members!$A265)</f>
        <v/>
      </c>
      <c r="B265" s="31" t="n"/>
      <c r="C265" s="31" t="n"/>
      <c r="D265" s="31" t="n"/>
      <c r="E265" s="31" t="n"/>
      <c r="F265" s="31" t="n"/>
      <c r="G265" s="31" t="n"/>
      <c r="H265" s="31" t="n"/>
      <c r="I265" s="31" t="n"/>
      <c r="J265" s="31" t="n"/>
      <c r="K265" s="31">
        <f>IF(COUNTA($D265:$J265)&lt;7,"",ROUND(MIN(10000, MAX(0, ((((($D265*1.2)+($E265*1.2)+($F265*1.1)+($G265*1.0)+($H265*1.0)+($I265*1.1)+($J265*0.9))/7.5)-1)/4*8000 + MIN($B265*20,1000) + MIN($C265*100,1000))),0))</f>
        <v/>
      </c>
      <c r="L265" s="31">
        <f>IF($K265="","",MIN(100,INT(SQRT($K265))))</f>
        <v/>
      </c>
      <c r="M265" s="31" t="n"/>
      <c r="N265" s="31">
        <f>IF($M265="Yes",$K265,"")</f>
        <v/>
      </c>
      <c r="O265" s="31" t="n"/>
      <c r="P265" s="59" t="n"/>
      <c r="Q265" s="59" t="n"/>
    </row>
    <row r="266">
      <c r="A266" s="31">
        <f>IF(Members!$A266="","",Members!$A266)</f>
        <v/>
      </c>
      <c r="B266" s="31" t="n"/>
      <c r="C266" s="31" t="n"/>
      <c r="D266" s="31" t="n"/>
      <c r="E266" s="31" t="n"/>
      <c r="F266" s="31" t="n"/>
      <c r="G266" s="31" t="n"/>
      <c r="H266" s="31" t="n"/>
      <c r="I266" s="31" t="n"/>
      <c r="J266" s="31" t="n"/>
      <c r="K266" s="31">
        <f>IF(COUNTA($D266:$J266)&lt;7,"",ROUND(MIN(10000, MAX(0, ((((($D266*1.2)+($E266*1.2)+($F266*1.1)+($G266*1.0)+($H266*1.0)+($I266*1.1)+($J266*0.9))/7.5)-1)/4*8000 + MIN($B266*20,1000) + MIN($C266*100,1000))),0))</f>
        <v/>
      </c>
      <c r="L266" s="31">
        <f>IF($K266="","",MIN(100,INT(SQRT($K266))))</f>
        <v/>
      </c>
      <c r="M266" s="31" t="n"/>
      <c r="N266" s="31">
        <f>IF($M266="Yes",$K266,"")</f>
        <v/>
      </c>
      <c r="O266" s="31" t="n"/>
      <c r="P266" s="59" t="n"/>
      <c r="Q266" s="59" t="n"/>
    </row>
    <row r="267">
      <c r="A267" s="31">
        <f>IF(Members!$A267="","",Members!$A267)</f>
        <v/>
      </c>
      <c r="B267" s="31" t="n"/>
      <c r="C267" s="31" t="n"/>
      <c r="D267" s="31" t="n"/>
      <c r="E267" s="31" t="n"/>
      <c r="F267" s="31" t="n"/>
      <c r="G267" s="31" t="n"/>
      <c r="H267" s="31" t="n"/>
      <c r="I267" s="31" t="n"/>
      <c r="J267" s="31" t="n"/>
      <c r="K267" s="31">
        <f>IF(COUNTA($D267:$J267)&lt;7,"",ROUND(MIN(10000, MAX(0, ((((($D267*1.2)+($E267*1.2)+($F267*1.1)+($G267*1.0)+($H267*1.0)+($I267*1.1)+($J267*0.9))/7.5)-1)/4*8000 + MIN($B267*20,1000) + MIN($C267*100,1000))),0))</f>
        <v/>
      </c>
      <c r="L267" s="31">
        <f>IF($K267="","",MIN(100,INT(SQRT($K267))))</f>
        <v/>
      </c>
      <c r="M267" s="31" t="n"/>
      <c r="N267" s="31">
        <f>IF($M267="Yes",$K267,"")</f>
        <v/>
      </c>
      <c r="O267" s="31" t="n"/>
      <c r="P267" s="59" t="n"/>
      <c r="Q267" s="59" t="n"/>
    </row>
    <row r="268">
      <c r="A268" s="31">
        <f>IF(Members!$A268="","",Members!$A268)</f>
        <v/>
      </c>
      <c r="B268" s="31" t="n"/>
      <c r="C268" s="31" t="n"/>
      <c r="D268" s="31" t="n"/>
      <c r="E268" s="31" t="n"/>
      <c r="F268" s="31" t="n"/>
      <c r="G268" s="31" t="n"/>
      <c r="H268" s="31" t="n"/>
      <c r="I268" s="31" t="n"/>
      <c r="J268" s="31" t="n"/>
      <c r="K268" s="31">
        <f>IF(COUNTA($D268:$J268)&lt;7,"",ROUND(MIN(10000, MAX(0, ((((($D268*1.2)+($E268*1.2)+($F268*1.1)+($G268*1.0)+($H268*1.0)+($I268*1.1)+($J268*0.9))/7.5)-1)/4*8000 + MIN($B268*20,1000) + MIN($C268*100,1000))),0))</f>
        <v/>
      </c>
      <c r="L268" s="31">
        <f>IF($K268="","",MIN(100,INT(SQRT($K268))))</f>
        <v/>
      </c>
      <c r="M268" s="31" t="n"/>
      <c r="N268" s="31">
        <f>IF($M268="Yes",$K268,"")</f>
        <v/>
      </c>
      <c r="O268" s="31" t="n"/>
      <c r="P268" s="59" t="n"/>
      <c r="Q268" s="59" t="n"/>
    </row>
    <row r="269">
      <c r="A269" s="31">
        <f>IF(Members!$A269="","",Members!$A269)</f>
        <v/>
      </c>
      <c r="B269" s="31" t="n"/>
      <c r="C269" s="31" t="n"/>
      <c r="D269" s="31" t="n"/>
      <c r="E269" s="31" t="n"/>
      <c r="F269" s="31" t="n"/>
      <c r="G269" s="31" t="n"/>
      <c r="H269" s="31" t="n"/>
      <c r="I269" s="31" t="n"/>
      <c r="J269" s="31" t="n"/>
      <c r="K269" s="31">
        <f>IF(COUNTA($D269:$J269)&lt;7,"",ROUND(MIN(10000, MAX(0, ((((($D269*1.2)+($E269*1.2)+($F269*1.1)+($G269*1.0)+($H269*1.0)+($I269*1.1)+($J269*0.9))/7.5)-1)/4*8000 + MIN($B269*20,1000) + MIN($C269*100,1000))),0))</f>
        <v/>
      </c>
      <c r="L269" s="31">
        <f>IF($K269="","",MIN(100,INT(SQRT($K269))))</f>
        <v/>
      </c>
      <c r="M269" s="31" t="n"/>
      <c r="N269" s="31">
        <f>IF($M269="Yes",$K269,"")</f>
        <v/>
      </c>
      <c r="O269" s="31" t="n"/>
      <c r="P269" s="59" t="n"/>
      <c r="Q269" s="59" t="n"/>
    </row>
    <row r="270">
      <c r="A270" s="31">
        <f>IF(Members!$A270="","",Members!$A270)</f>
        <v/>
      </c>
      <c r="B270" s="31" t="n"/>
      <c r="C270" s="31" t="n"/>
      <c r="D270" s="31" t="n"/>
      <c r="E270" s="31" t="n"/>
      <c r="F270" s="31" t="n"/>
      <c r="G270" s="31" t="n"/>
      <c r="H270" s="31" t="n"/>
      <c r="I270" s="31" t="n"/>
      <c r="J270" s="31" t="n"/>
      <c r="K270" s="31">
        <f>IF(COUNTA($D270:$J270)&lt;7,"",ROUND(MIN(10000, MAX(0, ((((($D270*1.2)+($E270*1.2)+($F270*1.1)+($G270*1.0)+($H270*1.0)+($I270*1.1)+($J270*0.9))/7.5)-1)/4*8000 + MIN($B270*20,1000) + MIN($C270*100,1000))),0))</f>
        <v/>
      </c>
      <c r="L270" s="31">
        <f>IF($K270="","",MIN(100,INT(SQRT($K270))))</f>
        <v/>
      </c>
      <c r="M270" s="31" t="n"/>
      <c r="N270" s="31">
        <f>IF($M270="Yes",$K270,"")</f>
        <v/>
      </c>
      <c r="O270" s="31" t="n"/>
      <c r="P270" s="59" t="n"/>
      <c r="Q270" s="59" t="n"/>
    </row>
    <row r="271">
      <c r="A271" s="31">
        <f>IF(Members!$A271="","",Members!$A271)</f>
        <v/>
      </c>
      <c r="B271" s="31" t="n"/>
      <c r="C271" s="31" t="n"/>
      <c r="D271" s="31" t="n"/>
      <c r="E271" s="31" t="n"/>
      <c r="F271" s="31" t="n"/>
      <c r="G271" s="31" t="n"/>
      <c r="H271" s="31" t="n"/>
      <c r="I271" s="31" t="n"/>
      <c r="J271" s="31" t="n"/>
      <c r="K271" s="31">
        <f>IF(COUNTA($D271:$J271)&lt;7,"",ROUND(MIN(10000, MAX(0, ((((($D271*1.2)+($E271*1.2)+($F271*1.1)+($G271*1.0)+($H271*1.0)+($I271*1.1)+($J271*0.9))/7.5)-1)/4*8000 + MIN($B271*20,1000) + MIN($C271*100,1000))),0))</f>
        <v/>
      </c>
      <c r="L271" s="31">
        <f>IF($K271="","",MIN(100,INT(SQRT($K271))))</f>
        <v/>
      </c>
      <c r="M271" s="31" t="n"/>
      <c r="N271" s="31">
        <f>IF($M271="Yes",$K271,"")</f>
        <v/>
      </c>
      <c r="O271" s="31" t="n"/>
      <c r="P271" s="59" t="n"/>
      <c r="Q271" s="59" t="n"/>
    </row>
    <row r="272">
      <c r="A272" s="31">
        <f>IF(Members!$A272="","",Members!$A272)</f>
        <v/>
      </c>
      <c r="B272" s="31" t="n"/>
      <c r="C272" s="31" t="n"/>
      <c r="D272" s="31" t="n"/>
      <c r="E272" s="31" t="n"/>
      <c r="F272" s="31" t="n"/>
      <c r="G272" s="31" t="n"/>
      <c r="H272" s="31" t="n"/>
      <c r="I272" s="31" t="n"/>
      <c r="J272" s="31" t="n"/>
      <c r="K272" s="31">
        <f>IF(COUNTA($D272:$J272)&lt;7,"",ROUND(MIN(10000, MAX(0, ((((($D272*1.2)+($E272*1.2)+($F272*1.1)+($G272*1.0)+($H272*1.0)+($I272*1.1)+($J272*0.9))/7.5)-1)/4*8000 + MIN($B272*20,1000) + MIN($C272*100,1000))),0))</f>
        <v/>
      </c>
      <c r="L272" s="31">
        <f>IF($K272="","",MIN(100,INT(SQRT($K272))))</f>
        <v/>
      </c>
      <c r="M272" s="31" t="n"/>
      <c r="N272" s="31">
        <f>IF($M272="Yes",$K272,"")</f>
        <v/>
      </c>
      <c r="O272" s="31" t="n"/>
      <c r="P272" s="59" t="n"/>
      <c r="Q272" s="59" t="n"/>
    </row>
    <row r="273">
      <c r="A273" s="31">
        <f>IF(Members!$A273="","",Members!$A273)</f>
        <v/>
      </c>
      <c r="B273" s="31" t="n"/>
      <c r="C273" s="31" t="n"/>
      <c r="D273" s="31" t="n"/>
      <c r="E273" s="31" t="n"/>
      <c r="F273" s="31" t="n"/>
      <c r="G273" s="31" t="n"/>
      <c r="H273" s="31" t="n"/>
      <c r="I273" s="31" t="n"/>
      <c r="J273" s="31" t="n"/>
      <c r="K273" s="31">
        <f>IF(COUNTA($D273:$J273)&lt;7,"",ROUND(MIN(10000, MAX(0, ((((($D273*1.2)+($E273*1.2)+($F273*1.1)+($G273*1.0)+($H273*1.0)+($I273*1.1)+($J273*0.9))/7.5)-1)/4*8000 + MIN($B273*20,1000) + MIN($C273*100,1000))),0))</f>
        <v/>
      </c>
      <c r="L273" s="31">
        <f>IF($K273="","",MIN(100,INT(SQRT($K273))))</f>
        <v/>
      </c>
      <c r="M273" s="31" t="n"/>
      <c r="N273" s="31">
        <f>IF($M273="Yes",$K273,"")</f>
        <v/>
      </c>
      <c r="O273" s="31" t="n"/>
      <c r="P273" s="59" t="n"/>
      <c r="Q273" s="59" t="n"/>
    </row>
    <row r="274">
      <c r="A274" s="31">
        <f>IF(Members!$A274="","",Members!$A274)</f>
        <v/>
      </c>
      <c r="B274" s="31" t="n"/>
      <c r="C274" s="31" t="n"/>
      <c r="D274" s="31" t="n"/>
      <c r="E274" s="31" t="n"/>
      <c r="F274" s="31" t="n"/>
      <c r="G274" s="31" t="n"/>
      <c r="H274" s="31" t="n"/>
      <c r="I274" s="31" t="n"/>
      <c r="J274" s="31" t="n"/>
      <c r="K274" s="31">
        <f>IF(COUNTA($D274:$J274)&lt;7,"",ROUND(MIN(10000, MAX(0, ((((($D274*1.2)+($E274*1.2)+($F274*1.1)+($G274*1.0)+($H274*1.0)+($I274*1.1)+($J274*0.9))/7.5)-1)/4*8000 + MIN($B274*20,1000) + MIN($C274*100,1000))),0))</f>
        <v/>
      </c>
      <c r="L274" s="31">
        <f>IF($K274="","",MIN(100,INT(SQRT($K274))))</f>
        <v/>
      </c>
      <c r="M274" s="31" t="n"/>
      <c r="N274" s="31">
        <f>IF($M274="Yes",$K274,"")</f>
        <v/>
      </c>
      <c r="O274" s="31" t="n"/>
      <c r="P274" s="59" t="n"/>
      <c r="Q274" s="59" t="n"/>
    </row>
    <row r="275">
      <c r="A275" s="31">
        <f>IF(Members!$A275="","",Members!$A275)</f>
        <v/>
      </c>
      <c r="B275" s="31" t="n"/>
      <c r="C275" s="31" t="n"/>
      <c r="D275" s="31" t="n"/>
      <c r="E275" s="31" t="n"/>
      <c r="F275" s="31" t="n"/>
      <c r="G275" s="31" t="n"/>
      <c r="H275" s="31" t="n"/>
      <c r="I275" s="31" t="n"/>
      <c r="J275" s="31" t="n"/>
      <c r="K275" s="31">
        <f>IF(COUNTA($D275:$J275)&lt;7,"",ROUND(MIN(10000, MAX(0, ((((($D275*1.2)+($E275*1.2)+($F275*1.1)+($G275*1.0)+($H275*1.0)+($I275*1.1)+($J275*0.9))/7.5)-1)/4*8000 + MIN($B275*20,1000) + MIN($C275*100,1000))),0))</f>
        <v/>
      </c>
      <c r="L275" s="31">
        <f>IF($K275="","",MIN(100,INT(SQRT($K275))))</f>
        <v/>
      </c>
      <c r="M275" s="31" t="n"/>
      <c r="N275" s="31">
        <f>IF($M275="Yes",$K275,"")</f>
        <v/>
      </c>
      <c r="O275" s="31" t="n"/>
      <c r="P275" s="59" t="n"/>
      <c r="Q275" s="59" t="n"/>
    </row>
    <row r="276">
      <c r="A276" s="31">
        <f>IF(Members!$A276="","",Members!$A276)</f>
        <v/>
      </c>
      <c r="B276" s="31" t="n"/>
      <c r="C276" s="31" t="n"/>
      <c r="D276" s="31" t="n"/>
      <c r="E276" s="31" t="n"/>
      <c r="F276" s="31" t="n"/>
      <c r="G276" s="31" t="n"/>
      <c r="H276" s="31" t="n"/>
      <c r="I276" s="31" t="n"/>
      <c r="J276" s="31" t="n"/>
      <c r="K276" s="31">
        <f>IF(COUNTA($D276:$J276)&lt;7,"",ROUND(MIN(10000, MAX(0, ((((($D276*1.2)+($E276*1.2)+($F276*1.1)+($G276*1.0)+($H276*1.0)+($I276*1.1)+($J276*0.9))/7.5)-1)/4*8000 + MIN($B276*20,1000) + MIN($C276*100,1000))),0))</f>
        <v/>
      </c>
      <c r="L276" s="31">
        <f>IF($K276="","",MIN(100,INT(SQRT($K276))))</f>
        <v/>
      </c>
      <c r="M276" s="31" t="n"/>
      <c r="N276" s="31">
        <f>IF($M276="Yes",$K276,"")</f>
        <v/>
      </c>
      <c r="O276" s="31" t="n"/>
      <c r="P276" s="59" t="n"/>
      <c r="Q276" s="59" t="n"/>
    </row>
    <row r="277">
      <c r="A277" s="31">
        <f>IF(Members!$A277="","",Members!$A277)</f>
        <v/>
      </c>
      <c r="B277" s="31" t="n"/>
      <c r="C277" s="31" t="n"/>
      <c r="D277" s="31" t="n"/>
      <c r="E277" s="31" t="n"/>
      <c r="F277" s="31" t="n"/>
      <c r="G277" s="31" t="n"/>
      <c r="H277" s="31" t="n"/>
      <c r="I277" s="31" t="n"/>
      <c r="J277" s="31" t="n"/>
      <c r="K277" s="31">
        <f>IF(COUNTA($D277:$J277)&lt;7,"",ROUND(MIN(10000, MAX(0, ((((($D277*1.2)+($E277*1.2)+($F277*1.1)+($G277*1.0)+($H277*1.0)+($I277*1.1)+($J277*0.9))/7.5)-1)/4*8000 + MIN($B277*20,1000) + MIN($C277*100,1000))),0))</f>
        <v/>
      </c>
      <c r="L277" s="31">
        <f>IF($K277="","",MIN(100,INT(SQRT($K277))))</f>
        <v/>
      </c>
      <c r="M277" s="31" t="n"/>
      <c r="N277" s="31">
        <f>IF($M277="Yes",$K277,"")</f>
        <v/>
      </c>
      <c r="O277" s="31" t="n"/>
      <c r="P277" s="59" t="n"/>
      <c r="Q277" s="59" t="n"/>
    </row>
    <row r="278">
      <c r="A278" s="31">
        <f>IF(Members!$A278="","",Members!$A278)</f>
        <v/>
      </c>
      <c r="B278" s="31" t="n"/>
      <c r="C278" s="31" t="n"/>
      <c r="D278" s="31" t="n"/>
      <c r="E278" s="31" t="n"/>
      <c r="F278" s="31" t="n"/>
      <c r="G278" s="31" t="n"/>
      <c r="H278" s="31" t="n"/>
      <c r="I278" s="31" t="n"/>
      <c r="J278" s="31" t="n"/>
      <c r="K278" s="31">
        <f>IF(COUNTA($D278:$J278)&lt;7,"",ROUND(MIN(10000, MAX(0, ((((($D278*1.2)+($E278*1.2)+($F278*1.1)+($G278*1.0)+($H278*1.0)+($I278*1.1)+($J278*0.9))/7.5)-1)/4*8000 + MIN($B278*20,1000) + MIN($C278*100,1000))),0))</f>
        <v/>
      </c>
      <c r="L278" s="31">
        <f>IF($K278="","",MIN(100,INT(SQRT($K278))))</f>
        <v/>
      </c>
      <c r="M278" s="31" t="n"/>
      <c r="N278" s="31">
        <f>IF($M278="Yes",$K278,"")</f>
        <v/>
      </c>
      <c r="O278" s="31" t="n"/>
      <c r="P278" s="59" t="n"/>
      <c r="Q278" s="59" t="n"/>
    </row>
    <row r="279">
      <c r="A279" s="31">
        <f>IF(Members!$A279="","",Members!$A279)</f>
        <v/>
      </c>
      <c r="B279" s="31" t="n"/>
      <c r="C279" s="31" t="n"/>
      <c r="D279" s="31" t="n"/>
      <c r="E279" s="31" t="n"/>
      <c r="F279" s="31" t="n"/>
      <c r="G279" s="31" t="n"/>
      <c r="H279" s="31" t="n"/>
      <c r="I279" s="31" t="n"/>
      <c r="J279" s="31" t="n"/>
      <c r="K279" s="31">
        <f>IF(COUNTA($D279:$J279)&lt;7,"",ROUND(MIN(10000, MAX(0, ((((($D279*1.2)+($E279*1.2)+($F279*1.1)+($G279*1.0)+($H279*1.0)+($I279*1.1)+($J279*0.9))/7.5)-1)/4*8000 + MIN($B279*20,1000) + MIN($C279*100,1000))),0))</f>
        <v/>
      </c>
      <c r="L279" s="31">
        <f>IF($K279="","",MIN(100,INT(SQRT($K279))))</f>
        <v/>
      </c>
      <c r="M279" s="31" t="n"/>
      <c r="N279" s="31">
        <f>IF($M279="Yes",$K279,"")</f>
        <v/>
      </c>
      <c r="O279" s="31" t="n"/>
      <c r="P279" s="59" t="n"/>
      <c r="Q279" s="59" t="n"/>
    </row>
    <row r="280">
      <c r="A280" s="31">
        <f>IF(Members!$A280="","",Members!$A280)</f>
        <v/>
      </c>
      <c r="B280" s="31" t="n"/>
      <c r="C280" s="31" t="n"/>
      <c r="D280" s="31" t="n"/>
      <c r="E280" s="31" t="n"/>
      <c r="F280" s="31" t="n"/>
      <c r="G280" s="31" t="n"/>
      <c r="H280" s="31" t="n"/>
      <c r="I280" s="31" t="n"/>
      <c r="J280" s="31" t="n"/>
      <c r="K280" s="31">
        <f>IF(COUNTA($D280:$J280)&lt;7,"",ROUND(MIN(10000, MAX(0, ((((($D280*1.2)+($E280*1.2)+($F280*1.1)+($G280*1.0)+($H280*1.0)+($I280*1.1)+($J280*0.9))/7.5)-1)/4*8000 + MIN($B280*20,1000) + MIN($C280*100,1000))),0))</f>
        <v/>
      </c>
      <c r="L280" s="31">
        <f>IF($K280="","",MIN(100,INT(SQRT($K280))))</f>
        <v/>
      </c>
      <c r="M280" s="31" t="n"/>
      <c r="N280" s="31">
        <f>IF($M280="Yes",$K280,"")</f>
        <v/>
      </c>
      <c r="O280" s="31" t="n"/>
      <c r="P280" s="59" t="n"/>
      <c r="Q280" s="59" t="n"/>
    </row>
    <row r="281">
      <c r="A281" s="31">
        <f>IF(Members!$A281="","",Members!$A281)</f>
        <v/>
      </c>
      <c r="B281" s="31" t="n"/>
      <c r="C281" s="31" t="n"/>
      <c r="D281" s="31" t="n"/>
      <c r="E281" s="31" t="n"/>
      <c r="F281" s="31" t="n"/>
      <c r="G281" s="31" t="n"/>
      <c r="H281" s="31" t="n"/>
      <c r="I281" s="31" t="n"/>
      <c r="J281" s="31" t="n"/>
      <c r="K281" s="31">
        <f>IF(COUNTA($D281:$J281)&lt;7,"",ROUND(MIN(10000, MAX(0, ((((($D281*1.2)+($E281*1.2)+($F281*1.1)+($G281*1.0)+($H281*1.0)+($I281*1.1)+($J281*0.9))/7.5)-1)/4*8000 + MIN($B281*20,1000) + MIN($C281*100,1000))),0))</f>
        <v/>
      </c>
      <c r="L281" s="31">
        <f>IF($K281="","",MIN(100,INT(SQRT($K281))))</f>
        <v/>
      </c>
      <c r="M281" s="31" t="n"/>
      <c r="N281" s="31">
        <f>IF($M281="Yes",$K281,"")</f>
        <v/>
      </c>
      <c r="O281" s="31" t="n"/>
      <c r="P281" s="59" t="n"/>
      <c r="Q281" s="59" t="n"/>
    </row>
    <row r="282">
      <c r="A282" s="31">
        <f>IF(Members!$A282="","",Members!$A282)</f>
        <v/>
      </c>
      <c r="B282" s="31" t="n"/>
      <c r="C282" s="31" t="n"/>
      <c r="D282" s="31" t="n"/>
      <c r="E282" s="31" t="n"/>
      <c r="F282" s="31" t="n"/>
      <c r="G282" s="31" t="n"/>
      <c r="H282" s="31" t="n"/>
      <c r="I282" s="31" t="n"/>
      <c r="J282" s="31" t="n"/>
      <c r="K282" s="31">
        <f>IF(COUNTA($D282:$J282)&lt;7,"",ROUND(MIN(10000, MAX(0, ((((($D282*1.2)+($E282*1.2)+($F282*1.1)+($G282*1.0)+($H282*1.0)+($I282*1.1)+($J282*0.9))/7.5)-1)/4*8000 + MIN($B282*20,1000) + MIN($C282*100,1000))),0))</f>
        <v/>
      </c>
      <c r="L282" s="31">
        <f>IF($K282="","",MIN(100,INT(SQRT($K282))))</f>
        <v/>
      </c>
      <c r="M282" s="31" t="n"/>
      <c r="N282" s="31">
        <f>IF($M282="Yes",$K282,"")</f>
        <v/>
      </c>
      <c r="O282" s="31" t="n"/>
      <c r="P282" s="59" t="n"/>
      <c r="Q282" s="59" t="n"/>
    </row>
    <row r="283">
      <c r="A283" s="31">
        <f>IF(Members!$A283="","",Members!$A283)</f>
        <v/>
      </c>
      <c r="B283" s="31" t="n"/>
      <c r="C283" s="31" t="n"/>
      <c r="D283" s="31" t="n"/>
      <c r="E283" s="31" t="n"/>
      <c r="F283" s="31" t="n"/>
      <c r="G283" s="31" t="n"/>
      <c r="H283" s="31" t="n"/>
      <c r="I283" s="31" t="n"/>
      <c r="J283" s="31" t="n"/>
      <c r="K283" s="31">
        <f>IF(COUNTA($D283:$J283)&lt;7,"",ROUND(MIN(10000, MAX(0, ((((($D283*1.2)+($E283*1.2)+($F283*1.1)+($G283*1.0)+($H283*1.0)+($I283*1.1)+($J283*0.9))/7.5)-1)/4*8000 + MIN($B283*20,1000) + MIN($C283*100,1000))),0))</f>
        <v/>
      </c>
      <c r="L283" s="31">
        <f>IF($K283="","",MIN(100,INT(SQRT($K283))))</f>
        <v/>
      </c>
      <c r="M283" s="31" t="n"/>
      <c r="N283" s="31">
        <f>IF($M283="Yes",$K283,"")</f>
        <v/>
      </c>
      <c r="O283" s="31" t="n"/>
      <c r="P283" s="59" t="n"/>
      <c r="Q283" s="59" t="n"/>
    </row>
    <row r="284">
      <c r="A284" s="31">
        <f>IF(Members!$A284="","",Members!$A284)</f>
        <v/>
      </c>
      <c r="B284" s="31" t="n"/>
      <c r="C284" s="31" t="n"/>
      <c r="D284" s="31" t="n"/>
      <c r="E284" s="31" t="n"/>
      <c r="F284" s="31" t="n"/>
      <c r="G284" s="31" t="n"/>
      <c r="H284" s="31" t="n"/>
      <c r="I284" s="31" t="n"/>
      <c r="J284" s="31" t="n"/>
      <c r="K284" s="31">
        <f>IF(COUNTA($D284:$J284)&lt;7,"",ROUND(MIN(10000, MAX(0, ((((($D284*1.2)+($E284*1.2)+($F284*1.1)+($G284*1.0)+($H284*1.0)+($I284*1.1)+($J284*0.9))/7.5)-1)/4*8000 + MIN($B284*20,1000) + MIN($C284*100,1000))),0))</f>
        <v/>
      </c>
      <c r="L284" s="31">
        <f>IF($K284="","",MIN(100,INT(SQRT($K284))))</f>
        <v/>
      </c>
      <c r="M284" s="31" t="n"/>
      <c r="N284" s="31">
        <f>IF($M284="Yes",$K284,"")</f>
        <v/>
      </c>
      <c r="O284" s="31" t="n"/>
      <c r="P284" s="59" t="n"/>
      <c r="Q284" s="59" t="n"/>
    </row>
    <row r="285">
      <c r="A285" s="31">
        <f>IF(Members!$A285="","",Members!$A285)</f>
        <v/>
      </c>
      <c r="B285" s="31" t="n"/>
      <c r="C285" s="31" t="n"/>
      <c r="D285" s="31" t="n"/>
      <c r="E285" s="31" t="n"/>
      <c r="F285" s="31" t="n"/>
      <c r="G285" s="31" t="n"/>
      <c r="H285" s="31" t="n"/>
      <c r="I285" s="31" t="n"/>
      <c r="J285" s="31" t="n"/>
      <c r="K285" s="31">
        <f>IF(COUNTA($D285:$J285)&lt;7,"",ROUND(MIN(10000, MAX(0, ((((($D285*1.2)+($E285*1.2)+($F285*1.1)+($G285*1.0)+($H285*1.0)+($I285*1.1)+($J285*0.9))/7.5)-1)/4*8000 + MIN($B285*20,1000) + MIN($C285*100,1000))),0))</f>
        <v/>
      </c>
      <c r="L285" s="31">
        <f>IF($K285="","",MIN(100,INT(SQRT($K285))))</f>
        <v/>
      </c>
      <c r="M285" s="31" t="n"/>
      <c r="N285" s="31">
        <f>IF($M285="Yes",$K285,"")</f>
        <v/>
      </c>
      <c r="O285" s="31" t="n"/>
      <c r="P285" s="59" t="n"/>
      <c r="Q285" s="59" t="n"/>
    </row>
    <row r="286">
      <c r="A286" s="31">
        <f>IF(Members!$A286="","",Members!$A286)</f>
        <v/>
      </c>
      <c r="B286" s="31" t="n"/>
      <c r="C286" s="31" t="n"/>
      <c r="D286" s="31" t="n"/>
      <c r="E286" s="31" t="n"/>
      <c r="F286" s="31" t="n"/>
      <c r="G286" s="31" t="n"/>
      <c r="H286" s="31" t="n"/>
      <c r="I286" s="31" t="n"/>
      <c r="J286" s="31" t="n"/>
      <c r="K286" s="31">
        <f>IF(COUNTA($D286:$J286)&lt;7,"",ROUND(MIN(10000, MAX(0, ((((($D286*1.2)+($E286*1.2)+($F286*1.1)+($G286*1.0)+($H286*1.0)+($I286*1.1)+($J286*0.9))/7.5)-1)/4*8000 + MIN($B286*20,1000) + MIN($C286*100,1000))),0))</f>
        <v/>
      </c>
      <c r="L286" s="31">
        <f>IF($K286="","",MIN(100,INT(SQRT($K286))))</f>
        <v/>
      </c>
      <c r="M286" s="31" t="n"/>
      <c r="N286" s="31">
        <f>IF($M286="Yes",$K286,"")</f>
        <v/>
      </c>
      <c r="O286" s="31" t="n"/>
      <c r="P286" s="59" t="n"/>
      <c r="Q286" s="59" t="n"/>
    </row>
    <row r="287">
      <c r="A287" s="31">
        <f>IF(Members!$A287="","",Members!$A287)</f>
        <v/>
      </c>
      <c r="B287" s="31" t="n"/>
      <c r="C287" s="31" t="n"/>
      <c r="D287" s="31" t="n"/>
      <c r="E287" s="31" t="n"/>
      <c r="F287" s="31" t="n"/>
      <c r="G287" s="31" t="n"/>
      <c r="H287" s="31" t="n"/>
      <c r="I287" s="31" t="n"/>
      <c r="J287" s="31" t="n"/>
      <c r="K287" s="31">
        <f>IF(COUNTA($D287:$J287)&lt;7,"",ROUND(MIN(10000, MAX(0, ((((($D287*1.2)+($E287*1.2)+($F287*1.1)+($G287*1.0)+($H287*1.0)+($I287*1.1)+($J287*0.9))/7.5)-1)/4*8000 + MIN($B287*20,1000) + MIN($C287*100,1000))),0))</f>
        <v/>
      </c>
      <c r="L287" s="31">
        <f>IF($K287="","",MIN(100,INT(SQRT($K287))))</f>
        <v/>
      </c>
      <c r="M287" s="31" t="n"/>
      <c r="N287" s="31">
        <f>IF($M287="Yes",$K287,"")</f>
        <v/>
      </c>
      <c r="O287" s="31" t="n"/>
      <c r="P287" s="59" t="n"/>
      <c r="Q287" s="59" t="n"/>
    </row>
    <row r="288">
      <c r="A288" s="31">
        <f>IF(Members!$A288="","",Members!$A288)</f>
        <v/>
      </c>
      <c r="B288" s="31" t="n"/>
      <c r="C288" s="31" t="n"/>
      <c r="D288" s="31" t="n"/>
      <c r="E288" s="31" t="n"/>
      <c r="F288" s="31" t="n"/>
      <c r="G288" s="31" t="n"/>
      <c r="H288" s="31" t="n"/>
      <c r="I288" s="31" t="n"/>
      <c r="J288" s="31" t="n"/>
      <c r="K288" s="31">
        <f>IF(COUNTA($D288:$J288)&lt;7,"",ROUND(MIN(10000, MAX(0, ((((($D288*1.2)+($E288*1.2)+($F288*1.1)+($G288*1.0)+($H288*1.0)+($I288*1.1)+($J288*0.9))/7.5)-1)/4*8000 + MIN($B288*20,1000) + MIN($C288*100,1000))),0))</f>
        <v/>
      </c>
      <c r="L288" s="31">
        <f>IF($K288="","",MIN(100,INT(SQRT($K288))))</f>
        <v/>
      </c>
      <c r="M288" s="31" t="n"/>
      <c r="N288" s="31">
        <f>IF($M288="Yes",$K288,"")</f>
        <v/>
      </c>
      <c r="O288" s="31" t="n"/>
      <c r="P288" s="59" t="n"/>
      <c r="Q288" s="59" t="n"/>
    </row>
    <row r="289">
      <c r="A289" s="31">
        <f>IF(Members!$A289="","",Members!$A289)</f>
        <v/>
      </c>
      <c r="B289" s="31" t="n"/>
      <c r="C289" s="31" t="n"/>
      <c r="D289" s="31" t="n"/>
      <c r="E289" s="31" t="n"/>
      <c r="F289" s="31" t="n"/>
      <c r="G289" s="31" t="n"/>
      <c r="H289" s="31" t="n"/>
      <c r="I289" s="31" t="n"/>
      <c r="J289" s="31" t="n"/>
      <c r="K289" s="31">
        <f>IF(COUNTA($D289:$J289)&lt;7,"",ROUND(MIN(10000, MAX(0, ((((($D289*1.2)+($E289*1.2)+($F289*1.1)+($G289*1.0)+($H289*1.0)+($I289*1.1)+($J289*0.9))/7.5)-1)/4*8000 + MIN($B289*20,1000) + MIN($C289*100,1000))),0))</f>
        <v/>
      </c>
      <c r="L289" s="31">
        <f>IF($K289="","",MIN(100,INT(SQRT($K289))))</f>
        <v/>
      </c>
      <c r="M289" s="31" t="n"/>
      <c r="N289" s="31">
        <f>IF($M289="Yes",$K289,"")</f>
        <v/>
      </c>
      <c r="O289" s="31" t="n"/>
      <c r="P289" s="59" t="n"/>
      <c r="Q289" s="59" t="n"/>
    </row>
    <row r="290">
      <c r="A290" s="31">
        <f>IF(Members!$A290="","",Members!$A290)</f>
        <v/>
      </c>
      <c r="B290" s="31" t="n"/>
      <c r="C290" s="31" t="n"/>
      <c r="D290" s="31" t="n"/>
      <c r="E290" s="31" t="n"/>
      <c r="F290" s="31" t="n"/>
      <c r="G290" s="31" t="n"/>
      <c r="H290" s="31" t="n"/>
      <c r="I290" s="31" t="n"/>
      <c r="J290" s="31" t="n"/>
      <c r="K290" s="31">
        <f>IF(COUNTA($D290:$J290)&lt;7,"",ROUND(MIN(10000, MAX(0, ((((($D290*1.2)+($E290*1.2)+($F290*1.1)+($G290*1.0)+($H290*1.0)+($I290*1.1)+($J290*0.9))/7.5)-1)/4*8000 + MIN($B290*20,1000) + MIN($C290*100,1000))),0))</f>
        <v/>
      </c>
      <c r="L290" s="31">
        <f>IF($K290="","",MIN(100,INT(SQRT($K290))))</f>
        <v/>
      </c>
      <c r="M290" s="31" t="n"/>
      <c r="N290" s="31">
        <f>IF($M290="Yes",$K290,"")</f>
        <v/>
      </c>
      <c r="O290" s="31" t="n"/>
      <c r="P290" s="59" t="n"/>
      <c r="Q290" s="59" t="n"/>
    </row>
    <row r="291">
      <c r="A291" s="31">
        <f>IF(Members!$A291="","",Members!$A291)</f>
        <v/>
      </c>
      <c r="B291" s="31" t="n"/>
      <c r="C291" s="31" t="n"/>
      <c r="D291" s="31" t="n"/>
      <c r="E291" s="31" t="n"/>
      <c r="F291" s="31" t="n"/>
      <c r="G291" s="31" t="n"/>
      <c r="H291" s="31" t="n"/>
      <c r="I291" s="31" t="n"/>
      <c r="J291" s="31" t="n"/>
      <c r="K291" s="31">
        <f>IF(COUNTA($D291:$J291)&lt;7,"",ROUND(MIN(10000, MAX(0, ((((($D291*1.2)+($E291*1.2)+($F291*1.1)+($G291*1.0)+($H291*1.0)+($I291*1.1)+($J291*0.9))/7.5)-1)/4*8000 + MIN($B291*20,1000) + MIN($C291*100,1000))),0))</f>
        <v/>
      </c>
      <c r="L291" s="31">
        <f>IF($K291="","",MIN(100,INT(SQRT($K291))))</f>
        <v/>
      </c>
      <c r="M291" s="31" t="n"/>
      <c r="N291" s="31">
        <f>IF($M291="Yes",$K291,"")</f>
        <v/>
      </c>
      <c r="O291" s="31" t="n"/>
      <c r="P291" s="59" t="n"/>
      <c r="Q291" s="59" t="n"/>
    </row>
    <row r="292">
      <c r="A292" s="31">
        <f>IF(Members!$A292="","",Members!$A292)</f>
        <v/>
      </c>
      <c r="B292" s="31" t="n"/>
      <c r="C292" s="31" t="n"/>
      <c r="D292" s="31" t="n"/>
      <c r="E292" s="31" t="n"/>
      <c r="F292" s="31" t="n"/>
      <c r="G292" s="31" t="n"/>
      <c r="H292" s="31" t="n"/>
      <c r="I292" s="31" t="n"/>
      <c r="J292" s="31" t="n"/>
      <c r="K292" s="31">
        <f>IF(COUNTA($D292:$J292)&lt;7,"",ROUND(MIN(10000, MAX(0, ((((($D292*1.2)+($E292*1.2)+($F292*1.1)+($G292*1.0)+($H292*1.0)+($I292*1.1)+($J292*0.9))/7.5)-1)/4*8000 + MIN($B292*20,1000) + MIN($C292*100,1000))),0))</f>
        <v/>
      </c>
      <c r="L292" s="31">
        <f>IF($K292="","",MIN(100,INT(SQRT($K292))))</f>
        <v/>
      </c>
      <c r="M292" s="31" t="n"/>
      <c r="N292" s="31">
        <f>IF($M292="Yes",$K292,"")</f>
        <v/>
      </c>
      <c r="O292" s="31" t="n"/>
      <c r="P292" s="59" t="n"/>
      <c r="Q292" s="59" t="n"/>
    </row>
    <row r="293">
      <c r="A293" s="31">
        <f>IF(Members!$A293="","",Members!$A293)</f>
        <v/>
      </c>
      <c r="B293" s="31" t="n"/>
      <c r="C293" s="31" t="n"/>
      <c r="D293" s="31" t="n"/>
      <c r="E293" s="31" t="n"/>
      <c r="F293" s="31" t="n"/>
      <c r="G293" s="31" t="n"/>
      <c r="H293" s="31" t="n"/>
      <c r="I293" s="31" t="n"/>
      <c r="J293" s="31" t="n"/>
      <c r="K293" s="31">
        <f>IF(COUNTA($D293:$J293)&lt;7,"",ROUND(MIN(10000, MAX(0, ((((($D293*1.2)+($E293*1.2)+($F293*1.1)+($G293*1.0)+($H293*1.0)+($I293*1.1)+($J293*0.9))/7.5)-1)/4*8000 + MIN($B293*20,1000) + MIN($C293*100,1000))),0))</f>
        <v/>
      </c>
      <c r="L293" s="31">
        <f>IF($K293="","",MIN(100,INT(SQRT($K293))))</f>
        <v/>
      </c>
      <c r="M293" s="31" t="n"/>
      <c r="N293" s="31">
        <f>IF($M293="Yes",$K293,"")</f>
        <v/>
      </c>
      <c r="O293" s="31" t="n"/>
      <c r="P293" s="59" t="n"/>
      <c r="Q293" s="59" t="n"/>
    </row>
    <row r="294">
      <c r="A294" s="31">
        <f>IF(Members!$A294="","",Members!$A294)</f>
        <v/>
      </c>
      <c r="B294" s="31" t="n"/>
      <c r="C294" s="31" t="n"/>
      <c r="D294" s="31" t="n"/>
      <c r="E294" s="31" t="n"/>
      <c r="F294" s="31" t="n"/>
      <c r="G294" s="31" t="n"/>
      <c r="H294" s="31" t="n"/>
      <c r="I294" s="31" t="n"/>
      <c r="J294" s="31" t="n"/>
      <c r="K294" s="31">
        <f>IF(COUNTA($D294:$J294)&lt;7,"",ROUND(MIN(10000, MAX(0, ((((($D294*1.2)+($E294*1.2)+($F294*1.1)+($G294*1.0)+($H294*1.0)+($I294*1.1)+($J294*0.9))/7.5)-1)/4*8000 + MIN($B294*20,1000) + MIN($C294*100,1000))),0))</f>
        <v/>
      </c>
      <c r="L294" s="31">
        <f>IF($K294="","",MIN(100,INT(SQRT($K294))))</f>
        <v/>
      </c>
      <c r="M294" s="31" t="n"/>
      <c r="N294" s="31">
        <f>IF($M294="Yes",$K294,"")</f>
        <v/>
      </c>
      <c r="O294" s="31" t="n"/>
      <c r="P294" s="59" t="n"/>
      <c r="Q294" s="59" t="n"/>
    </row>
    <row r="295">
      <c r="A295" s="31">
        <f>IF(Members!$A295="","",Members!$A295)</f>
        <v/>
      </c>
      <c r="B295" s="31" t="n"/>
      <c r="C295" s="31" t="n"/>
      <c r="D295" s="31" t="n"/>
      <c r="E295" s="31" t="n"/>
      <c r="F295" s="31" t="n"/>
      <c r="G295" s="31" t="n"/>
      <c r="H295" s="31" t="n"/>
      <c r="I295" s="31" t="n"/>
      <c r="J295" s="31" t="n"/>
      <c r="K295" s="31">
        <f>IF(COUNTA($D295:$J295)&lt;7,"",ROUND(MIN(10000, MAX(0, ((((($D295*1.2)+($E295*1.2)+($F295*1.1)+($G295*1.0)+($H295*1.0)+($I295*1.1)+($J295*0.9))/7.5)-1)/4*8000 + MIN($B295*20,1000) + MIN($C295*100,1000))),0))</f>
        <v/>
      </c>
      <c r="L295" s="31">
        <f>IF($K295="","",MIN(100,INT(SQRT($K295))))</f>
        <v/>
      </c>
      <c r="M295" s="31" t="n"/>
      <c r="N295" s="31">
        <f>IF($M295="Yes",$K295,"")</f>
        <v/>
      </c>
      <c r="O295" s="31" t="n"/>
      <c r="P295" s="59" t="n"/>
      <c r="Q295" s="59" t="n"/>
    </row>
    <row r="296">
      <c r="A296" s="31">
        <f>IF(Members!$A296="","",Members!$A296)</f>
        <v/>
      </c>
      <c r="B296" s="31" t="n"/>
      <c r="C296" s="31" t="n"/>
      <c r="D296" s="31" t="n"/>
      <c r="E296" s="31" t="n"/>
      <c r="F296" s="31" t="n"/>
      <c r="G296" s="31" t="n"/>
      <c r="H296" s="31" t="n"/>
      <c r="I296" s="31" t="n"/>
      <c r="J296" s="31" t="n"/>
      <c r="K296" s="31">
        <f>IF(COUNTA($D296:$J296)&lt;7,"",ROUND(MIN(10000, MAX(0, ((((($D296*1.2)+($E296*1.2)+($F296*1.1)+($G296*1.0)+($H296*1.0)+($I296*1.1)+($J296*0.9))/7.5)-1)/4*8000 + MIN($B296*20,1000) + MIN($C296*100,1000))),0))</f>
        <v/>
      </c>
      <c r="L296" s="31">
        <f>IF($K296="","",MIN(100,INT(SQRT($K296))))</f>
        <v/>
      </c>
      <c r="M296" s="31" t="n"/>
      <c r="N296" s="31">
        <f>IF($M296="Yes",$K296,"")</f>
        <v/>
      </c>
      <c r="O296" s="31" t="n"/>
      <c r="P296" s="59" t="n"/>
      <c r="Q296" s="59" t="n"/>
    </row>
    <row r="297">
      <c r="A297" s="31">
        <f>IF(Members!$A297="","",Members!$A297)</f>
        <v/>
      </c>
      <c r="B297" s="31" t="n"/>
      <c r="C297" s="31" t="n"/>
      <c r="D297" s="31" t="n"/>
      <c r="E297" s="31" t="n"/>
      <c r="F297" s="31" t="n"/>
      <c r="G297" s="31" t="n"/>
      <c r="H297" s="31" t="n"/>
      <c r="I297" s="31" t="n"/>
      <c r="J297" s="31" t="n"/>
      <c r="K297" s="31">
        <f>IF(COUNTA($D297:$J297)&lt;7,"",ROUND(MIN(10000, MAX(0, ((((($D297*1.2)+($E297*1.2)+($F297*1.1)+($G297*1.0)+($H297*1.0)+($I297*1.1)+($J297*0.9))/7.5)-1)/4*8000 + MIN($B297*20,1000) + MIN($C297*100,1000))),0))</f>
        <v/>
      </c>
      <c r="L297" s="31">
        <f>IF($K297="","",MIN(100,INT(SQRT($K297))))</f>
        <v/>
      </c>
      <c r="M297" s="31" t="n"/>
      <c r="N297" s="31">
        <f>IF($M297="Yes",$K297,"")</f>
        <v/>
      </c>
      <c r="O297" s="31" t="n"/>
      <c r="P297" s="59" t="n"/>
      <c r="Q297" s="59" t="n"/>
    </row>
    <row r="298">
      <c r="A298" s="31">
        <f>IF(Members!$A298="","",Members!$A298)</f>
        <v/>
      </c>
      <c r="B298" s="31" t="n"/>
      <c r="C298" s="31" t="n"/>
      <c r="D298" s="31" t="n"/>
      <c r="E298" s="31" t="n"/>
      <c r="F298" s="31" t="n"/>
      <c r="G298" s="31" t="n"/>
      <c r="H298" s="31" t="n"/>
      <c r="I298" s="31" t="n"/>
      <c r="J298" s="31" t="n"/>
      <c r="K298" s="31">
        <f>IF(COUNTA($D298:$J298)&lt;7,"",ROUND(MIN(10000, MAX(0, ((((($D298*1.2)+($E298*1.2)+($F298*1.1)+($G298*1.0)+($H298*1.0)+($I298*1.1)+($J298*0.9))/7.5)-1)/4*8000 + MIN($B298*20,1000) + MIN($C298*100,1000))),0))</f>
        <v/>
      </c>
      <c r="L298" s="31">
        <f>IF($K298="","",MIN(100,INT(SQRT($K298))))</f>
        <v/>
      </c>
      <c r="M298" s="31" t="n"/>
      <c r="N298" s="31">
        <f>IF($M298="Yes",$K298,"")</f>
        <v/>
      </c>
      <c r="O298" s="31" t="n"/>
      <c r="P298" s="59" t="n"/>
      <c r="Q298" s="59" t="n"/>
    </row>
    <row r="299">
      <c r="A299" s="31">
        <f>IF(Members!$A299="","",Members!$A299)</f>
        <v/>
      </c>
      <c r="B299" s="31" t="n"/>
      <c r="C299" s="31" t="n"/>
      <c r="D299" s="31" t="n"/>
      <c r="E299" s="31" t="n"/>
      <c r="F299" s="31" t="n"/>
      <c r="G299" s="31" t="n"/>
      <c r="H299" s="31" t="n"/>
      <c r="I299" s="31" t="n"/>
      <c r="J299" s="31" t="n"/>
      <c r="K299" s="31">
        <f>IF(COUNTA($D299:$J299)&lt;7,"",ROUND(MIN(10000, MAX(0, ((((($D299*1.2)+($E299*1.2)+($F299*1.1)+($G299*1.0)+($H299*1.0)+($I299*1.1)+($J299*0.9))/7.5)-1)/4*8000 + MIN($B299*20,1000) + MIN($C299*100,1000))),0))</f>
        <v/>
      </c>
      <c r="L299" s="31">
        <f>IF($K299="","",MIN(100,INT(SQRT($K299))))</f>
        <v/>
      </c>
      <c r="M299" s="31" t="n"/>
      <c r="N299" s="31">
        <f>IF($M299="Yes",$K299,"")</f>
        <v/>
      </c>
      <c r="O299" s="31" t="n"/>
      <c r="P299" s="59" t="n"/>
      <c r="Q299" s="59" t="n"/>
    </row>
    <row r="300">
      <c r="A300" s="31">
        <f>IF(Members!$A300="","",Members!$A300)</f>
        <v/>
      </c>
      <c r="B300" s="31" t="n"/>
      <c r="C300" s="31" t="n"/>
      <c r="D300" s="31" t="n"/>
      <c r="E300" s="31" t="n"/>
      <c r="F300" s="31" t="n"/>
      <c r="G300" s="31" t="n"/>
      <c r="H300" s="31" t="n"/>
      <c r="I300" s="31" t="n"/>
      <c r="J300" s="31" t="n"/>
      <c r="K300" s="31">
        <f>IF(COUNTA($D300:$J300)&lt;7,"",ROUND(MIN(10000, MAX(0, ((((($D300*1.2)+($E300*1.2)+($F300*1.1)+($G300*1.0)+($H300*1.0)+($I300*1.1)+($J300*0.9))/7.5)-1)/4*8000 + MIN($B300*20,1000) + MIN($C300*100,1000))),0))</f>
        <v/>
      </c>
      <c r="L300" s="31">
        <f>IF($K300="","",MIN(100,INT(SQRT($K300))))</f>
        <v/>
      </c>
      <c r="M300" s="31" t="n"/>
      <c r="N300" s="31">
        <f>IF($M300="Yes",$K300,"")</f>
        <v/>
      </c>
      <c r="O300" s="31" t="n"/>
      <c r="P300" s="59" t="n"/>
      <c r="Q300" s="59" t="n"/>
    </row>
    <row r="301">
      <c r="A301" s="31">
        <f>IF(Members!$A301="","",Members!$A301)</f>
        <v/>
      </c>
      <c r="B301" s="31" t="n"/>
      <c r="C301" s="31" t="n"/>
      <c r="D301" s="31" t="n"/>
      <c r="E301" s="31" t="n"/>
      <c r="F301" s="31" t="n"/>
      <c r="G301" s="31" t="n"/>
      <c r="H301" s="31" t="n"/>
      <c r="I301" s="31" t="n"/>
      <c r="J301" s="31" t="n"/>
      <c r="K301" s="31">
        <f>IF(COUNTA($D301:$J301)&lt;7,"",ROUND(MIN(10000, MAX(0, ((((($D301*1.2)+($E301*1.2)+($F301*1.1)+($G301*1.0)+($H301*1.0)+($I301*1.1)+($J301*0.9))/7.5)-1)/4*8000 + MIN($B301*20,1000) + MIN($C301*100,1000))),0))</f>
        <v/>
      </c>
      <c r="L301" s="31">
        <f>IF($K301="","",MIN(100,INT(SQRT($K301))))</f>
        <v/>
      </c>
      <c r="M301" s="31" t="n"/>
      <c r="N301" s="31">
        <f>IF($M301="Yes",$K301,"")</f>
        <v/>
      </c>
      <c r="O301" s="31" t="n"/>
      <c r="P301" s="59" t="n"/>
      <c r="Q301" s="59" t="n"/>
    </row>
    <row r="302">
      <c r="A302" s="31">
        <f>IF(Members!$A302="","",Members!$A302)</f>
        <v/>
      </c>
      <c r="B302" s="31" t="n"/>
      <c r="C302" s="31" t="n"/>
      <c r="D302" s="31" t="n"/>
      <c r="E302" s="31" t="n"/>
      <c r="F302" s="31" t="n"/>
      <c r="G302" s="31" t="n"/>
      <c r="H302" s="31" t="n"/>
      <c r="I302" s="31" t="n"/>
      <c r="J302" s="31" t="n"/>
      <c r="K302" s="31">
        <f>IF(COUNTA($D302:$J302)&lt;7,"",ROUND(MIN(10000, MAX(0, ((((($D302*1.2)+($E302*1.2)+($F302*1.1)+($G302*1.0)+($H302*1.0)+($I302*1.1)+($J302*0.9))/7.5)-1)/4*8000 + MIN($B302*20,1000) + MIN($C302*100,1000))),0))</f>
        <v/>
      </c>
      <c r="L302" s="31">
        <f>IF($K302="","",MIN(100,INT(SQRT($K302))))</f>
        <v/>
      </c>
      <c r="M302" s="31" t="n"/>
      <c r="N302" s="31">
        <f>IF($M302="Yes",$K302,"")</f>
        <v/>
      </c>
      <c r="O302" s="31" t="n"/>
      <c r="P302" s="59" t="n"/>
      <c r="Q302" s="59" t="n"/>
    </row>
    <row r="303">
      <c r="A303" s="31">
        <f>IF(Members!$A303="","",Members!$A303)</f>
        <v/>
      </c>
      <c r="B303" s="31" t="n"/>
      <c r="C303" s="31" t="n"/>
      <c r="D303" s="31" t="n"/>
      <c r="E303" s="31" t="n"/>
      <c r="F303" s="31" t="n"/>
      <c r="G303" s="31" t="n"/>
      <c r="H303" s="31" t="n"/>
      <c r="I303" s="31" t="n"/>
      <c r="J303" s="31" t="n"/>
      <c r="K303" s="31">
        <f>IF(COUNTA($D303:$J303)&lt;7,"",ROUND(MIN(10000, MAX(0, ((((($D303*1.2)+($E303*1.2)+($F303*1.1)+($G303*1.0)+($H303*1.0)+($I303*1.1)+($J303*0.9))/7.5)-1)/4*8000 + MIN($B303*20,1000) + MIN($C303*100,1000))),0))</f>
        <v/>
      </c>
      <c r="L303" s="31">
        <f>IF($K303="","",MIN(100,INT(SQRT($K303))))</f>
        <v/>
      </c>
      <c r="M303" s="31" t="n"/>
      <c r="N303" s="31">
        <f>IF($M303="Yes",$K303,"")</f>
        <v/>
      </c>
      <c r="O303" s="31" t="n"/>
      <c r="P303" s="59" t="n"/>
      <c r="Q303" s="59" t="n"/>
    </row>
    <row r="304">
      <c r="A304" s="31">
        <f>IF(Members!$A304="","",Members!$A304)</f>
        <v/>
      </c>
      <c r="B304" s="31" t="n"/>
      <c r="C304" s="31" t="n"/>
      <c r="D304" s="31" t="n"/>
      <c r="E304" s="31" t="n"/>
      <c r="F304" s="31" t="n"/>
      <c r="G304" s="31" t="n"/>
      <c r="H304" s="31" t="n"/>
      <c r="I304" s="31" t="n"/>
      <c r="J304" s="31" t="n"/>
      <c r="K304" s="31">
        <f>IF(COUNTA($D304:$J304)&lt;7,"",ROUND(MIN(10000, MAX(0, ((((($D304*1.2)+($E304*1.2)+($F304*1.1)+($G304*1.0)+($H304*1.0)+($I304*1.1)+($J304*0.9))/7.5)-1)/4*8000 + MIN($B304*20,1000) + MIN($C304*100,1000))),0))</f>
        <v/>
      </c>
      <c r="L304" s="31">
        <f>IF($K304="","",MIN(100,INT(SQRT($K304))))</f>
        <v/>
      </c>
      <c r="M304" s="31" t="n"/>
      <c r="N304" s="31">
        <f>IF($M304="Yes",$K304,"")</f>
        <v/>
      </c>
      <c r="O304" s="31" t="n"/>
      <c r="P304" s="59" t="n"/>
      <c r="Q304" s="59" t="n"/>
    </row>
    <row r="305">
      <c r="A305" s="31">
        <f>IF(Members!$A305="","",Members!$A305)</f>
        <v/>
      </c>
      <c r="B305" s="31" t="n"/>
      <c r="C305" s="31" t="n"/>
      <c r="D305" s="31" t="n"/>
      <c r="E305" s="31" t="n"/>
      <c r="F305" s="31" t="n"/>
      <c r="G305" s="31" t="n"/>
      <c r="H305" s="31" t="n"/>
      <c r="I305" s="31" t="n"/>
      <c r="J305" s="31" t="n"/>
      <c r="K305" s="31">
        <f>IF(COUNTA($D305:$J305)&lt;7,"",ROUND(MIN(10000, MAX(0, ((((($D305*1.2)+($E305*1.2)+($F305*1.1)+($G305*1.0)+($H305*1.0)+($I305*1.1)+($J305*0.9))/7.5)-1)/4*8000 + MIN($B305*20,1000) + MIN($C305*100,1000))),0))</f>
        <v/>
      </c>
      <c r="L305" s="31">
        <f>IF($K305="","",MIN(100,INT(SQRT($K305))))</f>
        <v/>
      </c>
      <c r="M305" s="31" t="n"/>
      <c r="N305" s="31">
        <f>IF($M305="Yes",$K305,"")</f>
        <v/>
      </c>
      <c r="O305" s="31" t="n"/>
      <c r="P305" s="59" t="n"/>
      <c r="Q305" s="59" t="n"/>
    </row>
    <row r="306">
      <c r="A306" s="31">
        <f>IF(Members!$A306="","",Members!$A306)</f>
        <v/>
      </c>
      <c r="B306" s="31" t="n"/>
      <c r="C306" s="31" t="n"/>
      <c r="D306" s="31" t="n"/>
      <c r="E306" s="31" t="n"/>
      <c r="F306" s="31" t="n"/>
      <c r="G306" s="31" t="n"/>
      <c r="H306" s="31" t="n"/>
      <c r="I306" s="31" t="n"/>
      <c r="J306" s="31" t="n"/>
      <c r="K306" s="31">
        <f>IF(COUNTA($D306:$J306)&lt;7,"",ROUND(MIN(10000, MAX(0, ((((($D306*1.2)+($E306*1.2)+($F306*1.1)+($G306*1.0)+($H306*1.0)+($I306*1.1)+($J306*0.9))/7.5)-1)/4*8000 + MIN($B306*20,1000) + MIN($C306*100,1000))),0))</f>
        <v/>
      </c>
      <c r="L306" s="31">
        <f>IF($K306="","",MIN(100,INT(SQRT($K306))))</f>
        <v/>
      </c>
      <c r="M306" s="31" t="n"/>
      <c r="N306" s="31">
        <f>IF($M306="Yes",$K306,"")</f>
        <v/>
      </c>
      <c r="O306" s="31" t="n"/>
      <c r="P306" s="59" t="n"/>
      <c r="Q306" s="59" t="n"/>
    </row>
    <row r="307">
      <c r="A307" s="31">
        <f>IF(Members!$A307="","",Members!$A307)</f>
        <v/>
      </c>
      <c r="B307" s="31" t="n"/>
      <c r="C307" s="31" t="n"/>
      <c r="D307" s="31" t="n"/>
      <c r="E307" s="31" t="n"/>
      <c r="F307" s="31" t="n"/>
      <c r="G307" s="31" t="n"/>
      <c r="H307" s="31" t="n"/>
      <c r="I307" s="31" t="n"/>
      <c r="J307" s="31" t="n"/>
      <c r="K307" s="31">
        <f>IF(COUNTA($D307:$J307)&lt;7,"",ROUND(MIN(10000, MAX(0, ((((($D307*1.2)+($E307*1.2)+($F307*1.1)+($G307*1.0)+($H307*1.0)+($I307*1.1)+($J307*0.9))/7.5)-1)/4*8000 + MIN($B307*20,1000) + MIN($C307*100,1000))),0))</f>
        <v/>
      </c>
      <c r="L307" s="31">
        <f>IF($K307="","",MIN(100,INT(SQRT($K307))))</f>
        <v/>
      </c>
      <c r="M307" s="31" t="n"/>
      <c r="N307" s="31">
        <f>IF($M307="Yes",$K307,"")</f>
        <v/>
      </c>
      <c r="O307" s="31" t="n"/>
      <c r="P307" s="59" t="n"/>
      <c r="Q307" s="59" t="n"/>
    </row>
    <row r="308">
      <c r="A308" s="31">
        <f>IF(Members!$A308="","",Members!$A308)</f>
        <v/>
      </c>
      <c r="B308" s="31" t="n"/>
      <c r="C308" s="31" t="n"/>
      <c r="D308" s="31" t="n"/>
      <c r="E308" s="31" t="n"/>
      <c r="F308" s="31" t="n"/>
      <c r="G308" s="31" t="n"/>
      <c r="H308" s="31" t="n"/>
      <c r="I308" s="31" t="n"/>
      <c r="J308" s="31" t="n"/>
      <c r="K308" s="31">
        <f>IF(COUNTA($D308:$J308)&lt;7,"",ROUND(MIN(10000, MAX(0, ((((($D308*1.2)+($E308*1.2)+($F308*1.1)+($G308*1.0)+($H308*1.0)+($I308*1.1)+($J308*0.9))/7.5)-1)/4*8000 + MIN($B308*20,1000) + MIN($C308*100,1000))),0))</f>
        <v/>
      </c>
      <c r="L308" s="31">
        <f>IF($K308="","",MIN(100,INT(SQRT($K308))))</f>
        <v/>
      </c>
      <c r="M308" s="31" t="n"/>
      <c r="N308" s="31">
        <f>IF($M308="Yes",$K308,"")</f>
        <v/>
      </c>
      <c r="O308" s="31" t="n"/>
      <c r="P308" s="59" t="n"/>
      <c r="Q308" s="59" t="n"/>
    </row>
    <row r="309">
      <c r="A309" s="31">
        <f>IF(Members!$A309="","",Members!$A309)</f>
        <v/>
      </c>
      <c r="B309" s="31" t="n"/>
      <c r="C309" s="31" t="n"/>
      <c r="D309" s="31" t="n"/>
      <c r="E309" s="31" t="n"/>
      <c r="F309" s="31" t="n"/>
      <c r="G309" s="31" t="n"/>
      <c r="H309" s="31" t="n"/>
      <c r="I309" s="31" t="n"/>
      <c r="J309" s="31" t="n"/>
      <c r="K309" s="31">
        <f>IF(COUNTA($D309:$J309)&lt;7,"",ROUND(MIN(10000, MAX(0, ((((($D309*1.2)+($E309*1.2)+($F309*1.1)+($G309*1.0)+($H309*1.0)+($I309*1.1)+($J309*0.9))/7.5)-1)/4*8000 + MIN($B309*20,1000) + MIN($C309*100,1000))),0))</f>
        <v/>
      </c>
      <c r="L309" s="31">
        <f>IF($K309="","",MIN(100,INT(SQRT($K309))))</f>
        <v/>
      </c>
      <c r="M309" s="31" t="n"/>
      <c r="N309" s="31">
        <f>IF($M309="Yes",$K309,"")</f>
        <v/>
      </c>
      <c r="O309" s="31" t="n"/>
      <c r="P309" s="59" t="n"/>
      <c r="Q309" s="59" t="n"/>
    </row>
    <row r="310">
      <c r="A310" s="31">
        <f>IF(Members!$A310="","",Members!$A310)</f>
        <v/>
      </c>
      <c r="B310" s="31" t="n"/>
      <c r="C310" s="31" t="n"/>
      <c r="D310" s="31" t="n"/>
      <c r="E310" s="31" t="n"/>
      <c r="F310" s="31" t="n"/>
      <c r="G310" s="31" t="n"/>
      <c r="H310" s="31" t="n"/>
      <c r="I310" s="31" t="n"/>
      <c r="J310" s="31" t="n"/>
      <c r="K310" s="31">
        <f>IF(COUNTA($D310:$J310)&lt;7,"",ROUND(MIN(10000, MAX(0, ((((($D310*1.2)+($E310*1.2)+($F310*1.1)+($G310*1.0)+($H310*1.0)+($I310*1.1)+($J310*0.9))/7.5)-1)/4*8000 + MIN($B310*20,1000) + MIN($C310*100,1000))),0))</f>
        <v/>
      </c>
      <c r="L310" s="31">
        <f>IF($K310="","",MIN(100,INT(SQRT($K310))))</f>
        <v/>
      </c>
      <c r="M310" s="31" t="n"/>
      <c r="N310" s="31">
        <f>IF($M310="Yes",$K310,"")</f>
        <v/>
      </c>
      <c r="O310" s="31" t="n"/>
      <c r="P310" s="59" t="n"/>
      <c r="Q310" s="59" t="n"/>
    </row>
    <row r="311">
      <c r="A311" s="31">
        <f>IF(Members!$A311="","",Members!$A311)</f>
        <v/>
      </c>
      <c r="B311" s="31" t="n"/>
      <c r="C311" s="31" t="n"/>
      <c r="D311" s="31" t="n"/>
      <c r="E311" s="31" t="n"/>
      <c r="F311" s="31" t="n"/>
      <c r="G311" s="31" t="n"/>
      <c r="H311" s="31" t="n"/>
      <c r="I311" s="31" t="n"/>
      <c r="J311" s="31" t="n"/>
      <c r="K311" s="31">
        <f>IF(COUNTA($D311:$J311)&lt;7,"",ROUND(MIN(10000, MAX(0, ((((($D311*1.2)+($E311*1.2)+($F311*1.1)+($G311*1.0)+($H311*1.0)+($I311*1.1)+($J311*0.9))/7.5)-1)/4*8000 + MIN($B311*20,1000) + MIN($C311*100,1000))),0))</f>
        <v/>
      </c>
      <c r="L311" s="31">
        <f>IF($K311="","",MIN(100,INT(SQRT($K311))))</f>
        <v/>
      </c>
      <c r="M311" s="31" t="n"/>
      <c r="N311" s="31">
        <f>IF($M311="Yes",$K311,"")</f>
        <v/>
      </c>
      <c r="O311" s="31" t="n"/>
      <c r="P311" s="59" t="n"/>
      <c r="Q311" s="59" t="n"/>
    </row>
    <row r="312">
      <c r="A312" s="31">
        <f>IF(Members!$A312="","",Members!$A312)</f>
        <v/>
      </c>
      <c r="B312" s="31" t="n"/>
      <c r="C312" s="31" t="n"/>
      <c r="D312" s="31" t="n"/>
      <c r="E312" s="31" t="n"/>
      <c r="F312" s="31" t="n"/>
      <c r="G312" s="31" t="n"/>
      <c r="H312" s="31" t="n"/>
      <c r="I312" s="31" t="n"/>
      <c r="J312" s="31" t="n"/>
      <c r="K312" s="31">
        <f>IF(COUNTA($D312:$J312)&lt;7,"",ROUND(MIN(10000, MAX(0, ((((($D312*1.2)+($E312*1.2)+($F312*1.1)+($G312*1.0)+($H312*1.0)+($I312*1.1)+($J312*0.9))/7.5)-1)/4*8000 + MIN($B312*20,1000) + MIN($C312*100,1000))),0))</f>
        <v/>
      </c>
      <c r="L312" s="31">
        <f>IF($K312="","",MIN(100,INT(SQRT($K312))))</f>
        <v/>
      </c>
      <c r="M312" s="31" t="n"/>
      <c r="N312" s="31">
        <f>IF($M312="Yes",$K312,"")</f>
        <v/>
      </c>
      <c r="O312" s="31" t="n"/>
      <c r="P312" s="59" t="n"/>
      <c r="Q312" s="59" t="n"/>
    </row>
    <row r="313">
      <c r="A313" s="31">
        <f>IF(Members!$A313="","",Members!$A313)</f>
        <v/>
      </c>
      <c r="B313" s="31" t="n"/>
      <c r="C313" s="31" t="n"/>
      <c r="D313" s="31" t="n"/>
      <c r="E313" s="31" t="n"/>
      <c r="F313" s="31" t="n"/>
      <c r="G313" s="31" t="n"/>
      <c r="H313" s="31" t="n"/>
      <c r="I313" s="31" t="n"/>
      <c r="J313" s="31" t="n"/>
      <c r="K313" s="31">
        <f>IF(COUNTA($D313:$J313)&lt;7,"",ROUND(MIN(10000, MAX(0, ((((($D313*1.2)+($E313*1.2)+($F313*1.1)+($G313*1.0)+($H313*1.0)+($I313*1.1)+($J313*0.9))/7.5)-1)/4*8000 + MIN($B313*20,1000) + MIN($C313*100,1000))),0))</f>
        <v/>
      </c>
      <c r="L313" s="31">
        <f>IF($K313="","",MIN(100,INT(SQRT($K313))))</f>
        <v/>
      </c>
      <c r="M313" s="31" t="n"/>
      <c r="N313" s="31">
        <f>IF($M313="Yes",$K313,"")</f>
        <v/>
      </c>
      <c r="O313" s="31" t="n"/>
      <c r="P313" s="59" t="n"/>
      <c r="Q313" s="59" t="n"/>
    </row>
    <row r="314">
      <c r="A314" s="31">
        <f>IF(Members!$A314="","",Members!$A314)</f>
        <v/>
      </c>
      <c r="B314" s="31" t="n"/>
      <c r="C314" s="31" t="n"/>
      <c r="D314" s="31" t="n"/>
      <c r="E314" s="31" t="n"/>
      <c r="F314" s="31" t="n"/>
      <c r="G314" s="31" t="n"/>
      <c r="H314" s="31" t="n"/>
      <c r="I314" s="31" t="n"/>
      <c r="J314" s="31" t="n"/>
      <c r="K314" s="31">
        <f>IF(COUNTA($D314:$J314)&lt;7,"",ROUND(MIN(10000, MAX(0, ((((($D314*1.2)+($E314*1.2)+($F314*1.1)+($G314*1.0)+($H314*1.0)+($I314*1.1)+($J314*0.9))/7.5)-1)/4*8000 + MIN($B314*20,1000) + MIN($C314*100,1000))),0))</f>
        <v/>
      </c>
      <c r="L314" s="31">
        <f>IF($K314="","",MIN(100,INT(SQRT($K314))))</f>
        <v/>
      </c>
      <c r="M314" s="31" t="n"/>
      <c r="N314" s="31">
        <f>IF($M314="Yes",$K314,"")</f>
        <v/>
      </c>
      <c r="O314" s="31" t="n"/>
      <c r="P314" s="59" t="n"/>
      <c r="Q314" s="59" t="n"/>
    </row>
    <row r="315">
      <c r="A315" s="31">
        <f>IF(Members!$A315="","",Members!$A315)</f>
        <v/>
      </c>
      <c r="B315" s="31" t="n"/>
      <c r="C315" s="31" t="n"/>
      <c r="D315" s="31" t="n"/>
      <c r="E315" s="31" t="n"/>
      <c r="F315" s="31" t="n"/>
      <c r="G315" s="31" t="n"/>
      <c r="H315" s="31" t="n"/>
      <c r="I315" s="31" t="n"/>
      <c r="J315" s="31" t="n"/>
      <c r="K315" s="31">
        <f>IF(COUNTA($D315:$J315)&lt;7,"",ROUND(MIN(10000, MAX(0, ((((($D315*1.2)+($E315*1.2)+($F315*1.1)+($G315*1.0)+($H315*1.0)+($I315*1.1)+($J315*0.9))/7.5)-1)/4*8000 + MIN($B315*20,1000) + MIN($C315*100,1000))),0))</f>
        <v/>
      </c>
      <c r="L315" s="31">
        <f>IF($K315="","",MIN(100,INT(SQRT($K315))))</f>
        <v/>
      </c>
      <c r="M315" s="31" t="n"/>
      <c r="N315" s="31">
        <f>IF($M315="Yes",$K315,"")</f>
        <v/>
      </c>
      <c r="O315" s="31" t="n"/>
      <c r="P315" s="59" t="n"/>
      <c r="Q315" s="59" t="n"/>
    </row>
    <row r="316">
      <c r="A316" s="31">
        <f>IF(Members!$A316="","",Members!$A316)</f>
        <v/>
      </c>
      <c r="B316" s="31" t="n"/>
      <c r="C316" s="31" t="n"/>
      <c r="D316" s="31" t="n"/>
      <c r="E316" s="31" t="n"/>
      <c r="F316" s="31" t="n"/>
      <c r="G316" s="31" t="n"/>
      <c r="H316" s="31" t="n"/>
      <c r="I316" s="31" t="n"/>
      <c r="J316" s="31" t="n"/>
      <c r="K316" s="31">
        <f>IF(COUNTA($D316:$J316)&lt;7,"",ROUND(MIN(10000, MAX(0, ((((($D316*1.2)+($E316*1.2)+($F316*1.1)+($G316*1.0)+($H316*1.0)+($I316*1.1)+($J316*0.9))/7.5)-1)/4*8000 + MIN($B316*20,1000) + MIN($C316*100,1000))),0))</f>
        <v/>
      </c>
      <c r="L316" s="31">
        <f>IF($K316="","",MIN(100,INT(SQRT($K316))))</f>
        <v/>
      </c>
      <c r="M316" s="31" t="n"/>
      <c r="N316" s="31">
        <f>IF($M316="Yes",$K316,"")</f>
        <v/>
      </c>
      <c r="O316" s="31" t="n"/>
      <c r="P316" s="59" t="n"/>
      <c r="Q316" s="59" t="n"/>
    </row>
    <row r="317">
      <c r="A317" s="31">
        <f>IF(Members!$A317="","",Members!$A317)</f>
        <v/>
      </c>
      <c r="B317" s="31" t="n"/>
      <c r="C317" s="31" t="n"/>
      <c r="D317" s="31" t="n"/>
      <c r="E317" s="31" t="n"/>
      <c r="F317" s="31" t="n"/>
      <c r="G317" s="31" t="n"/>
      <c r="H317" s="31" t="n"/>
      <c r="I317" s="31" t="n"/>
      <c r="J317" s="31" t="n"/>
      <c r="K317" s="31">
        <f>IF(COUNTA($D317:$J317)&lt;7,"",ROUND(MIN(10000, MAX(0, ((((($D317*1.2)+($E317*1.2)+($F317*1.1)+($G317*1.0)+($H317*1.0)+($I317*1.1)+($J317*0.9))/7.5)-1)/4*8000 + MIN($B317*20,1000) + MIN($C317*100,1000))),0))</f>
        <v/>
      </c>
      <c r="L317" s="31">
        <f>IF($K317="","",MIN(100,INT(SQRT($K317))))</f>
        <v/>
      </c>
      <c r="M317" s="31" t="n"/>
      <c r="N317" s="31">
        <f>IF($M317="Yes",$K317,"")</f>
        <v/>
      </c>
      <c r="O317" s="31" t="n"/>
      <c r="P317" s="59" t="n"/>
      <c r="Q317" s="59" t="n"/>
    </row>
    <row r="318">
      <c r="A318" s="31">
        <f>IF(Members!$A318="","",Members!$A318)</f>
        <v/>
      </c>
      <c r="B318" s="31" t="n"/>
      <c r="C318" s="31" t="n"/>
      <c r="D318" s="31" t="n"/>
      <c r="E318" s="31" t="n"/>
      <c r="F318" s="31" t="n"/>
      <c r="G318" s="31" t="n"/>
      <c r="H318" s="31" t="n"/>
      <c r="I318" s="31" t="n"/>
      <c r="J318" s="31" t="n"/>
      <c r="K318" s="31">
        <f>IF(COUNTA($D318:$J318)&lt;7,"",ROUND(MIN(10000, MAX(0, ((((($D318*1.2)+($E318*1.2)+($F318*1.1)+($G318*1.0)+($H318*1.0)+($I318*1.1)+($J318*0.9))/7.5)-1)/4*8000 + MIN($B318*20,1000) + MIN($C318*100,1000))),0))</f>
        <v/>
      </c>
      <c r="L318" s="31">
        <f>IF($K318="","",MIN(100,INT(SQRT($K318))))</f>
        <v/>
      </c>
      <c r="M318" s="31" t="n"/>
      <c r="N318" s="31">
        <f>IF($M318="Yes",$K318,"")</f>
        <v/>
      </c>
      <c r="O318" s="31" t="n"/>
      <c r="P318" s="59" t="n"/>
      <c r="Q318" s="59" t="n"/>
    </row>
    <row r="319">
      <c r="A319" s="31">
        <f>IF(Members!$A319="","",Members!$A319)</f>
        <v/>
      </c>
      <c r="B319" s="31" t="n"/>
      <c r="C319" s="31" t="n"/>
      <c r="D319" s="31" t="n"/>
      <c r="E319" s="31" t="n"/>
      <c r="F319" s="31" t="n"/>
      <c r="G319" s="31" t="n"/>
      <c r="H319" s="31" t="n"/>
      <c r="I319" s="31" t="n"/>
      <c r="J319" s="31" t="n"/>
      <c r="K319" s="31">
        <f>IF(COUNTA($D319:$J319)&lt;7,"",ROUND(MIN(10000, MAX(0, ((((($D319*1.2)+($E319*1.2)+($F319*1.1)+($G319*1.0)+($H319*1.0)+($I319*1.1)+($J319*0.9))/7.5)-1)/4*8000 + MIN($B319*20,1000) + MIN($C319*100,1000))),0))</f>
        <v/>
      </c>
      <c r="L319" s="31">
        <f>IF($K319="","",MIN(100,INT(SQRT($K319))))</f>
        <v/>
      </c>
      <c r="M319" s="31" t="n"/>
      <c r="N319" s="31">
        <f>IF($M319="Yes",$K319,"")</f>
        <v/>
      </c>
      <c r="O319" s="31" t="n"/>
      <c r="P319" s="59" t="n"/>
      <c r="Q319" s="59" t="n"/>
    </row>
    <row r="320">
      <c r="A320" s="31">
        <f>IF(Members!$A320="","",Members!$A320)</f>
        <v/>
      </c>
      <c r="B320" s="31" t="n"/>
      <c r="C320" s="31" t="n"/>
      <c r="D320" s="31" t="n"/>
      <c r="E320" s="31" t="n"/>
      <c r="F320" s="31" t="n"/>
      <c r="G320" s="31" t="n"/>
      <c r="H320" s="31" t="n"/>
      <c r="I320" s="31" t="n"/>
      <c r="J320" s="31" t="n"/>
      <c r="K320" s="31">
        <f>IF(COUNTA($D320:$J320)&lt;7,"",ROUND(MIN(10000, MAX(0, ((((($D320*1.2)+($E320*1.2)+($F320*1.1)+($G320*1.0)+($H320*1.0)+($I320*1.1)+($J320*0.9))/7.5)-1)/4*8000 + MIN($B320*20,1000) + MIN($C320*100,1000))),0))</f>
        <v/>
      </c>
      <c r="L320" s="31">
        <f>IF($K320="","",MIN(100,INT(SQRT($K320))))</f>
        <v/>
      </c>
      <c r="M320" s="31" t="n"/>
      <c r="N320" s="31">
        <f>IF($M320="Yes",$K320,"")</f>
        <v/>
      </c>
      <c r="O320" s="31" t="n"/>
      <c r="P320" s="59" t="n"/>
      <c r="Q320" s="59" t="n"/>
    </row>
    <row r="321">
      <c r="A321" s="31">
        <f>IF(Members!$A321="","",Members!$A321)</f>
        <v/>
      </c>
      <c r="B321" s="31" t="n"/>
      <c r="C321" s="31" t="n"/>
      <c r="D321" s="31" t="n"/>
      <c r="E321" s="31" t="n"/>
      <c r="F321" s="31" t="n"/>
      <c r="G321" s="31" t="n"/>
      <c r="H321" s="31" t="n"/>
      <c r="I321" s="31" t="n"/>
      <c r="J321" s="31" t="n"/>
      <c r="K321" s="31">
        <f>IF(COUNTA($D321:$J321)&lt;7,"",ROUND(MIN(10000, MAX(0, ((((($D321*1.2)+($E321*1.2)+($F321*1.1)+($G321*1.0)+($H321*1.0)+($I321*1.1)+($J321*0.9))/7.5)-1)/4*8000 + MIN($B321*20,1000) + MIN($C321*100,1000))),0))</f>
        <v/>
      </c>
      <c r="L321" s="31">
        <f>IF($K321="","",MIN(100,INT(SQRT($K321))))</f>
        <v/>
      </c>
      <c r="M321" s="31" t="n"/>
      <c r="N321" s="31">
        <f>IF($M321="Yes",$K321,"")</f>
        <v/>
      </c>
      <c r="O321" s="31" t="n"/>
      <c r="P321" s="59" t="n"/>
      <c r="Q321" s="59" t="n"/>
    </row>
    <row r="322">
      <c r="A322" s="31">
        <f>IF(Members!$A322="","",Members!$A322)</f>
        <v/>
      </c>
      <c r="B322" s="31" t="n"/>
      <c r="C322" s="31" t="n"/>
      <c r="D322" s="31" t="n"/>
      <c r="E322" s="31" t="n"/>
      <c r="F322" s="31" t="n"/>
      <c r="G322" s="31" t="n"/>
      <c r="H322" s="31" t="n"/>
      <c r="I322" s="31" t="n"/>
      <c r="J322" s="31" t="n"/>
      <c r="K322" s="31">
        <f>IF(COUNTA($D322:$J322)&lt;7,"",ROUND(MIN(10000, MAX(0, ((((($D322*1.2)+($E322*1.2)+($F322*1.1)+($G322*1.0)+($H322*1.0)+($I322*1.1)+($J322*0.9))/7.5)-1)/4*8000 + MIN($B322*20,1000) + MIN($C322*100,1000))),0))</f>
        <v/>
      </c>
      <c r="L322" s="31">
        <f>IF($K322="","",MIN(100,INT(SQRT($K322))))</f>
        <v/>
      </c>
      <c r="M322" s="31" t="n"/>
      <c r="N322" s="31">
        <f>IF($M322="Yes",$K322,"")</f>
        <v/>
      </c>
      <c r="O322" s="31" t="n"/>
      <c r="P322" s="59" t="n"/>
      <c r="Q322" s="59" t="n"/>
    </row>
    <row r="323">
      <c r="A323" s="31">
        <f>IF(Members!$A323="","",Members!$A323)</f>
        <v/>
      </c>
      <c r="B323" s="31" t="n"/>
      <c r="C323" s="31" t="n"/>
      <c r="D323" s="31" t="n"/>
      <c r="E323" s="31" t="n"/>
      <c r="F323" s="31" t="n"/>
      <c r="G323" s="31" t="n"/>
      <c r="H323" s="31" t="n"/>
      <c r="I323" s="31" t="n"/>
      <c r="J323" s="31" t="n"/>
      <c r="K323" s="31">
        <f>IF(COUNTA($D323:$J323)&lt;7,"",ROUND(MIN(10000, MAX(0, ((((($D323*1.2)+($E323*1.2)+($F323*1.1)+($G323*1.0)+($H323*1.0)+($I323*1.1)+($J323*0.9))/7.5)-1)/4*8000 + MIN($B323*20,1000) + MIN($C323*100,1000))),0))</f>
        <v/>
      </c>
      <c r="L323" s="31">
        <f>IF($K323="","",MIN(100,INT(SQRT($K323))))</f>
        <v/>
      </c>
      <c r="M323" s="31" t="n"/>
      <c r="N323" s="31">
        <f>IF($M323="Yes",$K323,"")</f>
        <v/>
      </c>
      <c r="O323" s="31" t="n"/>
      <c r="P323" s="59" t="n"/>
      <c r="Q323" s="59" t="n"/>
    </row>
    <row r="324">
      <c r="A324" s="31">
        <f>IF(Members!$A324="","",Members!$A324)</f>
        <v/>
      </c>
      <c r="B324" s="31" t="n"/>
      <c r="C324" s="31" t="n"/>
      <c r="D324" s="31" t="n"/>
      <c r="E324" s="31" t="n"/>
      <c r="F324" s="31" t="n"/>
      <c r="G324" s="31" t="n"/>
      <c r="H324" s="31" t="n"/>
      <c r="I324" s="31" t="n"/>
      <c r="J324" s="31" t="n"/>
      <c r="K324" s="31">
        <f>IF(COUNTA($D324:$J324)&lt;7,"",ROUND(MIN(10000, MAX(0, ((((($D324*1.2)+($E324*1.2)+($F324*1.1)+($G324*1.0)+($H324*1.0)+($I324*1.1)+($J324*0.9))/7.5)-1)/4*8000 + MIN($B324*20,1000) + MIN($C324*100,1000))),0))</f>
        <v/>
      </c>
      <c r="L324" s="31">
        <f>IF($K324="","",MIN(100,INT(SQRT($K324))))</f>
        <v/>
      </c>
      <c r="M324" s="31" t="n"/>
      <c r="N324" s="31">
        <f>IF($M324="Yes",$K324,"")</f>
        <v/>
      </c>
      <c r="O324" s="31" t="n"/>
      <c r="P324" s="59" t="n"/>
      <c r="Q324" s="59" t="n"/>
    </row>
    <row r="325">
      <c r="A325" s="31">
        <f>IF(Members!$A325="","",Members!$A325)</f>
        <v/>
      </c>
      <c r="B325" s="31" t="n"/>
      <c r="C325" s="31" t="n"/>
      <c r="D325" s="31" t="n"/>
      <c r="E325" s="31" t="n"/>
      <c r="F325" s="31" t="n"/>
      <c r="G325" s="31" t="n"/>
      <c r="H325" s="31" t="n"/>
      <c r="I325" s="31" t="n"/>
      <c r="J325" s="31" t="n"/>
      <c r="K325" s="31">
        <f>IF(COUNTA($D325:$J325)&lt;7,"",ROUND(MIN(10000, MAX(0, ((((($D325*1.2)+($E325*1.2)+($F325*1.1)+($G325*1.0)+($H325*1.0)+($I325*1.1)+($J325*0.9))/7.5)-1)/4*8000 + MIN($B325*20,1000) + MIN($C325*100,1000))),0))</f>
        <v/>
      </c>
      <c r="L325" s="31">
        <f>IF($K325="","",MIN(100,INT(SQRT($K325))))</f>
        <v/>
      </c>
      <c r="M325" s="31" t="n"/>
      <c r="N325" s="31">
        <f>IF($M325="Yes",$K325,"")</f>
        <v/>
      </c>
      <c r="O325" s="31" t="n"/>
      <c r="P325" s="59" t="n"/>
      <c r="Q325" s="59" t="n"/>
    </row>
    <row r="326">
      <c r="A326" s="31">
        <f>IF(Members!$A326="","",Members!$A326)</f>
        <v/>
      </c>
      <c r="B326" s="31" t="n"/>
      <c r="C326" s="31" t="n"/>
      <c r="D326" s="31" t="n"/>
      <c r="E326" s="31" t="n"/>
      <c r="F326" s="31" t="n"/>
      <c r="G326" s="31" t="n"/>
      <c r="H326" s="31" t="n"/>
      <c r="I326" s="31" t="n"/>
      <c r="J326" s="31" t="n"/>
      <c r="K326" s="31">
        <f>IF(COUNTA($D326:$J326)&lt;7,"",ROUND(MIN(10000, MAX(0, ((((($D326*1.2)+($E326*1.2)+($F326*1.1)+($G326*1.0)+($H326*1.0)+($I326*1.1)+($J326*0.9))/7.5)-1)/4*8000 + MIN($B326*20,1000) + MIN($C326*100,1000))),0))</f>
        <v/>
      </c>
      <c r="L326" s="31">
        <f>IF($K326="","",MIN(100,INT(SQRT($K326))))</f>
        <v/>
      </c>
      <c r="M326" s="31" t="n"/>
      <c r="N326" s="31">
        <f>IF($M326="Yes",$K326,"")</f>
        <v/>
      </c>
      <c r="O326" s="31" t="n"/>
      <c r="P326" s="59" t="n"/>
      <c r="Q326" s="59" t="n"/>
    </row>
    <row r="327">
      <c r="A327" s="31">
        <f>IF(Members!$A327="","",Members!$A327)</f>
        <v/>
      </c>
      <c r="B327" s="31" t="n"/>
      <c r="C327" s="31" t="n"/>
      <c r="D327" s="31" t="n"/>
      <c r="E327" s="31" t="n"/>
      <c r="F327" s="31" t="n"/>
      <c r="G327" s="31" t="n"/>
      <c r="H327" s="31" t="n"/>
      <c r="I327" s="31" t="n"/>
      <c r="J327" s="31" t="n"/>
      <c r="K327" s="31">
        <f>IF(COUNTA($D327:$J327)&lt;7,"",ROUND(MIN(10000, MAX(0, ((((($D327*1.2)+($E327*1.2)+($F327*1.1)+($G327*1.0)+($H327*1.0)+($I327*1.1)+($J327*0.9))/7.5)-1)/4*8000 + MIN($B327*20,1000) + MIN($C327*100,1000))),0))</f>
        <v/>
      </c>
      <c r="L327" s="31">
        <f>IF($K327="","",MIN(100,INT(SQRT($K327))))</f>
        <v/>
      </c>
      <c r="M327" s="31" t="n"/>
      <c r="N327" s="31">
        <f>IF($M327="Yes",$K327,"")</f>
        <v/>
      </c>
      <c r="O327" s="31" t="n"/>
      <c r="P327" s="59" t="n"/>
      <c r="Q327" s="59" t="n"/>
    </row>
    <row r="328">
      <c r="A328" s="31">
        <f>IF(Members!$A328="","",Members!$A328)</f>
        <v/>
      </c>
      <c r="B328" s="31" t="n"/>
      <c r="C328" s="31" t="n"/>
      <c r="D328" s="31" t="n"/>
      <c r="E328" s="31" t="n"/>
      <c r="F328" s="31" t="n"/>
      <c r="G328" s="31" t="n"/>
      <c r="H328" s="31" t="n"/>
      <c r="I328" s="31" t="n"/>
      <c r="J328" s="31" t="n"/>
      <c r="K328" s="31">
        <f>IF(COUNTA($D328:$J328)&lt;7,"",ROUND(MIN(10000, MAX(0, ((((($D328*1.2)+($E328*1.2)+($F328*1.1)+($G328*1.0)+($H328*1.0)+($I328*1.1)+($J328*0.9))/7.5)-1)/4*8000 + MIN($B328*20,1000) + MIN($C328*100,1000))),0))</f>
        <v/>
      </c>
      <c r="L328" s="31">
        <f>IF($K328="","",MIN(100,INT(SQRT($K328))))</f>
        <v/>
      </c>
      <c r="M328" s="31" t="n"/>
      <c r="N328" s="31">
        <f>IF($M328="Yes",$K328,"")</f>
        <v/>
      </c>
      <c r="O328" s="31" t="n"/>
      <c r="P328" s="59" t="n"/>
      <c r="Q328" s="59" t="n"/>
    </row>
    <row r="329">
      <c r="A329" s="31">
        <f>IF(Members!$A329="","",Members!$A329)</f>
        <v/>
      </c>
      <c r="B329" s="31" t="n"/>
      <c r="C329" s="31" t="n"/>
      <c r="D329" s="31" t="n"/>
      <c r="E329" s="31" t="n"/>
      <c r="F329" s="31" t="n"/>
      <c r="G329" s="31" t="n"/>
      <c r="H329" s="31" t="n"/>
      <c r="I329" s="31" t="n"/>
      <c r="J329" s="31" t="n"/>
      <c r="K329" s="31">
        <f>IF(COUNTA($D329:$J329)&lt;7,"",ROUND(MIN(10000, MAX(0, ((((($D329*1.2)+($E329*1.2)+($F329*1.1)+($G329*1.0)+($H329*1.0)+($I329*1.1)+($J329*0.9))/7.5)-1)/4*8000 + MIN($B329*20,1000) + MIN($C329*100,1000))),0))</f>
        <v/>
      </c>
      <c r="L329" s="31">
        <f>IF($K329="","",MIN(100,INT(SQRT($K329))))</f>
        <v/>
      </c>
      <c r="M329" s="31" t="n"/>
      <c r="N329" s="31">
        <f>IF($M329="Yes",$K329,"")</f>
        <v/>
      </c>
      <c r="O329" s="31" t="n"/>
      <c r="P329" s="59" t="n"/>
      <c r="Q329" s="59" t="n"/>
    </row>
    <row r="330">
      <c r="A330" s="31">
        <f>IF(Members!$A330="","",Members!$A330)</f>
        <v/>
      </c>
      <c r="B330" s="31" t="n"/>
      <c r="C330" s="31" t="n"/>
      <c r="D330" s="31" t="n"/>
      <c r="E330" s="31" t="n"/>
      <c r="F330" s="31" t="n"/>
      <c r="G330" s="31" t="n"/>
      <c r="H330" s="31" t="n"/>
      <c r="I330" s="31" t="n"/>
      <c r="J330" s="31" t="n"/>
      <c r="K330" s="31">
        <f>IF(COUNTA($D330:$J330)&lt;7,"",ROUND(MIN(10000, MAX(0, ((((($D330*1.2)+($E330*1.2)+($F330*1.1)+($G330*1.0)+($H330*1.0)+($I330*1.1)+($J330*0.9))/7.5)-1)/4*8000 + MIN($B330*20,1000) + MIN($C330*100,1000))),0))</f>
        <v/>
      </c>
      <c r="L330" s="31">
        <f>IF($K330="","",MIN(100,INT(SQRT($K330))))</f>
        <v/>
      </c>
      <c r="M330" s="31" t="n"/>
      <c r="N330" s="31">
        <f>IF($M330="Yes",$K330,"")</f>
        <v/>
      </c>
      <c r="O330" s="31" t="n"/>
      <c r="P330" s="59" t="n"/>
      <c r="Q330" s="59" t="n"/>
    </row>
    <row r="331">
      <c r="A331" s="31">
        <f>IF(Members!$A331="","",Members!$A331)</f>
        <v/>
      </c>
      <c r="B331" s="31" t="n"/>
      <c r="C331" s="31" t="n"/>
      <c r="D331" s="31" t="n"/>
      <c r="E331" s="31" t="n"/>
      <c r="F331" s="31" t="n"/>
      <c r="G331" s="31" t="n"/>
      <c r="H331" s="31" t="n"/>
      <c r="I331" s="31" t="n"/>
      <c r="J331" s="31" t="n"/>
      <c r="K331" s="31">
        <f>IF(COUNTA($D331:$J331)&lt;7,"",ROUND(MIN(10000, MAX(0, ((((($D331*1.2)+($E331*1.2)+($F331*1.1)+($G331*1.0)+($H331*1.0)+($I331*1.1)+($J331*0.9))/7.5)-1)/4*8000 + MIN($B331*20,1000) + MIN($C331*100,1000))),0))</f>
        <v/>
      </c>
      <c r="L331" s="31">
        <f>IF($K331="","",MIN(100,INT(SQRT($K331))))</f>
        <v/>
      </c>
      <c r="M331" s="31" t="n"/>
      <c r="N331" s="31">
        <f>IF($M331="Yes",$K331,"")</f>
        <v/>
      </c>
      <c r="O331" s="31" t="n"/>
      <c r="P331" s="59" t="n"/>
      <c r="Q331" s="59" t="n"/>
    </row>
    <row r="332">
      <c r="A332" s="31">
        <f>IF(Members!$A332="","",Members!$A332)</f>
        <v/>
      </c>
      <c r="B332" s="31" t="n"/>
      <c r="C332" s="31" t="n"/>
      <c r="D332" s="31" t="n"/>
      <c r="E332" s="31" t="n"/>
      <c r="F332" s="31" t="n"/>
      <c r="G332" s="31" t="n"/>
      <c r="H332" s="31" t="n"/>
      <c r="I332" s="31" t="n"/>
      <c r="J332" s="31" t="n"/>
      <c r="K332" s="31">
        <f>IF(COUNTA($D332:$J332)&lt;7,"",ROUND(MIN(10000, MAX(0, ((((($D332*1.2)+($E332*1.2)+($F332*1.1)+($G332*1.0)+($H332*1.0)+($I332*1.1)+($J332*0.9))/7.5)-1)/4*8000 + MIN($B332*20,1000) + MIN($C332*100,1000))),0))</f>
        <v/>
      </c>
      <c r="L332" s="31">
        <f>IF($K332="","",MIN(100,INT(SQRT($K332))))</f>
        <v/>
      </c>
      <c r="M332" s="31" t="n"/>
      <c r="N332" s="31">
        <f>IF($M332="Yes",$K332,"")</f>
        <v/>
      </c>
      <c r="O332" s="31" t="n"/>
      <c r="P332" s="59" t="n"/>
      <c r="Q332" s="59" t="n"/>
    </row>
    <row r="333">
      <c r="A333" s="31">
        <f>IF(Members!$A333="","",Members!$A333)</f>
        <v/>
      </c>
      <c r="B333" s="31" t="n"/>
      <c r="C333" s="31" t="n"/>
      <c r="D333" s="31" t="n"/>
      <c r="E333" s="31" t="n"/>
      <c r="F333" s="31" t="n"/>
      <c r="G333" s="31" t="n"/>
      <c r="H333" s="31" t="n"/>
      <c r="I333" s="31" t="n"/>
      <c r="J333" s="31" t="n"/>
      <c r="K333" s="31">
        <f>IF(COUNTA($D333:$J333)&lt;7,"",ROUND(MIN(10000, MAX(0, ((((($D333*1.2)+($E333*1.2)+($F333*1.1)+($G333*1.0)+($H333*1.0)+($I333*1.1)+($J333*0.9))/7.5)-1)/4*8000 + MIN($B333*20,1000) + MIN($C333*100,1000))),0))</f>
        <v/>
      </c>
      <c r="L333" s="31">
        <f>IF($K333="","",MIN(100,INT(SQRT($K333))))</f>
        <v/>
      </c>
      <c r="M333" s="31" t="n"/>
      <c r="N333" s="31">
        <f>IF($M333="Yes",$K333,"")</f>
        <v/>
      </c>
      <c r="O333" s="31" t="n"/>
      <c r="P333" s="59" t="n"/>
      <c r="Q333" s="59" t="n"/>
    </row>
    <row r="334">
      <c r="A334" s="31">
        <f>IF(Members!$A334="","",Members!$A334)</f>
        <v/>
      </c>
      <c r="B334" s="31" t="n"/>
      <c r="C334" s="31" t="n"/>
      <c r="D334" s="31" t="n"/>
      <c r="E334" s="31" t="n"/>
      <c r="F334" s="31" t="n"/>
      <c r="G334" s="31" t="n"/>
      <c r="H334" s="31" t="n"/>
      <c r="I334" s="31" t="n"/>
      <c r="J334" s="31" t="n"/>
      <c r="K334" s="31">
        <f>IF(COUNTA($D334:$J334)&lt;7,"",ROUND(MIN(10000, MAX(0, ((((($D334*1.2)+($E334*1.2)+($F334*1.1)+($G334*1.0)+($H334*1.0)+($I334*1.1)+($J334*0.9))/7.5)-1)/4*8000 + MIN($B334*20,1000) + MIN($C334*100,1000))),0))</f>
        <v/>
      </c>
      <c r="L334" s="31">
        <f>IF($K334="","",MIN(100,INT(SQRT($K334))))</f>
        <v/>
      </c>
      <c r="M334" s="31" t="n"/>
      <c r="N334" s="31">
        <f>IF($M334="Yes",$K334,"")</f>
        <v/>
      </c>
      <c r="O334" s="31" t="n"/>
      <c r="P334" s="59" t="n"/>
      <c r="Q334" s="59" t="n"/>
    </row>
    <row r="335">
      <c r="A335" s="31">
        <f>IF(Members!$A335="","",Members!$A335)</f>
        <v/>
      </c>
      <c r="B335" s="31" t="n"/>
      <c r="C335" s="31" t="n"/>
      <c r="D335" s="31" t="n"/>
      <c r="E335" s="31" t="n"/>
      <c r="F335" s="31" t="n"/>
      <c r="G335" s="31" t="n"/>
      <c r="H335" s="31" t="n"/>
      <c r="I335" s="31" t="n"/>
      <c r="J335" s="31" t="n"/>
      <c r="K335" s="31">
        <f>IF(COUNTA($D335:$J335)&lt;7,"",ROUND(MIN(10000, MAX(0, ((((($D335*1.2)+($E335*1.2)+($F335*1.1)+($G335*1.0)+($H335*1.0)+($I335*1.1)+($J335*0.9))/7.5)-1)/4*8000 + MIN($B335*20,1000) + MIN($C335*100,1000))),0))</f>
        <v/>
      </c>
      <c r="L335" s="31">
        <f>IF($K335="","",MIN(100,INT(SQRT($K335))))</f>
        <v/>
      </c>
      <c r="M335" s="31" t="n"/>
      <c r="N335" s="31">
        <f>IF($M335="Yes",$K335,"")</f>
        <v/>
      </c>
      <c r="O335" s="31" t="n"/>
      <c r="P335" s="59" t="n"/>
      <c r="Q335" s="59" t="n"/>
    </row>
    <row r="336">
      <c r="A336" s="31">
        <f>IF(Members!$A336="","",Members!$A336)</f>
        <v/>
      </c>
      <c r="B336" s="31" t="n"/>
      <c r="C336" s="31" t="n"/>
      <c r="D336" s="31" t="n"/>
      <c r="E336" s="31" t="n"/>
      <c r="F336" s="31" t="n"/>
      <c r="G336" s="31" t="n"/>
      <c r="H336" s="31" t="n"/>
      <c r="I336" s="31" t="n"/>
      <c r="J336" s="31" t="n"/>
      <c r="K336" s="31">
        <f>IF(COUNTA($D336:$J336)&lt;7,"",ROUND(MIN(10000, MAX(0, ((((($D336*1.2)+($E336*1.2)+($F336*1.1)+($G336*1.0)+($H336*1.0)+($I336*1.1)+($J336*0.9))/7.5)-1)/4*8000 + MIN($B336*20,1000) + MIN($C336*100,1000))),0))</f>
        <v/>
      </c>
      <c r="L336" s="31">
        <f>IF($K336="","",MIN(100,INT(SQRT($K336))))</f>
        <v/>
      </c>
      <c r="M336" s="31" t="n"/>
      <c r="N336" s="31">
        <f>IF($M336="Yes",$K336,"")</f>
        <v/>
      </c>
      <c r="O336" s="31" t="n"/>
      <c r="P336" s="59" t="n"/>
      <c r="Q336" s="59" t="n"/>
    </row>
    <row r="337">
      <c r="A337" s="31">
        <f>IF(Members!$A337="","",Members!$A337)</f>
        <v/>
      </c>
      <c r="B337" s="31" t="n"/>
      <c r="C337" s="31" t="n"/>
      <c r="D337" s="31" t="n"/>
      <c r="E337" s="31" t="n"/>
      <c r="F337" s="31" t="n"/>
      <c r="G337" s="31" t="n"/>
      <c r="H337" s="31" t="n"/>
      <c r="I337" s="31" t="n"/>
      <c r="J337" s="31" t="n"/>
      <c r="K337" s="31">
        <f>IF(COUNTA($D337:$J337)&lt;7,"",ROUND(MIN(10000, MAX(0, ((((($D337*1.2)+($E337*1.2)+($F337*1.1)+($G337*1.0)+($H337*1.0)+($I337*1.1)+($J337*0.9))/7.5)-1)/4*8000 + MIN($B337*20,1000) + MIN($C337*100,1000))),0))</f>
        <v/>
      </c>
      <c r="L337" s="31">
        <f>IF($K337="","",MIN(100,INT(SQRT($K337))))</f>
        <v/>
      </c>
      <c r="M337" s="31" t="n"/>
      <c r="N337" s="31">
        <f>IF($M337="Yes",$K337,"")</f>
        <v/>
      </c>
      <c r="O337" s="31" t="n"/>
      <c r="P337" s="59" t="n"/>
      <c r="Q337" s="59" t="n"/>
    </row>
    <row r="338">
      <c r="A338" s="31">
        <f>IF(Members!$A338="","",Members!$A338)</f>
        <v/>
      </c>
      <c r="B338" s="31" t="n"/>
      <c r="C338" s="31" t="n"/>
      <c r="D338" s="31" t="n"/>
      <c r="E338" s="31" t="n"/>
      <c r="F338" s="31" t="n"/>
      <c r="G338" s="31" t="n"/>
      <c r="H338" s="31" t="n"/>
      <c r="I338" s="31" t="n"/>
      <c r="J338" s="31" t="n"/>
      <c r="K338" s="31">
        <f>IF(COUNTA($D338:$J338)&lt;7,"",ROUND(MIN(10000, MAX(0, ((((($D338*1.2)+($E338*1.2)+($F338*1.1)+($G338*1.0)+($H338*1.0)+($I338*1.1)+($J338*0.9))/7.5)-1)/4*8000 + MIN($B338*20,1000) + MIN($C338*100,1000))),0))</f>
        <v/>
      </c>
      <c r="L338" s="31">
        <f>IF($K338="","",MIN(100,INT(SQRT($K338))))</f>
        <v/>
      </c>
      <c r="M338" s="31" t="n"/>
      <c r="N338" s="31">
        <f>IF($M338="Yes",$K338,"")</f>
        <v/>
      </c>
      <c r="O338" s="31" t="n"/>
      <c r="P338" s="59" t="n"/>
      <c r="Q338" s="59" t="n"/>
    </row>
    <row r="339">
      <c r="A339" s="31">
        <f>IF(Members!$A339="","",Members!$A339)</f>
        <v/>
      </c>
      <c r="B339" s="31" t="n"/>
      <c r="C339" s="31" t="n"/>
      <c r="D339" s="31" t="n"/>
      <c r="E339" s="31" t="n"/>
      <c r="F339" s="31" t="n"/>
      <c r="G339" s="31" t="n"/>
      <c r="H339" s="31" t="n"/>
      <c r="I339" s="31" t="n"/>
      <c r="J339" s="31" t="n"/>
      <c r="K339" s="31">
        <f>IF(COUNTA($D339:$J339)&lt;7,"",ROUND(MIN(10000, MAX(0, ((((($D339*1.2)+($E339*1.2)+($F339*1.1)+($G339*1.0)+($H339*1.0)+($I339*1.1)+($J339*0.9))/7.5)-1)/4*8000 + MIN($B339*20,1000) + MIN($C339*100,1000))),0))</f>
        <v/>
      </c>
      <c r="L339" s="31">
        <f>IF($K339="","",MIN(100,INT(SQRT($K339))))</f>
        <v/>
      </c>
      <c r="M339" s="31" t="n"/>
      <c r="N339" s="31">
        <f>IF($M339="Yes",$K339,"")</f>
        <v/>
      </c>
      <c r="O339" s="31" t="n"/>
      <c r="P339" s="59" t="n"/>
      <c r="Q339" s="59" t="n"/>
    </row>
    <row r="340">
      <c r="A340" s="31">
        <f>IF(Members!$A340="","",Members!$A340)</f>
        <v/>
      </c>
      <c r="B340" s="31" t="n"/>
      <c r="C340" s="31" t="n"/>
      <c r="D340" s="31" t="n"/>
      <c r="E340" s="31" t="n"/>
      <c r="F340" s="31" t="n"/>
      <c r="G340" s="31" t="n"/>
      <c r="H340" s="31" t="n"/>
      <c r="I340" s="31" t="n"/>
      <c r="J340" s="31" t="n"/>
      <c r="K340" s="31">
        <f>IF(COUNTA($D340:$J340)&lt;7,"",ROUND(MIN(10000, MAX(0, ((((($D340*1.2)+($E340*1.2)+($F340*1.1)+($G340*1.0)+($H340*1.0)+($I340*1.1)+($J340*0.9))/7.5)-1)/4*8000 + MIN($B340*20,1000) + MIN($C340*100,1000))),0))</f>
        <v/>
      </c>
      <c r="L340" s="31">
        <f>IF($K340="","",MIN(100,INT(SQRT($K340))))</f>
        <v/>
      </c>
      <c r="M340" s="31" t="n"/>
      <c r="N340" s="31">
        <f>IF($M340="Yes",$K340,"")</f>
        <v/>
      </c>
      <c r="O340" s="31" t="n"/>
      <c r="P340" s="59" t="n"/>
      <c r="Q340" s="59" t="n"/>
    </row>
    <row r="341">
      <c r="A341" s="31">
        <f>IF(Members!$A341="","",Members!$A341)</f>
        <v/>
      </c>
      <c r="B341" s="31" t="n"/>
      <c r="C341" s="31" t="n"/>
      <c r="D341" s="31" t="n"/>
      <c r="E341" s="31" t="n"/>
      <c r="F341" s="31" t="n"/>
      <c r="G341" s="31" t="n"/>
      <c r="H341" s="31" t="n"/>
      <c r="I341" s="31" t="n"/>
      <c r="J341" s="31" t="n"/>
      <c r="K341" s="31">
        <f>IF(COUNTA($D341:$J341)&lt;7,"",ROUND(MIN(10000, MAX(0, ((((($D341*1.2)+($E341*1.2)+($F341*1.1)+($G341*1.0)+($H341*1.0)+($I341*1.1)+($J341*0.9))/7.5)-1)/4*8000 + MIN($B341*20,1000) + MIN($C341*100,1000))),0))</f>
        <v/>
      </c>
      <c r="L341" s="31">
        <f>IF($K341="","",MIN(100,INT(SQRT($K341))))</f>
        <v/>
      </c>
      <c r="M341" s="31" t="n"/>
      <c r="N341" s="31">
        <f>IF($M341="Yes",$K341,"")</f>
        <v/>
      </c>
      <c r="O341" s="31" t="n"/>
      <c r="P341" s="59" t="n"/>
      <c r="Q341" s="59" t="n"/>
    </row>
    <row r="342">
      <c r="A342" s="31">
        <f>IF(Members!$A342="","",Members!$A342)</f>
        <v/>
      </c>
      <c r="B342" s="31" t="n"/>
      <c r="C342" s="31" t="n"/>
      <c r="D342" s="31" t="n"/>
      <c r="E342" s="31" t="n"/>
      <c r="F342" s="31" t="n"/>
      <c r="G342" s="31" t="n"/>
      <c r="H342" s="31" t="n"/>
      <c r="I342" s="31" t="n"/>
      <c r="J342" s="31" t="n"/>
      <c r="K342" s="31">
        <f>IF(COUNTA($D342:$J342)&lt;7,"",ROUND(MIN(10000, MAX(0, ((((($D342*1.2)+($E342*1.2)+($F342*1.1)+($G342*1.0)+($H342*1.0)+($I342*1.1)+($J342*0.9))/7.5)-1)/4*8000 + MIN($B342*20,1000) + MIN($C342*100,1000))),0))</f>
        <v/>
      </c>
      <c r="L342" s="31">
        <f>IF($K342="","",MIN(100,INT(SQRT($K342))))</f>
        <v/>
      </c>
      <c r="M342" s="31" t="n"/>
      <c r="N342" s="31">
        <f>IF($M342="Yes",$K342,"")</f>
        <v/>
      </c>
      <c r="O342" s="31" t="n"/>
      <c r="P342" s="59" t="n"/>
      <c r="Q342" s="59" t="n"/>
    </row>
    <row r="343">
      <c r="A343" s="31">
        <f>IF(Members!$A343="","",Members!$A343)</f>
        <v/>
      </c>
      <c r="B343" s="31" t="n"/>
      <c r="C343" s="31" t="n"/>
      <c r="D343" s="31" t="n"/>
      <c r="E343" s="31" t="n"/>
      <c r="F343" s="31" t="n"/>
      <c r="G343" s="31" t="n"/>
      <c r="H343" s="31" t="n"/>
      <c r="I343" s="31" t="n"/>
      <c r="J343" s="31" t="n"/>
      <c r="K343" s="31">
        <f>IF(COUNTA($D343:$J343)&lt;7,"",ROUND(MIN(10000, MAX(0, ((((($D343*1.2)+($E343*1.2)+($F343*1.1)+($G343*1.0)+($H343*1.0)+($I343*1.1)+($J343*0.9))/7.5)-1)/4*8000 + MIN($B343*20,1000) + MIN($C343*100,1000))),0))</f>
        <v/>
      </c>
      <c r="L343" s="31">
        <f>IF($K343="","",MIN(100,INT(SQRT($K343))))</f>
        <v/>
      </c>
      <c r="M343" s="31" t="n"/>
      <c r="N343" s="31">
        <f>IF($M343="Yes",$K343,"")</f>
        <v/>
      </c>
      <c r="O343" s="31" t="n"/>
      <c r="P343" s="59" t="n"/>
      <c r="Q343" s="59" t="n"/>
    </row>
    <row r="344">
      <c r="A344" s="31">
        <f>IF(Members!$A344="","",Members!$A344)</f>
        <v/>
      </c>
      <c r="B344" s="31" t="n"/>
      <c r="C344" s="31" t="n"/>
      <c r="D344" s="31" t="n"/>
      <c r="E344" s="31" t="n"/>
      <c r="F344" s="31" t="n"/>
      <c r="G344" s="31" t="n"/>
      <c r="H344" s="31" t="n"/>
      <c r="I344" s="31" t="n"/>
      <c r="J344" s="31" t="n"/>
      <c r="K344" s="31">
        <f>IF(COUNTA($D344:$J344)&lt;7,"",ROUND(MIN(10000, MAX(0, ((((($D344*1.2)+($E344*1.2)+($F344*1.1)+($G344*1.0)+($H344*1.0)+($I344*1.1)+($J344*0.9))/7.5)-1)/4*8000 + MIN($B344*20,1000) + MIN($C344*100,1000))),0))</f>
        <v/>
      </c>
      <c r="L344" s="31">
        <f>IF($K344="","",MIN(100,INT(SQRT($K344))))</f>
        <v/>
      </c>
      <c r="M344" s="31" t="n"/>
      <c r="N344" s="31">
        <f>IF($M344="Yes",$K344,"")</f>
        <v/>
      </c>
      <c r="O344" s="31" t="n"/>
      <c r="P344" s="59" t="n"/>
      <c r="Q344" s="59" t="n"/>
    </row>
    <row r="345">
      <c r="A345" s="31">
        <f>IF(Members!$A345="","",Members!$A345)</f>
        <v/>
      </c>
      <c r="B345" s="31" t="n"/>
      <c r="C345" s="31" t="n"/>
      <c r="D345" s="31" t="n"/>
      <c r="E345" s="31" t="n"/>
      <c r="F345" s="31" t="n"/>
      <c r="G345" s="31" t="n"/>
      <c r="H345" s="31" t="n"/>
      <c r="I345" s="31" t="n"/>
      <c r="J345" s="31" t="n"/>
      <c r="K345" s="31">
        <f>IF(COUNTA($D345:$J345)&lt;7,"",ROUND(MIN(10000, MAX(0, ((((($D345*1.2)+($E345*1.2)+($F345*1.1)+($G345*1.0)+($H345*1.0)+($I345*1.1)+($J345*0.9))/7.5)-1)/4*8000 + MIN($B345*20,1000) + MIN($C345*100,1000))),0))</f>
        <v/>
      </c>
      <c r="L345" s="31">
        <f>IF($K345="","",MIN(100,INT(SQRT($K345))))</f>
        <v/>
      </c>
      <c r="M345" s="31" t="n"/>
      <c r="N345" s="31">
        <f>IF($M345="Yes",$K345,"")</f>
        <v/>
      </c>
      <c r="O345" s="31" t="n"/>
      <c r="P345" s="59" t="n"/>
      <c r="Q345" s="59" t="n"/>
    </row>
    <row r="346">
      <c r="A346" s="31">
        <f>IF(Members!$A346="","",Members!$A346)</f>
        <v/>
      </c>
      <c r="B346" s="31" t="n"/>
      <c r="C346" s="31" t="n"/>
      <c r="D346" s="31" t="n"/>
      <c r="E346" s="31" t="n"/>
      <c r="F346" s="31" t="n"/>
      <c r="G346" s="31" t="n"/>
      <c r="H346" s="31" t="n"/>
      <c r="I346" s="31" t="n"/>
      <c r="J346" s="31" t="n"/>
      <c r="K346" s="31">
        <f>IF(COUNTA($D346:$J346)&lt;7,"",ROUND(MIN(10000, MAX(0, ((((($D346*1.2)+($E346*1.2)+($F346*1.1)+($G346*1.0)+($H346*1.0)+($I346*1.1)+($J346*0.9))/7.5)-1)/4*8000 + MIN($B346*20,1000) + MIN($C346*100,1000))),0))</f>
        <v/>
      </c>
      <c r="L346" s="31">
        <f>IF($K346="","",MIN(100,INT(SQRT($K346))))</f>
        <v/>
      </c>
      <c r="M346" s="31" t="n"/>
      <c r="N346" s="31">
        <f>IF($M346="Yes",$K346,"")</f>
        <v/>
      </c>
      <c r="O346" s="31" t="n"/>
      <c r="P346" s="59" t="n"/>
      <c r="Q346" s="59" t="n"/>
    </row>
    <row r="347">
      <c r="A347" s="31">
        <f>IF(Members!$A347="","",Members!$A347)</f>
        <v/>
      </c>
      <c r="B347" s="31" t="n"/>
      <c r="C347" s="31" t="n"/>
      <c r="D347" s="31" t="n"/>
      <c r="E347" s="31" t="n"/>
      <c r="F347" s="31" t="n"/>
      <c r="G347" s="31" t="n"/>
      <c r="H347" s="31" t="n"/>
      <c r="I347" s="31" t="n"/>
      <c r="J347" s="31" t="n"/>
      <c r="K347" s="31">
        <f>IF(COUNTA($D347:$J347)&lt;7,"",ROUND(MIN(10000, MAX(0, ((((($D347*1.2)+($E347*1.2)+($F347*1.1)+($G347*1.0)+($H347*1.0)+($I347*1.1)+($J347*0.9))/7.5)-1)/4*8000 + MIN($B347*20,1000) + MIN($C347*100,1000))),0))</f>
        <v/>
      </c>
      <c r="L347" s="31">
        <f>IF($K347="","",MIN(100,INT(SQRT($K347))))</f>
        <v/>
      </c>
      <c r="M347" s="31" t="n"/>
      <c r="N347" s="31">
        <f>IF($M347="Yes",$K347,"")</f>
        <v/>
      </c>
      <c r="O347" s="31" t="n"/>
      <c r="P347" s="59" t="n"/>
      <c r="Q347" s="59" t="n"/>
    </row>
    <row r="348">
      <c r="A348" s="31">
        <f>IF(Members!$A348="","",Members!$A348)</f>
        <v/>
      </c>
      <c r="B348" s="31" t="n"/>
      <c r="C348" s="31" t="n"/>
      <c r="D348" s="31" t="n"/>
      <c r="E348" s="31" t="n"/>
      <c r="F348" s="31" t="n"/>
      <c r="G348" s="31" t="n"/>
      <c r="H348" s="31" t="n"/>
      <c r="I348" s="31" t="n"/>
      <c r="J348" s="31" t="n"/>
      <c r="K348" s="31">
        <f>IF(COUNTA($D348:$J348)&lt;7,"",ROUND(MIN(10000, MAX(0, ((((($D348*1.2)+($E348*1.2)+($F348*1.1)+($G348*1.0)+($H348*1.0)+($I348*1.1)+($J348*0.9))/7.5)-1)/4*8000 + MIN($B348*20,1000) + MIN($C348*100,1000))),0))</f>
        <v/>
      </c>
      <c r="L348" s="31">
        <f>IF($K348="","",MIN(100,INT(SQRT($K348))))</f>
        <v/>
      </c>
      <c r="M348" s="31" t="n"/>
      <c r="N348" s="31">
        <f>IF($M348="Yes",$K348,"")</f>
        <v/>
      </c>
      <c r="O348" s="31" t="n"/>
      <c r="P348" s="59" t="n"/>
      <c r="Q348" s="59" t="n"/>
    </row>
    <row r="349">
      <c r="A349" s="31">
        <f>IF(Members!$A349="","",Members!$A349)</f>
        <v/>
      </c>
      <c r="B349" s="31" t="n"/>
      <c r="C349" s="31" t="n"/>
      <c r="D349" s="31" t="n"/>
      <c r="E349" s="31" t="n"/>
      <c r="F349" s="31" t="n"/>
      <c r="G349" s="31" t="n"/>
      <c r="H349" s="31" t="n"/>
      <c r="I349" s="31" t="n"/>
      <c r="J349" s="31" t="n"/>
      <c r="K349" s="31">
        <f>IF(COUNTA($D349:$J349)&lt;7,"",ROUND(MIN(10000, MAX(0, ((((($D349*1.2)+($E349*1.2)+($F349*1.1)+($G349*1.0)+($H349*1.0)+($I349*1.1)+($J349*0.9))/7.5)-1)/4*8000 + MIN($B349*20,1000) + MIN($C349*100,1000))),0))</f>
        <v/>
      </c>
      <c r="L349" s="31">
        <f>IF($K349="","",MIN(100,INT(SQRT($K349))))</f>
        <v/>
      </c>
      <c r="M349" s="31" t="n"/>
      <c r="N349" s="31">
        <f>IF($M349="Yes",$K349,"")</f>
        <v/>
      </c>
      <c r="O349" s="31" t="n"/>
      <c r="P349" s="59" t="n"/>
      <c r="Q349" s="59" t="n"/>
    </row>
    <row r="350">
      <c r="A350" s="31">
        <f>IF(Members!$A350="","",Members!$A350)</f>
        <v/>
      </c>
      <c r="B350" s="31" t="n"/>
      <c r="C350" s="31" t="n"/>
      <c r="D350" s="31" t="n"/>
      <c r="E350" s="31" t="n"/>
      <c r="F350" s="31" t="n"/>
      <c r="G350" s="31" t="n"/>
      <c r="H350" s="31" t="n"/>
      <c r="I350" s="31" t="n"/>
      <c r="J350" s="31" t="n"/>
      <c r="K350" s="31">
        <f>IF(COUNTA($D350:$J350)&lt;7,"",ROUND(MIN(10000, MAX(0, ((((($D350*1.2)+($E350*1.2)+($F350*1.1)+($G350*1.0)+($H350*1.0)+($I350*1.1)+($J350*0.9))/7.5)-1)/4*8000 + MIN($B350*20,1000) + MIN($C350*100,1000))),0))</f>
        <v/>
      </c>
      <c r="L350" s="31">
        <f>IF($K350="","",MIN(100,INT(SQRT($K350))))</f>
        <v/>
      </c>
      <c r="M350" s="31" t="n"/>
      <c r="N350" s="31">
        <f>IF($M350="Yes",$K350,"")</f>
        <v/>
      </c>
      <c r="O350" s="31" t="n"/>
      <c r="P350" s="59" t="n"/>
      <c r="Q350" s="59" t="n"/>
    </row>
    <row r="351">
      <c r="A351" s="31">
        <f>IF(Members!$A351="","",Members!$A351)</f>
        <v/>
      </c>
      <c r="B351" s="31" t="n"/>
      <c r="C351" s="31" t="n"/>
      <c r="D351" s="31" t="n"/>
      <c r="E351" s="31" t="n"/>
      <c r="F351" s="31" t="n"/>
      <c r="G351" s="31" t="n"/>
      <c r="H351" s="31" t="n"/>
      <c r="I351" s="31" t="n"/>
      <c r="J351" s="31" t="n"/>
      <c r="K351" s="31">
        <f>IF(COUNTA($D351:$J351)&lt;7,"",ROUND(MIN(10000, MAX(0, ((((($D351*1.2)+($E351*1.2)+($F351*1.1)+($G351*1.0)+($H351*1.0)+($I351*1.1)+($J351*0.9))/7.5)-1)/4*8000 + MIN($B351*20,1000) + MIN($C351*100,1000))),0))</f>
        <v/>
      </c>
      <c r="L351" s="31">
        <f>IF($K351="","",MIN(100,INT(SQRT($K351))))</f>
        <v/>
      </c>
      <c r="M351" s="31" t="n"/>
      <c r="N351" s="31">
        <f>IF($M351="Yes",$K351,"")</f>
        <v/>
      </c>
      <c r="O351" s="31" t="n"/>
      <c r="P351" s="59" t="n"/>
      <c r="Q351" s="59" t="n"/>
    </row>
    <row r="352">
      <c r="A352" s="31">
        <f>IF(Members!$A352="","",Members!$A352)</f>
        <v/>
      </c>
      <c r="B352" s="31" t="n"/>
      <c r="C352" s="31" t="n"/>
      <c r="D352" s="31" t="n"/>
      <c r="E352" s="31" t="n"/>
      <c r="F352" s="31" t="n"/>
      <c r="G352" s="31" t="n"/>
      <c r="H352" s="31" t="n"/>
      <c r="I352" s="31" t="n"/>
      <c r="J352" s="31" t="n"/>
      <c r="K352" s="31">
        <f>IF(COUNTA($D352:$J352)&lt;7,"",ROUND(MIN(10000, MAX(0, ((((($D352*1.2)+($E352*1.2)+($F352*1.1)+($G352*1.0)+($H352*1.0)+($I352*1.1)+($J352*0.9))/7.5)-1)/4*8000 + MIN($B352*20,1000) + MIN($C352*100,1000))),0))</f>
        <v/>
      </c>
      <c r="L352" s="31">
        <f>IF($K352="","",MIN(100,INT(SQRT($K352))))</f>
        <v/>
      </c>
      <c r="M352" s="31" t="n"/>
      <c r="N352" s="31">
        <f>IF($M352="Yes",$K352,"")</f>
        <v/>
      </c>
      <c r="O352" s="31" t="n"/>
      <c r="P352" s="59" t="n"/>
      <c r="Q352" s="59" t="n"/>
    </row>
    <row r="353">
      <c r="A353" s="31">
        <f>IF(Members!$A353="","",Members!$A353)</f>
        <v/>
      </c>
      <c r="B353" s="31" t="n"/>
      <c r="C353" s="31" t="n"/>
      <c r="D353" s="31" t="n"/>
      <c r="E353" s="31" t="n"/>
      <c r="F353" s="31" t="n"/>
      <c r="G353" s="31" t="n"/>
      <c r="H353" s="31" t="n"/>
      <c r="I353" s="31" t="n"/>
      <c r="J353" s="31" t="n"/>
      <c r="K353" s="31">
        <f>IF(COUNTA($D353:$J353)&lt;7,"",ROUND(MIN(10000, MAX(0, ((((($D353*1.2)+($E353*1.2)+($F353*1.1)+($G353*1.0)+($H353*1.0)+($I353*1.1)+($J353*0.9))/7.5)-1)/4*8000 + MIN($B353*20,1000) + MIN($C353*100,1000))),0))</f>
        <v/>
      </c>
      <c r="L353" s="31">
        <f>IF($K353="","",MIN(100,INT(SQRT($K353))))</f>
        <v/>
      </c>
      <c r="M353" s="31" t="n"/>
      <c r="N353" s="31">
        <f>IF($M353="Yes",$K353,"")</f>
        <v/>
      </c>
      <c r="O353" s="31" t="n"/>
      <c r="P353" s="59" t="n"/>
      <c r="Q353" s="59" t="n"/>
    </row>
    <row r="354">
      <c r="A354" s="31">
        <f>IF(Members!$A354="","",Members!$A354)</f>
        <v/>
      </c>
      <c r="B354" s="31" t="n"/>
      <c r="C354" s="31" t="n"/>
      <c r="D354" s="31" t="n"/>
      <c r="E354" s="31" t="n"/>
      <c r="F354" s="31" t="n"/>
      <c r="G354" s="31" t="n"/>
      <c r="H354" s="31" t="n"/>
      <c r="I354" s="31" t="n"/>
      <c r="J354" s="31" t="n"/>
      <c r="K354" s="31">
        <f>IF(COUNTA($D354:$J354)&lt;7,"",ROUND(MIN(10000, MAX(0, ((((($D354*1.2)+($E354*1.2)+($F354*1.1)+($G354*1.0)+($H354*1.0)+($I354*1.1)+($J354*0.9))/7.5)-1)/4*8000 + MIN($B354*20,1000) + MIN($C354*100,1000))),0))</f>
        <v/>
      </c>
      <c r="L354" s="31">
        <f>IF($K354="","",MIN(100,INT(SQRT($K354))))</f>
        <v/>
      </c>
      <c r="M354" s="31" t="n"/>
      <c r="N354" s="31">
        <f>IF($M354="Yes",$K354,"")</f>
        <v/>
      </c>
      <c r="O354" s="31" t="n"/>
      <c r="P354" s="59" t="n"/>
      <c r="Q354" s="59" t="n"/>
    </row>
    <row r="355">
      <c r="A355" s="31">
        <f>IF(Members!$A355="","",Members!$A355)</f>
        <v/>
      </c>
      <c r="B355" s="31" t="n"/>
      <c r="C355" s="31" t="n"/>
      <c r="D355" s="31" t="n"/>
      <c r="E355" s="31" t="n"/>
      <c r="F355" s="31" t="n"/>
      <c r="G355" s="31" t="n"/>
      <c r="H355" s="31" t="n"/>
      <c r="I355" s="31" t="n"/>
      <c r="J355" s="31" t="n"/>
      <c r="K355" s="31">
        <f>IF(COUNTA($D355:$J355)&lt;7,"",ROUND(MIN(10000, MAX(0, ((((($D355*1.2)+($E355*1.2)+($F355*1.1)+($G355*1.0)+($H355*1.0)+($I355*1.1)+($J355*0.9))/7.5)-1)/4*8000 + MIN($B355*20,1000) + MIN($C355*100,1000))),0))</f>
        <v/>
      </c>
      <c r="L355" s="31">
        <f>IF($K355="","",MIN(100,INT(SQRT($K355))))</f>
        <v/>
      </c>
      <c r="M355" s="31" t="n"/>
      <c r="N355" s="31">
        <f>IF($M355="Yes",$K355,"")</f>
        <v/>
      </c>
      <c r="O355" s="31" t="n"/>
      <c r="P355" s="59" t="n"/>
      <c r="Q355" s="59" t="n"/>
    </row>
    <row r="356">
      <c r="A356" s="31">
        <f>IF(Members!$A356="","",Members!$A356)</f>
        <v/>
      </c>
      <c r="B356" s="31" t="n"/>
      <c r="C356" s="31" t="n"/>
      <c r="D356" s="31" t="n"/>
      <c r="E356" s="31" t="n"/>
      <c r="F356" s="31" t="n"/>
      <c r="G356" s="31" t="n"/>
      <c r="H356" s="31" t="n"/>
      <c r="I356" s="31" t="n"/>
      <c r="J356" s="31" t="n"/>
      <c r="K356" s="31">
        <f>IF(COUNTA($D356:$J356)&lt;7,"",ROUND(MIN(10000, MAX(0, ((((($D356*1.2)+($E356*1.2)+($F356*1.1)+($G356*1.0)+($H356*1.0)+($I356*1.1)+($J356*0.9))/7.5)-1)/4*8000 + MIN($B356*20,1000) + MIN($C356*100,1000))),0))</f>
        <v/>
      </c>
      <c r="L356" s="31">
        <f>IF($K356="","",MIN(100,INT(SQRT($K356))))</f>
        <v/>
      </c>
      <c r="M356" s="31" t="n"/>
      <c r="N356" s="31">
        <f>IF($M356="Yes",$K356,"")</f>
        <v/>
      </c>
      <c r="O356" s="31" t="n"/>
      <c r="P356" s="59" t="n"/>
      <c r="Q356" s="59" t="n"/>
    </row>
    <row r="357">
      <c r="A357" s="31">
        <f>IF(Members!$A357="","",Members!$A357)</f>
        <v/>
      </c>
      <c r="B357" s="31" t="n"/>
      <c r="C357" s="31" t="n"/>
      <c r="D357" s="31" t="n"/>
      <c r="E357" s="31" t="n"/>
      <c r="F357" s="31" t="n"/>
      <c r="G357" s="31" t="n"/>
      <c r="H357" s="31" t="n"/>
      <c r="I357" s="31" t="n"/>
      <c r="J357" s="31" t="n"/>
      <c r="K357" s="31">
        <f>IF(COUNTA($D357:$J357)&lt;7,"",ROUND(MIN(10000, MAX(0, ((((($D357*1.2)+($E357*1.2)+($F357*1.1)+($G357*1.0)+($H357*1.0)+($I357*1.1)+($J357*0.9))/7.5)-1)/4*8000 + MIN($B357*20,1000) + MIN($C357*100,1000))),0))</f>
        <v/>
      </c>
      <c r="L357" s="31">
        <f>IF($K357="","",MIN(100,INT(SQRT($K357))))</f>
        <v/>
      </c>
      <c r="M357" s="31" t="n"/>
      <c r="N357" s="31">
        <f>IF($M357="Yes",$K357,"")</f>
        <v/>
      </c>
      <c r="O357" s="31" t="n"/>
      <c r="P357" s="59" t="n"/>
      <c r="Q357" s="59" t="n"/>
    </row>
    <row r="358">
      <c r="A358" s="31">
        <f>IF(Members!$A358="","",Members!$A358)</f>
        <v/>
      </c>
      <c r="B358" s="31" t="n"/>
      <c r="C358" s="31" t="n"/>
      <c r="D358" s="31" t="n"/>
      <c r="E358" s="31" t="n"/>
      <c r="F358" s="31" t="n"/>
      <c r="G358" s="31" t="n"/>
      <c r="H358" s="31" t="n"/>
      <c r="I358" s="31" t="n"/>
      <c r="J358" s="31" t="n"/>
      <c r="K358" s="31">
        <f>IF(COUNTA($D358:$J358)&lt;7,"",ROUND(MIN(10000, MAX(0, ((((($D358*1.2)+($E358*1.2)+($F358*1.1)+($G358*1.0)+($H358*1.0)+($I358*1.1)+($J358*0.9))/7.5)-1)/4*8000 + MIN($B358*20,1000) + MIN($C358*100,1000))),0))</f>
        <v/>
      </c>
      <c r="L358" s="31">
        <f>IF($K358="","",MIN(100,INT(SQRT($K358))))</f>
        <v/>
      </c>
      <c r="M358" s="31" t="n"/>
      <c r="N358" s="31">
        <f>IF($M358="Yes",$K358,"")</f>
        <v/>
      </c>
      <c r="O358" s="31" t="n"/>
      <c r="P358" s="59" t="n"/>
      <c r="Q358" s="59" t="n"/>
    </row>
    <row r="359">
      <c r="A359" s="31">
        <f>IF(Members!$A359="","",Members!$A359)</f>
        <v/>
      </c>
      <c r="B359" s="31" t="n"/>
      <c r="C359" s="31" t="n"/>
      <c r="D359" s="31" t="n"/>
      <c r="E359" s="31" t="n"/>
      <c r="F359" s="31" t="n"/>
      <c r="G359" s="31" t="n"/>
      <c r="H359" s="31" t="n"/>
      <c r="I359" s="31" t="n"/>
      <c r="J359" s="31" t="n"/>
      <c r="K359" s="31">
        <f>IF(COUNTA($D359:$J359)&lt;7,"",ROUND(MIN(10000, MAX(0, ((((($D359*1.2)+($E359*1.2)+($F359*1.1)+($G359*1.0)+($H359*1.0)+($I359*1.1)+($J359*0.9))/7.5)-1)/4*8000 + MIN($B359*20,1000) + MIN($C359*100,1000))),0))</f>
        <v/>
      </c>
      <c r="L359" s="31">
        <f>IF($K359="","",MIN(100,INT(SQRT($K359))))</f>
        <v/>
      </c>
      <c r="M359" s="31" t="n"/>
      <c r="N359" s="31">
        <f>IF($M359="Yes",$K359,"")</f>
        <v/>
      </c>
      <c r="O359" s="31" t="n"/>
      <c r="P359" s="59" t="n"/>
      <c r="Q359" s="59" t="n"/>
    </row>
    <row r="360">
      <c r="A360" s="31">
        <f>IF(Members!$A360="","",Members!$A360)</f>
        <v/>
      </c>
      <c r="B360" s="31" t="n"/>
      <c r="C360" s="31" t="n"/>
      <c r="D360" s="31" t="n"/>
      <c r="E360" s="31" t="n"/>
      <c r="F360" s="31" t="n"/>
      <c r="G360" s="31" t="n"/>
      <c r="H360" s="31" t="n"/>
      <c r="I360" s="31" t="n"/>
      <c r="J360" s="31" t="n"/>
      <c r="K360" s="31">
        <f>IF(COUNTA($D360:$J360)&lt;7,"",ROUND(MIN(10000, MAX(0, ((((($D360*1.2)+($E360*1.2)+($F360*1.1)+($G360*1.0)+($H360*1.0)+($I360*1.1)+($J360*0.9))/7.5)-1)/4*8000 + MIN($B360*20,1000) + MIN($C360*100,1000))),0))</f>
        <v/>
      </c>
      <c r="L360" s="31">
        <f>IF($K360="","",MIN(100,INT(SQRT($K360))))</f>
        <v/>
      </c>
      <c r="M360" s="31" t="n"/>
      <c r="N360" s="31">
        <f>IF($M360="Yes",$K360,"")</f>
        <v/>
      </c>
      <c r="O360" s="31" t="n"/>
      <c r="P360" s="59" t="n"/>
      <c r="Q360" s="59" t="n"/>
    </row>
    <row r="361">
      <c r="A361" s="31">
        <f>IF(Members!$A361="","",Members!$A361)</f>
        <v/>
      </c>
      <c r="B361" s="31" t="n"/>
      <c r="C361" s="31" t="n"/>
      <c r="D361" s="31" t="n"/>
      <c r="E361" s="31" t="n"/>
      <c r="F361" s="31" t="n"/>
      <c r="G361" s="31" t="n"/>
      <c r="H361" s="31" t="n"/>
      <c r="I361" s="31" t="n"/>
      <c r="J361" s="31" t="n"/>
      <c r="K361" s="31">
        <f>IF(COUNTA($D361:$J361)&lt;7,"",ROUND(MIN(10000, MAX(0, ((((($D361*1.2)+($E361*1.2)+($F361*1.1)+($G361*1.0)+($H361*1.0)+($I361*1.1)+($J361*0.9))/7.5)-1)/4*8000 + MIN($B361*20,1000) + MIN($C361*100,1000))),0))</f>
        <v/>
      </c>
      <c r="L361" s="31">
        <f>IF($K361="","",MIN(100,INT(SQRT($K361))))</f>
        <v/>
      </c>
      <c r="M361" s="31" t="n"/>
      <c r="N361" s="31">
        <f>IF($M361="Yes",$K361,"")</f>
        <v/>
      </c>
      <c r="O361" s="31" t="n"/>
      <c r="P361" s="59" t="n"/>
      <c r="Q361" s="59" t="n"/>
    </row>
    <row r="362">
      <c r="A362" s="31">
        <f>IF(Members!$A362="","",Members!$A362)</f>
        <v/>
      </c>
      <c r="B362" s="31" t="n"/>
      <c r="C362" s="31" t="n"/>
      <c r="D362" s="31" t="n"/>
      <c r="E362" s="31" t="n"/>
      <c r="F362" s="31" t="n"/>
      <c r="G362" s="31" t="n"/>
      <c r="H362" s="31" t="n"/>
      <c r="I362" s="31" t="n"/>
      <c r="J362" s="31" t="n"/>
      <c r="K362" s="31">
        <f>IF(COUNTA($D362:$J362)&lt;7,"",ROUND(MIN(10000, MAX(0, ((((($D362*1.2)+($E362*1.2)+($F362*1.1)+($G362*1.0)+($H362*1.0)+($I362*1.1)+($J362*0.9))/7.5)-1)/4*8000 + MIN($B362*20,1000) + MIN($C362*100,1000))),0))</f>
        <v/>
      </c>
      <c r="L362" s="31">
        <f>IF($K362="","",MIN(100,INT(SQRT($K362))))</f>
        <v/>
      </c>
      <c r="M362" s="31" t="n"/>
      <c r="N362" s="31">
        <f>IF($M362="Yes",$K362,"")</f>
        <v/>
      </c>
      <c r="O362" s="31" t="n"/>
      <c r="P362" s="59" t="n"/>
      <c r="Q362" s="59" t="n"/>
    </row>
    <row r="363">
      <c r="A363" s="31">
        <f>IF(Members!$A363="","",Members!$A363)</f>
        <v/>
      </c>
      <c r="B363" s="31" t="n"/>
      <c r="C363" s="31" t="n"/>
      <c r="D363" s="31" t="n"/>
      <c r="E363" s="31" t="n"/>
      <c r="F363" s="31" t="n"/>
      <c r="G363" s="31" t="n"/>
      <c r="H363" s="31" t="n"/>
      <c r="I363" s="31" t="n"/>
      <c r="J363" s="31" t="n"/>
      <c r="K363" s="31">
        <f>IF(COUNTA($D363:$J363)&lt;7,"",ROUND(MIN(10000, MAX(0, ((((($D363*1.2)+($E363*1.2)+($F363*1.1)+($G363*1.0)+($H363*1.0)+($I363*1.1)+($J363*0.9))/7.5)-1)/4*8000 + MIN($B363*20,1000) + MIN($C363*100,1000))),0))</f>
        <v/>
      </c>
      <c r="L363" s="31">
        <f>IF($K363="","",MIN(100,INT(SQRT($K363))))</f>
        <v/>
      </c>
      <c r="M363" s="31" t="n"/>
      <c r="N363" s="31">
        <f>IF($M363="Yes",$K363,"")</f>
        <v/>
      </c>
      <c r="O363" s="31" t="n"/>
      <c r="P363" s="59" t="n"/>
      <c r="Q363" s="59" t="n"/>
    </row>
    <row r="364">
      <c r="A364" s="31">
        <f>IF(Members!$A364="","",Members!$A364)</f>
        <v/>
      </c>
      <c r="B364" s="31" t="n"/>
      <c r="C364" s="31" t="n"/>
      <c r="D364" s="31" t="n"/>
      <c r="E364" s="31" t="n"/>
      <c r="F364" s="31" t="n"/>
      <c r="G364" s="31" t="n"/>
      <c r="H364" s="31" t="n"/>
      <c r="I364" s="31" t="n"/>
      <c r="J364" s="31" t="n"/>
      <c r="K364" s="31">
        <f>IF(COUNTA($D364:$J364)&lt;7,"",ROUND(MIN(10000, MAX(0, ((((($D364*1.2)+($E364*1.2)+($F364*1.1)+($G364*1.0)+($H364*1.0)+($I364*1.1)+($J364*0.9))/7.5)-1)/4*8000 + MIN($B364*20,1000) + MIN($C364*100,1000))),0))</f>
        <v/>
      </c>
      <c r="L364" s="31">
        <f>IF($K364="","",MIN(100,INT(SQRT($K364))))</f>
        <v/>
      </c>
      <c r="M364" s="31" t="n"/>
      <c r="N364" s="31">
        <f>IF($M364="Yes",$K364,"")</f>
        <v/>
      </c>
      <c r="O364" s="31" t="n"/>
      <c r="P364" s="59" t="n"/>
      <c r="Q364" s="59" t="n"/>
    </row>
    <row r="365">
      <c r="A365" s="31">
        <f>IF(Members!$A365="","",Members!$A365)</f>
        <v/>
      </c>
      <c r="B365" s="31" t="n"/>
      <c r="C365" s="31" t="n"/>
      <c r="D365" s="31" t="n"/>
      <c r="E365" s="31" t="n"/>
      <c r="F365" s="31" t="n"/>
      <c r="G365" s="31" t="n"/>
      <c r="H365" s="31" t="n"/>
      <c r="I365" s="31" t="n"/>
      <c r="J365" s="31" t="n"/>
      <c r="K365" s="31">
        <f>IF(COUNTA($D365:$J365)&lt;7,"",ROUND(MIN(10000, MAX(0, ((((($D365*1.2)+($E365*1.2)+($F365*1.1)+($G365*1.0)+($H365*1.0)+($I365*1.1)+($J365*0.9))/7.5)-1)/4*8000 + MIN($B365*20,1000) + MIN($C365*100,1000))),0))</f>
        <v/>
      </c>
      <c r="L365" s="31">
        <f>IF($K365="","",MIN(100,INT(SQRT($K365))))</f>
        <v/>
      </c>
      <c r="M365" s="31" t="n"/>
      <c r="N365" s="31">
        <f>IF($M365="Yes",$K365,"")</f>
        <v/>
      </c>
      <c r="O365" s="31" t="n"/>
      <c r="P365" s="59" t="n"/>
      <c r="Q365" s="59" t="n"/>
    </row>
    <row r="366">
      <c r="A366" s="31">
        <f>IF(Members!$A366="","",Members!$A366)</f>
        <v/>
      </c>
      <c r="B366" s="31" t="n"/>
      <c r="C366" s="31" t="n"/>
      <c r="D366" s="31" t="n"/>
      <c r="E366" s="31" t="n"/>
      <c r="F366" s="31" t="n"/>
      <c r="G366" s="31" t="n"/>
      <c r="H366" s="31" t="n"/>
      <c r="I366" s="31" t="n"/>
      <c r="J366" s="31" t="n"/>
      <c r="K366" s="31">
        <f>IF(COUNTA($D366:$J366)&lt;7,"",ROUND(MIN(10000, MAX(0, ((((($D366*1.2)+($E366*1.2)+($F366*1.1)+($G366*1.0)+($H366*1.0)+($I366*1.1)+($J366*0.9))/7.5)-1)/4*8000 + MIN($B366*20,1000) + MIN($C366*100,1000))),0))</f>
        <v/>
      </c>
      <c r="L366" s="31">
        <f>IF($K366="","",MIN(100,INT(SQRT($K366))))</f>
        <v/>
      </c>
      <c r="M366" s="31" t="n"/>
      <c r="N366" s="31">
        <f>IF($M366="Yes",$K366,"")</f>
        <v/>
      </c>
      <c r="O366" s="31" t="n"/>
      <c r="P366" s="59" t="n"/>
      <c r="Q366" s="59" t="n"/>
    </row>
    <row r="367">
      <c r="A367" s="31">
        <f>IF(Members!$A367="","",Members!$A367)</f>
        <v/>
      </c>
      <c r="B367" s="31" t="n"/>
      <c r="C367" s="31" t="n"/>
      <c r="D367" s="31" t="n"/>
      <c r="E367" s="31" t="n"/>
      <c r="F367" s="31" t="n"/>
      <c r="G367" s="31" t="n"/>
      <c r="H367" s="31" t="n"/>
      <c r="I367" s="31" t="n"/>
      <c r="J367" s="31" t="n"/>
      <c r="K367" s="31">
        <f>IF(COUNTA($D367:$J367)&lt;7,"",ROUND(MIN(10000, MAX(0, ((((($D367*1.2)+($E367*1.2)+($F367*1.1)+($G367*1.0)+($H367*1.0)+($I367*1.1)+($J367*0.9))/7.5)-1)/4*8000 + MIN($B367*20,1000) + MIN($C367*100,1000))),0))</f>
        <v/>
      </c>
      <c r="L367" s="31">
        <f>IF($K367="","",MIN(100,INT(SQRT($K367))))</f>
        <v/>
      </c>
      <c r="M367" s="31" t="n"/>
      <c r="N367" s="31">
        <f>IF($M367="Yes",$K367,"")</f>
        <v/>
      </c>
      <c r="O367" s="31" t="n"/>
      <c r="P367" s="59" t="n"/>
      <c r="Q367" s="59" t="n"/>
    </row>
    <row r="368">
      <c r="A368" s="31">
        <f>IF(Members!$A368="","",Members!$A368)</f>
        <v/>
      </c>
      <c r="B368" s="31" t="n"/>
      <c r="C368" s="31" t="n"/>
      <c r="D368" s="31" t="n"/>
      <c r="E368" s="31" t="n"/>
      <c r="F368" s="31" t="n"/>
      <c r="G368" s="31" t="n"/>
      <c r="H368" s="31" t="n"/>
      <c r="I368" s="31" t="n"/>
      <c r="J368" s="31" t="n"/>
      <c r="K368" s="31">
        <f>IF(COUNTA($D368:$J368)&lt;7,"",ROUND(MIN(10000, MAX(0, ((((($D368*1.2)+($E368*1.2)+($F368*1.1)+($G368*1.0)+($H368*1.0)+($I368*1.1)+($J368*0.9))/7.5)-1)/4*8000 + MIN($B368*20,1000) + MIN($C368*100,1000))),0))</f>
        <v/>
      </c>
      <c r="L368" s="31">
        <f>IF($K368="","",MIN(100,INT(SQRT($K368))))</f>
        <v/>
      </c>
      <c r="M368" s="31" t="n"/>
      <c r="N368" s="31">
        <f>IF($M368="Yes",$K368,"")</f>
        <v/>
      </c>
      <c r="O368" s="31" t="n"/>
      <c r="P368" s="59" t="n"/>
      <c r="Q368" s="59" t="n"/>
    </row>
    <row r="369">
      <c r="A369" s="31">
        <f>IF(Members!$A369="","",Members!$A369)</f>
        <v/>
      </c>
      <c r="B369" s="31" t="n"/>
      <c r="C369" s="31" t="n"/>
      <c r="D369" s="31" t="n"/>
      <c r="E369" s="31" t="n"/>
      <c r="F369" s="31" t="n"/>
      <c r="G369" s="31" t="n"/>
      <c r="H369" s="31" t="n"/>
      <c r="I369" s="31" t="n"/>
      <c r="J369" s="31" t="n"/>
      <c r="K369" s="31">
        <f>IF(COUNTA($D369:$J369)&lt;7,"",ROUND(MIN(10000, MAX(0, ((((($D369*1.2)+($E369*1.2)+($F369*1.1)+($G369*1.0)+($H369*1.0)+($I369*1.1)+($J369*0.9))/7.5)-1)/4*8000 + MIN($B369*20,1000) + MIN($C369*100,1000))),0))</f>
        <v/>
      </c>
      <c r="L369" s="31">
        <f>IF($K369="","",MIN(100,INT(SQRT($K369))))</f>
        <v/>
      </c>
      <c r="M369" s="31" t="n"/>
      <c r="N369" s="31">
        <f>IF($M369="Yes",$K369,"")</f>
        <v/>
      </c>
      <c r="O369" s="31" t="n"/>
      <c r="P369" s="59" t="n"/>
      <c r="Q369" s="59" t="n"/>
    </row>
    <row r="370">
      <c r="A370" s="31">
        <f>IF(Members!$A370="","",Members!$A370)</f>
        <v/>
      </c>
      <c r="B370" s="31" t="n"/>
      <c r="C370" s="31" t="n"/>
      <c r="D370" s="31" t="n"/>
      <c r="E370" s="31" t="n"/>
      <c r="F370" s="31" t="n"/>
      <c r="G370" s="31" t="n"/>
      <c r="H370" s="31" t="n"/>
      <c r="I370" s="31" t="n"/>
      <c r="J370" s="31" t="n"/>
      <c r="K370" s="31">
        <f>IF(COUNTA($D370:$J370)&lt;7,"",ROUND(MIN(10000, MAX(0, ((((($D370*1.2)+($E370*1.2)+($F370*1.1)+($G370*1.0)+($H370*1.0)+($I370*1.1)+($J370*0.9))/7.5)-1)/4*8000 + MIN($B370*20,1000) + MIN($C370*100,1000))),0))</f>
        <v/>
      </c>
      <c r="L370" s="31">
        <f>IF($K370="","",MIN(100,INT(SQRT($K370))))</f>
        <v/>
      </c>
      <c r="M370" s="31" t="n"/>
      <c r="N370" s="31">
        <f>IF($M370="Yes",$K370,"")</f>
        <v/>
      </c>
      <c r="O370" s="31" t="n"/>
      <c r="P370" s="59" t="n"/>
      <c r="Q370" s="59" t="n"/>
    </row>
    <row r="371">
      <c r="A371" s="31">
        <f>IF(Members!$A371="","",Members!$A371)</f>
        <v/>
      </c>
      <c r="B371" s="31" t="n"/>
      <c r="C371" s="31" t="n"/>
      <c r="D371" s="31" t="n"/>
      <c r="E371" s="31" t="n"/>
      <c r="F371" s="31" t="n"/>
      <c r="G371" s="31" t="n"/>
      <c r="H371" s="31" t="n"/>
      <c r="I371" s="31" t="n"/>
      <c r="J371" s="31" t="n"/>
      <c r="K371" s="31">
        <f>IF(COUNTA($D371:$J371)&lt;7,"",ROUND(MIN(10000, MAX(0, ((((($D371*1.2)+($E371*1.2)+($F371*1.1)+($G371*1.0)+($H371*1.0)+($I371*1.1)+($J371*0.9))/7.5)-1)/4*8000 + MIN($B371*20,1000) + MIN($C371*100,1000))),0))</f>
        <v/>
      </c>
      <c r="L371" s="31">
        <f>IF($K371="","",MIN(100,INT(SQRT($K371))))</f>
        <v/>
      </c>
      <c r="M371" s="31" t="n"/>
      <c r="N371" s="31">
        <f>IF($M371="Yes",$K371,"")</f>
        <v/>
      </c>
      <c r="O371" s="31" t="n"/>
      <c r="P371" s="59" t="n"/>
      <c r="Q371" s="59" t="n"/>
    </row>
    <row r="372">
      <c r="A372" s="31">
        <f>IF(Members!$A372="","",Members!$A372)</f>
        <v/>
      </c>
      <c r="B372" s="31" t="n"/>
      <c r="C372" s="31" t="n"/>
      <c r="D372" s="31" t="n"/>
      <c r="E372" s="31" t="n"/>
      <c r="F372" s="31" t="n"/>
      <c r="G372" s="31" t="n"/>
      <c r="H372" s="31" t="n"/>
      <c r="I372" s="31" t="n"/>
      <c r="J372" s="31" t="n"/>
      <c r="K372" s="31">
        <f>IF(COUNTA($D372:$J372)&lt;7,"",ROUND(MIN(10000, MAX(0, ((((($D372*1.2)+($E372*1.2)+($F372*1.1)+($G372*1.0)+($H372*1.0)+($I372*1.1)+($J372*0.9))/7.5)-1)/4*8000 + MIN($B372*20,1000) + MIN($C372*100,1000))),0))</f>
        <v/>
      </c>
      <c r="L372" s="31">
        <f>IF($K372="","",MIN(100,INT(SQRT($K372))))</f>
        <v/>
      </c>
      <c r="M372" s="31" t="n"/>
      <c r="N372" s="31">
        <f>IF($M372="Yes",$K372,"")</f>
        <v/>
      </c>
      <c r="O372" s="31" t="n"/>
      <c r="P372" s="59" t="n"/>
      <c r="Q372" s="59" t="n"/>
    </row>
    <row r="373">
      <c r="A373" s="31">
        <f>IF(Members!$A373="","",Members!$A373)</f>
        <v/>
      </c>
      <c r="B373" s="31" t="n"/>
      <c r="C373" s="31" t="n"/>
      <c r="D373" s="31" t="n"/>
      <c r="E373" s="31" t="n"/>
      <c r="F373" s="31" t="n"/>
      <c r="G373" s="31" t="n"/>
      <c r="H373" s="31" t="n"/>
      <c r="I373" s="31" t="n"/>
      <c r="J373" s="31" t="n"/>
      <c r="K373" s="31">
        <f>IF(COUNTA($D373:$J373)&lt;7,"",ROUND(MIN(10000, MAX(0, ((((($D373*1.2)+($E373*1.2)+($F373*1.1)+($G373*1.0)+($H373*1.0)+($I373*1.1)+($J373*0.9))/7.5)-1)/4*8000 + MIN($B373*20,1000) + MIN($C373*100,1000))),0))</f>
        <v/>
      </c>
      <c r="L373" s="31">
        <f>IF($K373="","",MIN(100,INT(SQRT($K373))))</f>
        <v/>
      </c>
      <c r="M373" s="31" t="n"/>
      <c r="N373" s="31">
        <f>IF($M373="Yes",$K373,"")</f>
        <v/>
      </c>
      <c r="O373" s="31" t="n"/>
      <c r="P373" s="59" t="n"/>
      <c r="Q373" s="59" t="n"/>
    </row>
    <row r="374">
      <c r="A374" s="31">
        <f>IF(Members!$A374="","",Members!$A374)</f>
        <v/>
      </c>
      <c r="B374" s="31" t="n"/>
      <c r="C374" s="31" t="n"/>
      <c r="D374" s="31" t="n"/>
      <c r="E374" s="31" t="n"/>
      <c r="F374" s="31" t="n"/>
      <c r="G374" s="31" t="n"/>
      <c r="H374" s="31" t="n"/>
      <c r="I374" s="31" t="n"/>
      <c r="J374" s="31" t="n"/>
      <c r="K374" s="31">
        <f>IF(COUNTA($D374:$J374)&lt;7,"",ROUND(MIN(10000, MAX(0, ((((($D374*1.2)+($E374*1.2)+($F374*1.1)+($G374*1.0)+($H374*1.0)+($I374*1.1)+($J374*0.9))/7.5)-1)/4*8000 + MIN($B374*20,1000) + MIN($C374*100,1000))),0))</f>
        <v/>
      </c>
      <c r="L374" s="31">
        <f>IF($K374="","",MIN(100,INT(SQRT($K374))))</f>
        <v/>
      </c>
      <c r="M374" s="31" t="n"/>
      <c r="N374" s="31">
        <f>IF($M374="Yes",$K374,"")</f>
        <v/>
      </c>
      <c r="O374" s="31" t="n"/>
      <c r="P374" s="59" t="n"/>
      <c r="Q374" s="59" t="n"/>
    </row>
    <row r="375">
      <c r="A375" s="31">
        <f>IF(Members!$A375="","",Members!$A375)</f>
        <v/>
      </c>
      <c r="B375" s="31" t="n"/>
      <c r="C375" s="31" t="n"/>
      <c r="D375" s="31" t="n"/>
      <c r="E375" s="31" t="n"/>
      <c r="F375" s="31" t="n"/>
      <c r="G375" s="31" t="n"/>
      <c r="H375" s="31" t="n"/>
      <c r="I375" s="31" t="n"/>
      <c r="J375" s="31" t="n"/>
      <c r="K375" s="31">
        <f>IF(COUNTA($D375:$J375)&lt;7,"",ROUND(MIN(10000, MAX(0, ((((($D375*1.2)+($E375*1.2)+($F375*1.1)+($G375*1.0)+($H375*1.0)+($I375*1.1)+($J375*0.9))/7.5)-1)/4*8000 + MIN($B375*20,1000) + MIN($C375*100,1000))),0))</f>
        <v/>
      </c>
      <c r="L375" s="31">
        <f>IF($K375="","",MIN(100,INT(SQRT($K375))))</f>
        <v/>
      </c>
      <c r="M375" s="31" t="n"/>
      <c r="N375" s="31">
        <f>IF($M375="Yes",$K375,"")</f>
        <v/>
      </c>
      <c r="O375" s="31" t="n"/>
      <c r="P375" s="59" t="n"/>
      <c r="Q375" s="59" t="n"/>
    </row>
    <row r="376">
      <c r="A376" s="31">
        <f>IF(Members!$A376="","",Members!$A376)</f>
        <v/>
      </c>
      <c r="B376" s="31" t="n"/>
      <c r="C376" s="31" t="n"/>
      <c r="D376" s="31" t="n"/>
      <c r="E376" s="31" t="n"/>
      <c r="F376" s="31" t="n"/>
      <c r="G376" s="31" t="n"/>
      <c r="H376" s="31" t="n"/>
      <c r="I376" s="31" t="n"/>
      <c r="J376" s="31" t="n"/>
      <c r="K376" s="31">
        <f>IF(COUNTA($D376:$J376)&lt;7,"",ROUND(MIN(10000, MAX(0, ((((($D376*1.2)+($E376*1.2)+($F376*1.1)+($G376*1.0)+($H376*1.0)+($I376*1.1)+($J376*0.9))/7.5)-1)/4*8000 + MIN($B376*20,1000) + MIN($C376*100,1000))),0))</f>
        <v/>
      </c>
      <c r="L376" s="31">
        <f>IF($K376="","",MIN(100,INT(SQRT($K376))))</f>
        <v/>
      </c>
      <c r="M376" s="31" t="n"/>
      <c r="N376" s="31">
        <f>IF($M376="Yes",$K376,"")</f>
        <v/>
      </c>
      <c r="O376" s="31" t="n"/>
      <c r="P376" s="59" t="n"/>
      <c r="Q376" s="59" t="n"/>
    </row>
    <row r="377">
      <c r="A377" s="31">
        <f>IF(Members!$A377="","",Members!$A377)</f>
        <v/>
      </c>
      <c r="B377" s="31" t="n"/>
      <c r="C377" s="31" t="n"/>
      <c r="D377" s="31" t="n"/>
      <c r="E377" s="31" t="n"/>
      <c r="F377" s="31" t="n"/>
      <c r="G377" s="31" t="n"/>
      <c r="H377" s="31" t="n"/>
      <c r="I377" s="31" t="n"/>
      <c r="J377" s="31" t="n"/>
      <c r="K377" s="31">
        <f>IF(COUNTA($D377:$J377)&lt;7,"",ROUND(MIN(10000, MAX(0, ((((($D377*1.2)+($E377*1.2)+($F377*1.1)+($G377*1.0)+($H377*1.0)+($I377*1.1)+($J377*0.9))/7.5)-1)/4*8000 + MIN($B377*20,1000) + MIN($C377*100,1000))),0))</f>
        <v/>
      </c>
      <c r="L377" s="31">
        <f>IF($K377="","",MIN(100,INT(SQRT($K377))))</f>
        <v/>
      </c>
      <c r="M377" s="31" t="n"/>
      <c r="N377" s="31">
        <f>IF($M377="Yes",$K377,"")</f>
        <v/>
      </c>
      <c r="O377" s="31" t="n"/>
      <c r="P377" s="59" t="n"/>
      <c r="Q377" s="59" t="n"/>
    </row>
    <row r="378">
      <c r="A378" s="31">
        <f>IF(Members!$A378="","",Members!$A378)</f>
        <v/>
      </c>
      <c r="B378" s="31" t="n"/>
      <c r="C378" s="31" t="n"/>
      <c r="D378" s="31" t="n"/>
      <c r="E378" s="31" t="n"/>
      <c r="F378" s="31" t="n"/>
      <c r="G378" s="31" t="n"/>
      <c r="H378" s="31" t="n"/>
      <c r="I378" s="31" t="n"/>
      <c r="J378" s="31" t="n"/>
      <c r="K378" s="31">
        <f>IF(COUNTA($D378:$J378)&lt;7,"",ROUND(MIN(10000, MAX(0, ((((($D378*1.2)+($E378*1.2)+($F378*1.1)+($G378*1.0)+($H378*1.0)+($I378*1.1)+($J378*0.9))/7.5)-1)/4*8000 + MIN($B378*20,1000) + MIN($C378*100,1000))),0))</f>
        <v/>
      </c>
      <c r="L378" s="31">
        <f>IF($K378="","",MIN(100,INT(SQRT($K378))))</f>
        <v/>
      </c>
      <c r="M378" s="31" t="n"/>
      <c r="N378" s="31">
        <f>IF($M378="Yes",$K378,"")</f>
        <v/>
      </c>
      <c r="O378" s="31" t="n"/>
      <c r="P378" s="59" t="n"/>
      <c r="Q378" s="59" t="n"/>
    </row>
    <row r="379">
      <c r="A379" s="31">
        <f>IF(Members!$A379="","",Members!$A379)</f>
        <v/>
      </c>
      <c r="B379" s="31" t="n"/>
      <c r="C379" s="31" t="n"/>
      <c r="D379" s="31" t="n"/>
      <c r="E379" s="31" t="n"/>
      <c r="F379" s="31" t="n"/>
      <c r="G379" s="31" t="n"/>
      <c r="H379" s="31" t="n"/>
      <c r="I379" s="31" t="n"/>
      <c r="J379" s="31" t="n"/>
      <c r="K379" s="31">
        <f>IF(COUNTA($D379:$J379)&lt;7,"",ROUND(MIN(10000, MAX(0, ((((($D379*1.2)+($E379*1.2)+($F379*1.1)+($G379*1.0)+($H379*1.0)+($I379*1.1)+($J379*0.9))/7.5)-1)/4*8000 + MIN($B379*20,1000) + MIN($C379*100,1000))),0))</f>
        <v/>
      </c>
      <c r="L379" s="31">
        <f>IF($K379="","",MIN(100,INT(SQRT($K379))))</f>
        <v/>
      </c>
      <c r="M379" s="31" t="n"/>
      <c r="N379" s="31">
        <f>IF($M379="Yes",$K379,"")</f>
        <v/>
      </c>
      <c r="O379" s="31" t="n"/>
      <c r="P379" s="59" t="n"/>
      <c r="Q379" s="59" t="n"/>
    </row>
    <row r="380">
      <c r="A380" s="31">
        <f>IF(Members!$A380="","",Members!$A380)</f>
        <v/>
      </c>
      <c r="B380" s="31" t="n"/>
      <c r="C380" s="31" t="n"/>
      <c r="D380" s="31" t="n"/>
      <c r="E380" s="31" t="n"/>
      <c r="F380" s="31" t="n"/>
      <c r="G380" s="31" t="n"/>
      <c r="H380" s="31" t="n"/>
      <c r="I380" s="31" t="n"/>
      <c r="J380" s="31" t="n"/>
      <c r="K380" s="31">
        <f>IF(COUNTA($D380:$J380)&lt;7,"",ROUND(MIN(10000, MAX(0, ((((($D380*1.2)+($E380*1.2)+($F380*1.1)+($G380*1.0)+($H380*1.0)+($I380*1.1)+($J380*0.9))/7.5)-1)/4*8000 + MIN($B380*20,1000) + MIN($C380*100,1000))),0))</f>
        <v/>
      </c>
      <c r="L380" s="31">
        <f>IF($K380="","",MIN(100,INT(SQRT($K380))))</f>
        <v/>
      </c>
      <c r="M380" s="31" t="n"/>
      <c r="N380" s="31">
        <f>IF($M380="Yes",$K380,"")</f>
        <v/>
      </c>
      <c r="O380" s="31" t="n"/>
      <c r="P380" s="59" t="n"/>
      <c r="Q380" s="59" t="n"/>
    </row>
    <row r="381">
      <c r="A381" s="31">
        <f>IF(Members!$A381="","",Members!$A381)</f>
        <v/>
      </c>
      <c r="B381" s="31" t="n"/>
      <c r="C381" s="31" t="n"/>
      <c r="D381" s="31" t="n"/>
      <c r="E381" s="31" t="n"/>
      <c r="F381" s="31" t="n"/>
      <c r="G381" s="31" t="n"/>
      <c r="H381" s="31" t="n"/>
      <c r="I381" s="31" t="n"/>
      <c r="J381" s="31" t="n"/>
      <c r="K381" s="31">
        <f>IF(COUNTA($D381:$J381)&lt;7,"",ROUND(MIN(10000, MAX(0, ((((($D381*1.2)+($E381*1.2)+($F381*1.1)+($G381*1.0)+($H381*1.0)+($I381*1.1)+($J381*0.9))/7.5)-1)/4*8000 + MIN($B381*20,1000) + MIN($C381*100,1000))),0))</f>
        <v/>
      </c>
      <c r="L381" s="31">
        <f>IF($K381="","",MIN(100,INT(SQRT($K381))))</f>
        <v/>
      </c>
      <c r="M381" s="31" t="n"/>
      <c r="N381" s="31">
        <f>IF($M381="Yes",$K381,"")</f>
        <v/>
      </c>
      <c r="O381" s="31" t="n"/>
      <c r="P381" s="59" t="n"/>
      <c r="Q381" s="59" t="n"/>
    </row>
    <row r="382">
      <c r="A382" s="31">
        <f>IF(Members!$A382="","",Members!$A382)</f>
        <v/>
      </c>
      <c r="B382" s="31" t="n"/>
      <c r="C382" s="31" t="n"/>
      <c r="D382" s="31" t="n"/>
      <c r="E382" s="31" t="n"/>
      <c r="F382" s="31" t="n"/>
      <c r="G382" s="31" t="n"/>
      <c r="H382" s="31" t="n"/>
      <c r="I382" s="31" t="n"/>
      <c r="J382" s="31" t="n"/>
      <c r="K382" s="31">
        <f>IF(COUNTA($D382:$J382)&lt;7,"",ROUND(MIN(10000, MAX(0, ((((($D382*1.2)+($E382*1.2)+($F382*1.1)+($G382*1.0)+($H382*1.0)+($I382*1.1)+($J382*0.9))/7.5)-1)/4*8000 + MIN($B382*20,1000) + MIN($C382*100,1000))),0))</f>
        <v/>
      </c>
      <c r="L382" s="31">
        <f>IF($K382="","",MIN(100,INT(SQRT($K382))))</f>
        <v/>
      </c>
      <c r="M382" s="31" t="n"/>
      <c r="N382" s="31">
        <f>IF($M382="Yes",$K382,"")</f>
        <v/>
      </c>
      <c r="O382" s="31" t="n"/>
      <c r="P382" s="59" t="n"/>
      <c r="Q382" s="59" t="n"/>
    </row>
    <row r="383">
      <c r="A383" s="31">
        <f>IF(Members!$A383="","",Members!$A383)</f>
        <v/>
      </c>
      <c r="B383" s="31" t="n"/>
      <c r="C383" s="31" t="n"/>
      <c r="D383" s="31" t="n"/>
      <c r="E383" s="31" t="n"/>
      <c r="F383" s="31" t="n"/>
      <c r="G383" s="31" t="n"/>
      <c r="H383" s="31" t="n"/>
      <c r="I383" s="31" t="n"/>
      <c r="J383" s="31" t="n"/>
      <c r="K383" s="31">
        <f>IF(COUNTA($D383:$J383)&lt;7,"",ROUND(MIN(10000, MAX(0, ((((($D383*1.2)+($E383*1.2)+($F383*1.1)+($G383*1.0)+($H383*1.0)+($I383*1.1)+($J383*0.9))/7.5)-1)/4*8000 + MIN($B383*20,1000) + MIN($C383*100,1000))),0))</f>
        <v/>
      </c>
      <c r="L383" s="31">
        <f>IF($K383="","",MIN(100,INT(SQRT($K383))))</f>
        <v/>
      </c>
      <c r="M383" s="31" t="n"/>
      <c r="N383" s="31">
        <f>IF($M383="Yes",$K383,"")</f>
        <v/>
      </c>
      <c r="O383" s="31" t="n"/>
      <c r="P383" s="59" t="n"/>
      <c r="Q383" s="59" t="n"/>
    </row>
    <row r="384">
      <c r="A384" s="31">
        <f>IF(Members!$A384="","",Members!$A384)</f>
        <v/>
      </c>
      <c r="B384" s="31" t="n"/>
      <c r="C384" s="31" t="n"/>
      <c r="D384" s="31" t="n"/>
      <c r="E384" s="31" t="n"/>
      <c r="F384" s="31" t="n"/>
      <c r="G384" s="31" t="n"/>
      <c r="H384" s="31" t="n"/>
      <c r="I384" s="31" t="n"/>
      <c r="J384" s="31" t="n"/>
      <c r="K384" s="31">
        <f>IF(COUNTA($D384:$J384)&lt;7,"",ROUND(MIN(10000, MAX(0, ((((($D384*1.2)+($E384*1.2)+($F384*1.1)+($G384*1.0)+($H384*1.0)+($I384*1.1)+($J384*0.9))/7.5)-1)/4*8000 + MIN($B384*20,1000) + MIN($C384*100,1000))),0))</f>
        <v/>
      </c>
      <c r="L384" s="31">
        <f>IF($K384="","",MIN(100,INT(SQRT($K384))))</f>
        <v/>
      </c>
      <c r="M384" s="31" t="n"/>
      <c r="N384" s="31">
        <f>IF($M384="Yes",$K384,"")</f>
        <v/>
      </c>
      <c r="O384" s="31" t="n"/>
      <c r="P384" s="59" t="n"/>
      <c r="Q384" s="59" t="n"/>
    </row>
    <row r="385">
      <c r="A385" s="31">
        <f>IF(Members!$A385="","",Members!$A385)</f>
        <v/>
      </c>
      <c r="B385" s="31" t="n"/>
      <c r="C385" s="31" t="n"/>
      <c r="D385" s="31" t="n"/>
      <c r="E385" s="31" t="n"/>
      <c r="F385" s="31" t="n"/>
      <c r="G385" s="31" t="n"/>
      <c r="H385" s="31" t="n"/>
      <c r="I385" s="31" t="n"/>
      <c r="J385" s="31" t="n"/>
      <c r="K385" s="31">
        <f>IF(COUNTA($D385:$J385)&lt;7,"",ROUND(MIN(10000, MAX(0, ((((($D385*1.2)+($E385*1.2)+($F385*1.1)+($G385*1.0)+($H385*1.0)+($I385*1.1)+($J385*0.9))/7.5)-1)/4*8000 + MIN($B385*20,1000) + MIN($C385*100,1000))),0))</f>
        <v/>
      </c>
      <c r="L385" s="31">
        <f>IF($K385="","",MIN(100,INT(SQRT($K385))))</f>
        <v/>
      </c>
      <c r="M385" s="31" t="n"/>
      <c r="N385" s="31">
        <f>IF($M385="Yes",$K385,"")</f>
        <v/>
      </c>
      <c r="O385" s="31" t="n"/>
      <c r="P385" s="59" t="n"/>
      <c r="Q385" s="59" t="n"/>
    </row>
    <row r="386">
      <c r="A386" s="31">
        <f>IF(Members!$A386="","",Members!$A386)</f>
        <v/>
      </c>
      <c r="B386" s="31" t="n"/>
      <c r="C386" s="31" t="n"/>
      <c r="D386" s="31" t="n"/>
      <c r="E386" s="31" t="n"/>
      <c r="F386" s="31" t="n"/>
      <c r="G386" s="31" t="n"/>
      <c r="H386" s="31" t="n"/>
      <c r="I386" s="31" t="n"/>
      <c r="J386" s="31" t="n"/>
      <c r="K386" s="31">
        <f>IF(COUNTA($D386:$J386)&lt;7,"",ROUND(MIN(10000, MAX(0, ((((($D386*1.2)+($E386*1.2)+($F386*1.1)+($G386*1.0)+($H386*1.0)+($I386*1.1)+($J386*0.9))/7.5)-1)/4*8000 + MIN($B386*20,1000) + MIN($C386*100,1000))),0))</f>
        <v/>
      </c>
      <c r="L386" s="31">
        <f>IF($K386="","",MIN(100,INT(SQRT($K386))))</f>
        <v/>
      </c>
      <c r="M386" s="31" t="n"/>
      <c r="N386" s="31">
        <f>IF($M386="Yes",$K386,"")</f>
        <v/>
      </c>
      <c r="O386" s="31" t="n"/>
      <c r="P386" s="59" t="n"/>
      <c r="Q386" s="59" t="n"/>
    </row>
    <row r="387">
      <c r="A387" s="31">
        <f>IF(Members!$A387="","",Members!$A387)</f>
        <v/>
      </c>
      <c r="B387" s="31" t="n"/>
      <c r="C387" s="31" t="n"/>
      <c r="D387" s="31" t="n"/>
      <c r="E387" s="31" t="n"/>
      <c r="F387" s="31" t="n"/>
      <c r="G387" s="31" t="n"/>
      <c r="H387" s="31" t="n"/>
      <c r="I387" s="31" t="n"/>
      <c r="J387" s="31" t="n"/>
      <c r="K387" s="31">
        <f>IF(COUNTA($D387:$J387)&lt;7,"",ROUND(MIN(10000, MAX(0, ((((($D387*1.2)+($E387*1.2)+($F387*1.1)+($G387*1.0)+($H387*1.0)+($I387*1.1)+($J387*0.9))/7.5)-1)/4*8000 + MIN($B387*20,1000) + MIN($C387*100,1000))),0))</f>
        <v/>
      </c>
      <c r="L387" s="31">
        <f>IF($K387="","",MIN(100,INT(SQRT($K387))))</f>
        <v/>
      </c>
      <c r="M387" s="31" t="n"/>
      <c r="N387" s="31">
        <f>IF($M387="Yes",$K387,"")</f>
        <v/>
      </c>
      <c r="O387" s="31" t="n"/>
      <c r="P387" s="59" t="n"/>
      <c r="Q387" s="59" t="n"/>
    </row>
    <row r="388">
      <c r="A388" s="31">
        <f>IF(Members!$A388="","",Members!$A388)</f>
        <v/>
      </c>
      <c r="B388" s="31" t="n"/>
      <c r="C388" s="31" t="n"/>
      <c r="D388" s="31" t="n"/>
      <c r="E388" s="31" t="n"/>
      <c r="F388" s="31" t="n"/>
      <c r="G388" s="31" t="n"/>
      <c r="H388" s="31" t="n"/>
      <c r="I388" s="31" t="n"/>
      <c r="J388" s="31" t="n"/>
      <c r="K388" s="31">
        <f>IF(COUNTA($D388:$J388)&lt;7,"",ROUND(MIN(10000, MAX(0, ((((($D388*1.2)+($E388*1.2)+($F388*1.1)+($G388*1.0)+($H388*1.0)+($I388*1.1)+($J388*0.9))/7.5)-1)/4*8000 + MIN($B388*20,1000) + MIN($C388*100,1000))),0))</f>
        <v/>
      </c>
      <c r="L388" s="31">
        <f>IF($K388="","",MIN(100,INT(SQRT($K388))))</f>
        <v/>
      </c>
      <c r="M388" s="31" t="n"/>
      <c r="N388" s="31">
        <f>IF($M388="Yes",$K388,"")</f>
        <v/>
      </c>
      <c r="O388" s="31" t="n"/>
      <c r="P388" s="59" t="n"/>
      <c r="Q388" s="59" t="n"/>
    </row>
    <row r="389">
      <c r="A389" s="31">
        <f>IF(Members!$A389="","",Members!$A389)</f>
        <v/>
      </c>
      <c r="B389" s="31" t="n"/>
      <c r="C389" s="31" t="n"/>
      <c r="D389" s="31" t="n"/>
      <c r="E389" s="31" t="n"/>
      <c r="F389" s="31" t="n"/>
      <c r="G389" s="31" t="n"/>
      <c r="H389" s="31" t="n"/>
      <c r="I389" s="31" t="n"/>
      <c r="J389" s="31" t="n"/>
      <c r="K389" s="31">
        <f>IF(COUNTA($D389:$J389)&lt;7,"",ROUND(MIN(10000, MAX(0, ((((($D389*1.2)+($E389*1.2)+($F389*1.1)+($G389*1.0)+($H389*1.0)+($I389*1.1)+($J389*0.9))/7.5)-1)/4*8000 + MIN($B389*20,1000) + MIN($C389*100,1000))),0))</f>
        <v/>
      </c>
      <c r="L389" s="31">
        <f>IF($K389="","",MIN(100,INT(SQRT($K389))))</f>
        <v/>
      </c>
      <c r="M389" s="31" t="n"/>
      <c r="N389" s="31">
        <f>IF($M389="Yes",$K389,"")</f>
        <v/>
      </c>
      <c r="O389" s="31" t="n"/>
      <c r="P389" s="59" t="n"/>
      <c r="Q389" s="59" t="n"/>
    </row>
    <row r="390">
      <c r="A390" s="31">
        <f>IF(Members!$A390="","",Members!$A390)</f>
        <v/>
      </c>
      <c r="B390" s="31" t="n"/>
      <c r="C390" s="31" t="n"/>
      <c r="D390" s="31" t="n"/>
      <c r="E390" s="31" t="n"/>
      <c r="F390" s="31" t="n"/>
      <c r="G390" s="31" t="n"/>
      <c r="H390" s="31" t="n"/>
      <c r="I390" s="31" t="n"/>
      <c r="J390" s="31" t="n"/>
      <c r="K390" s="31">
        <f>IF(COUNTA($D390:$J390)&lt;7,"",ROUND(MIN(10000, MAX(0, ((((($D390*1.2)+($E390*1.2)+($F390*1.1)+($G390*1.0)+($H390*1.0)+($I390*1.1)+($J390*0.9))/7.5)-1)/4*8000 + MIN($B390*20,1000) + MIN($C390*100,1000))),0))</f>
        <v/>
      </c>
      <c r="L390" s="31">
        <f>IF($K390="","",MIN(100,INT(SQRT($K390))))</f>
        <v/>
      </c>
      <c r="M390" s="31" t="n"/>
      <c r="N390" s="31">
        <f>IF($M390="Yes",$K390,"")</f>
        <v/>
      </c>
      <c r="O390" s="31" t="n"/>
      <c r="P390" s="59" t="n"/>
      <c r="Q390" s="59" t="n"/>
    </row>
    <row r="391">
      <c r="A391" s="31">
        <f>IF(Members!$A391="","",Members!$A391)</f>
        <v/>
      </c>
      <c r="B391" s="31" t="n"/>
      <c r="C391" s="31" t="n"/>
      <c r="D391" s="31" t="n"/>
      <c r="E391" s="31" t="n"/>
      <c r="F391" s="31" t="n"/>
      <c r="G391" s="31" t="n"/>
      <c r="H391" s="31" t="n"/>
      <c r="I391" s="31" t="n"/>
      <c r="J391" s="31" t="n"/>
      <c r="K391" s="31">
        <f>IF(COUNTA($D391:$J391)&lt;7,"",ROUND(MIN(10000, MAX(0, ((((($D391*1.2)+($E391*1.2)+($F391*1.1)+($G391*1.0)+($H391*1.0)+($I391*1.1)+($J391*0.9))/7.5)-1)/4*8000 + MIN($B391*20,1000) + MIN($C391*100,1000))),0))</f>
        <v/>
      </c>
      <c r="L391" s="31">
        <f>IF($K391="","",MIN(100,INT(SQRT($K391))))</f>
        <v/>
      </c>
      <c r="M391" s="31" t="n"/>
      <c r="N391" s="31">
        <f>IF($M391="Yes",$K391,"")</f>
        <v/>
      </c>
      <c r="O391" s="31" t="n"/>
      <c r="P391" s="59" t="n"/>
      <c r="Q391" s="59" t="n"/>
    </row>
    <row r="392">
      <c r="A392" s="31">
        <f>IF(Members!$A392="","",Members!$A392)</f>
        <v/>
      </c>
      <c r="B392" s="31" t="n"/>
      <c r="C392" s="31" t="n"/>
      <c r="D392" s="31" t="n"/>
      <c r="E392" s="31" t="n"/>
      <c r="F392" s="31" t="n"/>
      <c r="G392" s="31" t="n"/>
      <c r="H392" s="31" t="n"/>
      <c r="I392" s="31" t="n"/>
      <c r="J392" s="31" t="n"/>
      <c r="K392" s="31">
        <f>IF(COUNTA($D392:$J392)&lt;7,"",ROUND(MIN(10000, MAX(0, ((((($D392*1.2)+($E392*1.2)+($F392*1.1)+($G392*1.0)+($H392*1.0)+($I392*1.1)+($J392*0.9))/7.5)-1)/4*8000 + MIN($B392*20,1000) + MIN($C392*100,1000))),0))</f>
        <v/>
      </c>
      <c r="L392" s="31">
        <f>IF($K392="","",MIN(100,INT(SQRT($K392))))</f>
        <v/>
      </c>
      <c r="M392" s="31" t="n"/>
      <c r="N392" s="31">
        <f>IF($M392="Yes",$K392,"")</f>
        <v/>
      </c>
      <c r="O392" s="31" t="n"/>
      <c r="P392" s="59" t="n"/>
      <c r="Q392" s="59" t="n"/>
    </row>
    <row r="393">
      <c r="A393" s="31">
        <f>IF(Members!$A393="","",Members!$A393)</f>
        <v/>
      </c>
      <c r="B393" s="31" t="n"/>
      <c r="C393" s="31" t="n"/>
      <c r="D393" s="31" t="n"/>
      <c r="E393" s="31" t="n"/>
      <c r="F393" s="31" t="n"/>
      <c r="G393" s="31" t="n"/>
      <c r="H393" s="31" t="n"/>
      <c r="I393" s="31" t="n"/>
      <c r="J393" s="31" t="n"/>
      <c r="K393" s="31">
        <f>IF(COUNTA($D393:$J393)&lt;7,"",ROUND(MIN(10000, MAX(0, ((((($D393*1.2)+($E393*1.2)+($F393*1.1)+($G393*1.0)+($H393*1.0)+($I393*1.1)+($J393*0.9))/7.5)-1)/4*8000 + MIN($B393*20,1000) + MIN($C393*100,1000))),0))</f>
        <v/>
      </c>
      <c r="L393" s="31">
        <f>IF($K393="","",MIN(100,INT(SQRT($K393))))</f>
        <v/>
      </c>
      <c r="M393" s="31" t="n"/>
      <c r="N393" s="31">
        <f>IF($M393="Yes",$K393,"")</f>
        <v/>
      </c>
      <c r="O393" s="31" t="n"/>
      <c r="P393" s="59" t="n"/>
      <c r="Q393" s="59" t="n"/>
    </row>
    <row r="394">
      <c r="A394" s="31">
        <f>IF(Members!$A394="","",Members!$A394)</f>
        <v/>
      </c>
      <c r="B394" s="31" t="n"/>
      <c r="C394" s="31" t="n"/>
      <c r="D394" s="31" t="n"/>
      <c r="E394" s="31" t="n"/>
      <c r="F394" s="31" t="n"/>
      <c r="G394" s="31" t="n"/>
      <c r="H394" s="31" t="n"/>
      <c r="I394" s="31" t="n"/>
      <c r="J394" s="31" t="n"/>
      <c r="K394" s="31">
        <f>IF(COUNTA($D394:$J394)&lt;7,"",ROUND(MIN(10000, MAX(0, ((((($D394*1.2)+($E394*1.2)+($F394*1.1)+($G394*1.0)+($H394*1.0)+($I394*1.1)+($J394*0.9))/7.5)-1)/4*8000 + MIN($B394*20,1000) + MIN($C394*100,1000))),0))</f>
        <v/>
      </c>
      <c r="L394" s="31">
        <f>IF($K394="","",MIN(100,INT(SQRT($K394))))</f>
        <v/>
      </c>
      <c r="M394" s="31" t="n"/>
      <c r="N394" s="31">
        <f>IF($M394="Yes",$K394,"")</f>
        <v/>
      </c>
      <c r="O394" s="31" t="n"/>
      <c r="P394" s="59" t="n"/>
      <c r="Q394" s="59" t="n"/>
    </row>
    <row r="395">
      <c r="A395" s="31">
        <f>IF(Members!$A395="","",Members!$A395)</f>
        <v/>
      </c>
      <c r="B395" s="31" t="n"/>
      <c r="C395" s="31" t="n"/>
      <c r="D395" s="31" t="n"/>
      <c r="E395" s="31" t="n"/>
      <c r="F395" s="31" t="n"/>
      <c r="G395" s="31" t="n"/>
      <c r="H395" s="31" t="n"/>
      <c r="I395" s="31" t="n"/>
      <c r="J395" s="31" t="n"/>
      <c r="K395" s="31">
        <f>IF(COUNTA($D395:$J395)&lt;7,"",ROUND(MIN(10000, MAX(0, ((((($D395*1.2)+($E395*1.2)+($F395*1.1)+($G395*1.0)+($H395*1.0)+($I395*1.1)+($J395*0.9))/7.5)-1)/4*8000 + MIN($B395*20,1000) + MIN($C395*100,1000))),0))</f>
        <v/>
      </c>
      <c r="L395" s="31">
        <f>IF($K395="","",MIN(100,INT(SQRT($K395))))</f>
        <v/>
      </c>
      <c r="M395" s="31" t="n"/>
      <c r="N395" s="31">
        <f>IF($M395="Yes",$K395,"")</f>
        <v/>
      </c>
      <c r="O395" s="31" t="n"/>
      <c r="P395" s="59" t="n"/>
      <c r="Q395" s="59" t="n"/>
    </row>
    <row r="396">
      <c r="A396" s="31">
        <f>IF(Members!$A396="","",Members!$A396)</f>
        <v/>
      </c>
      <c r="B396" s="31" t="n"/>
      <c r="C396" s="31" t="n"/>
      <c r="D396" s="31" t="n"/>
      <c r="E396" s="31" t="n"/>
      <c r="F396" s="31" t="n"/>
      <c r="G396" s="31" t="n"/>
      <c r="H396" s="31" t="n"/>
      <c r="I396" s="31" t="n"/>
      <c r="J396" s="31" t="n"/>
      <c r="K396" s="31">
        <f>IF(COUNTA($D396:$J396)&lt;7,"",ROUND(MIN(10000, MAX(0, ((((($D396*1.2)+($E396*1.2)+($F396*1.1)+($G396*1.0)+($H396*1.0)+($I396*1.1)+($J396*0.9))/7.5)-1)/4*8000 + MIN($B396*20,1000) + MIN($C396*100,1000))),0))</f>
        <v/>
      </c>
      <c r="L396" s="31">
        <f>IF($K396="","",MIN(100,INT(SQRT($K396))))</f>
        <v/>
      </c>
      <c r="M396" s="31" t="n"/>
      <c r="N396" s="31">
        <f>IF($M396="Yes",$K396,"")</f>
        <v/>
      </c>
      <c r="O396" s="31" t="n"/>
      <c r="P396" s="59" t="n"/>
      <c r="Q396" s="59" t="n"/>
    </row>
    <row r="397">
      <c r="A397" s="31">
        <f>IF(Members!$A397="","",Members!$A397)</f>
        <v/>
      </c>
      <c r="B397" s="31" t="n"/>
      <c r="C397" s="31" t="n"/>
      <c r="D397" s="31" t="n"/>
      <c r="E397" s="31" t="n"/>
      <c r="F397" s="31" t="n"/>
      <c r="G397" s="31" t="n"/>
      <c r="H397" s="31" t="n"/>
      <c r="I397" s="31" t="n"/>
      <c r="J397" s="31" t="n"/>
      <c r="K397" s="31">
        <f>IF(COUNTA($D397:$J397)&lt;7,"",ROUND(MIN(10000, MAX(0, ((((($D397*1.2)+($E397*1.2)+($F397*1.1)+($G397*1.0)+($H397*1.0)+($I397*1.1)+($J397*0.9))/7.5)-1)/4*8000 + MIN($B397*20,1000) + MIN($C397*100,1000))),0))</f>
        <v/>
      </c>
      <c r="L397" s="31">
        <f>IF($K397="","",MIN(100,INT(SQRT($K397))))</f>
        <v/>
      </c>
      <c r="M397" s="31" t="n"/>
      <c r="N397" s="31">
        <f>IF($M397="Yes",$K397,"")</f>
        <v/>
      </c>
      <c r="O397" s="31" t="n"/>
      <c r="P397" s="59" t="n"/>
      <c r="Q397" s="59" t="n"/>
    </row>
    <row r="398">
      <c r="A398" s="31">
        <f>IF(Members!$A398="","",Members!$A398)</f>
        <v/>
      </c>
      <c r="B398" s="31" t="n"/>
      <c r="C398" s="31" t="n"/>
      <c r="D398" s="31" t="n"/>
      <c r="E398" s="31" t="n"/>
      <c r="F398" s="31" t="n"/>
      <c r="G398" s="31" t="n"/>
      <c r="H398" s="31" t="n"/>
      <c r="I398" s="31" t="n"/>
      <c r="J398" s="31" t="n"/>
      <c r="K398" s="31">
        <f>IF(COUNTA($D398:$J398)&lt;7,"",ROUND(MIN(10000, MAX(0, ((((($D398*1.2)+($E398*1.2)+($F398*1.1)+($G398*1.0)+($H398*1.0)+($I398*1.1)+($J398*0.9))/7.5)-1)/4*8000 + MIN($B398*20,1000) + MIN($C398*100,1000))),0))</f>
        <v/>
      </c>
      <c r="L398" s="31">
        <f>IF($K398="","",MIN(100,INT(SQRT($K398))))</f>
        <v/>
      </c>
      <c r="M398" s="31" t="n"/>
      <c r="N398" s="31">
        <f>IF($M398="Yes",$K398,"")</f>
        <v/>
      </c>
      <c r="O398" s="31" t="n"/>
      <c r="P398" s="59" t="n"/>
      <c r="Q398" s="59" t="n"/>
    </row>
    <row r="399">
      <c r="A399" s="31">
        <f>IF(Members!$A399="","",Members!$A399)</f>
        <v/>
      </c>
      <c r="B399" s="31" t="n"/>
      <c r="C399" s="31" t="n"/>
      <c r="D399" s="31" t="n"/>
      <c r="E399" s="31" t="n"/>
      <c r="F399" s="31" t="n"/>
      <c r="G399" s="31" t="n"/>
      <c r="H399" s="31" t="n"/>
      <c r="I399" s="31" t="n"/>
      <c r="J399" s="31" t="n"/>
      <c r="K399" s="31">
        <f>IF(COUNTA($D399:$J399)&lt;7,"",ROUND(MIN(10000, MAX(0, ((((($D399*1.2)+($E399*1.2)+($F399*1.1)+($G399*1.0)+($H399*1.0)+($I399*1.1)+($J399*0.9))/7.5)-1)/4*8000 + MIN($B399*20,1000) + MIN($C399*100,1000))),0))</f>
        <v/>
      </c>
      <c r="L399" s="31">
        <f>IF($K399="","",MIN(100,INT(SQRT($K399))))</f>
        <v/>
      </c>
      <c r="M399" s="31" t="n"/>
      <c r="N399" s="31">
        <f>IF($M399="Yes",$K399,"")</f>
        <v/>
      </c>
      <c r="O399" s="31" t="n"/>
      <c r="P399" s="59" t="n"/>
      <c r="Q399" s="59" t="n"/>
    </row>
    <row r="400">
      <c r="A400" s="31">
        <f>IF(Members!$A400="","",Members!$A400)</f>
        <v/>
      </c>
      <c r="B400" s="31" t="n"/>
      <c r="C400" s="31" t="n"/>
      <c r="D400" s="31" t="n"/>
      <c r="E400" s="31" t="n"/>
      <c r="F400" s="31" t="n"/>
      <c r="G400" s="31" t="n"/>
      <c r="H400" s="31" t="n"/>
      <c r="I400" s="31" t="n"/>
      <c r="J400" s="31" t="n"/>
      <c r="K400" s="31">
        <f>IF(COUNTA($D400:$J400)&lt;7,"",ROUND(MIN(10000, MAX(0, ((((($D400*1.2)+($E400*1.2)+($F400*1.1)+($G400*1.0)+($H400*1.0)+($I400*1.1)+($J400*0.9))/7.5)-1)/4*8000 + MIN($B400*20,1000) + MIN($C400*100,1000))),0))</f>
        <v/>
      </c>
      <c r="L400" s="31">
        <f>IF($K400="","",MIN(100,INT(SQRT($K400))))</f>
        <v/>
      </c>
      <c r="M400" s="31" t="n"/>
      <c r="N400" s="31">
        <f>IF($M400="Yes",$K400,"")</f>
        <v/>
      </c>
      <c r="O400" s="31" t="n"/>
      <c r="P400" s="59" t="n"/>
      <c r="Q400" s="59" t="n"/>
    </row>
    <row r="401">
      <c r="A401" s="31">
        <f>IF(Members!$A401="","",Members!$A401)</f>
        <v/>
      </c>
      <c r="B401" s="31" t="n"/>
      <c r="C401" s="31" t="n"/>
      <c r="D401" s="31" t="n"/>
      <c r="E401" s="31" t="n"/>
      <c r="F401" s="31" t="n"/>
      <c r="G401" s="31" t="n"/>
      <c r="H401" s="31" t="n"/>
      <c r="I401" s="31" t="n"/>
      <c r="J401" s="31" t="n"/>
      <c r="K401" s="31">
        <f>IF(COUNTA($D401:$J401)&lt;7,"",ROUND(MIN(10000, MAX(0, ((((($D401*1.2)+($E401*1.2)+($F401*1.1)+($G401*1.0)+($H401*1.0)+($I401*1.1)+($J401*0.9))/7.5)-1)/4*8000 + MIN($B401*20,1000) + MIN($C401*100,1000))),0))</f>
        <v/>
      </c>
      <c r="L401" s="31">
        <f>IF($K401="","",MIN(100,INT(SQRT($K401))))</f>
        <v/>
      </c>
      <c r="M401" s="31" t="n"/>
      <c r="N401" s="31">
        <f>IF($M401="Yes",$K401,"")</f>
        <v/>
      </c>
      <c r="O401" s="31" t="n"/>
      <c r="P401" s="59" t="n"/>
      <c r="Q401" s="59" t="n"/>
    </row>
    <row r="402">
      <c r="A402" s="31">
        <f>IF(Members!$A402="","",Members!$A402)</f>
        <v/>
      </c>
      <c r="B402" s="31" t="n"/>
      <c r="C402" s="31" t="n"/>
      <c r="D402" s="31" t="n"/>
      <c r="E402" s="31" t="n"/>
      <c r="F402" s="31" t="n"/>
      <c r="G402" s="31" t="n"/>
      <c r="H402" s="31" t="n"/>
      <c r="I402" s="31" t="n"/>
      <c r="J402" s="31" t="n"/>
      <c r="K402" s="31">
        <f>IF(COUNTA($D402:$J402)&lt;7,"",ROUND(MIN(10000, MAX(0, ((((($D402*1.2)+($E402*1.2)+($F402*1.1)+($G402*1.0)+($H402*1.0)+($I402*1.1)+($J402*0.9))/7.5)-1)/4*8000 + MIN($B402*20,1000) + MIN($C402*100,1000))),0))</f>
        <v/>
      </c>
      <c r="L402" s="31">
        <f>IF($K402="","",MIN(100,INT(SQRT($K402))))</f>
        <v/>
      </c>
      <c r="M402" s="31" t="n"/>
      <c r="N402" s="31">
        <f>IF($M402="Yes",$K402,"")</f>
        <v/>
      </c>
      <c r="O402" s="31" t="n"/>
      <c r="P402" s="59" t="n"/>
      <c r="Q402" s="59" t="n"/>
    </row>
    <row r="403">
      <c r="A403" s="31">
        <f>IF(Members!$A403="","",Members!$A403)</f>
        <v/>
      </c>
      <c r="B403" s="31" t="n"/>
      <c r="C403" s="31" t="n"/>
      <c r="D403" s="31" t="n"/>
      <c r="E403" s="31" t="n"/>
      <c r="F403" s="31" t="n"/>
      <c r="G403" s="31" t="n"/>
      <c r="H403" s="31" t="n"/>
      <c r="I403" s="31" t="n"/>
      <c r="J403" s="31" t="n"/>
      <c r="K403" s="31">
        <f>IF(COUNTA($D403:$J403)&lt;7,"",ROUND(MIN(10000, MAX(0, ((((($D403*1.2)+($E403*1.2)+($F403*1.1)+($G403*1.0)+($H403*1.0)+($I403*1.1)+($J403*0.9))/7.5)-1)/4*8000 + MIN($B403*20,1000) + MIN($C403*100,1000))),0))</f>
        <v/>
      </c>
      <c r="L403" s="31">
        <f>IF($K403="","",MIN(100,INT(SQRT($K403))))</f>
        <v/>
      </c>
      <c r="M403" s="31" t="n"/>
      <c r="N403" s="31">
        <f>IF($M403="Yes",$K403,"")</f>
        <v/>
      </c>
      <c r="O403" s="31" t="n"/>
      <c r="P403" s="59" t="n"/>
      <c r="Q403" s="59" t="n"/>
    </row>
    <row r="404">
      <c r="A404" s="31">
        <f>IF(Members!$A404="","",Members!$A404)</f>
        <v/>
      </c>
      <c r="B404" s="31" t="n"/>
      <c r="C404" s="31" t="n"/>
      <c r="D404" s="31" t="n"/>
      <c r="E404" s="31" t="n"/>
      <c r="F404" s="31" t="n"/>
      <c r="G404" s="31" t="n"/>
      <c r="H404" s="31" t="n"/>
      <c r="I404" s="31" t="n"/>
      <c r="J404" s="31" t="n"/>
      <c r="K404" s="31">
        <f>IF(COUNTA($D404:$J404)&lt;7,"",ROUND(MIN(10000, MAX(0, ((((($D404*1.2)+($E404*1.2)+($F404*1.1)+($G404*1.0)+($H404*1.0)+($I404*1.1)+($J404*0.9))/7.5)-1)/4*8000 + MIN($B404*20,1000) + MIN($C404*100,1000))),0))</f>
        <v/>
      </c>
      <c r="L404" s="31">
        <f>IF($K404="","",MIN(100,INT(SQRT($K404))))</f>
        <v/>
      </c>
      <c r="M404" s="31" t="n"/>
      <c r="N404" s="31">
        <f>IF($M404="Yes",$K404,"")</f>
        <v/>
      </c>
      <c r="O404" s="31" t="n"/>
      <c r="P404" s="59" t="n"/>
      <c r="Q404" s="59" t="n"/>
    </row>
    <row r="405">
      <c r="A405" s="31">
        <f>IF(Members!$A405="","",Members!$A405)</f>
        <v/>
      </c>
      <c r="B405" s="31" t="n"/>
      <c r="C405" s="31" t="n"/>
      <c r="D405" s="31" t="n"/>
      <c r="E405" s="31" t="n"/>
      <c r="F405" s="31" t="n"/>
      <c r="G405" s="31" t="n"/>
      <c r="H405" s="31" t="n"/>
      <c r="I405" s="31" t="n"/>
      <c r="J405" s="31" t="n"/>
      <c r="K405" s="31">
        <f>IF(COUNTA($D405:$J405)&lt;7,"",ROUND(MIN(10000, MAX(0, ((((($D405*1.2)+($E405*1.2)+($F405*1.1)+($G405*1.0)+($H405*1.0)+($I405*1.1)+($J405*0.9))/7.5)-1)/4*8000 + MIN($B405*20,1000) + MIN($C405*100,1000))),0))</f>
        <v/>
      </c>
      <c r="L405" s="31">
        <f>IF($K405="","",MIN(100,INT(SQRT($K405))))</f>
        <v/>
      </c>
      <c r="M405" s="31" t="n"/>
      <c r="N405" s="31">
        <f>IF($M405="Yes",$K405,"")</f>
        <v/>
      </c>
      <c r="O405" s="31" t="n"/>
      <c r="P405" s="59" t="n"/>
      <c r="Q405" s="59" t="n"/>
    </row>
    <row r="406">
      <c r="A406" s="31">
        <f>IF(Members!$A406="","",Members!$A406)</f>
        <v/>
      </c>
      <c r="B406" s="31" t="n"/>
      <c r="C406" s="31" t="n"/>
      <c r="D406" s="31" t="n"/>
      <c r="E406" s="31" t="n"/>
      <c r="F406" s="31" t="n"/>
      <c r="G406" s="31" t="n"/>
      <c r="H406" s="31" t="n"/>
      <c r="I406" s="31" t="n"/>
      <c r="J406" s="31" t="n"/>
      <c r="K406" s="31">
        <f>IF(COUNTA($D406:$J406)&lt;7,"",ROUND(MIN(10000, MAX(0, ((((($D406*1.2)+($E406*1.2)+($F406*1.1)+($G406*1.0)+($H406*1.0)+($I406*1.1)+($J406*0.9))/7.5)-1)/4*8000 + MIN($B406*20,1000) + MIN($C406*100,1000))),0))</f>
        <v/>
      </c>
      <c r="L406" s="31">
        <f>IF($K406="","",MIN(100,INT(SQRT($K406))))</f>
        <v/>
      </c>
      <c r="M406" s="31" t="n"/>
      <c r="N406" s="31">
        <f>IF($M406="Yes",$K406,"")</f>
        <v/>
      </c>
      <c r="O406" s="31" t="n"/>
      <c r="P406" s="59" t="n"/>
      <c r="Q406" s="59" t="n"/>
    </row>
    <row r="407">
      <c r="A407" s="31">
        <f>IF(Members!$A407="","",Members!$A407)</f>
        <v/>
      </c>
      <c r="B407" s="31" t="n"/>
      <c r="C407" s="31" t="n"/>
      <c r="D407" s="31" t="n"/>
      <c r="E407" s="31" t="n"/>
      <c r="F407" s="31" t="n"/>
      <c r="G407" s="31" t="n"/>
      <c r="H407" s="31" t="n"/>
      <c r="I407" s="31" t="n"/>
      <c r="J407" s="31" t="n"/>
      <c r="K407" s="31">
        <f>IF(COUNTA($D407:$J407)&lt;7,"",ROUND(MIN(10000, MAX(0, ((((($D407*1.2)+($E407*1.2)+($F407*1.1)+($G407*1.0)+($H407*1.0)+($I407*1.1)+($J407*0.9))/7.5)-1)/4*8000 + MIN($B407*20,1000) + MIN($C407*100,1000))),0))</f>
        <v/>
      </c>
      <c r="L407" s="31">
        <f>IF($K407="","",MIN(100,INT(SQRT($K407))))</f>
        <v/>
      </c>
      <c r="M407" s="31" t="n"/>
      <c r="N407" s="31">
        <f>IF($M407="Yes",$K407,"")</f>
        <v/>
      </c>
      <c r="O407" s="31" t="n"/>
      <c r="P407" s="59" t="n"/>
      <c r="Q407" s="59" t="n"/>
    </row>
    <row r="408">
      <c r="A408" s="31">
        <f>IF(Members!$A408="","",Members!$A408)</f>
        <v/>
      </c>
      <c r="B408" s="31" t="n"/>
      <c r="C408" s="31" t="n"/>
      <c r="D408" s="31" t="n"/>
      <c r="E408" s="31" t="n"/>
      <c r="F408" s="31" t="n"/>
      <c r="G408" s="31" t="n"/>
      <c r="H408" s="31" t="n"/>
      <c r="I408" s="31" t="n"/>
      <c r="J408" s="31" t="n"/>
      <c r="K408" s="31">
        <f>IF(COUNTA($D408:$J408)&lt;7,"",ROUND(MIN(10000, MAX(0, ((((($D408*1.2)+($E408*1.2)+($F408*1.1)+($G408*1.0)+($H408*1.0)+($I408*1.1)+($J408*0.9))/7.5)-1)/4*8000 + MIN($B408*20,1000) + MIN($C408*100,1000))),0))</f>
        <v/>
      </c>
      <c r="L408" s="31">
        <f>IF($K408="","",MIN(100,INT(SQRT($K408))))</f>
        <v/>
      </c>
      <c r="M408" s="31" t="n"/>
      <c r="N408" s="31">
        <f>IF($M408="Yes",$K408,"")</f>
        <v/>
      </c>
      <c r="O408" s="31" t="n"/>
      <c r="P408" s="59" t="n"/>
      <c r="Q408" s="59" t="n"/>
    </row>
    <row r="409">
      <c r="A409" s="31">
        <f>IF(Members!$A409="","",Members!$A409)</f>
        <v/>
      </c>
      <c r="B409" s="31" t="n"/>
      <c r="C409" s="31" t="n"/>
      <c r="D409" s="31" t="n"/>
      <c r="E409" s="31" t="n"/>
      <c r="F409" s="31" t="n"/>
      <c r="G409" s="31" t="n"/>
      <c r="H409" s="31" t="n"/>
      <c r="I409" s="31" t="n"/>
      <c r="J409" s="31" t="n"/>
      <c r="K409" s="31">
        <f>IF(COUNTA($D409:$J409)&lt;7,"",ROUND(MIN(10000, MAX(0, ((((($D409*1.2)+($E409*1.2)+($F409*1.1)+($G409*1.0)+($H409*1.0)+($I409*1.1)+($J409*0.9))/7.5)-1)/4*8000 + MIN($B409*20,1000) + MIN($C409*100,1000))),0))</f>
        <v/>
      </c>
      <c r="L409" s="31">
        <f>IF($K409="","",MIN(100,INT(SQRT($K409))))</f>
        <v/>
      </c>
      <c r="M409" s="31" t="n"/>
      <c r="N409" s="31">
        <f>IF($M409="Yes",$K409,"")</f>
        <v/>
      </c>
      <c r="O409" s="31" t="n"/>
      <c r="P409" s="59" t="n"/>
      <c r="Q409" s="59" t="n"/>
    </row>
    <row r="410">
      <c r="A410" s="31">
        <f>IF(Members!$A410="","",Members!$A410)</f>
        <v/>
      </c>
      <c r="B410" s="31" t="n"/>
      <c r="C410" s="31" t="n"/>
      <c r="D410" s="31" t="n"/>
      <c r="E410" s="31" t="n"/>
      <c r="F410" s="31" t="n"/>
      <c r="G410" s="31" t="n"/>
      <c r="H410" s="31" t="n"/>
      <c r="I410" s="31" t="n"/>
      <c r="J410" s="31" t="n"/>
      <c r="K410" s="31">
        <f>IF(COUNTA($D410:$J410)&lt;7,"",ROUND(MIN(10000, MAX(0, ((((($D410*1.2)+($E410*1.2)+($F410*1.1)+($G410*1.0)+($H410*1.0)+($I410*1.1)+($J410*0.9))/7.5)-1)/4*8000 + MIN($B410*20,1000) + MIN($C410*100,1000))),0))</f>
        <v/>
      </c>
      <c r="L410" s="31">
        <f>IF($K410="","",MIN(100,INT(SQRT($K410))))</f>
        <v/>
      </c>
      <c r="M410" s="31" t="n"/>
      <c r="N410" s="31">
        <f>IF($M410="Yes",$K410,"")</f>
        <v/>
      </c>
      <c r="O410" s="31" t="n"/>
      <c r="P410" s="59" t="n"/>
      <c r="Q410" s="59" t="n"/>
    </row>
    <row r="411">
      <c r="A411" s="31">
        <f>IF(Members!$A411="","",Members!$A411)</f>
        <v/>
      </c>
      <c r="B411" s="31" t="n"/>
      <c r="C411" s="31" t="n"/>
      <c r="D411" s="31" t="n"/>
      <c r="E411" s="31" t="n"/>
      <c r="F411" s="31" t="n"/>
      <c r="G411" s="31" t="n"/>
      <c r="H411" s="31" t="n"/>
      <c r="I411" s="31" t="n"/>
      <c r="J411" s="31" t="n"/>
      <c r="K411" s="31">
        <f>IF(COUNTA($D411:$J411)&lt;7,"",ROUND(MIN(10000, MAX(0, ((((($D411*1.2)+($E411*1.2)+($F411*1.1)+($G411*1.0)+($H411*1.0)+($I411*1.1)+($J411*0.9))/7.5)-1)/4*8000 + MIN($B411*20,1000) + MIN($C411*100,1000))),0))</f>
        <v/>
      </c>
      <c r="L411" s="31">
        <f>IF($K411="","",MIN(100,INT(SQRT($K411))))</f>
        <v/>
      </c>
      <c r="M411" s="31" t="n"/>
      <c r="N411" s="31">
        <f>IF($M411="Yes",$K411,"")</f>
        <v/>
      </c>
      <c r="O411" s="31" t="n"/>
      <c r="P411" s="59" t="n"/>
      <c r="Q411" s="59" t="n"/>
    </row>
    <row r="412">
      <c r="A412" s="31">
        <f>IF(Members!$A412="","",Members!$A412)</f>
        <v/>
      </c>
      <c r="B412" s="31" t="n"/>
      <c r="C412" s="31" t="n"/>
      <c r="D412" s="31" t="n"/>
      <c r="E412" s="31" t="n"/>
      <c r="F412" s="31" t="n"/>
      <c r="G412" s="31" t="n"/>
      <c r="H412" s="31" t="n"/>
      <c r="I412" s="31" t="n"/>
      <c r="J412" s="31" t="n"/>
      <c r="K412" s="31">
        <f>IF(COUNTA($D412:$J412)&lt;7,"",ROUND(MIN(10000, MAX(0, ((((($D412*1.2)+($E412*1.2)+($F412*1.1)+($G412*1.0)+($H412*1.0)+($I412*1.1)+($J412*0.9))/7.5)-1)/4*8000 + MIN($B412*20,1000) + MIN($C412*100,1000))),0))</f>
        <v/>
      </c>
      <c r="L412" s="31">
        <f>IF($K412="","",MIN(100,INT(SQRT($K412))))</f>
        <v/>
      </c>
      <c r="M412" s="31" t="n"/>
      <c r="N412" s="31">
        <f>IF($M412="Yes",$K412,"")</f>
        <v/>
      </c>
      <c r="O412" s="31" t="n"/>
      <c r="P412" s="59" t="n"/>
      <c r="Q412" s="59" t="n"/>
    </row>
    <row r="413">
      <c r="A413" s="31">
        <f>IF(Members!$A413="","",Members!$A413)</f>
        <v/>
      </c>
      <c r="B413" s="31" t="n"/>
      <c r="C413" s="31" t="n"/>
      <c r="D413" s="31" t="n"/>
      <c r="E413" s="31" t="n"/>
      <c r="F413" s="31" t="n"/>
      <c r="G413" s="31" t="n"/>
      <c r="H413" s="31" t="n"/>
      <c r="I413" s="31" t="n"/>
      <c r="J413" s="31" t="n"/>
      <c r="K413" s="31">
        <f>IF(COUNTA($D413:$J413)&lt;7,"",ROUND(MIN(10000, MAX(0, ((((($D413*1.2)+($E413*1.2)+($F413*1.1)+($G413*1.0)+($H413*1.0)+($I413*1.1)+($J413*0.9))/7.5)-1)/4*8000 + MIN($B413*20,1000) + MIN($C413*100,1000))),0))</f>
        <v/>
      </c>
      <c r="L413" s="31">
        <f>IF($K413="","",MIN(100,INT(SQRT($K413))))</f>
        <v/>
      </c>
      <c r="M413" s="31" t="n"/>
      <c r="N413" s="31">
        <f>IF($M413="Yes",$K413,"")</f>
        <v/>
      </c>
      <c r="O413" s="31" t="n"/>
      <c r="P413" s="59" t="n"/>
      <c r="Q413" s="59" t="n"/>
    </row>
    <row r="414">
      <c r="A414" s="31">
        <f>IF(Members!$A414="","",Members!$A414)</f>
        <v/>
      </c>
      <c r="B414" s="31" t="n"/>
      <c r="C414" s="31" t="n"/>
      <c r="D414" s="31" t="n"/>
      <c r="E414" s="31" t="n"/>
      <c r="F414" s="31" t="n"/>
      <c r="G414" s="31" t="n"/>
      <c r="H414" s="31" t="n"/>
      <c r="I414" s="31" t="n"/>
      <c r="J414" s="31" t="n"/>
      <c r="K414" s="31">
        <f>IF(COUNTA($D414:$J414)&lt;7,"",ROUND(MIN(10000, MAX(0, ((((($D414*1.2)+($E414*1.2)+($F414*1.1)+($G414*1.0)+($H414*1.0)+($I414*1.1)+($J414*0.9))/7.5)-1)/4*8000 + MIN($B414*20,1000) + MIN($C414*100,1000))),0))</f>
        <v/>
      </c>
      <c r="L414" s="31">
        <f>IF($K414="","",MIN(100,INT(SQRT($K414))))</f>
        <v/>
      </c>
      <c r="M414" s="31" t="n"/>
      <c r="N414" s="31">
        <f>IF($M414="Yes",$K414,"")</f>
        <v/>
      </c>
      <c r="O414" s="31" t="n"/>
      <c r="P414" s="59" t="n"/>
      <c r="Q414" s="59" t="n"/>
    </row>
    <row r="415">
      <c r="A415" s="31">
        <f>IF(Members!$A415="","",Members!$A415)</f>
        <v/>
      </c>
      <c r="B415" s="31" t="n"/>
      <c r="C415" s="31" t="n"/>
      <c r="D415" s="31" t="n"/>
      <c r="E415" s="31" t="n"/>
      <c r="F415" s="31" t="n"/>
      <c r="G415" s="31" t="n"/>
      <c r="H415" s="31" t="n"/>
      <c r="I415" s="31" t="n"/>
      <c r="J415" s="31" t="n"/>
      <c r="K415" s="31">
        <f>IF(COUNTA($D415:$J415)&lt;7,"",ROUND(MIN(10000, MAX(0, ((((($D415*1.2)+($E415*1.2)+($F415*1.1)+($G415*1.0)+($H415*1.0)+($I415*1.1)+($J415*0.9))/7.5)-1)/4*8000 + MIN($B415*20,1000) + MIN($C415*100,1000))),0))</f>
        <v/>
      </c>
      <c r="L415" s="31">
        <f>IF($K415="","",MIN(100,INT(SQRT($K415))))</f>
        <v/>
      </c>
      <c r="M415" s="31" t="n"/>
      <c r="N415" s="31">
        <f>IF($M415="Yes",$K415,"")</f>
        <v/>
      </c>
      <c r="O415" s="31" t="n"/>
      <c r="P415" s="59" t="n"/>
      <c r="Q415" s="59" t="n"/>
    </row>
    <row r="416">
      <c r="A416" s="31">
        <f>IF(Members!$A416="","",Members!$A416)</f>
        <v/>
      </c>
      <c r="B416" s="31" t="n"/>
      <c r="C416" s="31" t="n"/>
      <c r="D416" s="31" t="n"/>
      <c r="E416" s="31" t="n"/>
      <c r="F416" s="31" t="n"/>
      <c r="G416" s="31" t="n"/>
      <c r="H416" s="31" t="n"/>
      <c r="I416" s="31" t="n"/>
      <c r="J416" s="31" t="n"/>
      <c r="K416" s="31">
        <f>IF(COUNTA($D416:$J416)&lt;7,"",ROUND(MIN(10000, MAX(0, ((((($D416*1.2)+($E416*1.2)+($F416*1.1)+($G416*1.0)+($H416*1.0)+($I416*1.1)+($J416*0.9))/7.5)-1)/4*8000 + MIN($B416*20,1000) + MIN($C416*100,1000))),0))</f>
        <v/>
      </c>
      <c r="L416" s="31">
        <f>IF($K416="","",MIN(100,INT(SQRT($K416))))</f>
        <v/>
      </c>
      <c r="M416" s="31" t="n"/>
      <c r="N416" s="31">
        <f>IF($M416="Yes",$K416,"")</f>
        <v/>
      </c>
      <c r="O416" s="31" t="n"/>
      <c r="P416" s="59" t="n"/>
      <c r="Q416" s="59" t="n"/>
    </row>
    <row r="417">
      <c r="A417" s="31">
        <f>IF(Members!$A417="","",Members!$A417)</f>
        <v/>
      </c>
      <c r="B417" s="31" t="n"/>
      <c r="C417" s="31" t="n"/>
      <c r="D417" s="31" t="n"/>
      <c r="E417" s="31" t="n"/>
      <c r="F417" s="31" t="n"/>
      <c r="G417" s="31" t="n"/>
      <c r="H417" s="31" t="n"/>
      <c r="I417" s="31" t="n"/>
      <c r="J417" s="31" t="n"/>
      <c r="K417" s="31">
        <f>IF(COUNTA($D417:$J417)&lt;7,"",ROUND(MIN(10000, MAX(0, ((((($D417*1.2)+($E417*1.2)+($F417*1.1)+($G417*1.0)+($H417*1.0)+($I417*1.1)+($J417*0.9))/7.5)-1)/4*8000 + MIN($B417*20,1000) + MIN($C417*100,1000))),0))</f>
        <v/>
      </c>
      <c r="L417" s="31">
        <f>IF($K417="","",MIN(100,INT(SQRT($K417))))</f>
        <v/>
      </c>
      <c r="M417" s="31" t="n"/>
      <c r="N417" s="31">
        <f>IF($M417="Yes",$K417,"")</f>
        <v/>
      </c>
      <c r="O417" s="31" t="n"/>
      <c r="P417" s="59" t="n"/>
      <c r="Q417" s="59" t="n"/>
    </row>
    <row r="418">
      <c r="A418" s="31">
        <f>IF(Members!$A418="","",Members!$A418)</f>
        <v/>
      </c>
      <c r="B418" s="31" t="n"/>
      <c r="C418" s="31" t="n"/>
      <c r="D418" s="31" t="n"/>
      <c r="E418" s="31" t="n"/>
      <c r="F418" s="31" t="n"/>
      <c r="G418" s="31" t="n"/>
      <c r="H418" s="31" t="n"/>
      <c r="I418" s="31" t="n"/>
      <c r="J418" s="31" t="n"/>
      <c r="K418" s="31">
        <f>IF(COUNTA($D418:$J418)&lt;7,"",ROUND(MIN(10000, MAX(0, ((((($D418*1.2)+($E418*1.2)+($F418*1.1)+($G418*1.0)+($H418*1.0)+($I418*1.1)+($J418*0.9))/7.5)-1)/4*8000 + MIN($B418*20,1000) + MIN($C418*100,1000))),0))</f>
        <v/>
      </c>
      <c r="L418" s="31">
        <f>IF($K418="","",MIN(100,INT(SQRT($K418))))</f>
        <v/>
      </c>
      <c r="M418" s="31" t="n"/>
      <c r="N418" s="31">
        <f>IF($M418="Yes",$K418,"")</f>
        <v/>
      </c>
      <c r="O418" s="31" t="n"/>
      <c r="P418" s="59" t="n"/>
      <c r="Q418" s="59" t="n"/>
    </row>
    <row r="419">
      <c r="A419" s="31">
        <f>IF(Members!$A419="","",Members!$A419)</f>
        <v/>
      </c>
      <c r="B419" s="31" t="n"/>
      <c r="C419" s="31" t="n"/>
      <c r="D419" s="31" t="n"/>
      <c r="E419" s="31" t="n"/>
      <c r="F419" s="31" t="n"/>
      <c r="G419" s="31" t="n"/>
      <c r="H419" s="31" t="n"/>
      <c r="I419" s="31" t="n"/>
      <c r="J419" s="31" t="n"/>
      <c r="K419" s="31">
        <f>IF(COUNTA($D419:$J419)&lt;7,"",ROUND(MIN(10000, MAX(0, ((((($D419*1.2)+($E419*1.2)+($F419*1.1)+($G419*1.0)+($H419*1.0)+($I419*1.1)+($J419*0.9))/7.5)-1)/4*8000 + MIN($B419*20,1000) + MIN($C419*100,1000))),0))</f>
        <v/>
      </c>
      <c r="L419" s="31">
        <f>IF($K419="","",MIN(100,INT(SQRT($K419))))</f>
        <v/>
      </c>
      <c r="M419" s="31" t="n"/>
      <c r="N419" s="31">
        <f>IF($M419="Yes",$K419,"")</f>
        <v/>
      </c>
      <c r="O419" s="31" t="n"/>
      <c r="P419" s="59" t="n"/>
      <c r="Q419" s="59" t="n"/>
    </row>
    <row r="420">
      <c r="A420" s="31">
        <f>IF(Members!$A420="","",Members!$A420)</f>
        <v/>
      </c>
      <c r="B420" s="31" t="n"/>
      <c r="C420" s="31" t="n"/>
      <c r="D420" s="31" t="n"/>
      <c r="E420" s="31" t="n"/>
      <c r="F420" s="31" t="n"/>
      <c r="G420" s="31" t="n"/>
      <c r="H420" s="31" t="n"/>
      <c r="I420" s="31" t="n"/>
      <c r="J420" s="31" t="n"/>
      <c r="K420" s="31">
        <f>IF(COUNTA($D420:$J420)&lt;7,"",ROUND(MIN(10000, MAX(0, ((((($D420*1.2)+($E420*1.2)+($F420*1.1)+($G420*1.0)+($H420*1.0)+($I420*1.1)+($J420*0.9))/7.5)-1)/4*8000 + MIN($B420*20,1000) + MIN($C420*100,1000))),0))</f>
        <v/>
      </c>
      <c r="L420" s="31">
        <f>IF($K420="","",MIN(100,INT(SQRT($K420))))</f>
        <v/>
      </c>
      <c r="M420" s="31" t="n"/>
      <c r="N420" s="31">
        <f>IF($M420="Yes",$K420,"")</f>
        <v/>
      </c>
      <c r="O420" s="31" t="n"/>
      <c r="P420" s="59" t="n"/>
      <c r="Q420" s="59" t="n"/>
    </row>
    <row r="421">
      <c r="A421" s="31">
        <f>IF(Members!$A421="","",Members!$A421)</f>
        <v/>
      </c>
      <c r="B421" s="31" t="n"/>
      <c r="C421" s="31" t="n"/>
      <c r="D421" s="31" t="n"/>
      <c r="E421" s="31" t="n"/>
      <c r="F421" s="31" t="n"/>
      <c r="G421" s="31" t="n"/>
      <c r="H421" s="31" t="n"/>
      <c r="I421" s="31" t="n"/>
      <c r="J421" s="31" t="n"/>
      <c r="K421" s="31">
        <f>IF(COUNTA($D421:$J421)&lt;7,"",ROUND(MIN(10000, MAX(0, ((((($D421*1.2)+($E421*1.2)+($F421*1.1)+($G421*1.0)+($H421*1.0)+($I421*1.1)+($J421*0.9))/7.5)-1)/4*8000 + MIN($B421*20,1000) + MIN($C421*100,1000))),0))</f>
        <v/>
      </c>
      <c r="L421" s="31">
        <f>IF($K421="","",MIN(100,INT(SQRT($K421))))</f>
        <v/>
      </c>
      <c r="M421" s="31" t="n"/>
      <c r="N421" s="31">
        <f>IF($M421="Yes",$K421,"")</f>
        <v/>
      </c>
      <c r="O421" s="31" t="n"/>
      <c r="P421" s="59" t="n"/>
      <c r="Q421" s="59" t="n"/>
    </row>
    <row r="422">
      <c r="A422" s="31">
        <f>IF(Members!$A422="","",Members!$A422)</f>
        <v/>
      </c>
      <c r="B422" s="31" t="n"/>
      <c r="C422" s="31" t="n"/>
      <c r="D422" s="31" t="n"/>
      <c r="E422" s="31" t="n"/>
      <c r="F422" s="31" t="n"/>
      <c r="G422" s="31" t="n"/>
      <c r="H422" s="31" t="n"/>
      <c r="I422" s="31" t="n"/>
      <c r="J422" s="31" t="n"/>
      <c r="K422" s="31">
        <f>IF(COUNTA($D422:$J422)&lt;7,"",ROUND(MIN(10000, MAX(0, ((((($D422*1.2)+($E422*1.2)+($F422*1.1)+($G422*1.0)+($H422*1.0)+($I422*1.1)+($J422*0.9))/7.5)-1)/4*8000 + MIN($B422*20,1000) + MIN($C422*100,1000))),0))</f>
        <v/>
      </c>
      <c r="L422" s="31">
        <f>IF($K422="","",MIN(100,INT(SQRT($K422))))</f>
        <v/>
      </c>
      <c r="M422" s="31" t="n"/>
      <c r="N422" s="31">
        <f>IF($M422="Yes",$K422,"")</f>
        <v/>
      </c>
      <c r="O422" s="31" t="n"/>
      <c r="P422" s="59" t="n"/>
      <c r="Q422" s="59" t="n"/>
    </row>
    <row r="423">
      <c r="A423" s="31">
        <f>IF(Members!$A423="","",Members!$A423)</f>
        <v/>
      </c>
      <c r="B423" s="31" t="n"/>
      <c r="C423" s="31" t="n"/>
      <c r="D423" s="31" t="n"/>
      <c r="E423" s="31" t="n"/>
      <c r="F423" s="31" t="n"/>
      <c r="G423" s="31" t="n"/>
      <c r="H423" s="31" t="n"/>
      <c r="I423" s="31" t="n"/>
      <c r="J423" s="31" t="n"/>
      <c r="K423" s="31">
        <f>IF(COUNTA($D423:$J423)&lt;7,"",ROUND(MIN(10000, MAX(0, ((((($D423*1.2)+($E423*1.2)+($F423*1.1)+($G423*1.0)+($H423*1.0)+($I423*1.1)+($J423*0.9))/7.5)-1)/4*8000 + MIN($B423*20,1000) + MIN($C423*100,1000))),0))</f>
        <v/>
      </c>
      <c r="L423" s="31">
        <f>IF($K423="","",MIN(100,INT(SQRT($K423))))</f>
        <v/>
      </c>
      <c r="M423" s="31" t="n"/>
      <c r="N423" s="31">
        <f>IF($M423="Yes",$K423,"")</f>
        <v/>
      </c>
      <c r="O423" s="31" t="n"/>
      <c r="P423" s="59" t="n"/>
      <c r="Q423" s="59" t="n"/>
    </row>
    <row r="424">
      <c r="A424" s="31">
        <f>IF(Members!$A424="","",Members!$A424)</f>
        <v/>
      </c>
      <c r="B424" s="31" t="n"/>
      <c r="C424" s="31" t="n"/>
      <c r="D424" s="31" t="n"/>
      <c r="E424" s="31" t="n"/>
      <c r="F424" s="31" t="n"/>
      <c r="G424" s="31" t="n"/>
      <c r="H424" s="31" t="n"/>
      <c r="I424" s="31" t="n"/>
      <c r="J424" s="31" t="n"/>
      <c r="K424" s="31">
        <f>IF(COUNTA($D424:$J424)&lt;7,"",ROUND(MIN(10000, MAX(0, ((((($D424*1.2)+($E424*1.2)+($F424*1.1)+($G424*1.0)+($H424*1.0)+($I424*1.1)+($J424*0.9))/7.5)-1)/4*8000 + MIN($B424*20,1000) + MIN($C424*100,1000))),0))</f>
        <v/>
      </c>
      <c r="L424" s="31">
        <f>IF($K424="","",MIN(100,INT(SQRT($K424))))</f>
        <v/>
      </c>
      <c r="M424" s="31" t="n"/>
      <c r="N424" s="31">
        <f>IF($M424="Yes",$K424,"")</f>
        <v/>
      </c>
      <c r="O424" s="31" t="n"/>
      <c r="P424" s="59" t="n"/>
      <c r="Q424" s="59" t="n"/>
    </row>
    <row r="425">
      <c r="A425" s="31">
        <f>IF(Members!$A425="","",Members!$A425)</f>
        <v/>
      </c>
      <c r="B425" s="31" t="n"/>
      <c r="C425" s="31" t="n"/>
      <c r="D425" s="31" t="n"/>
      <c r="E425" s="31" t="n"/>
      <c r="F425" s="31" t="n"/>
      <c r="G425" s="31" t="n"/>
      <c r="H425" s="31" t="n"/>
      <c r="I425" s="31" t="n"/>
      <c r="J425" s="31" t="n"/>
      <c r="K425" s="31">
        <f>IF(COUNTA($D425:$J425)&lt;7,"",ROUND(MIN(10000, MAX(0, ((((($D425*1.2)+($E425*1.2)+($F425*1.1)+($G425*1.0)+($H425*1.0)+($I425*1.1)+($J425*0.9))/7.5)-1)/4*8000 + MIN($B425*20,1000) + MIN($C425*100,1000))),0))</f>
        <v/>
      </c>
      <c r="L425" s="31">
        <f>IF($K425="","",MIN(100,INT(SQRT($K425))))</f>
        <v/>
      </c>
      <c r="M425" s="31" t="n"/>
      <c r="N425" s="31">
        <f>IF($M425="Yes",$K425,"")</f>
        <v/>
      </c>
      <c r="O425" s="31" t="n"/>
      <c r="P425" s="59" t="n"/>
      <c r="Q425" s="59" t="n"/>
    </row>
    <row r="426">
      <c r="A426" s="31">
        <f>IF(Members!$A426="","",Members!$A426)</f>
        <v/>
      </c>
      <c r="B426" s="31" t="n"/>
      <c r="C426" s="31" t="n"/>
      <c r="D426" s="31" t="n"/>
      <c r="E426" s="31" t="n"/>
      <c r="F426" s="31" t="n"/>
      <c r="G426" s="31" t="n"/>
      <c r="H426" s="31" t="n"/>
      <c r="I426" s="31" t="n"/>
      <c r="J426" s="31" t="n"/>
      <c r="K426" s="31">
        <f>IF(COUNTA($D426:$J426)&lt;7,"",ROUND(MIN(10000, MAX(0, ((((($D426*1.2)+($E426*1.2)+($F426*1.1)+($G426*1.0)+($H426*1.0)+($I426*1.1)+($J426*0.9))/7.5)-1)/4*8000 + MIN($B426*20,1000) + MIN($C426*100,1000))),0))</f>
        <v/>
      </c>
      <c r="L426" s="31">
        <f>IF($K426="","",MIN(100,INT(SQRT($K426))))</f>
        <v/>
      </c>
      <c r="M426" s="31" t="n"/>
      <c r="N426" s="31">
        <f>IF($M426="Yes",$K426,"")</f>
        <v/>
      </c>
      <c r="O426" s="31" t="n"/>
      <c r="P426" s="59" t="n"/>
      <c r="Q426" s="59" t="n"/>
    </row>
    <row r="427">
      <c r="A427" s="31">
        <f>IF(Members!$A427="","",Members!$A427)</f>
        <v/>
      </c>
      <c r="B427" s="31" t="n"/>
      <c r="C427" s="31" t="n"/>
      <c r="D427" s="31" t="n"/>
      <c r="E427" s="31" t="n"/>
      <c r="F427" s="31" t="n"/>
      <c r="G427" s="31" t="n"/>
      <c r="H427" s="31" t="n"/>
      <c r="I427" s="31" t="n"/>
      <c r="J427" s="31" t="n"/>
      <c r="K427" s="31">
        <f>IF(COUNTA($D427:$J427)&lt;7,"",ROUND(MIN(10000, MAX(0, ((((($D427*1.2)+($E427*1.2)+($F427*1.1)+($G427*1.0)+($H427*1.0)+($I427*1.1)+($J427*0.9))/7.5)-1)/4*8000 + MIN($B427*20,1000) + MIN($C427*100,1000))),0))</f>
        <v/>
      </c>
      <c r="L427" s="31">
        <f>IF($K427="","",MIN(100,INT(SQRT($K427))))</f>
        <v/>
      </c>
      <c r="M427" s="31" t="n"/>
      <c r="N427" s="31">
        <f>IF($M427="Yes",$K427,"")</f>
        <v/>
      </c>
      <c r="O427" s="31" t="n"/>
      <c r="P427" s="59" t="n"/>
      <c r="Q427" s="59" t="n"/>
    </row>
    <row r="428">
      <c r="A428" s="31">
        <f>IF(Members!$A428="","",Members!$A428)</f>
        <v/>
      </c>
      <c r="B428" s="31" t="n"/>
      <c r="C428" s="31" t="n"/>
      <c r="D428" s="31" t="n"/>
      <c r="E428" s="31" t="n"/>
      <c r="F428" s="31" t="n"/>
      <c r="G428" s="31" t="n"/>
      <c r="H428" s="31" t="n"/>
      <c r="I428" s="31" t="n"/>
      <c r="J428" s="31" t="n"/>
      <c r="K428" s="31">
        <f>IF(COUNTA($D428:$J428)&lt;7,"",ROUND(MIN(10000, MAX(0, ((((($D428*1.2)+($E428*1.2)+($F428*1.1)+($G428*1.0)+($H428*1.0)+($I428*1.1)+($J428*0.9))/7.5)-1)/4*8000 + MIN($B428*20,1000) + MIN($C428*100,1000))),0))</f>
        <v/>
      </c>
      <c r="L428" s="31">
        <f>IF($K428="","",MIN(100,INT(SQRT($K428))))</f>
        <v/>
      </c>
      <c r="M428" s="31" t="n"/>
      <c r="N428" s="31">
        <f>IF($M428="Yes",$K428,"")</f>
        <v/>
      </c>
      <c r="O428" s="31" t="n"/>
      <c r="P428" s="59" t="n"/>
      <c r="Q428" s="59" t="n"/>
    </row>
    <row r="429">
      <c r="A429" s="31">
        <f>IF(Members!$A429="","",Members!$A429)</f>
        <v/>
      </c>
      <c r="B429" s="31" t="n"/>
      <c r="C429" s="31" t="n"/>
      <c r="D429" s="31" t="n"/>
      <c r="E429" s="31" t="n"/>
      <c r="F429" s="31" t="n"/>
      <c r="G429" s="31" t="n"/>
      <c r="H429" s="31" t="n"/>
      <c r="I429" s="31" t="n"/>
      <c r="J429" s="31" t="n"/>
      <c r="K429" s="31">
        <f>IF(COUNTA($D429:$J429)&lt;7,"",ROUND(MIN(10000, MAX(0, ((((($D429*1.2)+($E429*1.2)+($F429*1.1)+($G429*1.0)+($H429*1.0)+($I429*1.1)+($J429*0.9))/7.5)-1)/4*8000 + MIN($B429*20,1000) + MIN($C429*100,1000))),0))</f>
        <v/>
      </c>
      <c r="L429" s="31">
        <f>IF($K429="","",MIN(100,INT(SQRT($K429))))</f>
        <v/>
      </c>
      <c r="M429" s="31" t="n"/>
      <c r="N429" s="31">
        <f>IF($M429="Yes",$K429,"")</f>
        <v/>
      </c>
      <c r="O429" s="31" t="n"/>
      <c r="P429" s="59" t="n"/>
      <c r="Q429" s="59" t="n"/>
    </row>
    <row r="430">
      <c r="A430" s="31">
        <f>IF(Members!$A430="","",Members!$A430)</f>
        <v/>
      </c>
      <c r="B430" s="31" t="n"/>
      <c r="C430" s="31" t="n"/>
      <c r="D430" s="31" t="n"/>
      <c r="E430" s="31" t="n"/>
      <c r="F430" s="31" t="n"/>
      <c r="G430" s="31" t="n"/>
      <c r="H430" s="31" t="n"/>
      <c r="I430" s="31" t="n"/>
      <c r="J430" s="31" t="n"/>
      <c r="K430" s="31">
        <f>IF(COUNTA($D430:$J430)&lt;7,"",ROUND(MIN(10000, MAX(0, ((((($D430*1.2)+($E430*1.2)+($F430*1.1)+($G430*1.0)+($H430*1.0)+($I430*1.1)+($J430*0.9))/7.5)-1)/4*8000 + MIN($B430*20,1000) + MIN($C430*100,1000))),0))</f>
        <v/>
      </c>
      <c r="L430" s="31">
        <f>IF($K430="","",MIN(100,INT(SQRT($K430))))</f>
        <v/>
      </c>
      <c r="M430" s="31" t="n"/>
      <c r="N430" s="31">
        <f>IF($M430="Yes",$K430,"")</f>
        <v/>
      </c>
      <c r="O430" s="31" t="n"/>
      <c r="P430" s="59" t="n"/>
      <c r="Q430" s="59" t="n"/>
    </row>
    <row r="431">
      <c r="A431" s="31">
        <f>IF(Members!$A431="","",Members!$A431)</f>
        <v/>
      </c>
      <c r="B431" s="31" t="n"/>
      <c r="C431" s="31" t="n"/>
      <c r="D431" s="31" t="n"/>
      <c r="E431" s="31" t="n"/>
      <c r="F431" s="31" t="n"/>
      <c r="G431" s="31" t="n"/>
      <c r="H431" s="31" t="n"/>
      <c r="I431" s="31" t="n"/>
      <c r="J431" s="31" t="n"/>
      <c r="K431" s="31">
        <f>IF(COUNTA($D431:$J431)&lt;7,"",ROUND(MIN(10000, MAX(0, ((((($D431*1.2)+($E431*1.2)+($F431*1.1)+($G431*1.0)+($H431*1.0)+($I431*1.1)+($J431*0.9))/7.5)-1)/4*8000 + MIN($B431*20,1000) + MIN($C431*100,1000))),0))</f>
        <v/>
      </c>
      <c r="L431" s="31">
        <f>IF($K431="","",MIN(100,INT(SQRT($K431))))</f>
        <v/>
      </c>
      <c r="M431" s="31" t="n"/>
      <c r="N431" s="31">
        <f>IF($M431="Yes",$K431,"")</f>
        <v/>
      </c>
      <c r="O431" s="31" t="n"/>
      <c r="P431" s="59" t="n"/>
      <c r="Q431" s="59" t="n"/>
    </row>
    <row r="432">
      <c r="A432" s="31">
        <f>IF(Members!$A432="","",Members!$A432)</f>
        <v/>
      </c>
      <c r="B432" s="31" t="n"/>
      <c r="C432" s="31" t="n"/>
      <c r="D432" s="31" t="n"/>
      <c r="E432" s="31" t="n"/>
      <c r="F432" s="31" t="n"/>
      <c r="G432" s="31" t="n"/>
      <c r="H432" s="31" t="n"/>
      <c r="I432" s="31" t="n"/>
      <c r="J432" s="31" t="n"/>
      <c r="K432" s="31">
        <f>IF(COUNTA($D432:$J432)&lt;7,"",ROUND(MIN(10000, MAX(0, ((((($D432*1.2)+($E432*1.2)+($F432*1.1)+($G432*1.0)+($H432*1.0)+($I432*1.1)+($J432*0.9))/7.5)-1)/4*8000 + MIN($B432*20,1000) + MIN($C432*100,1000))),0))</f>
        <v/>
      </c>
      <c r="L432" s="31">
        <f>IF($K432="","",MIN(100,INT(SQRT($K432))))</f>
        <v/>
      </c>
      <c r="M432" s="31" t="n"/>
      <c r="N432" s="31">
        <f>IF($M432="Yes",$K432,"")</f>
        <v/>
      </c>
      <c r="O432" s="31" t="n"/>
      <c r="P432" s="59" t="n"/>
      <c r="Q432" s="59" t="n"/>
    </row>
    <row r="433">
      <c r="A433" s="31">
        <f>IF(Members!$A433="","",Members!$A433)</f>
        <v/>
      </c>
      <c r="B433" s="31" t="n"/>
      <c r="C433" s="31" t="n"/>
      <c r="D433" s="31" t="n"/>
      <c r="E433" s="31" t="n"/>
      <c r="F433" s="31" t="n"/>
      <c r="G433" s="31" t="n"/>
      <c r="H433" s="31" t="n"/>
      <c r="I433" s="31" t="n"/>
      <c r="J433" s="31" t="n"/>
      <c r="K433" s="31">
        <f>IF(COUNTA($D433:$J433)&lt;7,"",ROUND(MIN(10000, MAX(0, ((((($D433*1.2)+($E433*1.2)+($F433*1.1)+($G433*1.0)+($H433*1.0)+($I433*1.1)+($J433*0.9))/7.5)-1)/4*8000 + MIN($B433*20,1000) + MIN($C433*100,1000))),0))</f>
        <v/>
      </c>
      <c r="L433" s="31">
        <f>IF($K433="","",MIN(100,INT(SQRT($K433))))</f>
        <v/>
      </c>
      <c r="M433" s="31" t="n"/>
      <c r="N433" s="31">
        <f>IF($M433="Yes",$K433,"")</f>
        <v/>
      </c>
      <c r="O433" s="31" t="n"/>
      <c r="P433" s="59" t="n"/>
      <c r="Q433" s="59" t="n"/>
    </row>
    <row r="434">
      <c r="A434" s="31">
        <f>IF(Members!$A434="","",Members!$A434)</f>
        <v/>
      </c>
      <c r="B434" s="31" t="n"/>
      <c r="C434" s="31" t="n"/>
      <c r="D434" s="31" t="n"/>
      <c r="E434" s="31" t="n"/>
      <c r="F434" s="31" t="n"/>
      <c r="G434" s="31" t="n"/>
      <c r="H434" s="31" t="n"/>
      <c r="I434" s="31" t="n"/>
      <c r="J434" s="31" t="n"/>
      <c r="K434" s="31">
        <f>IF(COUNTA($D434:$J434)&lt;7,"",ROUND(MIN(10000, MAX(0, ((((($D434*1.2)+($E434*1.2)+($F434*1.1)+($G434*1.0)+($H434*1.0)+($I434*1.1)+($J434*0.9))/7.5)-1)/4*8000 + MIN($B434*20,1000) + MIN($C434*100,1000))),0))</f>
        <v/>
      </c>
      <c r="L434" s="31">
        <f>IF($K434="","",MIN(100,INT(SQRT($K434))))</f>
        <v/>
      </c>
      <c r="M434" s="31" t="n"/>
      <c r="N434" s="31">
        <f>IF($M434="Yes",$K434,"")</f>
        <v/>
      </c>
      <c r="O434" s="31" t="n"/>
      <c r="P434" s="59" t="n"/>
      <c r="Q434" s="59" t="n"/>
    </row>
    <row r="435">
      <c r="A435" s="31">
        <f>IF(Members!$A435="","",Members!$A435)</f>
        <v/>
      </c>
      <c r="B435" s="31" t="n"/>
      <c r="C435" s="31" t="n"/>
      <c r="D435" s="31" t="n"/>
      <c r="E435" s="31" t="n"/>
      <c r="F435" s="31" t="n"/>
      <c r="G435" s="31" t="n"/>
      <c r="H435" s="31" t="n"/>
      <c r="I435" s="31" t="n"/>
      <c r="J435" s="31" t="n"/>
      <c r="K435" s="31">
        <f>IF(COUNTA($D435:$J435)&lt;7,"",ROUND(MIN(10000, MAX(0, ((((($D435*1.2)+($E435*1.2)+($F435*1.1)+($G435*1.0)+($H435*1.0)+($I435*1.1)+($J435*0.9))/7.5)-1)/4*8000 + MIN($B435*20,1000) + MIN($C435*100,1000))),0))</f>
        <v/>
      </c>
      <c r="L435" s="31">
        <f>IF($K435="","",MIN(100,INT(SQRT($K435))))</f>
        <v/>
      </c>
      <c r="M435" s="31" t="n"/>
      <c r="N435" s="31">
        <f>IF($M435="Yes",$K435,"")</f>
        <v/>
      </c>
      <c r="O435" s="31" t="n"/>
      <c r="P435" s="59" t="n"/>
      <c r="Q435" s="59" t="n"/>
    </row>
    <row r="436">
      <c r="A436" s="31">
        <f>IF(Members!$A436="","",Members!$A436)</f>
        <v/>
      </c>
      <c r="B436" s="31" t="n"/>
      <c r="C436" s="31" t="n"/>
      <c r="D436" s="31" t="n"/>
      <c r="E436" s="31" t="n"/>
      <c r="F436" s="31" t="n"/>
      <c r="G436" s="31" t="n"/>
      <c r="H436" s="31" t="n"/>
      <c r="I436" s="31" t="n"/>
      <c r="J436" s="31" t="n"/>
      <c r="K436" s="31">
        <f>IF(COUNTA($D436:$J436)&lt;7,"",ROUND(MIN(10000, MAX(0, ((((($D436*1.2)+($E436*1.2)+($F436*1.1)+($G436*1.0)+($H436*1.0)+($I436*1.1)+($J436*0.9))/7.5)-1)/4*8000 + MIN($B436*20,1000) + MIN($C436*100,1000))),0))</f>
        <v/>
      </c>
      <c r="L436" s="31">
        <f>IF($K436="","",MIN(100,INT(SQRT($K436))))</f>
        <v/>
      </c>
      <c r="M436" s="31" t="n"/>
      <c r="N436" s="31">
        <f>IF($M436="Yes",$K436,"")</f>
        <v/>
      </c>
      <c r="O436" s="31" t="n"/>
      <c r="P436" s="59" t="n"/>
      <c r="Q436" s="59" t="n"/>
    </row>
    <row r="437">
      <c r="A437" s="31">
        <f>IF(Members!$A437="","",Members!$A437)</f>
        <v/>
      </c>
      <c r="B437" s="31" t="n"/>
      <c r="C437" s="31" t="n"/>
      <c r="D437" s="31" t="n"/>
      <c r="E437" s="31" t="n"/>
      <c r="F437" s="31" t="n"/>
      <c r="G437" s="31" t="n"/>
      <c r="H437" s="31" t="n"/>
      <c r="I437" s="31" t="n"/>
      <c r="J437" s="31" t="n"/>
      <c r="K437" s="31">
        <f>IF(COUNTA($D437:$J437)&lt;7,"",ROUND(MIN(10000, MAX(0, ((((($D437*1.2)+($E437*1.2)+($F437*1.1)+($G437*1.0)+($H437*1.0)+($I437*1.1)+($J437*0.9))/7.5)-1)/4*8000 + MIN($B437*20,1000) + MIN($C437*100,1000))),0))</f>
        <v/>
      </c>
      <c r="L437" s="31">
        <f>IF($K437="","",MIN(100,INT(SQRT($K437))))</f>
        <v/>
      </c>
      <c r="M437" s="31" t="n"/>
      <c r="N437" s="31">
        <f>IF($M437="Yes",$K437,"")</f>
        <v/>
      </c>
      <c r="O437" s="31" t="n"/>
      <c r="P437" s="59" t="n"/>
      <c r="Q437" s="59" t="n"/>
    </row>
    <row r="438">
      <c r="A438" s="31">
        <f>IF(Members!$A438="","",Members!$A438)</f>
        <v/>
      </c>
      <c r="B438" s="31" t="n"/>
      <c r="C438" s="31" t="n"/>
      <c r="D438" s="31" t="n"/>
      <c r="E438" s="31" t="n"/>
      <c r="F438" s="31" t="n"/>
      <c r="G438" s="31" t="n"/>
      <c r="H438" s="31" t="n"/>
      <c r="I438" s="31" t="n"/>
      <c r="J438" s="31" t="n"/>
      <c r="K438" s="31">
        <f>IF(COUNTA($D438:$J438)&lt;7,"",ROUND(MIN(10000, MAX(0, ((((($D438*1.2)+($E438*1.2)+($F438*1.1)+($G438*1.0)+($H438*1.0)+($I438*1.1)+($J438*0.9))/7.5)-1)/4*8000 + MIN($B438*20,1000) + MIN($C438*100,1000))),0))</f>
        <v/>
      </c>
      <c r="L438" s="31">
        <f>IF($K438="","",MIN(100,INT(SQRT($K438))))</f>
        <v/>
      </c>
      <c r="M438" s="31" t="n"/>
      <c r="N438" s="31">
        <f>IF($M438="Yes",$K438,"")</f>
        <v/>
      </c>
      <c r="O438" s="31" t="n"/>
      <c r="P438" s="59" t="n"/>
      <c r="Q438" s="59" t="n"/>
    </row>
    <row r="439">
      <c r="A439" s="31">
        <f>IF(Members!$A439="","",Members!$A439)</f>
        <v/>
      </c>
      <c r="B439" s="31" t="n"/>
      <c r="C439" s="31" t="n"/>
      <c r="D439" s="31" t="n"/>
      <c r="E439" s="31" t="n"/>
      <c r="F439" s="31" t="n"/>
      <c r="G439" s="31" t="n"/>
      <c r="H439" s="31" t="n"/>
      <c r="I439" s="31" t="n"/>
      <c r="J439" s="31" t="n"/>
      <c r="K439" s="31">
        <f>IF(COUNTA($D439:$J439)&lt;7,"",ROUND(MIN(10000, MAX(0, ((((($D439*1.2)+($E439*1.2)+($F439*1.1)+($G439*1.0)+($H439*1.0)+($I439*1.1)+($J439*0.9))/7.5)-1)/4*8000 + MIN($B439*20,1000) + MIN($C439*100,1000))),0))</f>
        <v/>
      </c>
      <c r="L439" s="31">
        <f>IF($K439="","",MIN(100,INT(SQRT($K439))))</f>
        <v/>
      </c>
      <c r="M439" s="31" t="n"/>
      <c r="N439" s="31">
        <f>IF($M439="Yes",$K439,"")</f>
        <v/>
      </c>
      <c r="O439" s="31" t="n"/>
      <c r="P439" s="59" t="n"/>
      <c r="Q439" s="59" t="n"/>
    </row>
    <row r="440">
      <c r="A440" s="31">
        <f>IF(Members!$A440="","",Members!$A440)</f>
        <v/>
      </c>
      <c r="B440" s="31" t="n"/>
      <c r="C440" s="31" t="n"/>
      <c r="D440" s="31" t="n"/>
      <c r="E440" s="31" t="n"/>
      <c r="F440" s="31" t="n"/>
      <c r="G440" s="31" t="n"/>
      <c r="H440" s="31" t="n"/>
      <c r="I440" s="31" t="n"/>
      <c r="J440" s="31" t="n"/>
      <c r="K440" s="31">
        <f>IF(COUNTA($D440:$J440)&lt;7,"",ROUND(MIN(10000, MAX(0, ((((($D440*1.2)+($E440*1.2)+($F440*1.1)+($G440*1.0)+($H440*1.0)+($I440*1.1)+($J440*0.9))/7.5)-1)/4*8000 + MIN($B440*20,1000) + MIN($C440*100,1000))),0))</f>
        <v/>
      </c>
      <c r="L440" s="31">
        <f>IF($K440="","",MIN(100,INT(SQRT($K440))))</f>
        <v/>
      </c>
      <c r="M440" s="31" t="n"/>
      <c r="N440" s="31">
        <f>IF($M440="Yes",$K440,"")</f>
        <v/>
      </c>
      <c r="O440" s="31" t="n"/>
      <c r="P440" s="59" t="n"/>
      <c r="Q440" s="59" t="n"/>
    </row>
    <row r="441">
      <c r="A441" s="31">
        <f>IF(Members!$A441="","",Members!$A441)</f>
        <v/>
      </c>
      <c r="B441" s="31" t="n"/>
      <c r="C441" s="31" t="n"/>
      <c r="D441" s="31" t="n"/>
      <c r="E441" s="31" t="n"/>
      <c r="F441" s="31" t="n"/>
      <c r="G441" s="31" t="n"/>
      <c r="H441" s="31" t="n"/>
      <c r="I441" s="31" t="n"/>
      <c r="J441" s="31" t="n"/>
      <c r="K441" s="31">
        <f>IF(COUNTA($D441:$J441)&lt;7,"",ROUND(MIN(10000, MAX(0, ((((($D441*1.2)+($E441*1.2)+($F441*1.1)+($G441*1.0)+($H441*1.0)+($I441*1.1)+($J441*0.9))/7.5)-1)/4*8000 + MIN($B441*20,1000) + MIN($C441*100,1000))),0))</f>
        <v/>
      </c>
      <c r="L441" s="31">
        <f>IF($K441="","",MIN(100,INT(SQRT($K441))))</f>
        <v/>
      </c>
      <c r="M441" s="31" t="n"/>
      <c r="N441" s="31">
        <f>IF($M441="Yes",$K441,"")</f>
        <v/>
      </c>
      <c r="O441" s="31" t="n"/>
      <c r="P441" s="59" t="n"/>
      <c r="Q441" s="59" t="n"/>
    </row>
    <row r="442">
      <c r="A442" s="31">
        <f>IF(Members!$A442="","",Members!$A442)</f>
        <v/>
      </c>
      <c r="B442" s="31" t="n"/>
      <c r="C442" s="31" t="n"/>
      <c r="D442" s="31" t="n"/>
      <c r="E442" s="31" t="n"/>
      <c r="F442" s="31" t="n"/>
      <c r="G442" s="31" t="n"/>
      <c r="H442" s="31" t="n"/>
      <c r="I442" s="31" t="n"/>
      <c r="J442" s="31" t="n"/>
      <c r="K442" s="31">
        <f>IF(COUNTA($D442:$J442)&lt;7,"",ROUND(MIN(10000, MAX(0, ((((($D442*1.2)+($E442*1.2)+($F442*1.1)+($G442*1.0)+($H442*1.0)+($I442*1.1)+($J442*0.9))/7.5)-1)/4*8000 + MIN($B442*20,1000) + MIN($C442*100,1000))),0))</f>
        <v/>
      </c>
      <c r="L442" s="31">
        <f>IF($K442="","",MIN(100,INT(SQRT($K442))))</f>
        <v/>
      </c>
      <c r="M442" s="31" t="n"/>
      <c r="N442" s="31">
        <f>IF($M442="Yes",$K442,"")</f>
        <v/>
      </c>
      <c r="O442" s="31" t="n"/>
      <c r="P442" s="59" t="n"/>
      <c r="Q442" s="59" t="n"/>
    </row>
    <row r="443">
      <c r="A443" s="31">
        <f>IF(Members!$A443="","",Members!$A443)</f>
        <v/>
      </c>
      <c r="B443" s="31" t="n"/>
      <c r="C443" s="31" t="n"/>
      <c r="D443" s="31" t="n"/>
      <c r="E443" s="31" t="n"/>
      <c r="F443" s="31" t="n"/>
      <c r="G443" s="31" t="n"/>
      <c r="H443" s="31" t="n"/>
      <c r="I443" s="31" t="n"/>
      <c r="J443" s="31" t="n"/>
      <c r="K443" s="31">
        <f>IF(COUNTA($D443:$J443)&lt;7,"",ROUND(MIN(10000, MAX(0, ((((($D443*1.2)+($E443*1.2)+($F443*1.1)+($G443*1.0)+($H443*1.0)+($I443*1.1)+($J443*0.9))/7.5)-1)/4*8000 + MIN($B443*20,1000) + MIN($C443*100,1000))),0))</f>
        <v/>
      </c>
      <c r="L443" s="31">
        <f>IF($K443="","",MIN(100,INT(SQRT($K443))))</f>
        <v/>
      </c>
      <c r="M443" s="31" t="n"/>
      <c r="N443" s="31">
        <f>IF($M443="Yes",$K443,"")</f>
        <v/>
      </c>
      <c r="O443" s="31" t="n"/>
      <c r="P443" s="59" t="n"/>
      <c r="Q443" s="59" t="n"/>
    </row>
    <row r="444">
      <c r="A444" s="31">
        <f>IF(Members!$A444="","",Members!$A444)</f>
        <v/>
      </c>
      <c r="B444" s="31" t="n"/>
      <c r="C444" s="31" t="n"/>
      <c r="D444" s="31" t="n"/>
      <c r="E444" s="31" t="n"/>
      <c r="F444" s="31" t="n"/>
      <c r="G444" s="31" t="n"/>
      <c r="H444" s="31" t="n"/>
      <c r="I444" s="31" t="n"/>
      <c r="J444" s="31" t="n"/>
      <c r="K444" s="31">
        <f>IF(COUNTA($D444:$J444)&lt;7,"",ROUND(MIN(10000, MAX(0, ((((($D444*1.2)+($E444*1.2)+($F444*1.1)+($G444*1.0)+($H444*1.0)+($I444*1.1)+($J444*0.9))/7.5)-1)/4*8000 + MIN($B444*20,1000) + MIN($C444*100,1000))),0))</f>
        <v/>
      </c>
      <c r="L444" s="31">
        <f>IF($K444="","",MIN(100,INT(SQRT($K444))))</f>
        <v/>
      </c>
      <c r="M444" s="31" t="n"/>
      <c r="N444" s="31">
        <f>IF($M444="Yes",$K444,"")</f>
        <v/>
      </c>
      <c r="O444" s="31" t="n"/>
      <c r="P444" s="59" t="n"/>
      <c r="Q444" s="59" t="n"/>
    </row>
    <row r="445">
      <c r="A445" s="31">
        <f>IF(Members!$A445="","",Members!$A445)</f>
        <v/>
      </c>
      <c r="B445" s="31" t="n"/>
      <c r="C445" s="31" t="n"/>
      <c r="D445" s="31" t="n"/>
      <c r="E445" s="31" t="n"/>
      <c r="F445" s="31" t="n"/>
      <c r="G445" s="31" t="n"/>
      <c r="H445" s="31" t="n"/>
      <c r="I445" s="31" t="n"/>
      <c r="J445" s="31" t="n"/>
      <c r="K445" s="31">
        <f>IF(COUNTA($D445:$J445)&lt;7,"",ROUND(MIN(10000, MAX(0, ((((($D445*1.2)+($E445*1.2)+($F445*1.1)+($G445*1.0)+($H445*1.0)+($I445*1.1)+($J445*0.9))/7.5)-1)/4*8000 + MIN($B445*20,1000) + MIN($C445*100,1000))),0))</f>
        <v/>
      </c>
      <c r="L445" s="31">
        <f>IF($K445="","",MIN(100,INT(SQRT($K445))))</f>
        <v/>
      </c>
      <c r="M445" s="31" t="n"/>
      <c r="N445" s="31">
        <f>IF($M445="Yes",$K445,"")</f>
        <v/>
      </c>
      <c r="O445" s="31" t="n"/>
      <c r="P445" s="59" t="n"/>
      <c r="Q445" s="59" t="n"/>
    </row>
    <row r="446">
      <c r="A446" s="31">
        <f>IF(Members!$A446="","",Members!$A446)</f>
        <v/>
      </c>
      <c r="B446" s="31" t="n"/>
      <c r="C446" s="31" t="n"/>
      <c r="D446" s="31" t="n"/>
      <c r="E446" s="31" t="n"/>
      <c r="F446" s="31" t="n"/>
      <c r="G446" s="31" t="n"/>
      <c r="H446" s="31" t="n"/>
      <c r="I446" s="31" t="n"/>
      <c r="J446" s="31" t="n"/>
      <c r="K446" s="31">
        <f>IF(COUNTA($D446:$J446)&lt;7,"",ROUND(MIN(10000, MAX(0, ((((($D446*1.2)+($E446*1.2)+($F446*1.1)+($G446*1.0)+($H446*1.0)+($I446*1.1)+($J446*0.9))/7.5)-1)/4*8000 + MIN($B446*20,1000) + MIN($C446*100,1000))),0))</f>
        <v/>
      </c>
      <c r="L446" s="31">
        <f>IF($K446="","",MIN(100,INT(SQRT($K446))))</f>
        <v/>
      </c>
      <c r="M446" s="31" t="n"/>
      <c r="N446" s="31">
        <f>IF($M446="Yes",$K446,"")</f>
        <v/>
      </c>
      <c r="O446" s="31" t="n"/>
      <c r="P446" s="59" t="n"/>
      <c r="Q446" s="59" t="n"/>
    </row>
    <row r="447">
      <c r="A447" s="31">
        <f>IF(Members!$A447="","",Members!$A447)</f>
        <v/>
      </c>
      <c r="B447" s="31" t="n"/>
      <c r="C447" s="31" t="n"/>
      <c r="D447" s="31" t="n"/>
      <c r="E447" s="31" t="n"/>
      <c r="F447" s="31" t="n"/>
      <c r="G447" s="31" t="n"/>
      <c r="H447" s="31" t="n"/>
      <c r="I447" s="31" t="n"/>
      <c r="J447" s="31" t="n"/>
      <c r="K447" s="31">
        <f>IF(COUNTA($D447:$J447)&lt;7,"",ROUND(MIN(10000, MAX(0, ((((($D447*1.2)+($E447*1.2)+($F447*1.1)+($G447*1.0)+($H447*1.0)+($I447*1.1)+($J447*0.9))/7.5)-1)/4*8000 + MIN($B447*20,1000) + MIN($C447*100,1000))),0))</f>
        <v/>
      </c>
      <c r="L447" s="31">
        <f>IF($K447="","",MIN(100,INT(SQRT($K447))))</f>
        <v/>
      </c>
      <c r="M447" s="31" t="n"/>
      <c r="N447" s="31">
        <f>IF($M447="Yes",$K447,"")</f>
        <v/>
      </c>
      <c r="O447" s="31" t="n"/>
      <c r="P447" s="59" t="n"/>
      <c r="Q447" s="59" t="n"/>
    </row>
    <row r="448">
      <c r="A448" s="31">
        <f>IF(Members!$A448="","",Members!$A448)</f>
        <v/>
      </c>
      <c r="B448" s="31" t="n"/>
      <c r="C448" s="31" t="n"/>
      <c r="D448" s="31" t="n"/>
      <c r="E448" s="31" t="n"/>
      <c r="F448" s="31" t="n"/>
      <c r="G448" s="31" t="n"/>
      <c r="H448" s="31" t="n"/>
      <c r="I448" s="31" t="n"/>
      <c r="J448" s="31" t="n"/>
      <c r="K448" s="31">
        <f>IF(COUNTA($D448:$J448)&lt;7,"",ROUND(MIN(10000, MAX(0, ((((($D448*1.2)+($E448*1.2)+($F448*1.1)+($G448*1.0)+($H448*1.0)+($I448*1.1)+($J448*0.9))/7.5)-1)/4*8000 + MIN($B448*20,1000) + MIN($C448*100,1000))),0))</f>
        <v/>
      </c>
      <c r="L448" s="31">
        <f>IF($K448="","",MIN(100,INT(SQRT($K448))))</f>
        <v/>
      </c>
      <c r="M448" s="31" t="n"/>
      <c r="N448" s="31">
        <f>IF($M448="Yes",$K448,"")</f>
        <v/>
      </c>
      <c r="O448" s="31" t="n"/>
      <c r="P448" s="59" t="n"/>
      <c r="Q448" s="59" t="n"/>
    </row>
    <row r="449">
      <c r="A449" s="31">
        <f>IF(Members!$A449="","",Members!$A449)</f>
        <v/>
      </c>
      <c r="B449" s="31" t="n"/>
      <c r="C449" s="31" t="n"/>
      <c r="D449" s="31" t="n"/>
      <c r="E449" s="31" t="n"/>
      <c r="F449" s="31" t="n"/>
      <c r="G449" s="31" t="n"/>
      <c r="H449" s="31" t="n"/>
      <c r="I449" s="31" t="n"/>
      <c r="J449" s="31" t="n"/>
      <c r="K449" s="31">
        <f>IF(COUNTA($D449:$J449)&lt;7,"",ROUND(MIN(10000, MAX(0, ((((($D449*1.2)+($E449*1.2)+($F449*1.1)+($G449*1.0)+($H449*1.0)+($I449*1.1)+($J449*0.9))/7.5)-1)/4*8000 + MIN($B449*20,1000) + MIN($C449*100,1000))),0))</f>
        <v/>
      </c>
      <c r="L449" s="31">
        <f>IF($K449="","",MIN(100,INT(SQRT($K449))))</f>
        <v/>
      </c>
      <c r="M449" s="31" t="n"/>
      <c r="N449" s="31">
        <f>IF($M449="Yes",$K449,"")</f>
        <v/>
      </c>
      <c r="O449" s="31" t="n"/>
      <c r="P449" s="59" t="n"/>
      <c r="Q449" s="59" t="n"/>
    </row>
    <row r="450">
      <c r="A450" s="31">
        <f>IF(Members!$A450="","",Members!$A450)</f>
        <v/>
      </c>
      <c r="B450" s="31" t="n"/>
      <c r="C450" s="31" t="n"/>
      <c r="D450" s="31" t="n"/>
      <c r="E450" s="31" t="n"/>
      <c r="F450" s="31" t="n"/>
      <c r="G450" s="31" t="n"/>
      <c r="H450" s="31" t="n"/>
      <c r="I450" s="31" t="n"/>
      <c r="J450" s="31" t="n"/>
      <c r="K450" s="31">
        <f>IF(COUNTA($D450:$J450)&lt;7,"",ROUND(MIN(10000, MAX(0, ((((($D450*1.2)+($E450*1.2)+($F450*1.1)+($G450*1.0)+($H450*1.0)+($I450*1.1)+($J450*0.9))/7.5)-1)/4*8000 + MIN($B450*20,1000) + MIN($C450*100,1000))),0))</f>
        <v/>
      </c>
      <c r="L450" s="31">
        <f>IF($K450="","",MIN(100,INT(SQRT($K450))))</f>
        <v/>
      </c>
      <c r="M450" s="31" t="n"/>
      <c r="N450" s="31">
        <f>IF($M450="Yes",$K450,"")</f>
        <v/>
      </c>
      <c r="O450" s="31" t="n"/>
      <c r="P450" s="59" t="n"/>
      <c r="Q450" s="59" t="n"/>
    </row>
    <row r="451">
      <c r="A451" s="31">
        <f>IF(Members!$A451="","",Members!$A451)</f>
        <v/>
      </c>
      <c r="B451" s="31" t="n"/>
      <c r="C451" s="31" t="n"/>
      <c r="D451" s="31" t="n"/>
      <c r="E451" s="31" t="n"/>
      <c r="F451" s="31" t="n"/>
      <c r="G451" s="31" t="n"/>
      <c r="H451" s="31" t="n"/>
      <c r="I451" s="31" t="n"/>
      <c r="J451" s="31" t="n"/>
      <c r="K451" s="31">
        <f>IF(COUNTA($D451:$J451)&lt;7,"",ROUND(MIN(10000, MAX(0, ((((($D451*1.2)+($E451*1.2)+($F451*1.1)+($G451*1.0)+($H451*1.0)+($I451*1.1)+($J451*0.9))/7.5)-1)/4*8000 + MIN($B451*20,1000) + MIN($C451*100,1000))),0))</f>
        <v/>
      </c>
      <c r="L451" s="31">
        <f>IF($K451="","",MIN(100,INT(SQRT($K451))))</f>
        <v/>
      </c>
      <c r="M451" s="31" t="n"/>
      <c r="N451" s="31">
        <f>IF($M451="Yes",$K451,"")</f>
        <v/>
      </c>
      <c r="O451" s="31" t="n"/>
      <c r="P451" s="59" t="n"/>
      <c r="Q451" s="59" t="n"/>
    </row>
    <row r="452">
      <c r="A452" s="31">
        <f>IF(Members!$A452="","",Members!$A452)</f>
        <v/>
      </c>
      <c r="B452" s="31" t="n"/>
      <c r="C452" s="31" t="n"/>
      <c r="D452" s="31" t="n"/>
      <c r="E452" s="31" t="n"/>
      <c r="F452" s="31" t="n"/>
      <c r="G452" s="31" t="n"/>
      <c r="H452" s="31" t="n"/>
      <c r="I452" s="31" t="n"/>
      <c r="J452" s="31" t="n"/>
      <c r="K452" s="31">
        <f>IF(COUNTA($D452:$J452)&lt;7,"",ROUND(MIN(10000, MAX(0, ((((($D452*1.2)+($E452*1.2)+($F452*1.1)+($G452*1.0)+($H452*1.0)+($I452*1.1)+($J452*0.9))/7.5)-1)/4*8000 + MIN($B452*20,1000) + MIN($C452*100,1000))),0))</f>
        <v/>
      </c>
      <c r="L452" s="31">
        <f>IF($K452="","",MIN(100,INT(SQRT($K452))))</f>
        <v/>
      </c>
      <c r="M452" s="31" t="n"/>
      <c r="N452" s="31">
        <f>IF($M452="Yes",$K452,"")</f>
        <v/>
      </c>
      <c r="O452" s="31" t="n"/>
      <c r="P452" s="59" t="n"/>
      <c r="Q452" s="59" t="n"/>
    </row>
    <row r="453">
      <c r="A453" s="31">
        <f>IF(Members!$A453="","",Members!$A453)</f>
        <v/>
      </c>
      <c r="B453" s="31" t="n"/>
      <c r="C453" s="31" t="n"/>
      <c r="D453" s="31" t="n"/>
      <c r="E453" s="31" t="n"/>
      <c r="F453" s="31" t="n"/>
      <c r="G453" s="31" t="n"/>
      <c r="H453" s="31" t="n"/>
      <c r="I453" s="31" t="n"/>
      <c r="J453" s="31" t="n"/>
      <c r="K453" s="31">
        <f>IF(COUNTA($D453:$J453)&lt;7,"",ROUND(MIN(10000, MAX(0, ((((($D453*1.2)+($E453*1.2)+($F453*1.1)+($G453*1.0)+($H453*1.0)+($I453*1.1)+($J453*0.9))/7.5)-1)/4*8000 + MIN($B453*20,1000) + MIN($C453*100,1000))),0))</f>
        <v/>
      </c>
      <c r="L453" s="31">
        <f>IF($K453="","",MIN(100,INT(SQRT($K453))))</f>
        <v/>
      </c>
      <c r="M453" s="31" t="n"/>
      <c r="N453" s="31">
        <f>IF($M453="Yes",$K453,"")</f>
        <v/>
      </c>
      <c r="O453" s="31" t="n"/>
      <c r="P453" s="59" t="n"/>
      <c r="Q453" s="59" t="n"/>
    </row>
    <row r="454">
      <c r="A454" s="31">
        <f>IF(Members!$A454="","",Members!$A454)</f>
        <v/>
      </c>
      <c r="B454" s="31" t="n"/>
      <c r="C454" s="31" t="n"/>
      <c r="D454" s="31" t="n"/>
      <c r="E454" s="31" t="n"/>
      <c r="F454" s="31" t="n"/>
      <c r="G454" s="31" t="n"/>
      <c r="H454" s="31" t="n"/>
      <c r="I454" s="31" t="n"/>
      <c r="J454" s="31" t="n"/>
      <c r="K454" s="31">
        <f>IF(COUNTA($D454:$J454)&lt;7,"",ROUND(MIN(10000, MAX(0, ((((($D454*1.2)+($E454*1.2)+($F454*1.1)+($G454*1.0)+($H454*1.0)+($I454*1.1)+($J454*0.9))/7.5)-1)/4*8000 + MIN($B454*20,1000) + MIN($C454*100,1000))),0))</f>
        <v/>
      </c>
      <c r="L454" s="31">
        <f>IF($K454="","",MIN(100,INT(SQRT($K454))))</f>
        <v/>
      </c>
      <c r="M454" s="31" t="n"/>
      <c r="N454" s="31">
        <f>IF($M454="Yes",$K454,"")</f>
        <v/>
      </c>
      <c r="O454" s="31" t="n"/>
      <c r="P454" s="59" t="n"/>
      <c r="Q454" s="59" t="n"/>
    </row>
    <row r="455">
      <c r="A455" s="31">
        <f>IF(Members!$A455="","",Members!$A455)</f>
        <v/>
      </c>
      <c r="B455" s="31" t="n"/>
      <c r="C455" s="31" t="n"/>
      <c r="D455" s="31" t="n"/>
      <c r="E455" s="31" t="n"/>
      <c r="F455" s="31" t="n"/>
      <c r="G455" s="31" t="n"/>
      <c r="H455" s="31" t="n"/>
      <c r="I455" s="31" t="n"/>
      <c r="J455" s="31" t="n"/>
      <c r="K455" s="31">
        <f>IF(COUNTA($D455:$J455)&lt;7,"",ROUND(MIN(10000, MAX(0, ((((($D455*1.2)+($E455*1.2)+($F455*1.1)+($G455*1.0)+($H455*1.0)+($I455*1.1)+($J455*0.9))/7.5)-1)/4*8000 + MIN($B455*20,1000) + MIN($C455*100,1000))),0))</f>
        <v/>
      </c>
      <c r="L455" s="31">
        <f>IF($K455="","",MIN(100,INT(SQRT($K455))))</f>
        <v/>
      </c>
      <c r="M455" s="31" t="n"/>
      <c r="N455" s="31">
        <f>IF($M455="Yes",$K455,"")</f>
        <v/>
      </c>
      <c r="O455" s="31" t="n"/>
      <c r="P455" s="59" t="n"/>
      <c r="Q455" s="59" t="n"/>
    </row>
    <row r="456">
      <c r="A456" s="31">
        <f>IF(Members!$A456="","",Members!$A456)</f>
        <v/>
      </c>
      <c r="B456" s="31" t="n"/>
      <c r="C456" s="31" t="n"/>
      <c r="D456" s="31" t="n"/>
      <c r="E456" s="31" t="n"/>
      <c r="F456" s="31" t="n"/>
      <c r="G456" s="31" t="n"/>
      <c r="H456" s="31" t="n"/>
      <c r="I456" s="31" t="n"/>
      <c r="J456" s="31" t="n"/>
      <c r="K456" s="31">
        <f>IF(COUNTA($D456:$J456)&lt;7,"",ROUND(MIN(10000, MAX(0, ((((($D456*1.2)+($E456*1.2)+($F456*1.1)+($G456*1.0)+($H456*1.0)+($I456*1.1)+($J456*0.9))/7.5)-1)/4*8000 + MIN($B456*20,1000) + MIN($C456*100,1000))),0))</f>
        <v/>
      </c>
      <c r="L456" s="31">
        <f>IF($K456="","",MIN(100,INT(SQRT($K456))))</f>
        <v/>
      </c>
      <c r="M456" s="31" t="n"/>
      <c r="N456" s="31">
        <f>IF($M456="Yes",$K456,"")</f>
        <v/>
      </c>
      <c r="O456" s="31" t="n"/>
      <c r="P456" s="59" t="n"/>
      <c r="Q456" s="59" t="n"/>
    </row>
    <row r="457">
      <c r="A457" s="31">
        <f>IF(Members!$A457="","",Members!$A457)</f>
        <v/>
      </c>
      <c r="B457" s="31" t="n"/>
      <c r="C457" s="31" t="n"/>
      <c r="D457" s="31" t="n"/>
      <c r="E457" s="31" t="n"/>
      <c r="F457" s="31" t="n"/>
      <c r="G457" s="31" t="n"/>
      <c r="H457" s="31" t="n"/>
      <c r="I457" s="31" t="n"/>
      <c r="J457" s="31" t="n"/>
      <c r="K457" s="31">
        <f>IF(COUNTA($D457:$J457)&lt;7,"",ROUND(MIN(10000, MAX(0, ((((($D457*1.2)+($E457*1.2)+($F457*1.1)+($G457*1.0)+($H457*1.0)+($I457*1.1)+($J457*0.9))/7.5)-1)/4*8000 + MIN($B457*20,1000) + MIN($C457*100,1000))),0))</f>
        <v/>
      </c>
      <c r="L457" s="31">
        <f>IF($K457="","",MIN(100,INT(SQRT($K457))))</f>
        <v/>
      </c>
      <c r="M457" s="31" t="n"/>
      <c r="N457" s="31">
        <f>IF($M457="Yes",$K457,"")</f>
        <v/>
      </c>
      <c r="O457" s="31" t="n"/>
      <c r="P457" s="59" t="n"/>
      <c r="Q457" s="59" t="n"/>
    </row>
    <row r="458">
      <c r="A458" s="31">
        <f>IF(Members!$A458="","",Members!$A458)</f>
        <v/>
      </c>
      <c r="B458" s="31" t="n"/>
      <c r="C458" s="31" t="n"/>
      <c r="D458" s="31" t="n"/>
      <c r="E458" s="31" t="n"/>
      <c r="F458" s="31" t="n"/>
      <c r="G458" s="31" t="n"/>
      <c r="H458" s="31" t="n"/>
      <c r="I458" s="31" t="n"/>
      <c r="J458" s="31" t="n"/>
      <c r="K458" s="31">
        <f>IF(COUNTA($D458:$J458)&lt;7,"",ROUND(MIN(10000, MAX(0, ((((($D458*1.2)+($E458*1.2)+($F458*1.1)+($G458*1.0)+($H458*1.0)+($I458*1.1)+($J458*0.9))/7.5)-1)/4*8000 + MIN($B458*20,1000) + MIN($C458*100,1000))),0))</f>
        <v/>
      </c>
      <c r="L458" s="31">
        <f>IF($K458="","",MIN(100,INT(SQRT($K458))))</f>
        <v/>
      </c>
      <c r="M458" s="31" t="n"/>
      <c r="N458" s="31">
        <f>IF($M458="Yes",$K458,"")</f>
        <v/>
      </c>
      <c r="O458" s="31" t="n"/>
      <c r="P458" s="59" t="n"/>
      <c r="Q458" s="59" t="n"/>
    </row>
    <row r="459">
      <c r="A459" s="31">
        <f>IF(Members!$A459="","",Members!$A459)</f>
        <v/>
      </c>
      <c r="B459" s="31" t="n"/>
      <c r="C459" s="31" t="n"/>
      <c r="D459" s="31" t="n"/>
      <c r="E459" s="31" t="n"/>
      <c r="F459" s="31" t="n"/>
      <c r="G459" s="31" t="n"/>
      <c r="H459" s="31" t="n"/>
      <c r="I459" s="31" t="n"/>
      <c r="J459" s="31" t="n"/>
      <c r="K459" s="31">
        <f>IF(COUNTA($D459:$J459)&lt;7,"",ROUND(MIN(10000, MAX(0, ((((($D459*1.2)+($E459*1.2)+($F459*1.1)+($G459*1.0)+($H459*1.0)+($I459*1.1)+($J459*0.9))/7.5)-1)/4*8000 + MIN($B459*20,1000) + MIN($C459*100,1000))),0))</f>
        <v/>
      </c>
      <c r="L459" s="31">
        <f>IF($K459="","",MIN(100,INT(SQRT($K459))))</f>
        <v/>
      </c>
      <c r="M459" s="31" t="n"/>
      <c r="N459" s="31">
        <f>IF($M459="Yes",$K459,"")</f>
        <v/>
      </c>
      <c r="O459" s="31" t="n"/>
      <c r="P459" s="59" t="n"/>
      <c r="Q459" s="59" t="n"/>
    </row>
    <row r="460">
      <c r="A460" s="31">
        <f>IF(Members!$A460="","",Members!$A460)</f>
        <v/>
      </c>
      <c r="B460" s="31" t="n"/>
      <c r="C460" s="31" t="n"/>
      <c r="D460" s="31" t="n"/>
      <c r="E460" s="31" t="n"/>
      <c r="F460" s="31" t="n"/>
      <c r="G460" s="31" t="n"/>
      <c r="H460" s="31" t="n"/>
      <c r="I460" s="31" t="n"/>
      <c r="J460" s="31" t="n"/>
      <c r="K460" s="31">
        <f>IF(COUNTA($D460:$J460)&lt;7,"",ROUND(MIN(10000, MAX(0, ((((($D460*1.2)+($E460*1.2)+($F460*1.1)+($G460*1.0)+($H460*1.0)+($I460*1.1)+($J460*0.9))/7.5)-1)/4*8000 + MIN($B460*20,1000) + MIN($C460*100,1000))),0))</f>
        <v/>
      </c>
      <c r="L460" s="31">
        <f>IF($K460="","",MIN(100,INT(SQRT($K460))))</f>
        <v/>
      </c>
      <c r="M460" s="31" t="n"/>
      <c r="N460" s="31">
        <f>IF($M460="Yes",$K460,"")</f>
        <v/>
      </c>
      <c r="O460" s="31" t="n"/>
      <c r="P460" s="59" t="n"/>
      <c r="Q460" s="59" t="n"/>
    </row>
    <row r="461">
      <c r="A461" s="31">
        <f>IF(Members!$A461="","",Members!$A461)</f>
        <v/>
      </c>
      <c r="B461" s="31" t="n"/>
      <c r="C461" s="31" t="n"/>
      <c r="D461" s="31" t="n"/>
      <c r="E461" s="31" t="n"/>
      <c r="F461" s="31" t="n"/>
      <c r="G461" s="31" t="n"/>
      <c r="H461" s="31" t="n"/>
      <c r="I461" s="31" t="n"/>
      <c r="J461" s="31" t="n"/>
      <c r="K461" s="31">
        <f>IF(COUNTA($D461:$J461)&lt;7,"",ROUND(MIN(10000, MAX(0, ((((($D461*1.2)+($E461*1.2)+($F461*1.1)+($G461*1.0)+($H461*1.0)+($I461*1.1)+($J461*0.9))/7.5)-1)/4*8000 + MIN($B461*20,1000) + MIN($C461*100,1000))),0))</f>
        <v/>
      </c>
      <c r="L461" s="31">
        <f>IF($K461="","",MIN(100,INT(SQRT($K461))))</f>
        <v/>
      </c>
      <c r="M461" s="31" t="n"/>
      <c r="N461" s="31">
        <f>IF($M461="Yes",$K461,"")</f>
        <v/>
      </c>
      <c r="O461" s="31" t="n"/>
      <c r="P461" s="59" t="n"/>
      <c r="Q461" s="59" t="n"/>
    </row>
    <row r="462">
      <c r="A462" s="31">
        <f>IF(Members!$A462="","",Members!$A462)</f>
        <v/>
      </c>
      <c r="B462" s="31" t="n"/>
      <c r="C462" s="31" t="n"/>
      <c r="D462" s="31" t="n"/>
      <c r="E462" s="31" t="n"/>
      <c r="F462" s="31" t="n"/>
      <c r="G462" s="31" t="n"/>
      <c r="H462" s="31" t="n"/>
      <c r="I462" s="31" t="n"/>
      <c r="J462" s="31" t="n"/>
      <c r="K462" s="31">
        <f>IF(COUNTA($D462:$J462)&lt;7,"",ROUND(MIN(10000, MAX(0, ((((($D462*1.2)+($E462*1.2)+($F462*1.1)+($G462*1.0)+($H462*1.0)+($I462*1.1)+($J462*0.9))/7.5)-1)/4*8000 + MIN($B462*20,1000) + MIN($C462*100,1000))),0))</f>
        <v/>
      </c>
      <c r="L462" s="31">
        <f>IF($K462="","",MIN(100,INT(SQRT($K462))))</f>
        <v/>
      </c>
      <c r="M462" s="31" t="n"/>
      <c r="N462" s="31">
        <f>IF($M462="Yes",$K462,"")</f>
        <v/>
      </c>
      <c r="O462" s="31" t="n"/>
      <c r="P462" s="59" t="n"/>
      <c r="Q462" s="59" t="n"/>
    </row>
    <row r="463">
      <c r="A463" s="31">
        <f>IF(Members!$A463="","",Members!$A463)</f>
        <v/>
      </c>
      <c r="B463" s="31" t="n"/>
      <c r="C463" s="31" t="n"/>
      <c r="D463" s="31" t="n"/>
      <c r="E463" s="31" t="n"/>
      <c r="F463" s="31" t="n"/>
      <c r="G463" s="31" t="n"/>
      <c r="H463" s="31" t="n"/>
      <c r="I463" s="31" t="n"/>
      <c r="J463" s="31" t="n"/>
      <c r="K463" s="31">
        <f>IF(COUNTA($D463:$J463)&lt;7,"",ROUND(MIN(10000, MAX(0, ((((($D463*1.2)+($E463*1.2)+($F463*1.1)+($G463*1.0)+($H463*1.0)+($I463*1.1)+($J463*0.9))/7.5)-1)/4*8000 + MIN($B463*20,1000) + MIN($C463*100,1000))),0))</f>
        <v/>
      </c>
      <c r="L463" s="31">
        <f>IF($K463="","",MIN(100,INT(SQRT($K463))))</f>
        <v/>
      </c>
      <c r="M463" s="31" t="n"/>
      <c r="N463" s="31">
        <f>IF($M463="Yes",$K463,"")</f>
        <v/>
      </c>
      <c r="O463" s="31" t="n"/>
      <c r="P463" s="59" t="n"/>
      <c r="Q463" s="59" t="n"/>
    </row>
    <row r="464">
      <c r="A464" s="31">
        <f>IF(Members!$A464="","",Members!$A464)</f>
        <v/>
      </c>
      <c r="B464" s="31" t="n"/>
      <c r="C464" s="31" t="n"/>
      <c r="D464" s="31" t="n"/>
      <c r="E464" s="31" t="n"/>
      <c r="F464" s="31" t="n"/>
      <c r="G464" s="31" t="n"/>
      <c r="H464" s="31" t="n"/>
      <c r="I464" s="31" t="n"/>
      <c r="J464" s="31" t="n"/>
      <c r="K464" s="31">
        <f>IF(COUNTA($D464:$J464)&lt;7,"",ROUND(MIN(10000, MAX(0, ((((($D464*1.2)+($E464*1.2)+($F464*1.1)+($G464*1.0)+($H464*1.0)+($I464*1.1)+($J464*0.9))/7.5)-1)/4*8000 + MIN($B464*20,1000) + MIN($C464*100,1000))),0))</f>
        <v/>
      </c>
      <c r="L464" s="31">
        <f>IF($K464="","",MIN(100,INT(SQRT($K464))))</f>
        <v/>
      </c>
      <c r="M464" s="31" t="n"/>
      <c r="N464" s="31">
        <f>IF($M464="Yes",$K464,"")</f>
        <v/>
      </c>
      <c r="O464" s="31" t="n"/>
      <c r="P464" s="59" t="n"/>
      <c r="Q464" s="59" t="n"/>
    </row>
    <row r="465">
      <c r="A465" s="31">
        <f>IF(Members!$A465="","",Members!$A465)</f>
        <v/>
      </c>
      <c r="B465" s="31" t="n"/>
      <c r="C465" s="31" t="n"/>
      <c r="D465" s="31" t="n"/>
      <c r="E465" s="31" t="n"/>
      <c r="F465" s="31" t="n"/>
      <c r="G465" s="31" t="n"/>
      <c r="H465" s="31" t="n"/>
      <c r="I465" s="31" t="n"/>
      <c r="J465" s="31" t="n"/>
      <c r="K465" s="31">
        <f>IF(COUNTA($D465:$J465)&lt;7,"",ROUND(MIN(10000, MAX(0, ((((($D465*1.2)+($E465*1.2)+($F465*1.1)+($G465*1.0)+($H465*1.0)+($I465*1.1)+($J465*0.9))/7.5)-1)/4*8000 + MIN($B465*20,1000) + MIN($C465*100,1000))),0))</f>
        <v/>
      </c>
      <c r="L465" s="31">
        <f>IF($K465="","",MIN(100,INT(SQRT($K465))))</f>
        <v/>
      </c>
      <c r="M465" s="31" t="n"/>
      <c r="N465" s="31">
        <f>IF($M465="Yes",$K465,"")</f>
        <v/>
      </c>
      <c r="O465" s="31" t="n"/>
      <c r="P465" s="59" t="n"/>
      <c r="Q465" s="59" t="n"/>
    </row>
    <row r="466">
      <c r="A466" s="31">
        <f>IF(Members!$A466="","",Members!$A466)</f>
        <v/>
      </c>
      <c r="B466" s="31" t="n"/>
      <c r="C466" s="31" t="n"/>
      <c r="D466" s="31" t="n"/>
      <c r="E466" s="31" t="n"/>
      <c r="F466" s="31" t="n"/>
      <c r="G466" s="31" t="n"/>
      <c r="H466" s="31" t="n"/>
      <c r="I466" s="31" t="n"/>
      <c r="J466" s="31" t="n"/>
      <c r="K466" s="31">
        <f>IF(COUNTA($D466:$J466)&lt;7,"",ROUND(MIN(10000, MAX(0, ((((($D466*1.2)+($E466*1.2)+($F466*1.1)+($G466*1.0)+($H466*1.0)+($I466*1.1)+($J466*0.9))/7.5)-1)/4*8000 + MIN($B466*20,1000) + MIN($C466*100,1000))),0))</f>
        <v/>
      </c>
      <c r="L466" s="31">
        <f>IF($K466="","",MIN(100,INT(SQRT($K466))))</f>
        <v/>
      </c>
      <c r="M466" s="31" t="n"/>
      <c r="N466" s="31">
        <f>IF($M466="Yes",$K466,"")</f>
        <v/>
      </c>
      <c r="O466" s="31" t="n"/>
      <c r="P466" s="59" t="n"/>
      <c r="Q466" s="59" t="n"/>
    </row>
    <row r="467">
      <c r="A467" s="31">
        <f>IF(Members!$A467="","",Members!$A467)</f>
        <v/>
      </c>
      <c r="B467" s="31" t="n"/>
      <c r="C467" s="31" t="n"/>
      <c r="D467" s="31" t="n"/>
      <c r="E467" s="31" t="n"/>
      <c r="F467" s="31" t="n"/>
      <c r="G467" s="31" t="n"/>
      <c r="H467" s="31" t="n"/>
      <c r="I467" s="31" t="n"/>
      <c r="J467" s="31" t="n"/>
      <c r="K467" s="31">
        <f>IF(COUNTA($D467:$J467)&lt;7,"",ROUND(MIN(10000, MAX(0, ((((($D467*1.2)+($E467*1.2)+($F467*1.1)+($G467*1.0)+($H467*1.0)+($I467*1.1)+($J467*0.9))/7.5)-1)/4*8000 + MIN($B467*20,1000) + MIN($C467*100,1000))),0))</f>
        <v/>
      </c>
      <c r="L467" s="31">
        <f>IF($K467="","",MIN(100,INT(SQRT($K467))))</f>
        <v/>
      </c>
      <c r="M467" s="31" t="n"/>
      <c r="N467" s="31">
        <f>IF($M467="Yes",$K467,"")</f>
        <v/>
      </c>
      <c r="O467" s="31" t="n"/>
      <c r="P467" s="59" t="n"/>
      <c r="Q467" s="59" t="n"/>
    </row>
    <row r="468">
      <c r="A468" s="31">
        <f>IF(Members!$A468="","",Members!$A468)</f>
        <v/>
      </c>
      <c r="B468" s="31" t="n"/>
      <c r="C468" s="31" t="n"/>
      <c r="D468" s="31" t="n"/>
      <c r="E468" s="31" t="n"/>
      <c r="F468" s="31" t="n"/>
      <c r="G468" s="31" t="n"/>
      <c r="H468" s="31" t="n"/>
      <c r="I468" s="31" t="n"/>
      <c r="J468" s="31" t="n"/>
      <c r="K468" s="31">
        <f>IF(COUNTA($D468:$J468)&lt;7,"",ROUND(MIN(10000, MAX(0, ((((($D468*1.2)+($E468*1.2)+($F468*1.1)+($G468*1.0)+($H468*1.0)+($I468*1.1)+($J468*0.9))/7.5)-1)/4*8000 + MIN($B468*20,1000) + MIN($C468*100,1000))),0))</f>
        <v/>
      </c>
      <c r="L468" s="31">
        <f>IF($K468="","",MIN(100,INT(SQRT($K468))))</f>
        <v/>
      </c>
      <c r="M468" s="31" t="n"/>
      <c r="N468" s="31">
        <f>IF($M468="Yes",$K468,"")</f>
        <v/>
      </c>
      <c r="O468" s="31" t="n"/>
      <c r="P468" s="59" t="n"/>
      <c r="Q468" s="59" t="n"/>
    </row>
    <row r="469">
      <c r="A469" s="31">
        <f>IF(Members!$A469="","",Members!$A469)</f>
        <v/>
      </c>
      <c r="B469" s="31" t="n"/>
      <c r="C469" s="31" t="n"/>
      <c r="D469" s="31" t="n"/>
      <c r="E469" s="31" t="n"/>
      <c r="F469" s="31" t="n"/>
      <c r="G469" s="31" t="n"/>
      <c r="H469" s="31" t="n"/>
      <c r="I469" s="31" t="n"/>
      <c r="J469" s="31" t="n"/>
      <c r="K469" s="31">
        <f>IF(COUNTA($D469:$J469)&lt;7,"",ROUND(MIN(10000, MAX(0, ((((($D469*1.2)+($E469*1.2)+($F469*1.1)+($G469*1.0)+($H469*1.0)+($I469*1.1)+($J469*0.9))/7.5)-1)/4*8000 + MIN($B469*20,1000) + MIN($C469*100,1000))),0))</f>
        <v/>
      </c>
      <c r="L469" s="31">
        <f>IF($K469="","",MIN(100,INT(SQRT($K469))))</f>
        <v/>
      </c>
      <c r="M469" s="31" t="n"/>
      <c r="N469" s="31">
        <f>IF($M469="Yes",$K469,"")</f>
        <v/>
      </c>
      <c r="O469" s="31" t="n"/>
      <c r="P469" s="59" t="n"/>
      <c r="Q469" s="59" t="n"/>
    </row>
    <row r="470">
      <c r="A470" s="31">
        <f>IF(Members!$A470="","",Members!$A470)</f>
        <v/>
      </c>
      <c r="B470" s="31" t="n"/>
      <c r="C470" s="31" t="n"/>
      <c r="D470" s="31" t="n"/>
      <c r="E470" s="31" t="n"/>
      <c r="F470" s="31" t="n"/>
      <c r="G470" s="31" t="n"/>
      <c r="H470" s="31" t="n"/>
      <c r="I470" s="31" t="n"/>
      <c r="J470" s="31" t="n"/>
      <c r="K470" s="31">
        <f>IF(COUNTA($D470:$J470)&lt;7,"",ROUND(MIN(10000, MAX(0, ((((($D470*1.2)+($E470*1.2)+($F470*1.1)+($G470*1.0)+($H470*1.0)+($I470*1.1)+($J470*0.9))/7.5)-1)/4*8000 + MIN($B470*20,1000) + MIN($C470*100,1000))),0))</f>
        <v/>
      </c>
      <c r="L470" s="31">
        <f>IF($K470="","",MIN(100,INT(SQRT($K470))))</f>
        <v/>
      </c>
      <c r="M470" s="31" t="n"/>
      <c r="N470" s="31">
        <f>IF($M470="Yes",$K470,"")</f>
        <v/>
      </c>
      <c r="O470" s="31" t="n"/>
      <c r="P470" s="59" t="n"/>
      <c r="Q470" s="59" t="n"/>
    </row>
    <row r="471">
      <c r="A471" s="31">
        <f>IF(Members!$A471="","",Members!$A471)</f>
        <v/>
      </c>
      <c r="B471" s="31" t="n"/>
      <c r="C471" s="31" t="n"/>
      <c r="D471" s="31" t="n"/>
      <c r="E471" s="31" t="n"/>
      <c r="F471" s="31" t="n"/>
      <c r="G471" s="31" t="n"/>
      <c r="H471" s="31" t="n"/>
      <c r="I471" s="31" t="n"/>
      <c r="J471" s="31" t="n"/>
      <c r="K471" s="31">
        <f>IF(COUNTA($D471:$J471)&lt;7,"",ROUND(MIN(10000, MAX(0, ((((($D471*1.2)+($E471*1.2)+($F471*1.1)+($G471*1.0)+($H471*1.0)+($I471*1.1)+($J471*0.9))/7.5)-1)/4*8000 + MIN($B471*20,1000) + MIN($C471*100,1000))),0))</f>
        <v/>
      </c>
      <c r="L471" s="31">
        <f>IF($K471="","",MIN(100,INT(SQRT($K471))))</f>
        <v/>
      </c>
      <c r="M471" s="31" t="n"/>
      <c r="N471" s="31">
        <f>IF($M471="Yes",$K471,"")</f>
        <v/>
      </c>
      <c r="O471" s="31" t="n"/>
      <c r="P471" s="59" t="n"/>
      <c r="Q471" s="59" t="n"/>
    </row>
    <row r="472">
      <c r="A472" s="31">
        <f>IF(Members!$A472="","",Members!$A472)</f>
        <v/>
      </c>
      <c r="B472" s="31" t="n"/>
      <c r="C472" s="31" t="n"/>
      <c r="D472" s="31" t="n"/>
      <c r="E472" s="31" t="n"/>
      <c r="F472" s="31" t="n"/>
      <c r="G472" s="31" t="n"/>
      <c r="H472" s="31" t="n"/>
      <c r="I472" s="31" t="n"/>
      <c r="J472" s="31" t="n"/>
      <c r="K472" s="31">
        <f>IF(COUNTA($D472:$J472)&lt;7,"",ROUND(MIN(10000, MAX(0, ((((($D472*1.2)+($E472*1.2)+($F472*1.1)+($G472*1.0)+($H472*1.0)+($I472*1.1)+($J472*0.9))/7.5)-1)/4*8000 + MIN($B472*20,1000) + MIN($C472*100,1000))),0))</f>
        <v/>
      </c>
      <c r="L472" s="31">
        <f>IF($K472="","",MIN(100,INT(SQRT($K472))))</f>
        <v/>
      </c>
      <c r="M472" s="31" t="n"/>
      <c r="N472" s="31">
        <f>IF($M472="Yes",$K472,"")</f>
        <v/>
      </c>
      <c r="O472" s="31" t="n"/>
      <c r="P472" s="59" t="n"/>
      <c r="Q472" s="59" t="n"/>
    </row>
    <row r="473">
      <c r="A473" s="31">
        <f>IF(Members!$A473="","",Members!$A473)</f>
        <v/>
      </c>
      <c r="B473" s="31" t="n"/>
      <c r="C473" s="31" t="n"/>
      <c r="D473" s="31" t="n"/>
      <c r="E473" s="31" t="n"/>
      <c r="F473" s="31" t="n"/>
      <c r="G473" s="31" t="n"/>
      <c r="H473" s="31" t="n"/>
      <c r="I473" s="31" t="n"/>
      <c r="J473" s="31" t="n"/>
      <c r="K473" s="31">
        <f>IF(COUNTA($D473:$J473)&lt;7,"",ROUND(MIN(10000, MAX(0, ((((($D473*1.2)+($E473*1.2)+($F473*1.1)+($G473*1.0)+($H473*1.0)+($I473*1.1)+($J473*0.9))/7.5)-1)/4*8000 + MIN($B473*20,1000) + MIN($C473*100,1000))),0))</f>
        <v/>
      </c>
      <c r="L473" s="31">
        <f>IF($K473="","",MIN(100,INT(SQRT($K473))))</f>
        <v/>
      </c>
      <c r="M473" s="31" t="n"/>
      <c r="N473" s="31">
        <f>IF($M473="Yes",$K473,"")</f>
        <v/>
      </c>
      <c r="O473" s="31" t="n"/>
      <c r="P473" s="59" t="n"/>
      <c r="Q473" s="59" t="n"/>
    </row>
    <row r="474">
      <c r="A474" s="31">
        <f>IF(Members!$A474="","",Members!$A474)</f>
        <v/>
      </c>
      <c r="B474" s="31" t="n"/>
      <c r="C474" s="31" t="n"/>
      <c r="D474" s="31" t="n"/>
      <c r="E474" s="31" t="n"/>
      <c r="F474" s="31" t="n"/>
      <c r="G474" s="31" t="n"/>
      <c r="H474" s="31" t="n"/>
      <c r="I474" s="31" t="n"/>
      <c r="J474" s="31" t="n"/>
      <c r="K474" s="31">
        <f>IF(COUNTA($D474:$J474)&lt;7,"",ROUND(MIN(10000, MAX(0, ((((($D474*1.2)+($E474*1.2)+($F474*1.1)+($G474*1.0)+($H474*1.0)+($I474*1.1)+($J474*0.9))/7.5)-1)/4*8000 + MIN($B474*20,1000) + MIN($C474*100,1000))),0))</f>
        <v/>
      </c>
      <c r="L474" s="31">
        <f>IF($K474="","",MIN(100,INT(SQRT($K474))))</f>
        <v/>
      </c>
      <c r="M474" s="31" t="n"/>
      <c r="N474" s="31">
        <f>IF($M474="Yes",$K474,"")</f>
        <v/>
      </c>
      <c r="O474" s="31" t="n"/>
      <c r="P474" s="59" t="n"/>
      <c r="Q474" s="59" t="n"/>
    </row>
    <row r="475">
      <c r="A475" s="31">
        <f>IF(Members!$A475="","",Members!$A475)</f>
        <v/>
      </c>
      <c r="B475" s="31" t="n"/>
      <c r="C475" s="31" t="n"/>
      <c r="D475" s="31" t="n"/>
      <c r="E475" s="31" t="n"/>
      <c r="F475" s="31" t="n"/>
      <c r="G475" s="31" t="n"/>
      <c r="H475" s="31" t="n"/>
      <c r="I475" s="31" t="n"/>
      <c r="J475" s="31" t="n"/>
      <c r="K475" s="31">
        <f>IF(COUNTA($D475:$J475)&lt;7,"",ROUND(MIN(10000, MAX(0, ((((($D475*1.2)+($E475*1.2)+($F475*1.1)+($G475*1.0)+($H475*1.0)+($I475*1.1)+($J475*0.9))/7.5)-1)/4*8000 + MIN($B475*20,1000) + MIN($C475*100,1000))),0))</f>
        <v/>
      </c>
      <c r="L475" s="31">
        <f>IF($K475="","",MIN(100,INT(SQRT($K475))))</f>
        <v/>
      </c>
      <c r="M475" s="31" t="n"/>
      <c r="N475" s="31">
        <f>IF($M475="Yes",$K475,"")</f>
        <v/>
      </c>
      <c r="O475" s="31" t="n"/>
      <c r="P475" s="59" t="n"/>
      <c r="Q475" s="59" t="n"/>
    </row>
    <row r="476">
      <c r="A476" s="31">
        <f>IF(Members!$A476="","",Members!$A476)</f>
        <v/>
      </c>
      <c r="B476" s="31" t="n"/>
      <c r="C476" s="31" t="n"/>
      <c r="D476" s="31" t="n"/>
      <c r="E476" s="31" t="n"/>
      <c r="F476" s="31" t="n"/>
      <c r="G476" s="31" t="n"/>
      <c r="H476" s="31" t="n"/>
      <c r="I476" s="31" t="n"/>
      <c r="J476" s="31" t="n"/>
      <c r="K476" s="31">
        <f>IF(COUNTA($D476:$J476)&lt;7,"",ROUND(MIN(10000, MAX(0, ((((($D476*1.2)+($E476*1.2)+($F476*1.1)+($G476*1.0)+($H476*1.0)+($I476*1.1)+($J476*0.9))/7.5)-1)/4*8000 + MIN($B476*20,1000) + MIN($C476*100,1000))),0))</f>
        <v/>
      </c>
      <c r="L476" s="31">
        <f>IF($K476="","",MIN(100,INT(SQRT($K476))))</f>
        <v/>
      </c>
      <c r="M476" s="31" t="n"/>
      <c r="N476" s="31">
        <f>IF($M476="Yes",$K476,"")</f>
        <v/>
      </c>
      <c r="O476" s="31" t="n"/>
      <c r="P476" s="59" t="n"/>
      <c r="Q476" s="59" t="n"/>
    </row>
    <row r="477">
      <c r="A477" s="31">
        <f>IF(Members!$A477="","",Members!$A477)</f>
        <v/>
      </c>
      <c r="B477" s="31" t="n"/>
      <c r="C477" s="31" t="n"/>
      <c r="D477" s="31" t="n"/>
      <c r="E477" s="31" t="n"/>
      <c r="F477" s="31" t="n"/>
      <c r="G477" s="31" t="n"/>
      <c r="H477" s="31" t="n"/>
      <c r="I477" s="31" t="n"/>
      <c r="J477" s="31" t="n"/>
      <c r="K477" s="31">
        <f>IF(COUNTA($D477:$J477)&lt;7,"",ROUND(MIN(10000, MAX(0, ((((($D477*1.2)+($E477*1.2)+($F477*1.1)+($G477*1.0)+($H477*1.0)+($I477*1.1)+($J477*0.9))/7.5)-1)/4*8000 + MIN($B477*20,1000) + MIN($C477*100,1000))),0))</f>
        <v/>
      </c>
      <c r="L477" s="31">
        <f>IF($K477="","",MIN(100,INT(SQRT($K477))))</f>
        <v/>
      </c>
      <c r="M477" s="31" t="n"/>
      <c r="N477" s="31">
        <f>IF($M477="Yes",$K477,"")</f>
        <v/>
      </c>
      <c r="O477" s="31" t="n"/>
      <c r="P477" s="59" t="n"/>
      <c r="Q477" s="59" t="n"/>
    </row>
    <row r="478">
      <c r="A478" s="31">
        <f>IF(Members!$A478="","",Members!$A478)</f>
        <v/>
      </c>
      <c r="B478" s="31" t="n"/>
      <c r="C478" s="31" t="n"/>
      <c r="D478" s="31" t="n"/>
      <c r="E478" s="31" t="n"/>
      <c r="F478" s="31" t="n"/>
      <c r="G478" s="31" t="n"/>
      <c r="H478" s="31" t="n"/>
      <c r="I478" s="31" t="n"/>
      <c r="J478" s="31" t="n"/>
      <c r="K478" s="31">
        <f>IF(COUNTA($D478:$J478)&lt;7,"",ROUND(MIN(10000, MAX(0, ((((($D478*1.2)+($E478*1.2)+($F478*1.1)+($G478*1.0)+($H478*1.0)+($I478*1.1)+($J478*0.9))/7.5)-1)/4*8000 + MIN($B478*20,1000) + MIN($C478*100,1000))),0))</f>
        <v/>
      </c>
      <c r="L478" s="31">
        <f>IF($K478="","",MIN(100,INT(SQRT($K478))))</f>
        <v/>
      </c>
      <c r="M478" s="31" t="n"/>
      <c r="N478" s="31">
        <f>IF($M478="Yes",$K478,"")</f>
        <v/>
      </c>
      <c r="O478" s="31" t="n"/>
      <c r="P478" s="59" t="n"/>
      <c r="Q478" s="59" t="n"/>
    </row>
    <row r="479">
      <c r="A479" s="31">
        <f>IF(Members!$A479="","",Members!$A479)</f>
        <v/>
      </c>
      <c r="B479" s="31" t="n"/>
      <c r="C479" s="31" t="n"/>
      <c r="D479" s="31" t="n"/>
      <c r="E479" s="31" t="n"/>
      <c r="F479" s="31" t="n"/>
      <c r="G479" s="31" t="n"/>
      <c r="H479" s="31" t="n"/>
      <c r="I479" s="31" t="n"/>
      <c r="J479" s="31" t="n"/>
      <c r="K479" s="31">
        <f>IF(COUNTA($D479:$J479)&lt;7,"",ROUND(MIN(10000, MAX(0, ((((($D479*1.2)+($E479*1.2)+($F479*1.1)+($G479*1.0)+($H479*1.0)+($I479*1.1)+($J479*0.9))/7.5)-1)/4*8000 + MIN($B479*20,1000) + MIN($C479*100,1000))),0))</f>
        <v/>
      </c>
      <c r="L479" s="31">
        <f>IF($K479="","",MIN(100,INT(SQRT($K479))))</f>
        <v/>
      </c>
      <c r="M479" s="31" t="n"/>
      <c r="N479" s="31">
        <f>IF($M479="Yes",$K479,"")</f>
        <v/>
      </c>
      <c r="O479" s="31" t="n"/>
      <c r="P479" s="59" t="n"/>
      <c r="Q479" s="59" t="n"/>
    </row>
    <row r="480">
      <c r="A480" s="31">
        <f>IF(Members!$A480="","",Members!$A480)</f>
        <v/>
      </c>
      <c r="B480" s="31" t="n"/>
      <c r="C480" s="31" t="n"/>
      <c r="D480" s="31" t="n"/>
      <c r="E480" s="31" t="n"/>
      <c r="F480" s="31" t="n"/>
      <c r="G480" s="31" t="n"/>
      <c r="H480" s="31" t="n"/>
      <c r="I480" s="31" t="n"/>
      <c r="J480" s="31" t="n"/>
      <c r="K480" s="31">
        <f>IF(COUNTA($D480:$J480)&lt;7,"",ROUND(MIN(10000, MAX(0, ((((($D480*1.2)+($E480*1.2)+($F480*1.1)+($G480*1.0)+($H480*1.0)+($I480*1.1)+($J480*0.9))/7.5)-1)/4*8000 + MIN($B480*20,1000) + MIN($C480*100,1000))),0))</f>
        <v/>
      </c>
      <c r="L480" s="31">
        <f>IF($K480="","",MIN(100,INT(SQRT($K480))))</f>
        <v/>
      </c>
      <c r="M480" s="31" t="n"/>
      <c r="N480" s="31">
        <f>IF($M480="Yes",$K480,"")</f>
        <v/>
      </c>
      <c r="O480" s="31" t="n"/>
      <c r="P480" s="59" t="n"/>
      <c r="Q480" s="59" t="n"/>
    </row>
    <row r="481">
      <c r="A481" s="31">
        <f>IF(Members!$A481="","",Members!$A481)</f>
        <v/>
      </c>
      <c r="B481" s="31" t="n"/>
      <c r="C481" s="31" t="n"/>
      <c r="D481" s="31" t="n"/>
      <c r="E481" s="31" t="n"/>
      <c r="F481" s="31" t="n"/>
      <c r="G481" s="31" t="n"/>
      <c r="H481" s="31" t="n"/>
      <c r="I481" s="31" t="n"/>
      <c r="J481" s="31" t="n"/>
      <c r="K481" s="31">
        <f>IF(COUNTA($D481:$J481)&lt;7,"",ROUND(MIN(10000, MAX(0, ((((($D481*1.2)+($E481*1.2)+($F481*1.1)+($G481*1.0)+($H481*1.0)+($I481*1.1)+($J481*0.9))/7.5)-1)/4*8000 + MIN($B481*20,1000) + MIN($C481*100,1000))),0))</f>
        <v/>
      </c>
      <c r="L481" s="31">
        <f>IF($K481="","",MIN(100,INT(SQRT($K481))))</f>
        <v/>
      </c>
      <c r="M481" s="31" t="n"/>
      <c r="N481" s="31">
        <f>IF($M481="Yes",$K481,"")</f>
        <v/>
      </c>
      <c r="O481" s="31" t="n"/>
      <c r="P481" s="59" t="n"/>
      <c r="Q481" s="59" t="n"/>
    </row>
    <row r="482">
      <c r="A482" s="31">
        <f>IF(Members!$A482="","",Members!$A482)</f>
        <v/>
      </c>
      <c r="B482" s="31" t="n"/>
      <c r="C482" s="31" t="n"/>
      <c r="D482" s="31" t="n"/>
      <c r="E482" s="31" t="n"/>
      <c r="F482" s="31" t="n"/>
      <c r="G482" s="31" t="n"/>
      <c r="H482" s="31" t="n"/>
      <c r="I482" s="31" t="n"/>
      <c r="J482" s="31" t="n"/>
      <c r="K482" s="31">
        <f>IF(COUNTA($D482:$J482)&lt;7,"",ROUND(MIN(10000, MAX(0, ((((($D482*1.2)+($E482*1.2)+($F482*1.1)+($G482*1.0)+($H482*1.0)+($I482*1.1)+($J482*0.9))/7.5)-1)/4*8000 + MIN($B482*20,1000) + MIN($C482*100,1000))),0))</f>
        <v/>
      </c>
      <c r="L482" s="31">
        <f>IF($K482="","",MIN(100,INT(SQRT($K482))))</f>
        <v/>
      </c>
      <c r="M482" s="31" t="n"/>
      <c r="N482" s="31">
        <f>IF($M482="Yes",$K482,"")</f>
        <v/>
      </c>
      <c r="O482" s="31" t="n"/>
      <c r="P482" s="59" t="n"/>
      <c r="Q482" s="59" t="n"/>
    </row>
    <row r="483">
      <c r="A483" s="31">
        <f>IF(Members!$A483="","",Members!$A483)</f>
        <v/>
      </c>
      <c r="B483" s="31" t="n"/>
      <c r="C483" s="31" t="n"/>
      <c r="D483" s="31" t="n"/>
      <c r="E483" s="31" t="n"/>
      <c r="F483" s="31" t="n"/>
      <c r="G483" s="31" t="n"/>
      <c r="H483" s="31" t="n"/>
      <c r="I483" s="31" t="n"/>
      <c r="J483" s="31" t="n"/>
      <c r="K483" s="31">
        <f>IF(COUNTA($D483:$J483)&lt;7,"",ROUND(MIN(10000, MAX(0, ((((($D483*1.2)+($E483*1.2)+($F483*1.1)+($G483*1.0)+($H483*1.0)+($I483*1.1)+($J483*0.9))/7.5)-1)/4*8000 + MIN($B483*20,1000) + MIN($C483*100,1000))),0))</f>
        <v/>
      </c>
      <c r="L483" s="31">
        <f>IF($K483="","",MIN(100,INT(SQRT($K483))))</f>
        <v/>
      </c>
      <c r="M483" s="31" t="n"/>
      <c r="N483" s="31">
        <f>IF($M483="Yes",$K483,"")</f>
        <v/>
      </c>
      <c r="O483" s="31" t="n"/>
      <c r="P483" s="59" t="n"/>
      <c r="Q483" s="59" t="n"/>
    </row>
    <row r="484">
      <c r="A484" s="31">
        <f>IF(Members!$A484="","",Members!$A484)</f>
        <v/>
      </c>
      <c r="B484" s="31" t="n"/>
      <c r="C484" s="31" t="n"/>
      <c r="D484" s="31" t="n"/>
      <c r="E484" s="31" t="n"/>
      <c r="F484" s="31" t="n"/>
      <c r="G484" s="31" t="n"/>
      <c r="H484" s="31" t="n"/>
      <c r="I484" s="31" t="n"/>
      <c r="J484" s="31" t="n"/>
      <c r="K484" s="31">
        <f>IF(COUNTA($D484:$J484)&lt;7,"",ROUND(MIN(10000, MAX(0, ((((($D484*1.2)+($E484*1.2)+($F484*1.1)+($G484*1.0)+($H484*1.0)+($I484*1.1)+($J484*0.9))/7.5)-1)/4*8000 + MIN($B484*20,1000) + MIN($C484*100,1000))),0))</f>
        <v/>
      </c>
      <c r="L484" s="31">
        <f>IF($K484="","",MIN(100,INT(SQRT($K484))))</f>
        <v/>
      </c>
      <c r="M484" s="31" t="n"/>
      <c r="N484" s="31">
        <f>IF($M484="Yes",$K484,"")</f>
        <v/>
      </c>
      <c r="O484" s="31" t="n"/>
      <c r="P484" s="59" t="n"/>
      <c r="Q484" s="59" t="n"/>
    </row>
    <row r="485">
      <c r="A485" s="31">
        <f>IF(Members!$A485="","",Members!$A485)</f>
        <v/>
      </c>
      <c r="B485" s="31" t="n"/>
      <c r="C485" s="31" t="n"/>
      <c r="D485" s="31" t="n"/>
      <c r="E485" s="31" t="n"/>
      <c r="F485" s="31" t="n"/>
      <c r="G485" s="31" t="n"/>
      <c r="H485" s="31" t="n"/>
      <c r="I485" s="31" t="n"/>
      <c r="J485" s="31" t="n"/>
      <c r="K485" s="31">
        <f>IF(COUNTA($D485:$J485)&lt;7,"",ROUND(MIN(10000, MAX(0, ((((($D485*1.2)+($E485*1.2)+($F485*1.1)+($G485*1.0)+($H485*1.0)+($I485*1.1)+($J485*0.9))/7.5)-1)/4*8000 + MIN($B485*20,1000) + MIN($C485*100,1000))),0))</f>
        <v/>
      </c>
      <c r="L485" s="31">
        <f>IF($K485="","",MIN(100,INT(SQRT($K485))))</f>
        <v/>
      </c>
      <c r="M485" s="31" t="n"/>
      <c r="N485" s="31">
        <f>IF($M485="Yes",$K485,"")</f>
        <v/>
      </c>
      <c r="O485" s="31" t="n"/>
      <c r="P485" s="59" t="n"/>
      <c r="Q485" s="59" t="n"/>
    </row>
    <row r="486">
      <c r="A486" s="31">
        <f>IF(Members!$A486="","",Members!$A486)</f>
        <v/>
      </c>
      <c r="B486" s="31" t="n"/>
      <c r="C486" s="31" t="n"/>
      <c r="D486" s="31" t="n"/>
      <c r="E486" s="31" t="n"/>
      <c r="F486" s="31" t="n"/>
      <c r="G486" s="31" t="n"/>
      <c r="H486" s="31" t="n"/>
      <c r="I486" s="31" t="n"/>
      <c r="J486" s="31" t="n"/>
      <c r="K486" s="31">
        <f>IF(COUNTA($D486:$J486)&lt;7,"",ROUND(MIN(10000, MAX(0, ((((($D486*1.2)+($E486*1.2)+($F486*1.1)+($G486*1.0)+($H486*1.0)+($I486*1.1)+($J486*0.9))/7.5)-1)/4*8000 + MIN($B486*20,1000) + MIN($C486*100,1000))),0))</f>
        <v/>
      </c>
      <c r="L486" s="31">
        <f>IF($K486="","",MIN(100,INT(SQRT($K486))))</f>
        <v/>
      </c>
      <c r="M486" s="31" t="n"/>
      <c r="N486" s="31">
        <f>IF($M486="Yes",$K486,"")</f>
        <v/>
      </c>
      <c r="O486" s="31" t="n"/>
      <c r="P486" s="59" t="n"/>
      <c r="Q486" s="59" t="n"/>
    </row>
    <row r="487">
      <c r="A487" s="31">
        <f>IF(Members!$A487="","",Members!$A487)</f>
        <v/>
      </c>
      <c r="B487" s="31" t="n"/>
      <c r="C487" s="31" t="n"/>
      <c r="D487" s="31" t="n"/>
      <c r="E487" s="31" t="n"/>
      <c r="F487" s="31" t="n"/>
      <c r="G487" s="31" t="n"/>
      <c r="H487" s="31" t="n"/>
      <c r="I487" s="31" t="n"/>
      <c r="J487" s="31" t="n"/>
      <c r="K487" s="31">
        <f>IF(COUNTA($D487:$J487)&lt;7,"",ROUND(MIN(10000, MAX(0, ((((($D487*1.2)+($E487*1.2)+($F487*1.1)+($G487*1.0)+($H487*1.0)+($I487*1.1)+($J487*0.9))/7.5)-1)/4*8000 + MIN($B487*20,1000) + MIN($C487*100,1000))),0))</f>
        <v/>
      </c>
      <c r="L487" s="31">
        <f>IF($K487="","",MIN(100,INT(SQRT($K487))))</f>
        <v/>
      </c>
      <c r="M487" s="31" t="n"/>
      <c r="N487" s="31">
        <f>IF($M487="Yes",$K487,"")</f>
        <v/>
      </c>
      <c r="O487" s="31" t="n"/>
      <c r="P487" s="59" t="n"/>
      <c r="Q487" s="59" t="n"/>
    </row>
    <row r="488">
      <c r="A488" s="31">
        <f>IF(Members!$A488="","",Members!$A488)</f>
        <v/>
      </c>
      <c r="B488" s="31" t="n"/>
      <c r="C488" s="31" t="n"/>
      <c r="D488" s="31" t="n"/>
      <c r="E488" s="31" t="n"/>
      <c r="F488" s="31" t="n"/>
      <c r="G488" s="31" t="n"/>
      <c r="H488" s="31" t="n"/>
      <c r="I488" s="31" t="n"/>
      <c r="J488" s="31" t="n"/>
      <c r="K488" s="31">
        <f>IF(COUNTA($D488:$J488)&lt;7,"",ROUND(MIN(10000, MAX(0, ((((($D488*1.2)+($E488*1.2)+($F488*1.1)+($G488*1.0)+($H488*1.0)+($I488*1.1)+($J488*0.9))/7.5)-1)/4*8000 + MIN($B488*20,1000) + MIN($C488*100,1000))),0))</f>
        <v/>
      </c>
      <c r="L488" s="31">
        <f>IF($K488="","",MIN(100,INT(SQRT($K488))))</f>
        <v/>
      </c>
      <c r="M488" s="31" t="n"/>
      <c r="N488" s="31">
        <f>IF($M488="Yes",$K488,"")</f>
        <v/>
      </c>
      <c r="O488" s="31" t="n"/>
      <c r="P488" s="59" t="n"/>
      <c r="Q488" s="59" t="n"/>
    </row>
    <row r="489">
      <c r="A489" s="31">
        <f>IF(Members!$A489="","",Members!$A489)</f>
        <v/>
      </c>
      <c r="B489" s="31" t="n"/>
      <c r="C489" s="31" t="n"/>
      <c r="D489" s="31" t="n"/>
      <c r="E489" s="31" t="n"/>
      <c r="F489" s="31" t="n"/>
      <c r="G489" s="31" t="n"/>
      <c r="H489" s="31" t="n"/>
      <c r="I489" s="31" t="n"/>
      <c r="J489" s="31" t="n"/>
      <c r="K489" s="31">
        <f>IF(COUNTA($D489:$J489)&lt;7,"",ROUND(MIN(10000, MAX(0, ((((($D489*1.2)+($E489*1.2)+($F489*1.1)+($G489*1.0)+($H489*1.0)+($I489*1.1)+($J489*0.9))/7.5)-1)/4*8000 + MIN($B489*20,1000) + MIN($C489*100,1000))),0))</f>
        <v/>
      </c>
      <c r="L489" s="31">
        <f>IF($K489="","",MIN(100,INT(SQRT($K489))))</f>
        <v/>
      </c>
      <c r="M489" s="31" t="n"/>
      <c r="N489" s="31">
        <f>IF($M489="Yes",$K489,"")</f>
        <v/>
      </c>
      <c r="O489" s="31" t="n"/>
      <c r="P489" s="59" t="n"/>
      <c r="Q489" s="59" t="n"/>
    </row>
    <row r="490">
      <c r="A490" s="31">
        <f>IF(Members!$A490="","",Members!$A490)</f>
        <v/>
      </c>
      <c r="B490" s="31" t="n"/>
      <c r="C490" s="31" t="n"/>
      <c r="D490" s="31" t="n"/>
      <c r="E490" s="31" t="n"/>
      <c r="F490" s="31" t="n"/>
      <c r="G490" s="31" t="n"/>
      <c r="H490" s="31" t="n"/>
      <c r="I490" s="31" t="n"/>
      <c r="J490" s="31" t="n"/>
      <c r="K490" s="31">
        <f>IF(COUNTA($D490:$J490)&lt;7,"",ROUND(MIN(10000, MAX(0, ((((($D490*1.2)+($E490*1.2)+($F490*1.1)+($G490*1.0)+($H490*1.0)+($I490*1.1)+($J490*0.9))/7.5)-1)/4*8000 + MIN($B490*20,1000) + MIN($C490*100,1000))),0))</f>
        <v/>
      </c>
      <c r="L490" s="31">
        <f>IF($K490="","",MIN(100,INT(SQRT($K490))))</f>
        <v/>
      </c>
      <c r="M490" s="31" t="n"/>
      <c r="N490" s="31">
        <f>IF($M490="Yes",$K490,"")</f>
        <v/>
      </c>
      <c r="O490" s="31" t="n"/>
      <c r="P490" s="59" t="n"/>
      <c r="Q490" s="59" t="n"/>
    </row>
    <row r="491">
      <c r="A491" s="31">
        <f>IF(Members!$A491="","",Members!$A491)</f>
        <v/>
      </c>
      <c r="B491" s="31" t="n"/>
      <c r="C491" s="31" t="n"/>
      <c r="D491" s="31" t="n"/>
      <c r="E491" s="31" t="n"/>
      <c r="F491" s="31" t="n"/>
      <c r="G491" s="31" t="n"/>
      <c r="H491" s="31" t="n"/>
      <c r="I491" s="31" t="n"/>
      <c r="J491" s="31" t="n"/>
      <c r="K491" s="31">
        <f>IF(COUNTA($D491:$J491)&lt;7,"",ROUND(MIN(10000, MAX(0, ((((($D491*1.2)+($E491*1.2)+($F491*1.1)+($G491*1.0)+($H491*1.0)+($I491*1.1)+($J491*0.9))/7.5)-1)/4*8000 + MIN($B491*20,1000) + MIN($C491*100,1000))),0))</f>
        <v/>
      </c>
      <c r="L491" s="31">
        <f>IF($K491="","",MIN(100,INT(SQRT($K491))))</f>
        <v/>
      </c>
      <c r="M491" s="31" t="n"/>
      <c r="N491" s="31">
        <f>IF($M491="Yes",$K491,"")</f>
        <v/>
      </c>
      <c r="O491" s="31" t="n"/>
      <c r="P491" s="59" t="n"/>
      <c r="Q491" s="59" t="n"/>
    </row>
    <row r="492">
      <c r="A492" s="31">
        <f>IF(Members!$A492="","",Members!$A492)</f>
        <v/>
      </c>
      <c r="B492" s="31" t="n"/>
      <c r="C492" s="31" t="n"/>
      <c r="D492" s="31" t="n"/>
      <c r="E492" s="31" t="n"/>
      <c r="F492" s="31" t="n"/>
      <c r="G492" s="31" t="n"/>
      <c r="H492" s="31" t="n"/>
      <c r="I492" s="31" t="n"/>
      <c r="J492" s="31" t="n"/>
      <c r="K492" s="31">
        <f>IF(COUNTA($D492:$J492)&lt;7,"",ROUND(MIN(10000, MAX(0, ((((($D492*1.2)+($E492*1.2)+($F492*1.1)+($G492*1.0)+($H492*1.0)+($I492*1.1)+($J492*0.9))/7.5)-1)/4*8000 + MIN($B492*20,1000) + MIN($C492*100,1000))),0))</f>
        <v/>
      </c>
      <c r="L492" s="31">
        <f>IF($K492="","",MIN(100,INT(SQRT($K492))))</f>
        <v/>
      </c>
      <c r="M492" s="31" t="n"/>
      <c r="N492" s="31">
        <f>IF($M492="Yes",$K492,"")</f>
        <v/>
      </c>
      <c r="O492" s="31" t="n"/>
      <c r="P492" s="59" t="n"/>
      <c r="Q492" s="59" t="n"/>
    </row>
    <row r="493">
      <c r="A493" s="31">
        <f>IF(Members!$A493="","",Members!$A493)</f>
        <v/>
      </c>
      <c r="B493" s="31" t="n"/>
      <c r="C493" s="31" t="n"/>
      <c r="D493" s="31" t="n"/>
      <c r="E493" s="31" t="n"/>
      <c r="F493" s="31" t="n"/>
      <c r="G493" s="31" t="n"/>
      <c r="H493" s="31" t="n"/>
      <c r="I493" s="31" t="n"/>
      <c r="J493" s="31" t="n"/>
      <c r="K493" s="31">
        <f>IF(COUNTA($D493:$J493)&lt;7,"",ROUND(MIN(10000, MAX(0, ((((($D493*1.2)+($E493*1.2)+($F493*1.1)+($G493*1.0)+($H493*1.0)+($I493*1.1)+($J493*0.9))/7.5)-1)/4*8000 + MIN($B493*20,1000) + MIN($C493*100,1000))),0))</f>
        <v/>
      </c>
      <c r="L493" s="31">
        <f>IF($K493="","",MIN(100,INT(SQRT($K493))))</f>
        <v/>
      </c>
      <c r="M493" s="31" t="n"/>
      <c r="N493" s="31">
        <f>IF($M493="Yes",$K493,"")</f>
        <v/>
      </c>
      <c r="O493" s="31" t="n"/>
      <c r="P493" s="59" t="n"/>
      <c r="Q493" s="59" t="n"/>
    </row>
    <row r="494">
      <c r="A494" s="31">
        <f>IF(Members!$A494="","",Members!$A494)</f>
        <v/>
      </c>
      <c r="B494" s="31" t="n"/>
      <c r="C494" s="31" t="n"/>
      <c r="D494" s="31" t="n"/>
      <c r="E494" s="31" t="n"/>
      <c r="F494" s="31" t="n"/>
      <c r="G494" s="31" t="n"/>
      <c r="H494" s="31" t="n"/>
      <c r="I494" s="31" t="n"/>
      <c r="J494" s="31" t="n"/>
      <c r="K494" s="31">
        <f>IF(COUNTA($D494:$J494)&lt;7,"",ROUND(MIN(10000, MAX(0, ((((($D494*1.2)+($E494*1.2)+($F494*1.1)+($G494*1.0)+($H494*1.0)+($I494*1.1)+($J494*0.9))/7.5)-1)/4*8000 + MIN($B494*20,1000) + MIN($C494*100,1000))),0))</f>
        <v/>
      </c>
      <c r="L494" s="31">
        <f>IF($K494="","",MIN(100,INT(SQRT($K494))))</f>
        <v/>
      </c>
      <c r="M494" s="31" t="n"/>
      <c r="N494" s="31">
        <f>IF($M494="Yes",$K494,"")</f>
        <v/>
      </c>
      <c r="O494" s="31" t="n"/>
      <c r="P494" s="59" t="n"/>
      <c r="Q494" s="59" t="n"/>
    </row>
    <row r="495">
      <c r="A495" s="31">
        <f>IF(Members!$A495="","",Members!$A495)</f>
        <v/>
      </c>
      <c r="B495" s="31" t="n"/>
      <c r="C495" s="31" t="n"/>
      <c r="D495" s="31" t="n"/>
      <c r="E495" s="31" t="n"/>
      <c r="F495" s="31" t="n"/>
      <c r="G495" s="31" t="n"/>
      <c r="H495" s="31" t="n"/>
      <c r="I495" s="31" t="n"/>
      <c r="J495" s="31" t="n"/>
      <c r="K495" s="31">
        <f>IF(COUNTA($D495:$J495)&lt;7,"",ROUND(MIN(10000, MAX(0, ((((($D495*1.2)+($E495*1.2)+($F495*1.1)+($G495*1.0)+($H495*1.0)+($I495*1.1)+($J495*0.9))/7.5)-1)/4*8000 + MIN($B495*20,1000) + MIN($C495*100,1000))),0))</f>
        <v/>
      </c>
      <c r="L495" s="31">
        <f>IF($K495="","",MIN(100,INT(SQRT($K495))))</f>
        <v/>
      </c>
      <c r="M495" s="31" t="n"/>
      <c r="N495" s="31">
        <f>IF($M495="Yes",$K495,"")</f>
        <v/>
      </c>
      <c r="O495" s="31" t="n"/>
      <c r="P495" s="59" t="n"/>
      <c r="Q495" s="59" t="n"/>
    </row>
    <row r="496">
      <c r="A496" s="31">
        <f>IF(Members!$A496="","",Members!$A496)</f>
        <v/>
      </c>
      <c r="B496" s="31" t="n"/>
      <c r="C496" s="31" t="n"/>
      <c r="D496" s="31" t="n"/>
      <c r="E496" s="31" t="n"/>
      <c r="F496" s="31" t="n"/>
      <c r="G496" s="31" t="n"/>
      <c r="H496" s="31" t="n"/>
      <c r="I496" s="31" t="n"/>
      <c r="J496" s="31" t="n"/>
      <c r="K496" s="31">
        <f>IF(COUNTA($D496:$J496)&lt;7,"",ROUND(MIN(10000, MAX(0, ((((($D496*1.2)+($E496*1.2)+($F496*1.1)+($G496*1.0)+($H496*1.0)+($I496*1.1)+($J496*0.9))/7.5)-1)/4*8000 + MIN($B496*20,1000) + MIN($C496*100,1000))),0))</f>
        <v/>
      </c>
      <c r="L496" s="31">
        <f>IF($K496="","",MIN(100,INT(SQRT($K496))))</f>
        <v/>
      </c>
      <c r="M496" s="31" t="n"/>
      <c r="N496" s="31">
        <f>IF($M496="Yes",$K496,"")</f>
        <v/>
      </c>
      <c r="O496" s="31" t="n"/>
      <c r="P496" s="59" t="n"/>
      <c r="Q496" s="59" t="n"/>
    </row>
    <row r="497">
      <c r="A497" s="31">
        <f>IF(Members!$A497="","",Members!$A497)</f>
        <v/>
      </c>
      <c r="B497" s="31" t="n"/>
      <c r="C497" s="31" t="n"/>
      <c r="D497" s="31" t="n"/>
      <c r="E497" s="31" t="n"/>
      <c r="F497" s="31" t="n"/>
      <c r="G497" s="31" t="n"/>
      <c r="H497" s="31" t="n"/>
      <c r="I497" s="31" t="n"/>
      <c r="J497" s="31" t="n"/>
      <c r="K497" s="31">
        <f>IF(COUNTA($D497:$J497)&lt;7,"",ROUND(MIN(10000, MAX(0, ((((($D497*1.2)+($E497*1.2)+($F497*1.1)+($G497*1.0)+($H497*1.0)+($I497*1.1)+($J497*0.9))/7.5)-1)/4*8000 + MIN($B497*20,1000) + MIN($C497*100,1000))),0))</f>
        <v/>
      </c>
      <c r="L497" s="31">
        <f>IF($K497="","",MIN(100,INT(SQRT($K497))))</f>
        <v/>
      </c>
      <c r="M497" s="31" t="n"/>
      <c r="N497" s="31">
        <f>IF($M497="Yes",$K497,"")</f>
        <v/>
      </c>
      <c r="O497" s="31" t="n"/>
      <c r="P497" s="59" t="n"/>
      <c r="Q497" s="59" t="n"/>
    </row>
    <row r="498">
      <c r="A498" s="31">
        <f>IF(Members!$A498="","",Members!$A498)</f>
        <v/>
      </c>
      <c r="B498" s="31" t="n"/>
      <c r="C498" s="31" t="n"/>
      <c r="D498" s="31" t="n"/>
      <c r="E498" s="31" t="n"/>
      <c r="F498" s="31" t="n"/>
      <c r="G498" s="31" t="n"/>
      <c r="H498" s="31" t="n"/>
      <c r="I498" s="31" t="n"/>
      <c r="J498" s="31" t="n"/>
      <c r="K498" s="31">
        <f>IF(COUNTA($D498:$J498)&lt;7,"",ROUND(MIN(10000, MAX(0, ((((($D498*1.2)+($E498*1.2)+($F498*1.1)+($G498*1.0)+($H498*1.0)+($I498*1.1)+($J498*0.9))/7.5)-1)/4*8000 + MIN($B498*20,1000) + MIN($C498*100,1000))),0))</f>
        <v/>
      </c>
      <c r="L498" s="31">
        <f>IF($K498="","",MIN(100,INT(SQRT($K498))))</f>
        <v/>
      </c>
      <c r="M498" s="31" t="n"/>
      <c r="N498" s="31">
        <f>IF($M498="Yes",$K498,"")</f>
        <v/>
      </c>
      <c r="O498" s="31" t="n"/>
      <c r="P498" s="59" t="n"/>
      <c r="Q498" s="59" t="n"/>
    </row>
    <row r="499">
      <c r="A499" s="31">
        <f>IF(Members!$A499="","",Members!$A499)</f>
        <v/>
      </c>
      <c r="B499" s="31" t="n"/>
      <c r="C499" s="31" t="n"/>
      <c r="D499" s="31" t="n"/>
      <c r="E499" s="31" t="n"/>
      <c r="F499" s="31" t="n"/>
      <c r="G499" s="31" t="n"/>
      <c r="H499" s="31" t="n"/>
      <c r="I499" s="31" t="n"/>
      <c r="J499" s="31" t="n"/>
      <c r="K499" s="31">
        <f>IF(COUNTA($D499:$J499)&lt;7,"",ROUND(MIN(10000, MAX(0, ((((($D499*1.2)+($E499*1.2)+($F499*1.1)+($G499*1.0)+($H499*1.0)+($I499*1.1)+($J499*0.9))/7.5)-1)/4*8000 + MIN($B499*20,1000) + MIN($C499*100,1000))),0))</f>
        <v/>
      </c>
      <c r="L499" s="31">
        <f>IF($K499="","",MIN(100,INT(SQRT($K499))))</f>
        <v/>
      </c>
      <c r="M499" s="31" t="n"/>
      <c r="N499" s="31">
        <f>IF($M499="Yes",$K499,"")</f>
        <v/>
      </c>
      <c r="O499" s="31" t="n"/>
      <c r="P499" s="59" t="n"/>
      <c r="Q499" s="59" t="n"/>
    </row>
    <row r="500">
      <c r="A500" s="31">
        <f>IF(Members!$A500="","",Members!$A500)</f>
        <v/>
      </c>
      <c r="B500" s="31" t="n"/>
      <c r="C500" s="31" t="n"/>
      <c r="D500" s="31" t="n"/>
      <c r="E500" s="31" t="n"/>
      <c r="F500" s="31" t="n"/>
      <c r="G500" s="31" t="n"/>
      <c r="H500" s="31" t="n"/>
      <c r="I500" s="31" t="n"/>
      <c r="J500" s="31" t="n"/>
      <c r="K500" s="31">
        <f>IF(COUNTA($D500:$J500)&lt;7,"",ROUND(MIN(10000, MAX(0, ((((($D500*1.2)+($E500*1.2)+($F500*1.1)+($G500*1.0)+($H500*1.0)+($I500*1.1)+($J500*0.9))/7.5)-1)/4*8000 + MIN($B500*20,1000) + MIN($C500*100,1000))),0))</f>
        <v/>
      </c>
      <c r="L500" s="31">
        <f>IF($K500="","",MIN(100,INT(SQRT($K500))))</f>
        <v/>
      </c>
      <c r="M500" s="31" t="n"/>
      <c r="N500" s="31">
        <f>IF($M500="Yes",$K500,"")</f>
        <v/>
      </c>
      <c r="O500" s="31" t="n"/>
      <c r="P500" s="59" t="n"/>
      <c r="Q500" s="59" t="n"/>
    </row>
    <row r="501">
      <c r="A501" s="31">
        <f>IF(Members!$A501="","",Members!$A501)</f>
        <v/>
      </c>
      <c r="B501" s="31" t="n"/>
      <c r="C501" s="31" t="n"/>
      <c r="D501" s="31" t="n"/>
      <c r="E501" s="31" t="n"/>
      <c r="F501" s="31" t="n"/>
      <c r="G501" s="31" t="n"/>
      <c r="H501" s="31" t="n"/>
      <c r="I501" s="31" t="n"/>
      <c r="J501" s="31" t="n"/>
      <c r="K501" s="31">
        <f>IF(COUNTA($D501:$J501)&lt;7,"",ROUND(MIN(10000, MAX(0, ((((($D501*1.2)+($E501*1.2)+($F501*1.1)+($G501*1.0)+($H501*1.0)+($I501*1.1)+($J501*0.9))/7.5)-1)/4*8000 + MIN($B501*20,1000) + MIN($C501*100,1000))),0))</f>
        <v/>
      </c>
      <c r="L501" s="31">
        <f>IF($K501="","",MIN(100,INT(SQRT($K501))))</f>
        <v/>
      </c>
      <c r="M501" s="31" t="n"/>
      <c r="N501" s="31">
        <f>IF($M501="Yes",$K501,"")</f>
        <v/>
      </c>
      <c r="O501" s="31" t="n"/>
      <c r="P501" s="59" t="n"/>
      <c r="Q501" s="59" t="n"/>
    </row>
    <row r="502">
      <c r="A502" s="31">
        <f>IF(Members!$A502="","",Members!$A502)</f>
        <v/>
      </c>
      <c r="B502" s="31" t="n"/>
      <c r="C502" s="31" t="n"/>
      <c r="D502" s="31" t="n"/>
      <c r="E502" s="31" t="n"/>
      <c r="F502" s="31" t="n"/>
      <c r="G502" s="31" t="n"/>
      <c r="H502" s="31" t="n"/>
      <c r="I502" s="31" t="n"/>
      <c r="J502" s="31" t="n"/>
      <c r="K502" s="31">
        <f>IF(COUNTA($D502:$J502)&lt;7,"",ROUND(MIN(10000, MAX(0, ((((($D502*1.2)+($E502*1.2)+($F502*1.1)+($G502*1.0)+($H502*1.0)+($I502*1.1)+($J502*0.9))/7.5)-1)/4*8000 + MIN($B502*20,1000) + MIN($C502*100,1000))),0))</f>
        <v/>
      </c>
      <c r="L502" s="31">
        <f>IF($K502="","",MIN(100,INT(SQRT($K502))))</f>
        <v/>
      </c>
      <c r="M502" s="31" t="n"/>
      <c r="N502" s="31">
        <f>IF($M502="Yes",$K502,"")</f>
        <v/>
      </c>
      <c r="O502" s="31" t="n"/>
      <c r="P502" s="59" t="n"/>
      <c r="Q502" s="59" t="n"/>
    </row>
    <row r="503">
      <c r="A503" s="31">
        <f>IF(Members!$A503="","",Members!$A503)</f>
        <v/>
      </c>
      <c r="B503" s="31" t="n"/>
      <c r="C503" s="31" t="n"/>
      <c r="D503" s="31" t="n"/>
      <c r="E503" s="31" t="n"/>
      <c r="F503" s="31" t="n"/>
      <c r="G503" s="31" t="n"/>
      <c r="H503" s="31" t="n"/>
      <c r="I503" s="31" t="n"/>
      <c r="J503" s="31" t="n"/>
      <c r="K503" s="31">
        <f>IF(COUNTA($D503:$J503)&lt;7,"",ROUND(MIN(10000, MAX(0, ((((($D503*1.2)+($E503*1.2)+($F503*1.1)+($G503*1.0)+($H503*1.0)+($I503*1.1)+($J503*0.9))/7.5)-1)/4*8000 + MIN($B503*20,1000) + MIN($C503*100,1000))),0))</f>
        <v/>
      </c>
      <c r="L503" s="31">
        <f>IF($K503="","",MIN(100,INT(SQRT($K503))))</f>
        <v/>
      </c>
      <c r="M503" s="31" t="n"/>
      <c r="N503" s="31">
        <f>IF($M503="Yes",$K503,"")</f>
        <v/>
      </c>
      <c r="O503" s="31" t="n"/>
      <c r="P503" s="59" t="n"/>
      <c r="Q503" s="59" t="n"/>
    </row>
    <row r="504">
      <c r="A504" s="31">
        <f>IF(Members!$A504="","",Members!$A504)</f>
        <v/>
      </c>
      <c r="B504" s="31" t="n"/>
      <c r="C504" s="31" t="n"/>
      <c r="D504" s="31" t="n"/>
      <c r="E504" s="31" t="n"/>
      <c r="F504" s="31" t="n"/>
      <c r="G504" s="31" t="n"/>
      <c r="H504" s="31" t="n"/>
      <c r="I504" s="31" t="n"/>
      <c r="J504" s="31" t="n"/>
      <c r="K504" s="31">
        <f>IF(COUNTA($D504:$J504)&lt;7,"",ROUND(MIN(10000, MAX(0, ((((($D504*1.2)+($E504*1.2)+($F504*1.1)+($G504*1.0)+($H504*1.0)+($I504*1.1)+($J504*0.9))/7.5)-1)/4*8000 + MIN($B504*20,1000) + MIN($C504*100,1000))),0))</f>
        <v/>
      </c>
      <c r="L504" s="31">
        <f>IF($K504="","",MIN(100,INT(SQRT($K504))))</f>
        <v/>
      </c>
      <c r="M504" s="31" t="n"/>
      <c r="N504" s="31">
        <f>IF($M504="Yes",$K504,"")</f>
        <v/>
      </c>
      <c r="O504" s="31" t="n"/>
      <c r="P504" s="59" t="n"/>
      <c r="Q504" s="59" t="n"/>
    </row>
    <row r="505">
      <c r="A505" s="31">
        <f>IF(Members!$A505="","",Members!$A505)</f>
        <v/>
      </c>
      <c r="B505" s="31" t="n"/>
      <c r="C505" s="31" t="n"/>
      <c r="D505" s="31" t="n"/>
      <c r="E505" s="31" t="n"/>
      <c r="F505" s="31" t="n"/>
      <c r="G505" s="31" t="n"/>
      <c r="H505" s="31" t="n"/>
      <c r="I505" s="31" t="n"/>
      <c r="J505" s="31" t="n"/>
      <c r="K505" s="31">
        <f>IF(COUNTA($D505:$J505)&lt;7,"",ROUND(MIN(10000, MAX(0, ((((($D505*1.2)+($E505*1.2)+($F505*1.1)+($G505*1.0)+($H505*1.0)+($I505*1.1)+($J505*0.9))/7.5)-1)/4*8000 + MIN($B505*20,1000) + MIN($C505*100,1000))),0))</f>
        <v/>
      </c>
      <c r="L505" s="31">
        <f>IF($K505="","",MIN(100,INT(SQRT($K505))))</f>
        <v/>
      </c>
      <c r="M505" s="31" t="n"/>
      <c r="N505" s="31">
        <f>IF($M505="Yes",$K505,"")</f>
        <v/>
      </c>
      <c r="O505" s="31" t="n"/>
      <c r="P505" s="59" t="n"/>
      <c r="Q505" s="59" t="n"/>
    </row>
    <row r="506">
      <c r="A506" s="31">
        <f>IF(Members!$A506="","",Members!$A506)</f>
        <v/>
      </c>
      <c r="B506" s="31" t="n"/>
      <c r="C506" s="31" t="n"/>
      <c r="D506" s="31" t="n"/>
      <c r="E506" s="31" t="n"/>
      <c r="F506" s="31" t="n"/>
      <c r="G506" s="31" t="n"/>
      <c r="H506" s="31" t="n"/>
      <c r="I506" s="31" t="n"/>
      <c r="J506" s="31" t="n"/>
      <c r="K506" s="31">
        <f>IF(COUNTA($D506:$J506)&lt;7,"",ROUND(MIN(10000, MAX(0, ((((($D506*1.2)+($E506*1.2)+($F506*1.1)+($G506*1.0)+($H506*1.0)+($I506*1.1)+($J506*0.9))/7.5)-1)/4*8000 + MIN($B506*20,1000) + MIN($C506*100,1000))),0))</f>
        <v/>
      </c>
      <c r="L506" s="31">
        <f>IF($K506="","",MIN(100,INT(SQRT($K506))))</f>
        <v/>
      </c>
      <c r="M506" s="31" t="n"/>
      <c r="N506" s="31">
        <f>IF($M506="Yes",$K506,"")</f>
        <v/>
      </c>
      <c r="O506" s="31" t="n"/>
      <c r="P506" s="59" t="n"/>
      <c r="Q506" s="59" t="n"/>
    </row>
    <row r="507">
      <c r="A507" s="31">
        <f>IF(Members!$A507="","",Members!$A507)</f>
        <v/>
      </c>
      <c r="B507" s="31" t="n"/>
      <c r="C507" s="31" t="n"/>
      <c r="D507" s="31" t="n"/>
      <c r="E507" s="31" t="n"/>
      <c r="F507" s="31" t="n"/>
      <c r="G507" s="31" t="n"/>
      <c r="H507" s="31" t="n"/>
      <c r="I507" s="31" t="n"/>
      <c r="J507" s="31" t="n"/>
      <c r="K507" s="31">
        <f>IF(COUNTA($D507:$J507)&lt;7,"",ROUND(MIN(10000, MAX(0, ((((($D507*1.2)+($E507*1.2)+($F507*1.1)+($G507*1.0)+($H507*1.0)+($I507*1.1)+($J507*0.9))/7.5)-1)/4*8000 + MIN($B507*20,1000) + MIN($C507*100,1000))),0))</f>
        <v/>
      </c>
      <c r="L507" s="31">
        <f>IF($K507="","",MIN(100,INT(SQRT($K507))))</f>
        <v/>
      </c>
      <c r="M507" s="31" t="n"/>
      <c r="N507" s="31">
        <f>IF($M507="Yes",$K507,"")</f>
        <v/>
      </c>
      <c r="O507" s="31" t="n"/>
      <c r="P507" s="59" t="n"/>
      <c r="Q507" s="59" t="n"/>
    </row>
    <row r="508">
      <c r="A508" s="31">
        <f>IF(Members!$A508="","",Members!$A508)</f>
        <v/>
      </c>
      <c r="B508" s="31" t="n"/>
      <c r="C508" s="31" t="n"/>
      <c r="D508" s="31" t="n"/>
      <c r="E508" s="31" t="n"/>
      <c r="F508" s="31" t="n"/>
      <c r="G508" s="31" t="n"/>
      <c r="H508" s="31" t="n"/>
      <c r="I508" s="31" t="n"/>
      <c r="J508" s="31" t="n"/>
      <c r="K508" s="31">
        <f>IF(COUNTA($D508:$J508)&lt;7,"",ROUND(MIN(10000, MAX(0, ((((($D508*1.2)+($E508*1.2)+($F508*1.1)+($G508*1.0)+($H508*1.0)+($I508*1.1)+($J508*0.9))/7.5)-1)/4*8000 + MIN($B508*20,1000) + MIN($C508*100,1000))),0))</f>
        <v/>
      </c>
      <c r="L508" s="31">
        <f>IF($K508="","",MIN(100,INT(SQRT($K508))))</f>
        <v/>
      </c>
      <c r="M508" s="31" t="n"/>
      <c r="N508" s="31">
        <f>IF($M508="Yes",$K508,"")</f>
        <v/>
      </c>
      <c r="O508" s="31" t="n"/>
      <c r="P508" s="59" t="n"/>
      <c r="Q508" s="59" t="n"/>
    </row>
    <row r="509">
      <c r="A509" s="31">
        <f>IF(Members!$A509="","",Members!$A509)</f>
        <v/>
      </c>
      <c r="B509" s="31" t="n"/>
      <c r="C509" s="31" t="n"/>
      <c r="D509" s="31" t="n"/>
      <c r="E509" s="31" t="n"/>
      <c r="F509" s="31" t="n"/>
      <c r="G509" s="31" t="n"/>
      <c r="H509" s="31" t="n"/>
      <c r="I509" s="31" t="n"/>
      <c r="J509" s="31" t="n"/>
      <c r="K509" s="31">
        <f>IF(COUNTA($D509:$J509)&lt;7,"",ROUND(MIN(10000, MAX(0, ((((($D509*1.2)+($E509*1.2)+($F509*1.1)+($G509*1.0)+($H509*1.0)+($I509*1.1)+($J509*0.9))/7.5)-1)/4*8000 + MIN($B509*20,1000) + MIN($C509*100,1000))),0))</f>
        <v/>
      </c>
      <c r="L509" s="31">
        <f>IF($K509="","",MIN(100,INT(SQRT($K509))))</f>
        <v/>
      </c>
      <c r="M509" s="31" t="n"/>
      <c r="N509" s="31">
        <f>IF($M509="Yes",$K509,"")</f>
        <v/>
      </c>
      <c r="O509" s="31" t="n"/>
      <c r="P509" s="59" t="n"/>
      <c r="Q509" s="59" t="n"/>
    </row>
    <row r="510">
      <c r="A510" s="31">
        <f>IF(Members!$A510="","",Members!$A510)</f>
        <v/>
      </c>
      <c r="B510" s="31" t="n"/>
      <c r="C510" s="31" t="n"/>
      <c r="D510" s="31" t="n"/>
      <c r="E510" s="31" t="n"/>
      <c r="F510" s="31" t="n"/>
      <c r="G510" s="31" t="n"/>
      <c r="H510" s="31" t="n"/>
      <c r="I510" s="31" t="n"/>
      <c r="J510" s="31" t="n"/>
      <c r="K510" s="31">
        <f>IF(COUNTA($D510:$J510)&lt;7,"",ROUND(MIN(10000, MAX(0, ((((($D510*1.2)+($E510*1.2)+($F510*1.1)+($G510*1.0)+($H510*1.0)+($I510*1.1)+($J510*0.9))/7.5)-1)/4*8000 + MIN($B510*20,1000) + MIN($C510*100,1000))),0))</f>
        <v/>
      </c>
      <c r="L510" s="31">
        <f>IF($K510="","",MIN(100,INT(SQRT($K510))))</f>
        <v/>
      </c>
      <c r="M510" s="31" t="n"/>
      <c r="N510" s="31">
        <f>IF($M510="Yes",$K510,"")</f>
        <v/>
      </c>
      <c r="O510" s="31" t="n"/>
      <c r="P510" s="59" t="n"/>
      <c r="Q510" s="59" t="n"/>
    </row>
    <row r="511">
      <c r="A511" s="31">
        <f>IF(Members!$A511="","",Members!$A511)</f>
        <v/>
      </c>
      <c r="B511" s="31" t="n"/>
      <c r="C511" s="31" t="n"/>
      <c r="D511" s="31" t="n"/>
      <c r="E511" s="31" t="n"/>
      <c r="F511" s="31" t="n"/>
      <c r="G511" s="31" t="n"/>
      <c r="H511" s="31" t="n"/>
      <c r="I511" s="31" t="n"/>
      <c r="J511" s="31" t="n"/>
      <c r="K511" s="31">
        <f>IF(COUNTA($D511:$J511)&lt;7,"",ROUND(MIN(10000, MAX(0, ((((($D511*1.2)+($E511*1.2)+($F511*1.1)+($G511*1.0)+($H511*1.0)+($I511*1.1)+($J511*0.9))/7.5)-1)/4*8000 + MIN($B511*20,1000) + MIN($C511*100,1000))),0))</f>
        <v/>
      </c>
      <c r="L511" s="31">
        <f>IF($K511="","",MIN(100,INT(SQRT($K511))))</f>
        <v/>
      </c>
      <c r="M511" s="31" t="n"/>
      <c r="N511" s="31">
        <f>IF($M511="Yes",$K511,"")</f>
        <v/>
      </c>
      <c r="O511" s="31" t="n"/>
      <c r="P511" s="59" t="n"/>
      <c r="Q511" s="59" t="n"/>
    </row>
    <row r="512">
      <c r="A512" s="31">
        <f>IF(Members!$A512="","",Members!$A512)</f>
        <v/>
      </c>
      <c r="B512" s="31" t="n"/>
      <c r="C512" s="31" t="n"/>
      <c r="D512" s="31" t="n"/>
      <c r="E512" s="31" t="n"/>
      <c r="F512" s="31" t="n"/>
      <c r="G512" s="31" t="n"/>
      <c r="H512" s="31" t="n"/>
      <c r="I512" s="31" t="n"/>
      <c r="J512" s="31" t="n"/>
      <c r="K512" s="31">
        <f>IF(COUNTA($D512:$J512)&lt;7,"",ROUND(MIN(10000, MAX(0, ((((($D512*1.2)+($E512*1.2)+($F512*1.1)+($G512*1.0)+($H512*1.0)+($I512*1.1)+($J512*0.9))/7.5)-1)/4*8000 + MIN($B512*20,1000) + MIN($C512*100,1000))),0))</f>
        <v/>
      </c>
      <c r="L512" s="31">
        <f>IF($K512="","",MIN(100,INT(SQRT($K512))))</f>
        <v/>
      </c>
      <c r="M512" s="31" t="n"/>
      <c r="N512" s="31">
        <f>IF($M512="Yes",$K512,"")</f>
        <v/>
      </c>
      <c r="O512" s="31" t="n"/>
      <c r="P512" s="59" t="n"/>
      <c r="Q512" s="59" t="n"/>
    </row>
    <row r="513">
      <c r="A513" s="31">
        <f>IF(Members!$A513="","",Members!$A513)</f>
        <v/>
      </c>
      <c r="B513" s="31" t="n"/>
      <c r="C513" s="31" t="n"/>
      <c r="D513" s="31" t="n"/>
      <c r="E513" s="31" t="n"/>
      <c r="F513" s="31" t="n"/>
      <c r="G513" s="31" t="n"/>
      <c r="H513" s="31" t="n"/>
      <c r="I513" s="31" t="n"/>
      <c r="J513" s="31" t="n"/>
      <c r="K513" s="31">
        <f>IF(COUNTA($D513:$J513)&lt;7,"",ROUND(MIN(10000, MAX(0, ((((($D513*1.2)+($E513*1.2)+($F513*1.1)+($G513*1.0)+($H513*1.0)+($I513*1.1)+($J513*0.9))/7.5)-1)/4*8000 + MIN($B513*20,1000) + MIN($C513*100,1000))),0))</f>
        <v/>
      </c>
      <c r="L513" s="31">
        <f>IF($K513="","",MIN(100,INT(SQRT($K513))))</f>
        <v/>
      </c>
      <c r="M513" s="31" t="n"/>
      <c r="N513" s="31">
        <f>IF($M513="Yes",$K513,"")</f>
        <v/>
      </c>
      <c r="O513" s="31" t="n"/>
      <c r="P513" s="59" t="n"/>
      <c r="Q513" s="59" t="n"/>
    </row>
    <row r="514">
      <c r="A514" s="31">
        <f>IF(Members!$A514="","",Members!$A514)</f>
        <v/>
      </c>
      <c r="B514" s="31" t="n"/>
      <c r="C514" s="31" t="n"/>
      <c r="D514" s="31" t="n"/>
      <c r="E514" s="31" t="n"/>
      <c r="F514" s="31" t="n"/>
      <c r="G514" s="31" t="n"/>
      <c r="H514" s="31" t="n"/>
      <c r="I514" s="31" t="n"/>
      <c r="J514" s="31" t="n"/>
      <c r="K514" s="31">
        <f>IF(COUNTA($D514:$J514)&lt;7,"",ROUND(MIN(10000, MAX(0, ((((($D514*1.2)+($E514*1.2)+($F514*1.1)+($G514*1.0)+($H514*1.0)+($I514*1.1)+($J514*0.9))/7.5)-1)/4*8000 + MIN($B514*20,1000) + MIN($C514*100,1000))),0))</f>
        <v/>
      </c>
      <c r="L514" s="31">
        <f>IF($K514="","",MIN(100,INT(SQRT($K514))))</f>
        <v/>
      </c>
      <c r="M514" s="31" t="n"/>
      <c r="N514" s="31">
        <f>IF($M514="Yes",$K514,"")</f>
        <v/>
      </c>
      <c r="O514" s="31" t="n"/>
      <c r="P514" s="59" t="n"/>
      <c r="Q514" s="59" t="n"/>
    </row>
    <row r="515">
      <c r="A515" s="31">
        <f>IF(Members!$A515="","",Members!$A515)</f>
        <v/>
      </c>
      <c r="B515" s="31" t="n"/>
      <c r="C515" s="31" t="n"/>
      <c r="D515" s="31" t="n"/>
      <c r="E515" s="31" t="n"/>
      <c r="F515" s="31" t="n"/>
      <c r="G515" s="31" t="n"/>
      <c r="H515" s="31" t="n"/>
      <c r="I515" s="31" t="n"/>
      <c r="J515" s="31" t="n"/>
      <c r="K515" s="31">
        <f>IF(COUNTA($D515:$J515)&lt;7,"",ROUND(MIN(10000, MAX(0, ((((($D515*1.2)+($E515*1.2)+($F515*1.1)+($G515*1.0)+($H515*1.0)+($I515*1.1)+($J515*0.9))/7.5)-1)/4*8000 + MIN($B515*20,1000) + MIN($C515*100,1000))),0))</f>
        <v/>
      </c>
      <c r="L515" s="31">
        <f>IF($K515="","",MIN(100,INT(SQRT($K515))))</f>
        <v/>
      </c>
      <c r="M515" s="31" t="n"/>
      <c r="N515" s="31">
        <f>IF($M515="Yes",$K515,"")</f>
        <v/>
      </c>
      <c r="O515" s="31" t="n"/>
      <c r="P515" s="59" t="n"/>
      <c r="Q515" s="59" t="n"/>
    </row>
    <row r="516">
      <c r="A516" s="31">
        <f>IF(Members!$A516="","",Members!$A516)</f>
        <v/>
      </c>
      <c r="B516" s="31" t="n"/>
      <c r="C516" s="31" t="n"/>
      <c r="D516" s="31" t="n"/>
      <c r="E516" s="31" t="n"/>
      <c r="F516" s="31" t="n"/>
      <c r="G516" s="31" t="n"/>
      <c r="H516" s="31" t="n"/>
      <c r="I516" s="31" t="n"/>
      <c r="J516" s="31" t="n"/>
      <c r="K516" s="31">
        <f>IF(COUNTA($D516:$J516)&lt;7,"",ROUND(MIN(10000, MAX(0, ((((($D516*1.2)+($E516*1.2)+($F516*1.1)+($G516*1.0)+($H516*1.0)+($I516*1.1)+($J516*0.9))/7.5)-1)/4*8000 + MIN($B516*20,1000) + MIN($C516*100,1000))),0))</f>
        <v/>
      </c>
      <c r="L516" s="31">
        <f>IF($K516="","",MIN(100,INT(SQRT($K516))))</f>
        <v/>
      </c>
      <c r="M516" s="31" t="n"/>
      <c r="N516" s="31">
        <f>IF($M516="Yes",$K516,"")</f>
        <v/>
      </c>
      <c r="O516" s="31" t="n"/>
      <c r="P516" s="59" t="n"/>
      <c r="Q516" s="59" t="n"/>
    </row>
    <row r="517">
      <c r="A517" s="31">
        <f>IF(Members!$A517="","",Members!$A517)</f>
        <v/>
      </c>
      <c r="B517" s="31" t="n"/>
      <c r="C517" s="31" t="n"/>
      <c r="D517" s="31" t="n"/>
      <c r="E517" s="31" t="n"/>
      <c r="F517" s="31" t="n"/>
      <c r="G517" s="31" t="n"/>
      <c r="H517" s="31" t="n"/>
      <c r="I517" s="31" t="n"/>
      <c r="J517" s="31" t="n"/>
      <c r="K517" s="31">
        <f>IF(COUNTA($D517:$J517)&lt;7,"",ROUND(MIN(10000, MAX(0, ((((($D517*1.2)+($E517*1.2)+($F517*1.1)+($G517*1.0)+($H517*1.0)+($I517*1.1)+($J517*0.9))/7.5)-1)/4*8000 + MIN($B517*20,1000) + MIN($C517*100,1000))),0))</f>
        <v/>
      </c>
      <c r="L517" s="31">
        <f>IF($K517="","",MIN(100,INT(SQRT($K517))))</f>
        <v/>
      </c>
      <c r="M517" s="31" t="n"/>
      <c r="N517" s="31">
        <f>IF($M517="Yes",$K517,"")</f>
        <v/>
      </c>
      <c r="O517" s="31" t="n"/>
      <c r="P517" s="59" t="n"/>
      <c r="Q517" s="59" t="n"/>
    </row>
    <row r="518">
      <c r="A518" s="31">
        <f>IF(Members!$A518="","",Members!$A518)</f>
        <v/>
      </c>
      <c r="B518" s="31" t="n"/>
      <c r="C518" s="31" t="n"/>
      <c r="D518" s="31" t="n"/>
      <c r="E518" s="31" t="n"/>
      <c r="F518" s="31" t="n"/>
      <c r="G518" s="31" t="n"/>
      <c r="H518" s="31" t="n"/>
      <c r="I518" s="31" t="n"/>
      <c r="J518" s="31" t="n"/>
      <c r="K518" s="31">
        <f>IF(COUNTA($D518:$J518)&lt;7,"",ROUND(MIN(10000, MAX(0, ((((($D518*1.2)+($E518*1.2)+($F518*1.1)+($G518*1.0)+($H518*1.0)+($I518*1.1)+($J518*0.9))/7.5)-1)/4*8000 + MIN($B518*20,1000) + MIN($C518*100,1000))),0))</f>
        <v/>
      </c>
      <c r="L518" s="31">
        <f>IF($K518="","",MIN(100,INT(SQRT($K518))))</f>
        <v/>
      </c>
      <c r="M518" s="31" t="n"/>
      <c r="N518" s="31">
        <f>IF($M518="Yes",$K518,"")</f>
        <v/>
      </c>
      <c r="O518" s="31" t="n"/>
      <c r="P518" s="59" t="n"/>
      <c r="Q518" s="59" t="n"/>
    </row>
    <row r="519">
      <c r="A519" s="31">
        <f>IF(Members!$A519="","",Members!$A519)</f>
        <v/>
      </c>
      <c r="B519" s="31" t="n"/>
      <c r="C519" s="31" t="n"/>
      <c r="D519" s="31" t="n"/>
      <c r="E519" s="31" t="n"/>
      <c r="F519" s="31" t="n"/>
      <c r="G519" s="31" t="n"/>
      <c r="H519" s="31" t="n"/>
      <c r="I519" s="31" t="n"/>
      <c r="J519" s="31" t="n"/>
      <c r="K519" s="31">
        <f>IF(COUNTA($D519:$J519)&lt;7,"",ROUND(MIN(10000, MAX(0, ((((($D519*1.2)+($E519*1.2)+($F519*1.1)+($G519*1.0)+($H519*1.0)+($I519*1.1)+($J519*0.9))/7.5)-1)/4*8000 + MIN($B519*20,1000) + MIN($C519*100,1000))),0))</f>
        <v/>
      </c>
      <c r="L519" s="31">
        <f>IF($K519="","",MIN(100,INT(SQRT($K519))))</f>
        <v/>
      </c>
      <c r="M519" s="31" t="n"/>
      <c r="N519" s="31">
        <f>IF($M519="Yes",$K519,"")</f>
        <v/>
      </c>
      <c r="O519" s="31" t="n"/>
      <c r="P519" s="59" t="n"/>
      <c r="Q519" s="59" t="n"/>
    </row>
    <row r="520">
      <c r="A520" s="31">
        <f>IF(Members!$A520="","",Members!$A520)</f>
        <v/>
      </c>
      <c r="B520" s="31" t="n"/>
      <c r="C520" s="31" t="n"/>
      <c r="D520" s="31" t="n"/>
      <c r="E520" s="31" t="n"/>
      <c r="F520" s="31" t="n"/>
      <c r="G520" s="31" t="n"/>
      <c r="H520" s="31" t="n"/>
      <c r="I520" s="31" t="n"/>
      <c r="J520" s="31" t="n"/>
      <c r="K520" s="31">
        <f>IF(COUNTA($D520:$J520)&lt;7,"",ROUND(MIN(10000, MAX(0, ((((($D520*1.2)+($E520*1.2)+($F520*1.1)+($G520*1.0)+($H520*1.0)+($I520*1.1)+($J520*0.9))/7.5)-1)/4*8000 + MIN($B520*20,1000) + MIN($C520*100,1000))),0))</f>
        <v/>
      </c>
      <c r="L520" s="31">
        <f>IF($K520="","",MIN(100,INT(SQRT($K520))))</f>
        <v/>
      </c>
      <c r="M520" s="31" t="n"/>
      <c r="N520" s="31">
        <f>IF($M520="Yes",$K520,"")</f>
        <v/>
      </c>
      <c r="O520" s="31" t="n"/>
      <c r="P520" s="59" t="n"/>
      <c r="Q520" s="59" t="n"/>
    </row>
    <row r="521">
      <c r="A521" s="31">
        <f>IF(Members!$A521="","",Members!$A521)</f>
        <v/>
      </c>
      <c r="B521" s="31" t="n"/>
      <c r="C521" s="31" t="n"/>
      <c r="D521" s="31" t="n"/>
      <c r="E521" s="31" t="n"/>
      <c r="F521" s="31" t="n"/>
      <c r="G521" s="31" t="n"/>
      <c r="H521" s="31" t="n"/>
      <c r="I521" s="31" t="n"/>
      <c r="J521" s="31" t="n"/>
      <c r="K521" s="31">
        <f>IF(COUNTA($D521:$J521)&lt;7,"",ROUND(MIN(10000, MAX(0, ((((($D521*1.2)+($E521*1.2)+($F521*1.1)+($G521*1.0)+($H521*1.0)+($I521*1.1)+($J521*0.9))/7.5)-1)/4*8000 + MIN($B521*20,1000) + MIN($C521*100,1000))),0))</f>
        <v/>
      </c>
      <c r="L521" s="31">
        <f>IF($K521="","",MIN(100,INT(SQRT($K521))))</f>
        <v/>
      </c>
      <c r="M521" s="31" t="n"/>
      <c r="N521" s="31">
        <f>IF($M521="Yes",$K521,"")</f>
        <v/>
      </c>
      <c r="O521" s="31" t="n"/>
      <c r="P521" s="59" t="n"/>
      <c r="Q521" s="59" t="n"/>
    </row>
    <row r="522">
      <c r="A522" s="31">
        <f>IF(Members!$A522="","",Members!$A522)</f>
        <v/>
      </c>
      <c r="B522" s="31" t="n"/>
      <c r="C522" s="31" t="n"/>
      <c r="D522" s="31" t="n"/>
      <c r="E522" s="31" t="n"/>
      <c r="F522" s="31" t="n"/>
      <c r="G522" s="31" t="n"/>
      <c r="H522" s="31" t="n"/>
      <c r="I522" s="31" t="n"/>
      <c r="J522" s="31" t="n"/>
      <c r="K522" s="31">
        <f>IF(COUNTA($D522:$J522)&lt;7,"",ROUND(MIN(10000, MAX(0, ((((($D522*1.2)+($E522*1.2)+($F522*1.1)+($G522*1.0)+($H522*1.0)+($I522*1.1)+($J522*0.9))/7.5)-1)/4*8000 + MIN($B522*20,1000) + MIN($C522*100,1000))),0))</f>
        <v/>
      </c>
      <c r="L522" s="31">
        <f>IF($K522="","",MIN(100,INT(SQRT($K522))))</f>
        <v/>
      </c>
      <c r="M522" s="31" t="n"/>
      <c r="N522" s="31">
        <f>IF($M522="Yes",$K522,"")</f>
        <v/>
      </c>
      <c r="O522" s="31" t="n"/>
      <c r="P522" s="59" t="n"/>
      <c r="Q522" s="59" t="n"/>
    </row>
    <row r="523">
      <c r="A523" s="31">
        <f>IF(Members!$A523="","",Members!$A523)</f>
        <v/>
      </c>
      <c r="B523" s="31" t="n"/>
      <c r="C523" s="31" t="n"/>
      <c r="D523" s="31" t="n"/>
      <c r="E523" s="31" t="n"/>
      <c r="F523" s="31" t="n"/>
      <c r="G523" s="31" t="n"/>
      <c r="H523" s="31" t="n"/>
      <c r="I523" s="31" t="n"/>
      <c r="J523" s="31" t="n"/>
      <c r="K523" s="31">
        <f>IF(COUNTA($D523:$J523)&lt;7,"",ROUND(MIN(10000, MAX(0, ((((($D523*1.2)+($E523*1.2)+($F523*1.1)+($G523*1.0)+($H523*1.0)+($I523*1.1)+($J523*0.9))/7.5)-1)/4*8000 + MIN($B523*20,1000) + MIN($C523*100,1000))),0))</f>
        <v/>
      </c>
      <c r="L523" s="31">
        <f>IF($K523="","",MIN(100,INT(SQRT($K523))))</f>
        <v/>
      </c>
      <c r="M523" s="31" t="n"/>
      <c r="N523" s="31">
        <f>IF($M523="Yes",$K523,"")</f>
        <v/>
      </c>
      <c r="O523" s="31" t="n"/>
      <c r="P523" s="59" t="n"/>
      <c r="Q523" s="59" t="n"/>
    </row>
    <row r="524">
      <c r="A524" s="31">
        <f>IF(Members!$A524="","",Members!$A524)</f>
        <v/>
      </c>
      <c r="B524" s="31" t="n"/>
      <c r="C524" s="31" t="n"/>
      <c r="D524" s="31" t="n"/>
      <c r="E524" s="31" t="n"/>
      <c r="F524" s="31" t="n"/>
      <c r="G524" s="31" t="n"/>
      <c r="H524" s="31" t="n"/>
      <c r="I524" s="31" t="n"/>
      <c r="J524" s="31" t="n"/>
      <c r="K524" s="31">
        <f>IF(COUNTA($D524:$J524)&lt;7,"",ROUND(MIN(10000, MAX(0, ((((($D524*1.2)+($E524*1.2)+($F524*1.1)+($G524*1.0)+($H524*1.0)+($I524*1.1)+($J524*0.9))/7.5)-1)/4*8000 + MIN($B524*20,1000) + MIN($C524*100,1000))),0))</f>
        <v/>
      </c>
      <c r="L524" s="31">
        <f>IF($K524="","",MIN(100,INT(SQRT($K524))))</f>
        <v/>
      </c>
      <c r="M524" s="31" t="n"/>
      <c r="N524" s="31">
        <f>IF($M524="Yes",$K524,"")</f>
        <v/>
      </c>
      <c r="O524" s="31" t="n"/>
      <c r="P524" s="59" t="n"/>
      <c r="Q524" s="59" t="n"/>
    </row>
    <row r="525">
      <c r="A525" s="31">
        <f>IF(Members!$A525="","",Members!$A525)</f>
        <v/>
      </c>
      <c r="B525" s="31" t="n"/>
      <c r="C525" s="31" t="n"/>
      <c r="D525" s="31" t="n"/>
      <c r="E525" s="31" t="n"/>
      <c r="F525" s="31" t="n"/>
      <c r="G525" s="31" t="n"/>
      <c r="H525" s="31" t="n"/>
      <c r="I525" s="31" t="n"/>
      <c r="J525" s="31" t="n"/>
      <c r="K525" s="31">
        <f>IF(COUNTA($D525:$J525)&lt;7,"",ROUND(MIN(10000, MAX(0, ((((($D525*1.2)+($E525*1.2)+($F525*1.1)+($G525*1.0)+($H525*1.0)+($I525*1.1)+($J525*0.9))/7.5)-1)/4*8000 + MIN($B525*20,1000) + MIN($C525*100,1000))),0))</f>
        <v/>
      </c>
      <c r="L525" s="31">
        <f>IF($K525="","",MIN(100,INT(SQRT($K525))))</f>
        <v/>
      </c>
      <c r="M525" s="31" t="n"/>
      <c r="N525" s="31">
        <f>IF($M525="Yes",$K525,"")</f>
        <v/>
      </c>
      <c r="O525" s="31" t="n"/>
      <c r="P525" s="59" t="n"/>
      <c r="Q525" s="59" t="n"/>
    </row>
    <row r="526">
      <c r="A526" s="31">
        <f>IF(Members!$A526="","",Members!$A526)</f>
        <v/>
      </c>
      <c r="B526" s="31" t="n"/>
      <c r="C526" s="31" t="n"/>
      <c r="D526" s="31" t="n"/>
      <c r="E526" s="31" t="n"/>
      <c r="F526" s="31" t="n"/>
      <c r="G526" s="31" t="n"/>
      <c r="H526" s="31" t="n"/>
      <c r="I526" s="31" t="n"/>
      <c r="J526" s="31" t="n"/>
      <c r="K526" s="31">
        <f>IF(COUNTA($D526:$J526)&lt;7,"",ROUND(MIN(10000, MAX(0, ((((($D526*1.2)+($E526*1.2)+($F526*1.1)+($G526*1.0)+($H526*1.0)+($I526*1.1)+($J526*0.9))/7.5)-1)/4*8000 + MIN($B526*20,1000) + MIN($C526*100,1000))),0))</f>
        <v/>
      </c>
      <c r="L526" s="31">
        <f>IF($K526="","",MIN(100,INT(SQRT($K526))))</f>
        <v/>
      </c>
      <c r="M526" s="31" t="n"/>
      <c r="N526" s="31">
        <f>IF($M526="Yes",$K526,"")</f>
        <v/>
      </c>
      <c r="O526" s="31" t="n"/>
      <c r="P526" s="59" t="n"/>
      <c r="Q526" s="59" t="n"/>
    </row>
    <row r="527">
      <c r="A527" s="31">
        <f>IF(Members!$A527="","",Members!$A527)</f>
        <v/>
      </c>
      <c r="B527" s="31" t="n"/>
      <c r="C527" s="31" t="n"/>
      <c r="D527" s="31" t="n"/>
      <c r="E527" s="31" t="n"/>
      <c r="F527" s="31" t="n"/>
      <c r="G527" s="31" t="n"/>
      <c r="H527" s="31" t="n"/>
      <c r="I527" s="31" t="n"/>
      <c r="J527" s="31" t="n"/>
      <c r="K527" s="31">
        <f>IF(COUNTA($D527:$J527)&lt;7,"",ROUND(MIN(10000, MAX(0, ((((($D527*1.2)+($E527*1.2)+($F527*1.1)+($G527*1.0)+($H527*1.0)+($I527*1.1)+($J527*0.9))/7.5)-1)/4*8000 + MIN($B527*20,1000) + MIN($C527*100,1000))),0))</f>
        <v/>
      </c>
      <c r="L527" s="31">
        <f>IF($K527="","",MIN(100,INT(SQRT($K527))))</f>
        <v/>
      </c>
      <c r="M527" s="31" t="n"/>
      <c r="N527" s="31">
        <f>IF($M527="Yes",$K527,"")</f>
        <v/>
      </c>
      <c r="O527" s="31" t="n"/>
      <c r="P527" s="59" t="n"/>
      <c r="Q527" s="59" t="n"/>
    </row>
    <row r="528">
      <c r="A528" s="31">
        <f>IF(Members!$A528="","",Members!$A528)</f>
        <v/>
      </c>
      <c r="B528" s="31" t="n"/>
      <c r="C528" s="31" t="n"/>
      <c r="D528" s="31" t="n"/>
      <c r="E528" s="31" t="n"/>
      <c r="F528" s="31" t="n"/>
      <c r="G528" s="31" t="n"/>
      <c r="H528" s="31" t="n"/>
      <c r="I528" s="31" t="n"/>
      <c r="J528" s="31" t="n"/>
      <c r="K528" s="31">
        <f>IF(COUNTA($D528:$J528)&lt;7,"",ROUND(MIN(10000, MAX(0, ((((($D528*1.2)+($E528*1.2)+($F528*1.1)+($G528*1.0)+($H528*1.0)+($I528*1.1)+($J528*0.9))/7.5)-1)/4*8000 + MIN($B528*20,1000) + MIN($C528*100,1000))),0))</f>
        <v/>
      </c>
      <c r="L528" s="31">
        <f>IF($K528="","",MIN(100,INT(SQRT($K528))))</f>
        <v/>
      </c>
      <c r="M528" s="31" t="n"/>
      <c r="N528" s="31">
        <f>IF($M528="Yes",$K528,"")</f>
        <v/>
      </c>
      <c r="O528" s="31" t="n"/>
      <c r="P528" s="59" t="n"/>
      <c r="Q528" s="59" t="n"/>
    </row>
    <row r="529">
      <c r="A529" s="31">
        <f>IF(Members!$A529="","",Members!$A529)</f>
        <v/>
      </c>
      <c r="B529" s="31" t="n"/>
      <c r="C529" s="31" t="n"/>
      <c r="D529" s="31" t="n"/>
      <c r="E529" s="31" t="n"/>
      <c r="F529" s="31" t="n"/>
      <c r="G529" s="31" t="n"/>
      <c r="H529" s="31" t="n"/>
      <c r="I529" s="31" t="n"/>
      <c r="J529" s="31" t="n"/>
      <c r="K529" s="31">
        <f>IF(COUNTA($D529:$J529)&lt;7,"",ROUND(MIN(10000, MAX(0, ((((($D529*1.2)+($E529*1.2)+($F529*1.1)+($G529*1.0)+($H529*1.0)+($I529*1.1)+($J529*0.9))/7.5)-1)/4*8000 + MIN($B529*20,1000) + MIN($C529*100,1000))),0))</f>
        <v/>
      </c>
      <c r="L529" s="31">
        <f>IF($K529="","",MIN(100,INT(SQRT($K529))))</f>
        <v/>
      </c>
      <c r="M529" s="31" t="n"/>
      <c r="N529" s="31">
        <f>IF($M529="Yes",$K529,"")</f>
        <v/>
      </c>
      <c r="O529" s="31" t="n"/>
      <c r="P529" s="59" t="n"/>
      <c r="Q529" s="59" t="n"/>
    </row>
    <row r="530">
      <c r="A530" s="31">
        <f>IF(Members!$A530="","",Members!$A530)</f>
        <v/>
      </c>
      <c r="B530" s="31" t="n"/>
      <c r="C530" s="31" t="n"/>
      <c r="D530" s="31" t="n"/>
      <c r="E530" s="31" t="n"/>
      <c r="F530" s="31" t="n"/>
      <c r="G530" s="31" t="n"/>
      <c r="H530" s="31" t="n"/>
      <c r="I530" s="31" t="n"/>
      <c r="J530" s="31" t="n"/>
      <c r="K530" s="31">
        <f>IF(COUNTA($D530:$J530)&lt;7,"",ROUND(MIN(10000, MAX(0, ((((($D530*1.2)+($E530*1.2)+($F530*1.1)+($G530*1.0)+($H530*1.0)+($I530*1.1)+($J530*0.9))/7.5)-1)/4*8000 + MIN($B530*20,1000) + MIN($C530*100,1000))),0))</f>
        <v/>
      </c>
      <c r="L530" s="31">
        <f>IF($K530="","",MIN(100,INT(SQRT($K530))))</f>
        <v/>
      </c>
      <c r="M530" s="31" t="n"/>
      <c r="N530" s="31">
        <f>IF($M530="Yes",$K530,"")</f>
        <v/>
      </c>
      <c r="O530" s="31" t="n"/>
      <c r="P530" s="59" t="n"/>
      <c r="Q530" s="59" t="n"/>
    </row>
    <row r="531">
      <c r="A531" s="31">
        <f>IF(Members!$A531="","",Members!$A531)</f>
        <v/>
      </c>
      <c r="B531" s="31" t="n"/>
      <c r="C531" s="31" t="n"/>
      <c r="D531" s="31" t="n"/>
      <c r="E531" s="31" t="n"/>
      <c r="F531" s="31" t="n"/>
      <c r="G531" s="31" t="n"/>
      <c r="H531" s="31" t="n"/>
      <c r="I531" s="31" t="n"/>
      <c r="J531" s="31" t="n"/>
      <c r="K531" s="31">
        <f>IF(COUNTA($D531:$J531)&lt;7,"",ROUND(MIN(10000, MAX(0, ((((($D531*1.2)+($E531*1.2)+($F531*1.1)+($G531*1.0)+($H531*1.0)+($I531*1.1)+($J531*0.9))/7.5)-1)/4*8000 + MIN($B531*20,1000) + MIN($C531*100,1000))),0))</f>
        <v/>
      </c>
      <c r="L531" s="31">
        <f>IF($K531="","",MIN(100,INT(SQRT($K531))))</f>
        <v/>
      </c>
      <c r="M531" s="31" t="n"/>
      <c r="N531" s="31">
        <f>IF($M531="Yes",$K531,"")</f>
        <v/>
      </c>
      <c r="O531" s="31" t="n"/>
      <c r="P531" s="59" t="n"/>
      <c r="Q531" s="59" t="n"/>
    </row>
    <row r="532">
      <c r="A532" s="31">
        <f>IF(Members!$A532="","",Members!$A532)</f>
        <v/>
      </c>
      <c r="B532" s="31" t="n"/>
      <c r="C532" s="31" t="n"/>
      <c r="D532" s="31" t="n"/>
      <c r="E532" s="31" t="n"/>
      <c r="F532" s="31" t="n"/>
      <c r="G532" s="31" t="n"/>
      <c r="H532" s="31" t="n"/>
      <c r="I532" s="31" t="n"/>
      <c r="J532" s="31" t="n"/>
      <c r="K532" s="31">
        <f>IF(COUNTA($D532:$J532)&lt;7,"",ROUND(MIN(10000, MAX(0, ((((($D532*1.2)+($E532*1.2)+($F532*1.1)+($G532*1.0)+($H532*1.0)+($I532*1.1)+($J532*0.9))/7.5)-1)/4*8000 + MIN($B532*20,1000) + MIN($C532*100,1000))),0))</f>
        <v/>
      </c>
      <c r="L532" s="31">
        <f>IF($K532="","",MIN(100,INT(SQRT($K532))))</f>
        <v/>
      </c>
      <c r="M532" s="31" t="n"/>
      <c r="N532" s="31">
        <f>IF($M532="Yes",$K532,"")</f>
        <v/>
      </c>
      <c r="O532" s="31" t="n"/>
      <c r="P532" s="59" t="n"/>
      <c r="Q532" s="59" t="n"/>
    </row>
    <row r="533">
      <c r="A533" s="31">
        <f>IF(Members!$A533="","",Members!$A533)</f>
        <v/>
      </c>
      <c r="B533" s="31" t="n"/>
      <c r="C533" s="31" t="n"/>
      <c r="D533" s="31" t="n"/>
      <c r="E533" s="31" t="n"/>
      <c r="F533" s="31" t="n"/>
      <c r="G533" s="31" t="n"/>
      <c r="H533" s="31" t="n"/>
      <c r="I533" s="31" t="n"/>
      <c r="J533" s="31" t="n"/>
      <c r="K533" s="31">
        <f>IF(COUNTA($D533:$J533)&lt;7,"",ROUND(MIN(10000, MAX(0, ((((($D533*1.2)+($E533*1.2)+($F533*1.1)+($G533*1.0)+($H533*1.0)+($I533*1.1)+($J533*0.9))/7.5)-1)/4*8000 + MIN($B533*20,1000) + MIN($C533*100,1000))),0))</f>
        <v/>
      </c>
      <c r="L533" s="31">
        <f>IF($K533="","",MIN(100,INT(SQRT($K533))))</f>
        <v/>
      </c>
      <c r="M533" s="31" t="n"/>
      <c r="N533" s="31">
        <f>IF($M533="Yes",$K533,"")</f>
        <v/>
      </c>
      <c r="O533" s="31" t="n"/>
      <c r="P533" s="59" t="n"/>
      <c r="Q533" s="59" t="n"/>
    </row>
    <row r="534">
      <c r="A534" s="31">
        <f>IF(Members!$A534="","",Members!$A534)</f>
        <v/>
      </c>
      <c r="B534" s="31" t="n"/>
      <c r="C534" s="31" t="n"/>
      <c r="D534" s="31" t="n"/>
      <c r="E534" s="31" t="n"/>
      <c r="F534" s="31" t="n"/>
      <c r="G534" s="31" t="n"/>
      <c r="H534" s="31" t="n"/>
      <c r="I534" s="31" t="n"/>
      <c r="J534" s="31" t="n"/>
      <c r="K534" s="31">
        <f>IF(COUNTA($D534:$J534)&lt;7,"",ROUND(MIN(10000, MAX(0, ((((($D534*1.2)+($E534*1.2)+($F534*1.1)+($G534*1.0)+($H534*1.0)+($I534*1.1)+($J534*0.9))/7.5)-1)/4*8000 + MIN($B534*20,1000) + MIN($C534*100,1000))),0))</f>
        <v/>
      </c>
      <c r="L534" s="31">
        <f>IF($K534="","",MIN(100,INT(SQRT($K534))))</f>
        <v/>
      </c>
      <c r="M534" s="31" t="n"/>
      <c r="N534" s="31">
        <f>IF($M534="Yes",$K534,"")</f>
        <v/>
      </c>
      <c r="O534" s="31" t="n"/>
      <c r="P534" s="59" t="n"/>
      <c r="Q534" s="59" t="n"/>
    </row>
    <row r="535">
      <c r="A535" s="31">
        <f>IF(Members!$A535="","",Members!$A535)</f>
        <v/>
      </c>
      <c r="B535" s="31" t="n"/>
      <c r="C535" s="31" t="n"/>
      <c r="D535" s="31" t="n"/>
      <c r="E535" s="31" t="n"/>
      <c r="F535" s="31" t="n"/>
      <c r="G535" s="31" t="n"/>
      <c r="H535" s="31" t="n"/>
      <c r="I535" s="31" t="n"/>
      <c r="J535" s="31" t="n"/>
      <c r="K535" s="31">
        <f>IF(COUNTA($D535:$J535)&lt;7,"",ROUND(MIN(10000, MAX(0, ((((($D535*1.2)+($E535*1.2)+($F535*1.1)+($G535*1.0)+($H535*1.0)+($I535*1.1)+($J535*0.9))/7.5)-1)/4*8000 + MIN($B535*20,1000) + MIN($C535*100,1000))),0))</f>
        <v/>
      </c>
      <c r="L535" s="31">
        <f>IF($K535="","",MIN(100,INT(SQRT($K535))))</f>
        <v/>
      </c>
      <c r="M535" s="31" t="n"/>
      <c r="N535" s="31">
        <f>IF($M535="Yes",$K535,"")</f>
        <v/>
      </c>
      <c r="O535" s="31" t="n"/>
      <c r="P535" s="59" t="n"/>
      <c r="Q535" s="59" t="n"/>
    </row>
    <row r="536">
      <c r="A536" s="31">
        <f>IF(Members!$A536="","",Members!$A536)</f>
        <v/>
      </c>
      <c r="B536" s="31" t="n"/>
      <c r="C536" s="31" t="n"/>
      <c r="D536" s="31" t="n"/>
      <c r="E536" s="31" t="n"/>
      <c r="F536" s="31" t="n"/>
      <c r="G536" s="31" t="n"/>
      <c r="H536" s="31" t="n"/>
      <c r="I536" s="31" t="n"/>
      <c r="J536" s="31" t="n"/>
      <c r="K536" s="31">
        <f>IF(COUNTA($D536:$J536)&lt;7,"",ROUND(MIN(10000, MAX(0, ((((($D536*1.2)+($E536*1.2)+($F536*1.1)+($G536*1.0)+($H536*1.0)+($I536*1.1)+($J536*0.9))/7.5)-1)/4*8000 + MIN($B536*20,1000) + MIN($C536*100,1000))),0))</f>
        <v/>
      </c>
      <c r="L536" s="31">
        <f>IF($K536="","",MIN(100,INT(SQRT($K536))))</f>
        <v/>
      </c>
      <c r="M536" s="31" t="n"/>
      <c r="N536" s="31">
        <f>IF($M536="Yes",$K536,"")</f>
        <v/>
      </c>
      <c r="O536" s="31" t="n"/>
      <c r="P536" s="59" t="n"/>
      <c r="Q536" s="59" t="n"/>
    </row>
    <row r="537">
      <c r="A537" s="31">
        <f>IF(Members!$A537="","",Members!$A537)</f>
        <v/>
      </c>
      <c r="B537" s="31" t="n"/>
      <c r="C537" s="31" t="n"/>
      <c r="D537" s="31" t="n"/>
      <c r="E537" s="31" t="n"/>
      <c r="F537" s="31" t="n"/>
      <c r="G537" s="31" t="n"/>
      <c r="H537" s="31" t="n"/>
      <c r="I537" s="31" t="n"/>
      <c r="J537" s="31" t="n"/>
      <c r="K537" s="31">
        <f>IF(COUNTA($D537:$J537)&lt;7,"",ROUND(MIN(10000, MAX(0, ((((($D537*1.2)+($E537*1.2)+($F537*1.1)+($G537*1.0)+($H537*1.0)+($I537*1.1)+($J537*0.9))/7.5)-1)/4*8000 + MIN($B537*20,1000) + MIN($C537*100,1000))),0))</f>
        <v/>
      </c>
      <c r="L537" s="31">
        <f>IF($K537="","",MIN(100,INT(SQRT($K537))))</f>
        <v/>
      </c>
      <c r="M537" s="31" t="n"/>
      <c r="N537" s="31">
        <f>IF($M537="Yes",$K537,"")</f>
        <v/>
      </c>
      <c r="O537" s="31" t="n"/>
      <c r="P537" s="59" t="n"/>
      <c r="Q537" s="59" t="n"/>
    </row>
    <row r="538">
      <c r="A538" s="31">
        <f>IF(Members!$A538="","",Members!$A538)</f>
        <v/>
      </c>
      <c r="B538" s="31" t="n"/>
      <c r="C538" s="31" t="n"/>
      <c r="D538" s="31" t="n"/>
      <c r="E538" s="31" t="n"/>
      <c r="F538" s="31" t="n"/>
      <c r="G538" s="31" t="n"/>
      <c r="H538" s="31" t="n"/>
      <c r="I538" s="31" t="n"/>
      <c r="J538" s="31" t="n"/>
      <c r="K538" s="31">
        <f>IF(COUNTA($D538:$J538)&lt;7,"",ROUND(MIN(10000, MAX(0, ((((($D538*1.2)+($E538*1.2)+($F538*1.1)+($G538*1.0)+($H538*1.0)+($I538*1.1)+($J538*0.9))/7.5)-1)/4*8000 + MIN($B538*20,1000) + MIN($C538*100,1000))),0))</f>
        <v/>
      </c>
      <c r="L538" s="31">
        <f>IF($K538="","",MIN(100,INT(SQRT($K538))))</f>
        <v/>
      </c>
      <c r="M538" s="31" t="n"/>
      <c r="N538" s="31">
        <f>IF($M538="Yes",$K538,"")</f>
        <v/>
      </c>
      <c r="O538" s="31" t="n"/>
      <c r="P538" s="59" t="n"/>
      <c r="Q538" s="59" t="n"/>
    </row>
    <row r="539">
      <c r="A539" s="31">
        <f>IF(Members!$A539="","",Members!$A539)</f>
        <v/>
      </c>
      <c r="B539" s="31" t="n"/>
      <c r="C539" s="31" t="n"/>
      <c r="D539" s="31" t="n"/>
      <c r="E539" s="31" t="n"/>
      <c r="F539" s="31" t="n"/>
      <c r="G539" s="31" t="n"/>
      <c r="H539" s="31" t="n"/>
      <c r="I539" s="31" t="n"/>
      <c r="J539" s="31" t="n"/>
      <c r="K539" s="31">
        <f>IF(COUNTA($D539:$J539)&lt;7,"",ROUND(MIN(10000, MAX(0, ((((($D539*1.2)+($E539*1.2)+($F539*1.1)+($G539*1.0)+($H539*1.0)+($I539*1.1)+($J539*0.9))/7.5)-1)/4*8000 + MIN($B539*20,1000) + MIN($C539*100,1000))),0))</f>
        <v/>
      </c>
      <c r="L539" s="31">
        <f>IF($K539="","",MIN(100,INT(SQRT($K539))))</f>
        <v/>
      </c>
      <c r="M539" s="31" t="n"/>
      <c r="N539" s="31">
        <f>IF($M539="Yes",$K539,"")</f>
        <v/>
      </c>
      <c r="O539" s="31" t="n"/>
      <c r="P539" s="59" t="n"/>
      <c r="Q539" s="59" t="n"/>
    </row>
    <row r="540">
      <c r="A540" s="31">
        <f>IF(Members!$A540="","",Members!$A540)</f>
        <v/>
      </c>
      <c r="B540" s="31" t="n"/>
      <c r="C540" s="31" t="n"/>
      <c r="D540" s="31" t="n"/>
      <c r="E540" s="31" t="n"/>
      <c r="F540" s="31" t="n"/>
      <c r="G540" s="31" t="n"/>
      <c r="H540" s="31" t="n"/>
      <c r="I540" s="31" t="n"/>
      <c r="J540" s="31" t="n"/>
      <c r="K540" s="31">
        <f>IF(COUNTA($D540:$J540)&lt;7,"",ROUND(MIN(10000, MAX(0, ((((($D540*1.2)+($E540*1.2)+($F540*1.1)+($G540*1.0)+($H540*1.0)+($I540*1.1)+($J540*0.9))/7.5)-1)/4*8000 + MIN($B540*20,1000) + MIN($C540*100,1000))),0))</f>
        <v/>
      </c>
      <c r="L540" s="31">
        <f>IF($K540="","",MIN(100,INT(SQRT($K540))))</f>
        <v/>
      </c>
      <c r="M540" s="31" t="n"/>
      <c r="N540" s="31">
        <f>IF($M540="Yes",$K540,"")</f>
        <v/>
      </c>
      <c r="O540" s="31" t="n"/>
      <c r="P540" s="59" t="n"/>
      <c r="Q540" s="59" t="n"/>
    </row>
    <row r="541">
      <c r="A541" s="31">
        <f>IF(Members!$A541="","",Members!$A541)</f>
        <v/>
      </c>
      <c r="B541" s="31" t="n"/>
      <c r="C541" s="31" t="n"/>
      <c r="D541" s="31" t="n"/>
      <c r="E541" s="31" t="n"/>
      <c r="F541" s="31" t="n"/>
      <c r="G541" s="31" t="n"/>
      <c r="H541" s="31" t="n"/>
      <c r="I541" s="31" t="n"/>
      <c r="J541" s="31" t="n"/>
      <c r="K541" s="31">
        <f>IF(COUNTA($D541:$J541)&lt;7,"",ROUND(MIN(10000, MAX(0, ((((($D541*1.2)+($E541*1.2)+($F541*1.1)+($G541*1.0)+($H541*1.0)+($I541*1.1)+($J541*0.9))/7.5)-1)/4*8000 + MIN($B541*20,1000) + MIN($C541*100,1000))),0))</f>
        <v/>
      </c>
      <c r="L541" s="31">
        <f>IF($K541="","",MIN(100,INT(SQRT($K541))))</f>
        <v/>
      </c>
      <c r="M541" s="31" t="n"/>
      <c r="N541" s="31">
        <f>IF($M541="Yes",$K541,"")</f>
        <v/>
      </c>
      <c r="O541" s="31" t="n"/>
      <c r="P541" s="59" t="n"/>
      <c r="Q541" s="59" t="n"/>
    </row>
    <row r="542">
      <c r="A542" s="31">
        <f>IF(Members!$A542="","",Members!$A542)</f>
        <v/>
      </c>
      <c r="B542" s="31" t="n"/>
      <c r="C542" s="31" t="n"/>
      <c r="D542" s="31" t="n"/>
      <c r="E542" s="31" t="n"/>
      <c r="F542" s="31" t="n"/>
      <c r="G542" s="31" t="n"/>
      <c r="H542" s="31" t="n"/>
      <c r="I542" s="31" t="n"/>
      <c r="J542" s="31" t="n"/>
      <c r="K542" s="31">
        <f>IF(COUNTA($D542:$J542)&lt;7,"",ROUND(MIN(10000, MAX(0, ((((($D542*1.2)+($E542*1.2)+($F542*1.1)+($G542*1.0)+($H542*1.0)+($I542*1.1)+($J542*0.9))/7.5)-1)/4*8000 + MIN($B542*20,1000) + MIN($C542*100,1000))),0))</f>
        <v/>
      </c>
      <c r="L542" s="31">
        <f>IF($K542="","",MIN(100,INT(SQRT($K542))))</f>
        <v/>
      </c>
      <c r="M542" s="31" t="n"/>
      <c r="N542" s="31">
        <f>IF($M542="Yes",$K542,"")</f>
        <v/>
      </c>
      <c r="O542" s="31" t="n"/>
      <c r="P542" s="59" t="n"/>
      <c r="Q542" s="59" t="n"/>
    </row>
    <row r="543">
      <c r="A543" s="31">
        <f>IF(Members!$A543="","",Members!$A543)</f>
        <v/>
      </c>
      <c r="B543" s="31" t="n"/>
      <c r="C543" s="31" t="n"/>
      <c r="D543" s="31" t="n"/>
      <c r="E543" s="31" t="n"/>
      <c r="F543" s="31" t="n"/>
      <c r="G543" s="31" t="n"/>
      <c r="H543" s="31" t="n"/>
      <c r="I543" s="31" t="n"/>
      <c r="J543" s="31" t="n"/>
      <c r="K543" s="31">
        <f>IF(COUNTA($D543:$J543)&lt;7,"",ROUND(MIN(10000, MAX(0, ((((($D543*1.2)+($E543*1.2)+($F543*1.1)+($G543*1.0)+($H543*1.0)+($I543*1.1)+($J543*0.9))/7.5)-1)/4*8000 + MIN($B543*20,1000) + MIN($C543*100,1000))),0))</f>
        <v/>
      </c>
      <c r="L543" s="31">
        <f>IF($K543="","",MIN(100,INT(SQRT($K543))))</f>
        <v/>
      </c>
      <c r="M543" s="31" t="n"/>
      <c r="N543" s="31">
        <f>IF($M543="Yes",$K543,"")</f>
        <v/>
      </c>
      <c r="O543" s="31" t="n"/>
      <c r="P543" s="59" t="n"/>
      <c r="Q543" s="59" t="n"/>
    </row>
    <row r="544">
      <c r="A544" s="31">
        <f>IF(Members!$A544="","",Members!$A544)</f>
        <v/>
      </c>
      <c r="B544" s="31" t="n"/>
      <c r="C544" s="31" t="n"/>
      <c r="D544" s="31" t="n"/>
      <c r="E544" s="31" t="n"/>
      <c r="F544" s="31" t="n"/>
      <c r="G544" s="31" t="n"/>
      <c r="H544" s="31" t="n"/>
      <c r="I544" s="31" t="n"/>
      <c r="J544" s="31" t="n"/>
      <c r="K544" s="31">
        <f>IF(COUNTA($D544:$J544)&lt;7,"",ROUND(MIN(10000, MAX(0, ((((($D544*1.2)+($E544*1.2)+($F544*1.1)+($G544*1.0)+($H544*1.0)+($I544*1.1)+($J544*0.9))/7.5)-1)/4*8000 + MIN($B544*20,1000) + MIN($C544*100,1000))),0))</f>
        <v/>
      </c>
      <c r="L544" s="31">
        <f>IF($K544="","",MIN(100,INT(SQRT($K544))))</f>
        <v/>
      </c>
      <c r="M544" s="31" t="n"/>
      <c r="N544" s="31">
        <f>IF($M544="Yes",$K544,"")</f>
        <v/>
      </c>
      <c r="O544" s="31" t="n"/>
      <c r="P544" s="59" t="n"/>
      <c r="Q544" s="59" t="n"/>
    </row>
    <row r="545">
      <c r="A545" s="31">
        <f>IF(Members!$A545="","",Members!$A545)</f>
        <v/>
      </c>
      <c r="B545" s="31" t="n"/>
      <c r="C545" s="31" t="n"/>
      <c r="D545" s="31" t="n"/>
      <c r="E545" s="31" t="n"/>
      <c r="F545" s="31" t="n"/>
      <c r="G545" s="31" t="n"/>
      <c r="H545" s="31" t="n"/>
      <c r="I545" s="31" t="n"/>
      <c r="J545" s="31" t="n"/>
      <c r="K545" s="31">
        <f>IF(COUNTA($D545:$J545)&lt;7,"",ROUND(MIN(10000, MAX(0, ((((($D545*1.2)+($E545*1.2)+($F545*1.1)+($G545*1.0)+($H545*1.0)+($I545*1.1)+($J545*0.9))/7.5)-1)/4*8000 + MIN($B545*20,1000) + MIN($C545*100,1000))),0))</f>
        <v/>
      </c>
      <c r="L545" s="31">
        <f>IF($K545="","",MIN(100,INT(SQRT($K545))))</f>
        <v/>
      </c>
      <c r="M545" s="31" t="n"/>
      <c r="N545" s="31">
        <f>IF($M545="Yes",$K545,"")</f>
        <v/>
      </c>
      <c r="O545" s="31" t="n"/>
      <c r="P545" s="59" t="n"/>
      <c r="Q545" s="59" t="n"/>
    </row>
    <row r="546">
      <c r="A546" s="31">
        <f>IF(Members!$A546="","",Members!$A546)</f>
        <v/>
      </c>
      <c r="B546" s="31" t="n"/>
      <c r="C546" s="31" t="n"/>
      <c r="D546" s="31" t="n"/>
      <c r="E546" s="31" t="n"/>
      <c r="F546" s="31" t="n"/>
      <c r="G546" s="31" t="n"/>
      <c r="H546" s="31" t="n"/>
      <c r="I546" s="31" t="n"/>
      <c r="J546" s="31" t="n"/>
      <c r="K546" s="31">
        <f>IF(COUNTA($D546:$J546)&lt;7,"",ROUND(MIN(10000, MAX(0, ((((($D546*1.2)+($E546*1.2)+($F546*1.1)+($G546*1.0)+($H546*1.0)+($I546*1.1)+($J546*0.9))/7.5)-1)/4*8000 + MIN($B546*20,1000) + MIN($C546*100,1000))),0))</f>
        <v/>
      </c>
      <c r="L546" s="31">
        <f>IF($K546="","",MIN(100,INT(SQRT($K546))))</f>
        <v/>
      </c>
      <c r="M546" s="31" t="n"/>
      <c r="N546" s="31">
        <f>IF($M546="Yes",$K546,"")</f>
        <v/>
      </c>
      <c r="O546" s="31" t="n"/>
      <c r="P546" s="59" t="n"/>
      <c r="Q546" s="59" t="n"/>
    </row>
    <row r="547">
      <c r="A547" s="31">
        <f>IF(Members!$A547="","",Members!$A547)</f>
        <v/>
      </c>
      <c r="B547" s="31" t="n"/>
      <c r="C547" s="31" t="n"/>
      <c r="D547" s="31" t="n"/>
      <c r="E547" s="31" t="n"/>
      <c r="F547" s="31" t="n"/>
      <c r="G547" s="31" t="n"/>
      <c r="H547" s="31" t="n"/>
      <c r="I547" s="31" t="n"/>
      <c r="J547" s="31" t="n"/>
      <c r="K547" s="31">
        <f>IF(COUNTA($D547:$J547)&lt;7,"",ROUND(MIN(10000, MAX(0, ((((($D547*1.2)+($E547*1.2)+($F547*1.1)+($G547*1.0)+($H547*1.0)+($I547*1.1)+($J547*0.9))/7.5)-1)/4*8000 + MIN($B547*20,1000) + MIN($C547*100,1000))),0))</f>
        <v/>
      </c>
      <c r="L547" s="31">
        <f>IF($K547="","",MIN(100,INT(SQRT($K547))))</f>
        <v/>
      </c>
      <c r="M547" s="31" t="n"/>
      <c r="N547" s="31">
        <f>IF($M547="Yes",$K547,"")</f>
        <v/>
      </c>
      <c r="O547" s="31" t="n"/>
      <c r="P547" s="59" t="n"/>
      <c r="Q547" s="59" t="n"/>
    </row>
    <row r="548">
      <c r="A548" s="31">
        <f>IF(Members!$A548="","",Members!$A548)</f>
        <v/>
      </c>
      <c r="B548" s="31" t="n"/>
      <c r="C548" s="31" t="n"/>
      <c r="D548" s="31" t="n"/>
      <c r="E548" s="31" t="n"/>
      <c r="F548" s="31" t="n"/>
      <c r="G548" s="31" t="n"/>
      <c r="H548" s="31" t="n"/>
      <c r="I548" s="31" t="n"/>
      <c r="J548" s="31" t="n"/>
      <c r="K548" s="31">
        <f>IF(COUNTA($D548:$J548)&lt;7,"",ROUND(MIN(10000, MAX(0, ((((($D548*1.2)+($E548*1.2)+($F548*1.1)+($G548*1.0)+($H548*1.0)+($I548*1.1)+($J548*0.9))/7.5)-1)/4*8000 + MIN($B548*20,1000) + MIN($C548*100,1000))),0))</f>
        <v/>
      </c>
      <c r="L548" s="31">
        <f>IF($K548="","",MIN(100,INT(SQRT($K548))))</f>
        <v/>
      </c>
      <c r="M548" s="31" t="n"/>
      <c r="N548" s="31">
        <f>IF($M548="Yes",$K548,"")</f>
        <v/>
      </c>
      <c r="O548" s="31" t="n"/>
      <c r="P548" s="59" t="n"/>
      <c r="Q548" s="59" t="n"/>
    </row>
    <row r="549">
      <c r="A549" s="31">
        <f>IF(Members!$A549="","",Members!$A549)</f>
        <v/>
      </c>
      <c r="B549" s="31" t="n"/>
      <c r="C549" s="31" t="n"/>
      <c r="D549" s="31" t="n"/>
      <c r="E549" s="31" t="n"/>
      <c r="F549" s="31" t="n"/>
      <c r="G549" s="31" t="n"/>
      <c r="H549" s="31" t="n"/>
      <c r="I549" s="31" t="n"/>
      <c r="J549" s="31" t="n"/>
      <c r="K549" s="31">
        <f>IF(COUNTA($D549:$J549)&lt;7,"",ROUND(MIN(10000, MAX(0, ((((($D549*1.2)+($E549*1.2)+($F549*1.1)+($G549*1.0)+($H549*1.0)+($I549*1.1)+($J549*0.9))/7.5)-1)/4*8000 + MIN($B549*20,1000) + MIN($C549*100,1000))),0))</f>
        <v/>
      </c>
      <c r="L549" s="31">
        <f>IF($K549="","",MIN(100,INT(SQRT($K549))))</f>
        <v/>
      </c>
      <c r="M549" s="31" t="n"/>
      <c r="N549" s="31">
        <f>IF($M549="Yes",$K549,"")</f>
        <v/>
      </c>
      <c r="O549" s="31" t="n"/>
      <c r="P549" s="59" t="n"/>
      <c r="Q549" s="59" t="n"/>
    </row>
    <row r="550">
      <c r="A550" s="31">
        <f>IF(Members!$A550="","",Members!$A550)</f>
        <v/>
      </c>
      <c r="B550" s="31" t="n"/>
      <c r="C550" s="31" t="n"/>
      <c r="D550" s="31" t="n"/>
      <c r="E550" s="31" t="n"/>
      <c r="F550" s="31" t="n"/>
      <c r="G550" s="31" t="n"/>
      <c r="H550" s="31" t="n"/>
      <c r="I550" s="31" t="n"/>
      <c r="J550" s="31" t="n"/>
      <c r="K550" s="31">
        <f>IF(COUNTA($D550:$J550)&lt;7,"",ROUND(MIN(10000, MAX(0, ((((($D550*1.2)+($E550*1.2)+($F550*1.1)+($G550*1.0)+($H550*1.0)+($I550*1.1)+($J550*0.9))/7.5)-1)/4*8000 + MIN($B550*20,1000) + MIN($C550*100,1000))),0))</f>
        <v/>
      </c>
      <c r="L550" s="31">
        <f>IF($K550="","",MIN(100,INT(SQRT($K550))))</f>
        <v/>
      </c>
      <c r="M550" s="31" t="n"/>
      <c r="N550" s="31">
        <f>IF($M550="Yes",$K550,"")</f>
        <v/>
      </c>
      <c r="O550" s="31" t="n"/>
      <c r="P550" s="59" t="n"/>
      <c r="Q550" s="59" t="n"/>
    </row>
    <row r="551">
      <c r="A551" s="31">
        <f>IF(Members!$A551="","",Members!$A551)</f>
        <v/>
      </c>
      <c r="B551" s="31" t="n"/>
      <c r="C551" s="31" t="n"/>
      <c r="D551" s="31" t="n"/>
      <c r="E551" s="31" t="n"/>
      <c r="F551" s="31" t="n"/>
      <c r="G551" s="31" t="n"/>
      <c r="H551" s="31" t="n"/>
      <c r="I551" s="31" t="n"/>
      <c r="J551" s="31" t="n"/>
      <c r="K551" s="31">
        <f>IF(COUNTA($D551:$J551)&lt;7,"",ROUND(MIN(10000, MAX(0, ((((($D551*1.2)+($E551*1.2)+($F551*1.1)+($G551*1.0)+($H551*1.0)+($I551*1.1)+($J551*0.9))/7.5)-1)/4*8000 + MIN($B551*20,1000) + MIN($C551*100,1000))),0))</f>
        <v/>
      </c>
      <c r="L551" s="31">
        <f>IF($K551="","",MIN(100,INT(SQRT($K551))))</f>
        <v/>
      </c>
      <c r="M551" s="31" t="n"/>
      <c r="N551" s="31">
        <f>IF($M551="Yes",$K551,"")</f>
        <v/>
      </c>
      <c r="O551" s="31" t="n"/>
      <c r="P551" s="59" t="n"/>
      <c r="Q551" s="59" t="n"/>
    </row>
    <row r="552">
      <c r="A552" s="31">
        <f>IF(Members!$A552="","",Members!$A552)</f>
        <v/>
      </c>
      <c r="B552" s="31" t="n"/>
      <c r="C552" s="31" t="n"/>
      <c r="D552" s="31" t="n"/>
      <c r="E552" s="31" t="n"/>
      <c r="F552" s="31" t="n"/>
      <c r="G552" s="31" t="n"/>
      <c r="H552" s="31" t="n"/>
      <c r="I552" s="31" t="n"/>
      <c r="J552" s="31" t="n"/>
      <c r="K552" s="31">
        <f>IF(COUNTA($D552:$J552)&lt;7,"",ROUND(MIN(10000, MAX(0, ((((($D552*1.2)+($E552*1.2)+($F552*1.1)+($G552*1.0)+($H552*1.0)+($I552*1.1)+($J552*0.9))/7.5)-1)/4*8000 + MIN($B552*20,1000) + MIN($C552*100,1000))),0))</f>
        <v/>
      </c>
      <c r="L552" s="31">
        <f>IF($K552="","",MIN(100,INT(SQRT($K552))))</f>
        <v/>
      </c>
      <c r="M552" s="31" t="n"/>
      <c r="N552" s="31">
        <f>IF($M552="Yes",$K552,"")</f>
        <v/>
      </c>
      <c r="O552" s="31" t="n"/>
      <c r="P552" s="59" t="n"/>
      <c r="Q552" s="59" t="n"/>
    </row>
    <row r="553">
      <c r="A553" s="31">
        <f>IF(Members!$A553="","",Members!$A553)</f>
        <v/>
      </c>
      <c r="B553" s="31" t="n"/>
      <c r="C553" s="31" t="n"/>
      <c r="D553" s="31" t="n"/>
      <c r="E553" s="31" t="n"/>
      <c r="F553" s="31" t="n"/>
      <c r="G553" s="31" t="n"/>
      <c r="H553" s="31" t="n"/>
      <c r="I553" s="31" t="n"/>
      <c r="J553" s="31" t="n"/>
      <c r="K553" s="31">
        <f>IF(COUNTA($D553:$J553)&lt;7,"",ROUND(MIN(10000, MAX(0, ((((($D553*1.2)+($E553*1.2)+($F553*1.1)+($G553*1.0)+($H553*1.0)+($I553*1.1)+($J553*0.9))/7.5)-1)/4*8000 + MIN($B553*20,1000) + MIN($C553*100,1000))),0))</f>
        <v/>
      </c>
      <c r="L553" s="31">
        <f>IF($K553="","",MIN(100,INT(SQRT($K553))))</f>
        <v/>
      </c>
      <c r="M553" s="31" t="n"/>
      <c r="N553" s="31">
        <f>IF($M553="Yes",$K553,"")</f>
        <v/>
      </c>
      <c r="O553" s="31" t="n"/>
      <c r="P553" s="59" t="n"/>
      <c r="Q553" s="59" t="n"/>
    </row>
    <row r="554">
      <c r="A554" s="31">
        <f>IF(Members!$A554="","",Members!$A554)</f>
        <v/>
      </c>
      <c r="B554" s="31" t="n"/>
      <c r="C554" s="31" t="n"/>
      <c r="D554" s="31" t="n"/>
      <c r="E554" s="31" t="n"/>
      <c r="F554" s="31" t="n"/>
      <c r="G554" s="31" t="n"/>
      <c r="H554" s="31" t="n"/>
      <c r="I554" s="31" t="n"/>
      <c r="J554" s="31" t="n"/>
      <c r="K554" s="31">
        <f>IF(COUNTA($D554:$J554)&lt;7,"",ROUND(MIN(10000, MAX(0, ((((($D554*1.2)+($E554*1.2)+($F554*1.1)+($G554*1.0)+($H554*1.0)+($I554*1.1)+($J554*0.9))/7.5)-1)/4*8000 + MIN($B554*20,1000) + MIN($C554*100,1000))),0))</f>
        <v/>
      </c>
      <c r="L554" s="31">
        <f>IF($K554="","",MIN(100,INT(SQRT($K554))))</f>
        <v/>
      </c>
      <c r="M554" s="31" t="n"/>
      <c r="N554" s="31">
        <f>IF($M554="Yes",$K554,"")</f>
        <v/>
      </c>
      <c r="O554" s="31" t="n"/>
      <c r="P554" s="59" t="n"/>
      <c r="Q554" s="59" t="n"/>
    </row>
    <row r="555">
      <c r="A555" s="31">
        <f>IF(Members!$A555="","",Members!$A555)</f>
        <v/>
      </c>
      <c r="B555" s="31" t="n"/>
      <c r="C555" s="31" t="n"/>
      <c r="D555" s="31" t="n"/>
      <c r="E555" s="31" t="n"/>
      <c r="F555" s="31" t="n"/>
      <c r="G555" s="31" t="n"/>
      <c r="H555" s="31" t="n"/>
      <c r="I555" s="31" t="n"/>
      <c r="J555" s="31" t="n"/>
      <c r="K555" s="31">
        <f>IF(COUNTA($D555:$J555)&lt;7,"",ROUND(MIN(10000, MAX(0, ((((($D555*1.2)+($E555*1.2)+($F555*1.1)+($G555*1.0)+($H555*1.0)+($I555*1.1)+($J555*0.9))/7.5)-1)/4*8000 + MIN($B555*20,1000) + MIN($C555*100,1000))),0))</f>
        <v/>
      </c>
      <c r="L555" s="31">
        <f>IF($K555="","",MIN(100,INT(SQRT($K555))))</f>
        <v/>
      </c>
      <c r="M555" s="31" t="n"/>
      <c r="N555" s="31">
        <f>IF($M555="Yes",$K555,"")</f>
        <v/>
      </c>
      <c r="O555" s="31" t="n"/>
      <c r="P555" s="59" t="n"/>
      <c r="Q555" s="59" t="n"/>
    </row>
    <row r="556">
      <c r="A556" s="31">
        <f>IF(Members!$A556="","",Members!$A556)</f>
        <v/>
      </c>
      <c r="B556" s="31" t="n"/>
      <c r="C556" s="31" t="n"/>
      <c r="D556" s="31" t="n"/>
      <c r="E556" s="31" t="n"/>
      <c r="F556" s="31" t="n"/>
      <c r="G556" s="31" t="n"/>
      <c r="H556" s="31" t="n"/>
      <c r="I556" s="31" t="n"/>
      <c r="J556" s="31" t="n"/>
      <c r="K556" s="31">
        <f>IF(COUNTA($D556:$J556)&lt;7,"",ROUND(MIN(10000, MAX(0, ((((($D556*1.2)+($E556*1.2)+($F556*1.1)+($G556*1.0)+($H556*1.0)+($I556*1.1)+($J556*0.9))/7.5)-1)/4*8000 + MIN($B556*20,1000) + MIN($C556*100,1000))),0))</f>
        <v/>
      </c>
      <c r="L556" s="31">
        <f>IF($K556="","",MIN(100,INT(SQRT($K556))))</f>
        <v/>
      </c>
      <c r="M556" s="31" t="n"/>
      <c r="N556" s="31">
        <f>IF($M556="Yes",$K556,"")</f>
        <v/>
      </c>
      <c r="O556" s="31" t="n"/>
      <c r="P556" s="59" t="n"/>
      <c r="Q556" s="59" t="n"/>
    </row>
    <row r="557">
      <c r="A557" s="31">
        <f>IF(Members!$A557="","",Members!$A557)</f>
        <v/>
      </c>
      <c r="B557" s="31" t="n"/>
      <c r="C557" s="31" t="n"/>
      <c r="D557" s="31" t="n"/>
      <c r="E557" s="31" t="n"/>
      <c r="F557" s="31" t="n"/>
      <c r="G557" s="31" t="n"/>
      <c r="H557" s="31" t="n"/>
      <c r="I557" s="31" t="n"/>
      <c r="J557" s="31" t="n"/>
      <c r="K557" s="31">
        <f>IF(COUNTA($D557:$J557)&lt;7,"",ROUND(MIN(10000, MAX(0, ((((($D557*1.2)+($E557*1.2)+($F557*1.1)+($G557*1.0)+($H557*1.0)+($I557*1.1)+($J557*0.9))/7.5)-1)/4*8000 + MIN($B557*20,1000) + MIN($C557*100,1000))),0))</f>
        <v/>
      </c>
      <c r="L557" s="31">
        <f>IF($K557="","",MIN(100,INT(SQRT($K557))))</f>
        <v/>
      </c>
      <c r="M557" s="31" t="n"/>
      <c r="N557" s="31">
        <f>IF($M557="Yes",$K557,"")</f>
        <v/>
      </c>
      <c r="O557" s="31" t="n"/>
      <c r="P557" s="59" t="n"/>
      <c r="Q557" s="59" t="n"/>
    </row>
    <row r="558">
      <c r="A558" s="31">
        <f>IF(Members!$A558="","",Members!$A558)</f>
        <v/>
      </c>
      <c r="B558" s="31" t="n"/>
      <c r="C558" s="31" t="n"/>
      <c r="D558" s="31" t="n"/>
      <c r="E558" s="31" t="n"/>
      <c r="F558" s="31" t="n"/>
      <c r="G558" s="31" t="n"/>
      <c r="H558" s="31" t="n"/>
      <c r="I558" s="31" t="n"/>
      <c r="J558" s="31" t="n"/>
      <c r="K558" s="31">
        <f>IF(COUNTA($D558:$J558)&lt;7,"",ROUND(MIN(10000, MAX(0, ((((($D558*1.2)+($E558*1.2)+($F558*1.1)+($G558*1.0)+($H558*1.0)+($I558*1.1)+($J558*0.9))/7.5)-1)/4*8000 + MIN($B558*20,1000) + MIN($C558*100,1000))),0))</f>
        <v/>
      </c>
      <c r="L558" s="31">
        <f>IF($K558="","",MIN(100,INT(SQRT($K558))))</f>
        <v/>
      </c>
      <c r="M558" s="31" t="n"/>
      <c r="N558" s="31">
        <f>IF($M558="Yes",$K558,"")</f>
        <v/>
      </c>
      <c r="O558" s="31" t="n"/>
      <c r="P558" s="59" t="n"/>
      <c r="Q558" s="59" t="n"/>
    </row>
    <row r="559">
      <c r="A559" s="31">
        <f>IF(Members!$A559="","",Members!$A559)</f>
        <v/>
      </c>
      <c r="B559" s="31" t="n"/>
      <c r="C559" s="31" t="n"/>
      <c r="D559" s="31" t="n"/>
      <c r="E559" s="31" t="n"/>
      <c r="F559" s="31" t="n"/>
      <c r="G559" s="31" t="n"/>
      <c r="H559" s="31" t="n"/>
      <c r="I559" s="31" t="n"/>
      <c r="J559" s="31" t="n"/>
      <c r="K559" s="31">
        <f>IF(COUNTA($D559:$J559)&lt;7,"",ROUND(MIN(10000, MAX(0, ((((($D559*1.2)+($E559*1.2)+($F559*1.1)+($G559*1.0)+($H559*1.0)+($I559*1.1)+($J559*0.9))/7.5)-1)/4*8000 + MIN($B559*20,1000) + MIN($C559*100,1000))),0))</f>
        <v/>
      </c>
      <c r="L559" s="31">
        <f>IF($K559="","",MIN(100,INT(SQRT($K559))))</f>
        <v/>
      </c>
      <c r="M559" s="31" t="n"/>
      <c r="N559" s="31">
        <f>IF($M559="Yes",$K559,"")</f>
        <v/>
      </c>
      <c r="O559" s="31" t="n"/>
      <c r="P559" s="59" t="n"/>
      <c r="Q559" s="59" t="n"/>
    </row>
    <row r="560">
      <c r="A560" s="31">
        <f>IF(Members!$A560="","",Members!$A560)</f>
        <v/>
      </c>
      <c r="B560" s="31" t="n"/>
      <c r="C560" s="31" t="n"/>
      <c r="D560" s="31" t="n"/>
      <c r="E560" s="31" t="n"/>
      <c r="F560" s="31" t="n"/>
      <c r="G560" s="31" t="n"/>
      <c r="H560" s="31" t="n"/>
      <c r="I560" s="31" t="n"/>
      <c r="J560" s="31" t="n"/>
      <c r="K560" s="31">
        <f>IF(COUNTA($D560:$J560)&lt;7,"",ROUND(MIN(10000, MAX(0, ((((($D560*1.2)+($E560*1.2)+($F560*1.1)+($G560*1.0)+($H560*1.0)+($I560*1.1)+($J560*0.9))/7.5)-1)/4*8000 + MIN($B560*20,1000) + MIN($C560*100,1000))),0))</f>
        <v/>
      </c>
      <c r="L560" s="31">
        <f>IF($K560="","",MIN(100,INT(SQRT($K560))))</f>
        <v/>
      </c>
      <c r="M560" s="31" t="n"/>
      <c r="N560" s="31">
        <f>IF($M560="Yes",$K560,"")</f>
        <v/>
      </c>
      <c r="O560" s="31" t="n"/>
      <c r="P560" s="59" t="n"/>
      <c r="Q560" s="59" t="n"/>
    </row>
    <row r="561">
      <c r="A561" s="31">
        <f>IF(Members!$A561="","",Members!$A561)</f>
        <v/>
      </c>
      <c r="B561" s="31" t="n"/>
      <c r="C561" s="31" t="n"/>
      <c r="D561" s="31" t="n"/>
      <c r="E561" s="31" t="n"/>
      <c r="F561" s="31" t="n"/>
      <c r="G561" s="31" t="n"/>
      <c r="H561" s="31" t="n"/>
      <c r="I561" s="31" t="n"/>
      <c r="J561" s="31" t="n"/>
      <c r="K561" s="31">
        <f>IF(COUNTA($D561:$J561)&lt;7,"",ROUND(MIN(10000, MAX(0, ((((($D561*1.2)+($E561*1.2)+($F561*1.1)+($G561*1.0)+($H561*1.0)+($I561*1.1)+($J561*0.9))/7.5)-1)/4*8000 + MIN($B561*20,1000) + MIN($C561*100,1000))),0))</f>
        <v/>
      </c>
      <c r="L561" s="31">
        <f>IF($K561="","",MIN(100,INT(SQRT($K561))))</f>
        <v/>
      </c>
      <c r="M561" s="31" t="n"/>
      <c r="N561" s="31">
        <f>IF($M561="Yes",$K561,"")</f>
        <v/>
      </c>
      <c r="O561" s="31" t="n"/>
      <c r="P561" s="59" t="n"/>
      <c r="Q561" s="59" t="n"/>
    </row>
    <row r="562">
      <c r="A562" s="31">
        <f>IF(Members!$A562="","",Members!$A562)</f>
        <v/>
      </c>
      <c r="B562" s="31" t="n"/>
      <c r="C562" s="31" t="n"/>
      <c r="D562" s="31" t="n"/>
      <c r="E562" s="31" t="n"/>
      <c r="F562" s="31" t="n"/>
      <c r="G562" s="31" t="n"/>
      <c r="H562" s="31" t="n"/>
      <c r="I562" s="31" t="n"/>
      <c r="J562" s="31" t="n"/>
      <c r="K562" s="31">
        <f>IF(COUNTA($D562:$J562)&lt;7,"",ROUND(MIN(10000, MAX(0, ((((($D562*1.2)+($E562*1.2)+($F562*1.1)+($G562*1.0)+($H562*1.0)+($I562*1.1)+($J562*0.9))/7.5)-1)/4*8000 + MIN($B562*20,1000) + MIN($C562*100,1000))),0))</f>
        <v/>
      </c>
      <c r="L562" s="31">
        <f>IF($K562="","",MIN(100,INT(SQRT($K562))))</f>
        <v/>
      </c>
      <c r="M562" s="31" t="n"/>
      <c r="N562" s="31">
        <f>IF($M562="Yes",$K562,"")</f>
        <v/>
      </c>
      <c r="O562" s="31" t="n"/>
      <c r="P562" s="59" t="n"/>
      <c r="Q562" s="59" t="n"/>
    </row>
    <row r="563">
      <c r="A563" s="31">
        <f>IF(Members!$A563="","",Members!$A563)</f>
        <v/>
      </c>
      <c r="B563" s="31" t="n"/>
      <c r="C563" s="31" t="n"/>
      <c r="D563" s="31" t="n"/>
      <c r="E563" s="31" t="n"/>
      <c r="F563" s="31" t="n"/>
      <c r="G563" s="31" t="n"/>
      <c r="H563" s="31" t="n"/>
      <c r="I563" s="31" t="n"/>
      <c r="J563" s="31" t="n"/>
      <c r="K563" s="31">
        <f>IF(COUNTA($D563:$J563)&lt;7,"",ROUND(MIN(10000, MAX(0, ((((($D563*1.2)+($E563*1.2)+($F563*1.1)+($G563*1.0)+($H563*1.0)+($I563*1.1)+($J563*0.9))/7.5)-1)/4*8000 + MIN($B563*20,1000) + MIN($C563*100,1000))),0))</f>
        <v/>
      </c>
      <c r="L563" s="31">
        <f>IF($K563="","",MIN(100,INT(SQRT($K563))))</f>
        <v/>
      </c>
      <c r="M563" s="31" t="n"/>
      <c r="N563" s="31">
        <f>IF($M563="Yes",$K563,"")</f>
        <v/>
      </c>
      <c r="O563" s="31" t="n"/>
      <c r="P563" s="59" t="n"/>
      <c r="Q563" s="59" t="n"/>
    </row>
    <row r="564">
      <c r="A564" s="31">
        <f>IF(Members!$A564="","",Members!$A564)</f>
        <v/>
      </c>
      <c r="B564" s="31" t="n"/>
      <c r="C564" s="31" t="n"/>
      <c r="D564" s="31" t="n"/>
      <c r="E564" s="31" t="n"/>
      <c r="F564" s="31" t="n"/>
      <c r="G564" s="31" t="n"/>
      <c r="H564" s="31" t="n"/>
      <c r="I564" s="31" t="n"/>
      <c r="J564" s="31" t="n"/>
      <c r="K564" s="31">
        <f>IF(COUNTA($D564:$J564)&lt;7,"",ROUND(MIN(10000, MAX(0, ((((($D564*1.2)+($E564*1.2)+($F564*1.1)+($G564*1.0)+($H564*1.0)+($I564*1.1)+($J564*0.9))/7.5)-1)/4*8000 + MIN($B564*20,1000) + MIN($C564*100,1000))),0))</f>
        <v/>
      </c>
      <c r="L564" s="31">
        <f>IF($K564="","",MIN(100,INT(SQRT($K564))))</f>
        <v/>
      </c>
      <c r="M564" s="31" t="n"/>
      <c r="N564" s="31">
        <f>IF($M564="Yes",$K564,"")</f>
        <v/>
      </c>
      <c r="O564" s="31" t="n"/>
      <c r="P564" s="59" t="n"/>
      <c r="Q564" s="59" t="n"/>
    </row>
    <row r="565">
      <c r="A565" s="31">
        <f>IF(Members!$A565="","",Members!$A565)</f>
        <v/>
      </c>
      <c r="B565" s="31" t="n"/>
      <c r="C565" s="31" t="n"/>
      <c r="D565" s="31" t="n"/>
      <c r="E565" s="31" t="n"/>
      <c r="F565" s="31" t="n"/>
      <c r="G565" s="31" t="n"/>
      <c r="H565" s="31" t="n"/>
      <c r="I565" s="31" t="n"/>
      <c r="J565" s="31" t="n"/>
      <c r="K565" s="31">
        <f>IF(COUNTA($D565:$J565)&lt;7,"",ROUND(MIN(10000, MAX(0, ((((($D565*1.2)+($E565*1.2)+($F565*1.1)+($G565*1.0)+($H565*1.0)+($I565*1.1)+($J565*0.9))/7.5)-1)/4*8000 + MIN($B565*20,1000) + MIN($C565*100,1000))),0))</f>
        <v/>
      </c>
      <c r="L565" s="31">
        <f>IF($K565="","",MIN(100,INT(SQRT($K565))))</f>
        <v/>
      </c>
      <c r="M565" s="31" t="n"/>
      <c r="N565" s="31">
        <f>IF($M565="Yes",$K565,"")</f>
        <v/>
      </c>
      <c r="O565" s="31" t="n"/>
      <c r="P565" s="59" t="n"/>
      <c r="Q565" s="59" t="n"/>
    </row>
    <row r="566">
      <c r="A566" s="31">
        <f>IF(Members!$A566="","",Members!$A566)</f>
        <v/>
      </c>
      <c r="B566" s="31" t="n"/>
      <c r="C566" s="31" t="n"/>
      <c r="D566" s="31" t="n"/>
      <c r="E566" s="31" t="n"/>
      <c r="F566" s="31" t="n"/>
      <c r="G566" s="31" t="n"/>
      <c r="H566" s="31" t="n"/>
      <c r="I566" s="31" t="n"/>
      <c r="J566" s="31" t="n"/>
      <c r="K566" s="31">
        <f>IF(COUNTA($D566:$J566)&lt;7,"",ROUND(MIN(10000, MAX(0, ((((($D566*1.2)+($E566*1.2)+($F566*1.1)+($G566*1.0)+($H566*1.0)+($I566*1.1)+($J566*0.9))/7.5)-1)/4*8000 + MIN($B566*20,1000) + MIN($C566*100,1000))),0))</f>
        <v/>
      </c>
      <c r="L566" s="31">
        <f>IF($K566="","",MIN(100,INT(SQRT($K566))))</f>
        <v/>
      </c>
      <c r="M566" s="31" t="n"/>
      <c r="N566" s="31">
        <f>IF($M566="Yes",$K566,"")</f>
        <v/>
      </c>
      <c r="O566" s="31" t="n"/>
      <c r="P566" s="59" t="n"/>
      <c r="Q566" s="59" t="n"/>
    </row>
    <row r="567">
      <c r="A567" s="31">
        <f>IF(Members!$A567="","",Members!$A567)</f>
        <v/>
      </c>
      <c r="B567" s="31" t="n"/>
      <c r="C567" s="31" t="n"/>
      <c r="D567" s="31" t="n"/>
      <c r="E567" s="31" t="n"/>
      <c r="F567" s="31" t="n"/>
      <c r="G567" s="31" t="n"/>
      <c r="H567" s="31" t="n"/>
      <c r="I567" s="31" t="n"/>
      <c r="J567" s="31" t="n"/>
      <c r="K567" s="31">
        <f>IF(COUNTA($D567:$J567)&lt;7,"",ROUND(MIN(10000, MAX(0, ((((($D567*1.2)+($E567*1.2)+($F567*1.1)+($G567*1.0)+($H567*1.0)+($I567*1.1)+($J567*0.9))/7.5)-1)/4*8000 + MIN($B567*20,1000) + MIN($C567*100,1000))),0))</f>
        <v/>
      </c>
      <c r="L567" s="31">
        <f>IF($K567="","",MIN(100,INT(SQRT($K567))))</f>
        <v/>
      </c>
      <c r="M567" s="31" t="n"/>
      <c r="N567" s="31">
        <f>IF($M567="Yes",$K567,"")</f>
        <v/>
      </c>
      <c r="O567" s="31" t="n"/>
      <c r="P567" s="59" t="n"/>
      <c r="Q567" s="59" t="n"/>
    </row>
    <row r="568">
      <c r="A568" s="31">
        <f>IF(Members!$A568="","",Members!$A568)</f>
        <v/>
      </c>
      <c r="B568" s="31" t="n"/>
      <c r="C568" s="31" t="n"/>
      <c r="D568" s="31" t="n"/>
      <c r="E568" s="31" t="n"/>
      <c r="F568" s="31" t="n"/>
      <c r="G568" s="31" t="n"/>
      <c r="H568" s="31" t="n"/>
      <c r="I568" s="31" t="n"/>
      <c r="J568" s="31" t="n"/>
      <c r="K568" s="31">
        <f>IF(COUNTA($D568:$J568)&lt;7,"",ROUND(MIN(10000, MAX(0, ((((($D568*1.2)+($E568*1.2)+($F568*1.1)+($G568*1.0)+($H568*1.0)+($I568*1.1)+($J568*0.9))/7.5)-1)/4*8000 + MIN($B568*20,1000) + MIN($C568*100,1000))),0))</f>
        <v/>
      </c>
      <c r="L568" s="31">
        <f>IF($K568="","",MIN(100,INT(SQRT($K568))))</f>
        <v/>
      </c>
      <c r="M568" s="31" t="n"/>
      <c r="N568" s="31">
        <f>IF($M568="Yes",$K568,"")</f>
        <v/>
      </c>
      <c r="O568" s="31" t="n"/>
      <c r="P568" s="59" t="n"/>
      <c r="Q568" s="59" t="n"/>
    </row>
    <row r="569">
      <c r="A569" s="31">
        <f>IF(Members!$A569="","",Members!$A569)</f>
        <v/>
      </c>
      <c r="B569" s="31" t="n"/>
      <c r="C569" s="31" t="n"/>
      <c r="D569" s="31" t="n"/>
      <c r="E569" s="31" t="n"/>
      <c r="F569" s="31" t="n"/>
      <c r="G569" s="31" t="n"/>
      <c r="H569" s="31" t="n"/>
      <c r="I569" s="31" t="n"/>
      <c r="J569" s="31" t="n"/>
      <c r="K569" s="31">
        <f>IF(COUNTA($D569:$J569)&lt;7,"",ROUND(MIN(10000, MAX(0, ((((($D569*1.2)+($E569*1.2)+($F569*1.1)+($G569*1.0)+($H569*1.0)+($I569*1.1)+($J569*0.9))/7.5)-1)/4*8000 + MIN($B569*20,1000) + MIN($C569*100,1000))),0))</f>
        <v/>
      </c>
      <c r="L569" s="31">
        <f>IF($K569="","",MIN(100,INT(SQRT($K569))))</f>
        <v/>
      </c>
      <c r="M569" s="31" t="n"/>
      <c r="N569" s="31">
        <f>IF($M569="Yes",$K569,"")</f>
        <v/>
      </c>
      <c r="O569" s="31" t="n"/>
      <c r="P569" s="59" t="n"/>
      <c r="Q569" s="59" t="n"/>
    </row>
    <row r="570">
      <c r="A570" s="31">
        <f>IF(Members!$A570="","",Members!$A570)</f>
        <v/>
      </c>
      <c r="B570" s="31" t="n"/>
      <c r="C570" s="31" t="n"/>
      <c r="D570" s="31" t="n"/>
      <c r="E570" s="31" t="n"/>
      <c r="F570" s="31" t="n"/>
      <c r="G570" s="31" t="n"/>
      <c r="H570" s="31" t="n"/>
      <c r="I570" s="31" t="n"/>
      <c r="J570" s="31" t="n"/>
      <c r="K570" s="31">
        <f>IF(COUNTA($D570:$J570)&lt;7,"",ROUND(MIN(10000, MAX(0, ((((($D570*1.2)+($E570*1.2)+($F570*1.1)+($G570*1.0)+($H570*1.0)+($I570*1.1)+($J570*0.9))/7.5)-1)/4*8000 + MIN($B570*20,1000) + MIN($C570*100,1000))),0))</f>
        <v/>
      </c>
      <c r="L570" s="31">
        <f>IF($K570="","",MIN(100,INT(SQRT($K570))))</f>
        <v/>
      </c>
      <c r="M570" s="31" t="n"/>
      <c r="N570" s="31">
        <f>IF($M570="Yes",$K570,"")</f>
        <v/>
      </c>
      <c r="O570" s="31" t="n"/>
      <c r="P570" s="59" t="n"/>
      <c r="Q570" s="59" t="n"/>
    </row>
    <row r="571">
      <c r="A571" s="31">
        <f>IF(Members!$A571="","",Members!$A571)</f>
        <v/>
      </c>
      <c r="B571" s="31" t="n"/>
      <c r="C571" s="31" t="n"/>
      <c r="D571" s="31" t="n"/>
      <c r="E571" s="31" t="n"/>
      <c r="F571" s="31" t="n"/>
      <c r="G571" s="31" t="n"/>
      <c r="H571" s="31" t="n"/>
      <c r="I571" s="31" t="n"/>
      <c r="J571" s="31" t="n"/>
      <c r="K571" s="31">
        <f>IF(COUNTA($D571:$J571)&lt;7,"",ROUND(MIN(10000, MAX(0, ((((($D571*1.2)+($E571*1.2)+($F571*1.1)+($G571*1.0)+($H571*1.0)+($I571*1.1)+($J571*0.9))/7.5)-1)/4*8000 + MIN($B571*20,1000) + MIN($C571*100,1000))),0))</f>
        <v/>
      </c>
      <c r="L571" s="31">
        <f>IF($K571="","",MIN(100,INT(SQRT($K571))))</f>
        <v/>
      </c>
      <c r="M571" s="31" t="n"/>
      <c r="N571" s="31">
        <f>IF($M571="Yes",$K571,"")</f>
        <v/>
      </c>
      <c r="O571" s="31" t="n"/>
      <c r="P571" s="59" t="n"/>
      <c r="Q571" s="59" t="n"/>
    </row>
    <row r="572">
      <c r="A572" s="31">
        <f>IF(Members!$A572="","",Members!$A572)</f>
        <v/>
      </c>
      <c r="B572" s="31" t="n"/>
      <c r="C572" s="31" t="n"/>
      <c r="D572" s="31" t="n"/>
      <c r="E572" s="31" t="n"/>
      <c r="F572" s="31" t="n"/>
      <c r="G572" s="31" t="n"/>
      <c r="H572" s="31" t="n"/>
      <c r="I572" s="31" t="n"/>
      <c r="J572" s="31" t="n"/>
      <c r="K572" s="31">
        <f>IF(COUNTA($D572:$J572)&lt;7,"",ROUND(MIN(10000, MAX(0, ((((($D572*1.2)+($E572*1.2)+($F572*1.1)+($G572*1.0)+($H572*1.0)+($I572*1.1)+($J572*0.9))/7.5)-1)/4*8000 + MIN($B572*20,1000) + MIN($C572*100,1000))),0))</f>
        <v/>
      </c>
      <c r="L572" s="31">
        <f>IF($K572="","",MIN(100,INT(SQRT($K572))))</f>
        <v/>
      </c>
      <c r="M572" s="31" t="n"/>
      <c r="N572" s="31">
        <f>IF($M572="Yes",$K572,"")</f>
        <v/>
      </c>
      <c r="O572" s="31" t="n"/>
      <c r="P572" s="59" t="n"/>
      <c r="Q572" s="59" t="n"/>
    </row>
    <row r="573">
      <c r="A573" s="31">
        <f>IF(Members!$A573="","",Members!$A573)</f>
        <v/>
      </c>
      <c r="B573" s="31" t="n"/>
      <c r="C573" s="31" t="n"/>
      <c r="D573" s="31" t="n"/>
      <c r="E573" s="31" t="n"/>
      <c r="F573" s="31" t="n"/>
      <c r="G573" s="31" t="n"/>
      <c r="H573" s="31" t="n"/>
      <c r="I573" s="31" t="n"/>
      <c r="J573" s="31" t="n"/>
      <c r="K573" s="31">
        <f>IF(COUNTA($D573:$J573)&lt;7,"",ROUND(MIN(10000, MAX(0, ((((($D573*1.2)+($E573*1.2)+($F573*1.1)+($G573*1.0)+($H573*1.0)+($I573*1.1)+($J573*0.9))/7.5)-1)/4*8000 + MIN($B573*20,1000) + MIN($C573*100,1000))),0))</f>
        <v/>
      </c>
      <c r="L573" s="31">
        <f>IF($K573="","",MIN(100,INT(SQRT($K573))))</f>
        <v/>
      </c>
      <c r="M573" s="31" t="n"/>
      <c r="N573" s="31">
        <f>IF($M573="Yes",$K573,"")</f>
        <v/>
      </c>
      <c r="O573" s="31" t="n"/>
      <c r="P573" s="59" t="n"/>
      <c r="Q573" s="59" t="n"/>
    </row>
    <row r="574">
      <c r="A574" s="31">
        <f>IF(Members!$A574="","",Members!$A574)</f>
        <v/>
      </c>
      <c r="B574" s="31" t="n"/>
      <c r="C574" s="31" t="n"/>
      <c r="D574" s="31" t="n"/>
      <c r="E574" s="31" t="n"/>
      <c r="F574" s="31" t="n"/>
      <c r="G574" s="31" t="n"/>
      <c r="H574" s="31" t="n"/>
      <c r="I574" s="31" t="n"/>
      <c r="J574" s="31" t="n"/>
      <c r="K574" s="31">
        <f>IF(COUNTA($D574:$J574)&lt;7,"",ROUND(MIN(10000, MAX(0, ((((($D574*1.2)+($E574*1.2)+($F574*1.1)+($G574*1.0)+($H574*1.0)+($I574*1.1)+($J574*0.9))/7.5)-1)/4*8000 + MIN($B574*20,1000) + MIN($C574*100,1000))),0))</f>
        <v/>
      </c>
      <c r="L574" s="31">
        <f>IF($K574="","",MIN(100,INT(SQRT($K574))))</f>
        <v/>
      </c>
      <c r="M574" s="31" t="n"/>
      <c r="N574" s="31">
        <f>IF($M574="Yes",$K574,"")</f>
        <v/>
      </c>
      <c r="O574" s="31" t="n"/>
      <c r="P574" s="59" t="n"/>
      <c r="Q574" s="59" t="n"/>
    </row>
    <row r="575">
      <c r="A575" s="31">
        <f>IF(Members!$A575="","",Members!$A575)</f>
        <v/>
      </c>
      <c r="B575" s="31" t="n"/>
      <c r="C575" s="31" t="n"/>
      <c r="D575" s="31" t="n"/>
      <c r="E575" s="31" t="n"/>
      <c r="F575" s="31" t="n"/>
      <c r="G575" s="31" t="n"/>
      <c r="H575" s="31" t="n"/>
      <c r="I575" s="31" t="n"/>
      <c r="J575" s="31" t="n"/>
      <c r="K575" s="31">
        <f>IF(COUNTA($D575:$J575)&lt;7,"",ROUND(MIN(10000, MAX(0, ((((($D575*1.2)+($E575*1.2)+($F575*1.1)+($G575*1.0)+($H575*1.0)+($I575*1.1)+($J575*0.9))/7.5)-1)/4*8000 + MIN($B575*20,1000) + MIN($C575*100,1000))),0))</f>
        <v/>
      </c>
      <c r="L575" s="31">
        <f>IF($K575="","",MIN(100,INT(SQRT($K575))))</f>
        <v/>
      </c>
      <c r="M575" s="31" t="n"/>
      <c r="N575" s="31">
        <f>IF($M575="Yes",$K575,"")</f>
        <v/>
      </c>
      <c r="O575" s="31" t="n"/>
      <c r="P575" s="59" t="n"/>
      <c r="Q575" s="59" t="n"/>
    </row>
    <row r="576">
      <c r="A576" s="31">
        <f>IF(Members!$A576="","",Members!$A576)</f>
        <v/>
      </c>
      <c r="B576" s="31" t="n"/>
      <c r="C576" s="31" t="n"/>
      <c r="D576" s="31" t="n"/>
      <c r="E576" s="31" t="n"/>
      <c r="F576" s="31" t="n"/>
      <c r="G576" s="31" t="n"/>
      <c r="H576" s="31" t="n"/>
      <c r="I576" s="31" t="n"/>
      <c r="J576" s="31" t="n"/>
      <c r="K576" s="31">
        <f>IF(COUNTA($D576:$J576)&lt;7,"",ROUND(MIN(10000, MAX(0, ((((($D576*1.2)+($E576*1.2)+($F576*1.1)+($G576*1.0)+($H576*1.0)+($I576*1.1)+($J576*0.9))/7.5)-1)/4*8000 + MIN($B576*20,1000) + MIN($C576*100,1000))),0))</f>
        <v/>
      </c>
      <c r="L576" s="31">
        <f>IF($K576="","",MIN(100,INT(SQRT($K576))))</f>
        <v/>
      </c>
      <c r="M576" s="31" t="n"/>
      <c r="N576" s="31">
        <f>IF($M576="Yes",$K576,"")</f>
        <v/>
      </c>
      <c r="O576" s="31" t="n"/>
      <c r="P576" s="59" t="n"/>
      <c r="Q576" s="59" t="n"/>
    </row>
    <row r="577">
      <c r="A577" s="31">
        <f>IF(Members!$A577="","",Members!$A577)</f>
        <v/>
      </c>
      <c r="B577" s="31" t="n"/>
      <c r="C577" s="31" t="n"/>
      <c r="D577" s="31" t="n"/>
      <c r="E577" s="31" t="n"/>
      <c r="F577" s="31" t="n"/>
      <c r="G577" s="31" t="n"/>
      <c r="H577" s="31" t="n"/>
      <c r="I577" s="31" t="n"/>
      <c r="J577" s="31" t="n"/>
      <c r="K577" s="31">
        <f>IF(COUNTA($D577:$J577)&lt;7,"",ROUND(MIN(10000, MAX(0, ((((($D577*1.2)+($E577*1.2)+($F577*1.1)+($G577*1.0)+($H577*1.0)+($I577*1.1)+($J577*0.9))/7.5)-1)/4*8000 + MIN($B577*20,1000) + MIN($C577*100,1000))),0))</f>
        <v/>
      </c>
      <c r="L577" s="31">
        <f>IF($K577="","",MIN(100,INT(SQRT($K577))))</f>
        <v/>
      </c>
      <c r="M577" s="31" t="n"/>
      <c r="N577" s="31">
        <f>IF($M577="Yes",$K577,"")</f>
        <v/>
      </c>
      <c r="O577" s="31" t="n"/>
      <c r="P577" s="59" t="n"/>
      <c r="Q577" s="59" t="n"/>
    </row>
    <row r="578">
      <c r="A578" s="31">
        <f>IF(Members!$A578="","",Members!$A578)</f>
        <v/>
      </c>
      <c r="B578" s="31" t="n"/>
      <c r="C578" s="31" t="n"/>
      <c r="D578" s="31" t="n"/>
      <c r="E578" s="31" t="n"/>
      <c r="F578" s="31" t="n"/>
      <c r="G578" s="31" t="n"/>
      <c r="H578" s="31" t="n"/>
      <c r="I578" s="31" t="n"/>
      <c r="J578" s="31" t="n"/>
      <c r="K578" s="31">
        <f>IF(COUNTA($D578:$J578)&lt;7,"",ROUND(MIN(10000, MAX(0, ((((($D578*1.2)+($E578*1.2)+($F578*1.1)+($G578*1.0)+($H578*1.0)+($I578*1.1)+($J578*0.9))/7.5)-1)/4*8000 + MIN($B578*20,1000) + MIN($C578*100,1000))),0))</f>
        <v/>
      </c>
      <c r="L578" s="31">
        <f>IF($K578="","",MIN(100,INT(SQRT($K578))))</f>
        <v/>
      </c>
      <c r="M578" s="31" t="n"/>
      <c r="N578" s="31">
        <f>IF($M578="Yes",$K578,"")</f>
        <v/>
      </c>
      <c r="O578" s="31" t="n"/>
      <c r="P578" s="59" t="n"/>
      <c r="Q578" s="59" t="n"/>
    </row>
    <row r="579">
      <c r="A579" s="31">
        <f>IF(Members!$A579="","",Members!$A579)</f>
        <v/>
      </c>
      <c r="B579" s="31" t="n"/>
      <c r="C579" s="31" t="n"/>
      <c r="D579" s="31" t="n"/>
      <c r="E579" s="31" t="n"/>
      <c r="F579" s="31" t="n"/>
      <c r="G579" s="31" t="n"/>
      <c r="H579" s="31" t="n"/>
      <c r="I579" s="31" t="n"/>
      <c r="J579" s="31" t="n"/>
      <c r="K579" s="31">
        <f>IF(COUNTA($D579:$J579)&lt;7,"",ROUND(MIN(10000, MAX(0, ((((($D579*1.2)+($E579*1.2)+($F579*1.1)+($G579*1.0)+($H579*1.0)+($I579*1.1)+($J579*0.9))/7.5)-1)/4*8000 + MIN($B579*20,1000) + MIN($C579*100,1000))),0))</f>
        <v/>
      </c>
      <c r="L579" s="31">
        <f>IF($K579="","",MIN(100,INT(SQRT($K579))))</f>
        <v/>
      </c>
      <c r="M579" s="31" t="n"/>
      <c r="N579" s="31">
        <f>IF($M579="Yes",$K579,"")</f>
        <v/>
      </c>
      <c r="O579" s="31" t="n"/>
      <c r="P579" s="59" t="n"/>
      <c r="Q579" s="59" t="n"/>
    </row>
    <row r="580">
      <c r="A580" s="31">
        <f>IF(Members!$A580="","",Members!$A580)</f>
        <v/>
      </c>
      <c r="B580" s="31" t="n"/>
      <c r="C580" s="31" t="n"/>
      <c r="D580" s="31" t="n"/>
      <c r="E580" s="31" t="n"/>
      <c r="F580" s="31" t="n"/>
      <c r="G580" s="31" t="n"/>
      <c r="H580" s="31" t="n"/>
      <c r="I580" s="31" t="n"/>
      <c r="J580" s="31" t="n"/>
      <c r="K580" s="31">
        <f>IF(COUNTA($D580:$J580)&lt;7,"",ROUND(MIN(10000, MAX(0, ((((($D580*1.2)+($E580*1.2)+($F580*1.1)+($G580*1.0)+($H580*1.0)+($I580*1.1)+($J580*0.9))/7.5)-1)/4*8000 + MIN($B580*20,1000) + MIN($C580*100,1000))),0))</f>
        <v/>
      </c>
      <c r="L580" s="31">
        <f>IF($K580="","",MIN(100,INT(SQRT($K580))))</f>
        <v/>
      </c>
      <c r="M580" s="31" t="n"/>
      <c r="N580" s="31">
        <f>IF($M580="Yes",$K580,"")</f>
        <v/>
      </c>
      <c r="O580" s="31" t="n"/>
      <c r="P580" s="59" t="n"/>
      <c r="Q580" s="59" t="n"/>
    </row>
    <row r="581">
      <c r="A581" s="31">
        <f>IF(Members!$A581="","",Members!$A581)</f>
        <v/>
      </c>
      <c r="B581" s="31" t="n"/>
      <c r="C581" s="31" t="n"/>
      <c r="D581" s="31" t="n"/>
      <c r="E581" s="31" t="n"/>
      <c r="F581" s="31" t="n"/>
      <c r="G581" s="31" t="n"/>
      <c r="H581" s="31" t="n"/>
      <c r="I581" s="31" t="n"/>
      <c r="J581" s="31" t="n"/>
      <c r="K581" s="31">
        <f>IF(COUNTA($D581:$J581)&lt;7,"",ROUND(MIN(10000, MAX(0, ((((($D581*1.2)+($E581*1.2)+($F581*1.1)+($G581*1.0)+($H581*1.0)+($I581*1.1)+($J581*0.9))/7.5)-1)/4*8000 + MIN($B581*20,1000) + MIN($C581*100,1000))),0))</f>
        <v/>
      </c>
      <c r="L581" s="31">
        <f>IF($K581="","",MIN(100,INT(SQRT($K581))))</f>
        <v/>
      </c>
      <c r="M581" s="31" t="n"/>
      <c r="N581" s="31">
        <f>IF($M581="Yes",$K581,"")</f>
        <v/>
      </c>
      <c r="O581" s="31" t="n"/>
      <c r="P581" s="59" t="n"/>
      <c r="Q581" s="59" t="n"/>
    </row>
    <row r="582">
      <c r="A582" s="31">
        <f>IF(Members!$A582="","",Members!$A582)</f>
        <v/>
      </c>
      <c r="B582" s="31" t="n"/>
      <c r="C582" s="31" t="n"/>
      <c r="D582" s="31" t="n"/>
      <c r="E582" s="31" t="n"/>
      <c r="F582" s="31" t="n"/>
      <c r="G582" s="31" t="n"/>
      <c r="H582" s="31" t="n"/>
      <c r="I582" s="31" t="n"/>
      <c r="J582" s="31" t="n"/>
      <c r="K582" s="31">
        <f>IF(COUNTA($D582:$J582)&lt;7,"",ROUND(MIN(10000, MAX(0, ((((($D582*1.2)+($E582*1.2)+($F582*1.1)+($G582*1.0)+($H582*1.0)+($I582*1.1)+($J582*0.9))/7.5)-1)/4*8000 + MIN($B582*20,1000) + MIN($C582*100,1000))),0))</f>
        <v/>
      </c>
      <c r="L582" s="31">
        <f>IF($K582="","",MIN(100,INT(SQRT($K582))))</f>
        <v/>
      </c>
      <c r="M582" s="31" t="n"/>
      <c r="N582" s="31">
        <f>IF($M582="Yes",$K582,"")</f>
        <v/>
      </c>
      <c r="O582" s="31" t="n"/>
      <c r="P582" s="59" t="n"/>
      <c r="Q582" s="59" t="n"/>
    </row>
    <row r="583">
      <c r="A583" s="31">
        <f>IF(Members!$A583="","",Members!$A583)</f>
        <v/>
      </c>
      <c r="B583" s="31" t="n"/>
      <c r="C583" s="31" t="n"/>
      <c r="D583" s="31" t="n"/>
      <c r="E583" s="31" t="n"/>
      <c r="F583" s="31" t="n"/>
      <c r="G583" s="31" t="n"/>
      <c r="H583" s="31" t="n"/>
      <c r="I583" s="31" t="n"/>
      <c r="J583" s="31" t="n"/>
      <c r="K583" s="31">
        <f>IF(COUNTA($D583:$J583)&lt;7,"",ROUND(MIN(10000, MAX(0, ((((($D583*1.2)+($E583*1.2)+($F583*1.1)+($G583*1.0)+($H583*1.0)+($I583*1.1)+($J583*0.9))/7.5)-1)/4*8000 + MIN($B583*20,1000) + MIN($C583*100,1000))),0))</f>
        <v/>
      </c>
      <c r="L583" s="31">
        <f>IF($K583="","",MIN(100,INT(SQRT($K583))))</f>
        <v/>
      </c>
      <c r="M583" s="31" t="n"/>
      <c r="N583" s="31">
        <f>IF($M583="Yes",$K583,"")</f>
        <v/>
      </c>
      <c r="O583" s="31" t="n"/>
      <c r="P583" s="59" t="n"/>
      <c r="Q583" s="59" t="n"/>
    </row>
    <row r="584">
      <c r="A584" s="31">
        <f>IF(Members!$A584="","",Members!$A584)</f>
        <v/>
      </c>
      <c r="B584" s="31" t="n"/>
      <c r="C584" s="31" t="n"/>
      <c r="D584" s="31" t="n"/>
      <c r="E584" s="31" t="n"/>
      <c r="F584" s="31" t="n"/>
      <c r="G584" s="31" t="n"/>
      <c r="H584" s="31" t="n"/>
      <c r="I584" s="31" t="n"/>
      <c r="J584" s="31" t="n"/>
      <c r="K584" s="31">
        <f>IF(COUNTA($D584:$J584)&lt;7,"",ROUND(MIN(10000, MAX(0, ((((($D584*1.2)+($E584*1.2)+($F584*1.1)+($G584*1.0)+($H584*1.0)+($I584*1.1)+($J584*0.9))/7.5)-1)/4*8000 + MIN($B584*20,1000) + MIN($C584*100,1000))),0))</f>
        <v/>
      </c>
      <c r="L584" s="31">
        <f>IF($K584="","",MIN(100,INT(SQRT($K584))))</f>
        <v/>
      </c>
      <c r="M584" s="31" t="n"/>
      <c r="N584" s="31">
        <f>IF($M584="Yes",$K584,"")</f>
        <v/>
      </c>
      <c r="O584" s="31" t="n"/>
      <c r="P584" s="59" t="n"/>
      <c r="Q584" s="59" t="n"/>
    </row>
    <row r="585">
      <c r="A585" s="31">
        <f>IF(Members!$A585="","",Members!$A585)</f>
        <v/>
      </c>
      <c r="B585" s="31" t="n"/>
      <c r="C585" s="31" t="n"/>
      <c r="D585" s="31" t="n"/>
      <c r="E585" s="31" t="n"/>
      <c r="F585" s="31" t="n"/>
      <c r="G585" s="31" t="n"/>
      <c r="H585" s="31" t="n"/>
      <c r="I585" s="31" t="n"/>
      <c r="J585" s="31" t="n"/>
      <c r="K585" s="31">
        <f>IF(COUNTA($D585:$J585)&lt;7,"",ROUND(MIN(10000, MAX(0, ((((($D585*1.2)+($E585*1.2)+($F585*1.1)+($G585*1.0)+($H585*1.0)+($I585*1.1)+($J585*0.9))/7.5)-1)/4*8000 + MIN($B585*20,1000) + MIN($C585*100,1000))),0))</f>
        <v/>
      </c>
      <c r="L585" s="31">
        <f>IF($K585="","",MIN(100,INT(SQRT($K585))))</f>
        <v/>
      </c>
      <c r="M585" s="31" t="n"/>
      <c r="N585" s="31">
        <f>IF($M585="Yes",$K585,"")</f>
        <v/>
      </c>
      <c r="O585" s="31" t="n"/>
      <c r="P585" s="59" t="n"/>
      <c r="Q585" s="59" t="n"/>
    </row>
    <row r="586">
      <c r="A586" s="31">
        <f>IF(Members!$A586="","",Members!$A586)</f>
        <v/>
      </c>
      <c r="B586" s="31" t="n"/>
      <c r="C586" s="31" t="n"/>
      <c r="D586" s="31" t="n"/>
      <c r="E586" s="31" t="n"/>
      <c r="F586" s="31" t="n"/>
      <c r="G586" s="31" t="n"/>
      <c r="H586" s="31" t="n"/>
      <c r="I586" s="31" t="n"/>
      <c r="J586" s="31" t="n"/>
      <c r="K586" s="31">
        <f>IF(COUNTA($D586:$J586)&lt;7,"",ROUND(MIN(10000, MAX(0, ((((($D586*1.2)+($E586*1.2)+($F586*1.1)+($G586*1.0)+($H586*1.0)+($I586*1.1)+($J586*0.9))/7.5)-1)/4*8000 + MIN($B586*20,1000) + MIN($C586*100,1000))),0))</f>
        <v/>
      </c>
      <c r="L586" s="31">
        <f>IF($K586="","",MIN(100,INT(SQRT($K586))))</f>
        <v/>
      </c>
      <c r="M586" s="31" t="n"/>
      <c r="N586" s="31">
        <f>IF($M586="Yes",$K586,"")</f>
        <v/>
      </c>
      <c r="O586" s="31" t="n"/>
      <c r="P586" s="59" t="n"/>
      <c r="Q586" s="59" t="n"/>
    </row>
    <row r="587">
      <c r="A587" s="31">
        <f>IF(Members!$A587="","",Members!$A587)</f>
        <v/>
      </c>
      <c r="B587" s="31" t="n"/>
      <c r="C587" s="31" t="n"/>
      <c r="D587" s="31" t="n"/>
      <c r="E587" s="31" t="n"/>
      <c r="F587" s="31" t="n"/>
      <c r="G587" s="31" t="n"/>
      <c r="H587" s="31" t="n"/>
      <c r="I587" s="31" t="n"/>
      <c r="J587" s="31" t="n"/>
      <c r="K587" s="31">
        <f>IF(COUNTA($D587:$J587)&lt;7,"",ROUND(MIN(10000, MAX(0, ((((($D587*1.2)+($E587*1.2)+($F587*1.1)+($G587*1.0)+($H587*1.0)+($I587*1.1)+($J587*0.9))/7.5)-1)/4*8000 + MIN($B587*20,1000) + MIN($C587*100,1000))),0))</f>
        <v/>
      </c>
      <c r="L587" s="31">
        <f>IF($K587="","",MIN(100,INT(SQRT($K587))))</f>
        <v/>
      </c>
      <c r="M587" s="31" t="n"/>
      <c r="N587" s="31">
        <f>IF($M587="Yes",$K587,"")</f>
        <v/>
      </c>
      <c r="O587" s="31" t="n"/>
      <c r="P587" s="59" t="n"/>
      <c r="Q587" s="59" t="n"/>
    </row>
    <row r="588">
      <c r="A588" s="31">
        <f>IF(Members!$A588="","",Members!$A588)</f>
        <v/>
      </c>
      <c r="B588" s="31" t="n"/>
      <c r="C588" s="31" t="n"/>
      <c r="D588" s="31" t="n"/>
      <c r="E588" s="31" t="n"/>
      <c r="F588" s="31" t="n"/>
      <c r="G588" s="31" t="n"/>
      <c r="H588" s="31" t="n"/>
      <c r="I588" s="31" t="n"/>
      <c r="J588" s="31" t="n"/>
      <c r="K588" s="31">
        <f>IF(COUNTA($D588:$J588)&lt;7,"",ROUND(MIN(10000, MAX(0, ((((($D588*1.2)+($E588*1.2)+($F588*1.1)+($G588*1.0)+($H588*1.0)+($I588*1.1)+($J588*0.9))/7.5)-1)/4*8000 + MIN($B588*20,1000) + MIN($C588*100,1000))),0))</f>
        <v/>
      </c>
      <c r="L588" s="31">
        <f>IF($K588="","",MIN(100,INT(SQRT($K588))))</f>
        <v/>
      </c>
      <c r="M588" s="31" t="n"/>
      <c r="N588" s="31">
        <f>IF($M588="Yes",$K588,"")</f>
        <v/>
      </c>
      <c r="O588" s="31" t="n"/>
      <c r="P588" s="59" t="n"/>
      <c r="Q588" s="59" t="n"/>
    </row>
    <row r="589">
      <c r="A589" s="31">
        <f>IF(Members!$A589="","",Members!$A589)</f>
        <v/>
      </c>
      <c r="B589" s="31" t="n"/>
      <c r="C589" s="31" t="n"/>
      <c r="D589" s="31" t="n"/>
      <c r="E589" s="31" t="n"/>
      <c r="F589" s="31" t="n"/>
      <c r="G589" s="31" t="n"/>
      <c r="H589" s="31" t="n"/>
      <c r="I589" s="31" t="n"/>
      <c r="J589" s="31" t="n"/>
      <c r="K589" s="31">
        <f>IF(COUNTA($D589:$J589)&lt;7,"",ROUND(MIN(10000, MAX(0, ((((($D589*1.2)+($E589*1.2)+($F589*1.1)+($G589*1.0)+($H589*1.0)+($I589*1.1)+($J589*0.9))/7.5)-1)/4*8000 + MIN($B589*20,1000) + MIN($C589*100,1000))),0))</f>
        <v/>
      </c>
      <c r="L589" s="31">
        <f>IF($K589="","",MIN(100,INT(SQRT($K589))))</f>
        <v/>
      </c>
      <c r="M589" s="31" t="n"/>
      <c r="N589" s="31">
        <f>IF($M589="Yes",$K589,"")</f>
        <v/>
      </c>
      <c r="O589" s="31" t="n"/>
      <c r="P589" s="59" t="n"/>
      <c r="Q589" s="59" t="n"/>
    </row>
    <row r="590">
      <c r="A590" s="31">
        <f>IF(Members!$A590="","",Members!$A590)</f>
        <v/>
      </c>
      <c r="B590" s="31" t="n"/>
      <c r="C590" s="31" t="n"/>
      <c r="D590" s="31" t="n"/>
      <c r="E590" s="31" t="n"/>
      <c r="F590" s="31" t="n"/>
      <c r="G590" s="31" t="n"/>
      <c r="H590" s="31" t="n"/>
      <c r="I590" s="31" t="n"/>
      <c r="J590" s="31" t="n"/>
      <c r="K590" s="31">
        <f>IF(COUNTA($D590:$J590)&lt;7,"",ROUND(MIN(10000, MAX(0, ((((($D590*1.2)+($E590*1.2)+($F590*1.1)+($G590*1.0)+($H590*1.0)+($I590*1.1)+($J590*0.9))/7.5)-1)/4*8000 + MIN($B590*20,1000) + MIN($C590*100,1000))),0))</f>
        <v/>
      </c>
      <c r="L590" s="31">
        <f>IF($K590="","",MIN(100,INT(SQRT($K590))))</f>
        <v/>
      </c>
      <c r="M590" s="31" t="n"/>
      <c r="N590" s="31">
        <f>IF($M590="Yes",$K590,"")</f>
        <v/>
      </c>
      <c r="O590" s="31" t="n"/>
      <c r="P590" s="59" t="n"/>
      <c r="Q590" s="59" t="n"/>
    </row>
    <row r="591">
      <c r="A591" s="31">
        <f>IF(Members!$A591="","",Members!$A591)</f>
        <v/>
      </c>
      <c r="B591" s="31" t="n"/>
      <c r="C591" s="31" t="n"/>
      <c r="D591" s="31" t="n"/>
      <c r="E591" s="31" t="n"/>
      <c r="F591" s="31" t="n"/>
      <c r="G591" s="31" t="n"/>
      <c r="H591" s="31" t="n"/>
      <c r="I591" s="31" t="n"/>
      <c r="J591" s="31" t="n"/>
      <c r="K591" s="31">
        <f>IF(COUNTA($D591:$J591)&lt;7,"",ROUND(MIN(10000, MAX(0, ((((($D591*1.2)+($E591*1.2)+($F591*1.1)+($G591*1.0)+($H591*1.0)+($I591*1.1)+($J591*0.9))/7.5)-1)/4*8000 + MIN($B591*20,1000) + MIN($C591*100,1000))),0))</f>
        <v/>
      </c>
      <c r="L591" s="31">
        <f>IF($K591="","",MIN(100,INT(SQRT($K591))))</f>
        <v/>
      </c>
      <c r="M591" s="31" t="n"/>
      <c r="N591" s="31">
        <f>IF($M591="Yes",$K591,"")</f>
        <v/>
      </c>
      <c r="O591" s="31" t="n"/>
      <c r="P591" s="59" t="n"/>
      <c r="Q591" s="59" t="n"/>
    </row>
    <row r="592">
      <c r="A592" s="31">
        <f>IF(Members!$A592="","",Members!$A592)</f>
        <v/>
      </c>
      <c r="B592" s="31" t="n"/>
      <c r="C592" s="31" t="n"/>
      <c r="D592" s="31" t="n"/>
      <c r="E592" s="31" t="n"/>
      <c r="F592" s="31" t="n"/>
      <c r="G592" s="31" t="n"/>
      <c r="H592" s="31" t="n"/>
      <c r="I592" s="31" t="n"/>
      <c r="J592" s="31" t="n"/>
      <c r="K592" s="31">
        <f>IF(COUNTA($D592:$J592)&lt;7,"",ROUND(MIN(10000, MAX(0, ((((($D592*1.2)+($E592*1.2)+($F592*1.1)+($G592*1.0)+($H592*1.0)+($I592*1.1)+($J592*0.9))/7.5)-1)/4*8000 + MIN($B592*20,1000) + MIN($C592*100,1000))),0))</f>
        <v/>
      </c>
      <c r="L592" s="31">
        <f>IF($K592="","",MIN(100,INT(SQRT($K592))))</f>
        <v/>
      </c>
      <c r="M592" s="31" t="n"/>
      <c r="N592" s="31">
        <f>IF($M592="Yes",$K592,"")</f>
        <v/>
      </c>
      <c r="O592" s="31" t="n"/>
      <c r="P592" s="59" t="n"/>
      <c r="Q592" s="59" t="n"/>
    </row>
    <row r="593">
      <c r="A593" s="31">
        <f>IF(Members!$A593="","",Members!$A593)</f>
        <v/>
      </c>
      <c r="B593" s="31" t="n"/>
      <c r="C593" s="31" t="n"/>
      <c r="D593" s="31" t="n"/>
      <c r="E593" s="31" t="n"/>
      <c r="F593" s="31" t="n"/>
      <c r="G593" s="31" t="n"/>
      <c r="H593" s="31" t="n"/>
      <c r="I593" s="31" t="n"/>
      <c r="J593" s="31" t="n"/>
      <c r="K593" s="31">
        <f>IF(COUNTA($D593:$J593)&lt;7,"",ROUND(MIN(10000, MAX(0, ((((($D593*1.2)+($E593*1.2)+($F593*1.1)+($G593*1.0)+($H593*1.0)+($I593*1.1)+($J593*0.9))/7.5)-1)/4*8000 + MIN($B593*20,1000) + MIN($C593*100,1000))),0))</f>
        <v/>
      </c>
      <c r="L593" s="31">
        <f>IF($K593="","",MIN(100,INT(SQRT($K593))))</f>
        <v/>
      </c>
      <c r="M593" s="31" t="n"/>
      <c r="N593" s="31">
        <f>IF($M593="Yes",$K593,"")</f>
        <v/>
      </c>
      <c r="O593" s="31" t="n"/>
      <c r="P593" s="59" t="n"/>
      <c r="Q593" s="59" t="n"/>
    </row>
    <row r="594">
      <c r="A594" s="31">
        <f>IF(Members!$A594="","",Members!$A594)</f>
        <v/>
      </c>
      <c r="B594" s="31" t="n"/>
      <c r="C594" s="31" t="n"/>
      <c r="D594" s="31" t="n"/>
      <c r="E594" s="31" t="n"/>
      <c r="F594" s="31" t="n"/>
      <c r="G594" s="31" t="n"/>
      <c r="H594" s="31" t="n"/>
      <c r="I594" s="31" t="n"/>
      <c r="J594" s="31" t="n"/>
      <c r="K594" s="31">
        <f>IF(COUNTA($D594:$J594)&lt;7,"",ROUND(MIN(10000, MAX(0, ((((($D594*1.2)+($E594*1.2)+($F594*1.1)+($G594*1.0)+($H594*1.0)+($I594*1.1)+($J594*0.9))/7.5)-1)/4*8000 + MIN($B594*20,1000) + MIN($C594*100,1000))),0))</f>
        <v/>
      </c>
      <c r="L594" s="31">
        <f>IF($K594="","",MIN(100,INT(SQRT($K594))))</f>
        <v/>
      </c>
      <c r="M594" s="31" t="n"/>
      <c r="N594" s="31">
        <f>IF($M594="Yes",$K594,"")</f>
        <v/>
      </c>
      <c r="O594" s="31" t="n"/>
      <c r="P594" s="59" t="n"/>
      <c r="Q594" s="59" t="n"/>
    </row>
    <row r="595">
      <c r="A595" s="31">
        <f>IF(Members!$A595="","",Members!$A595)</f>
        <v/>
      </c>
      <c r="B595" s="31" t="n"/>
      <c r="C595" s="31" t="n"/>
      <c r="D595" s="31" t="n"/>
      <c r="E595" s="31" t="n"/>
      <c r="F595" s="31" t="n"/>
      <c r="G595" s="31" t="n"/>
      <c r="H595" s="31" t="n"/>
      <c r="I595" s="31" t="n"/>
      <c r="J595" s="31" t="n"/>
      <c r="K595" s="31">
        <f>IF(COUNTA($D595:$J595)&lt;7,"",ROUND(MIN(10000, MAX(0, ((((($D595*1.2)+($E595*1.2)+($F595*1.1)+($G595*1.0)+($H595*1.0)+($I595*1.1)+($J595*0.9))/7.5)-1)/4*8000 + MIN($B595*20,1000) + MIN($C595*100,1000))),0))</f>
        <v/>
      </c>
      <c r="L595" s="31">
        <f>IF($K595="","",MIN(100,INT(SQRT($K595))))</f>
        <v/>
      </c>
      <c r="M595" s="31" t="n"/>
      <c r="N595" s="31">
        <f>IF($M595="Yes",$K595,"")</f>
        <v/>
      </c>
      <c r="O595" s="31" t="n"/>
      <c r="P595" s="59" t="n"/>
      <c r="Q595" s="59" t="n"/>
    </row>
    <row r="596">
      <c r="A596" s="31">
        <f>IF(Members!$A596="","",Members!$A596)</f>
        <v/>
      </c>
      <c r="B596" s="31" t="n"/>
      <c r="C596" s="31" t="n"/>
      <c r="D596" s="31" t="n"/>
      <c r="E596" s="31" t="n"/>
      <c r="F596" s="31" t="n"/>
      <c r="G596" s="31" t="n"/>
      <c r="H596" s="31" t="n"/>
      <c r="I596" s="31" t="n"/>
      <c r="J596" s="31" t="n"/>
      <c r="K596" s="31">
        <f>IF(COUNTA($D596:$J596)&lt;7,"",ROUND(MIN(10000, MAX(0, ((((($D596*1.2)+($E596*1.2)+($F596*1.1)+($G596*1.0)+($H596*1.0)+($I596*1.1)+($J596*0.9))/7.5)-1)/4*8000 + MIN($B596*20,1000) + MIN($C596*100,1000))),0))</f>
        <v/>
      </c>
      <c r="L596" s="31">
        <f>IF($K596="","",MIN(100,INT(SQRT($K596))))</f>
        <v/>
      </c>
      <c r="M596" s="31" t="n"/>
      <c r="N596" s="31">
        <f>IF($M596="Yes",$K596,"")</f>
        <v/>
      </c>
      <c r="O596" s="31" t="n"/>
      <c r="P596" s="59" t="n"/>
      <c r="Q596" s="59" t="n"/>
    </row>
    <row r="597">
      <c r="A597" s="31">
        <f>IF(Members!$A597="","",Members!$A597)</f>
        <v/>
      </c>
      <c r="B597" s="31" t="n"/>
      <c r="C597" s="31" t="n"/>
      <c r="D597" s="31" t="n"/>
      <c r="E597" s="31" t="n"/>
      <c r="F597" s="31" t="n"/>
      <c r="G597" s="31" t="n"/>
      <c r="H597" s="31" t="n"/>
      <c r="I597" s="31" t="n"/>
      <c r="J597" s="31" t="n"/>
      <c r="K597" s="31">
        <f>IF(COUNTA($D597:$J597)&lt;7,"",ROUND(MIN(10000, MAX(0, ((((($D597*1.2)+($E597*1.2)+($F597*1.1)+($G597*1.0)+($H597*1.0)+($I597*1.1)+($J597*0.9))/7.5)-1)/4*8000 + MIN($B597*20,1000) + MIN($C597*100,1000))),0))</f>
        <v/>
      </c>
      <c r="L597" s="31">
        <f>IF($K597="","",MIN(100,INT(SQRT($K597))))</f>
        <v/>
      </c>
      <c r="M597" s="31" t="n"/>
      <c r="N597" s="31">
        <f>IF($M597="Yes",$K597,"")</f>
        <v/>
      </c>
      <c r="O597" s="31" t="n"/>
      <c r="P597" s="59" t="n"/>
      <c r="Q597" s="59" t="n"/>
    </row>
    <row r="598">
      <c r="A598" s="31">
        <f>IF(Members!$A598="","",Members!$A598)</f>
        <v/>
      </c>
      <c r="B598" s="31" t="n"/>
      <c r="C598" s="31" t="n"/>
      <c r="D598" s="31" t="n"/>
      <c r="E598" s="31" t="n"/>
      <c r="F598" s="31" t="n"/>
      <c r="G598" s="31" t="n"/>
      <c r="H598" s="31" t="n"/>
      <c r="I598" s="31" t="n"/>
      <c r="J598" s="31" t="n"/>
      <c r="K598" s="31">
        <f>IF(COUNTA($D598:$J598)&lt;7,"",ROUND(MIN(10000, MAX(0, ((((($D598*1.2)+($E598*1.2)+($F598*1.1)+($G598*1.0)+($H598*1.0)+($I598*1.1)+($J598*0.9))/7.5)-1)/4*8000 + MIN($B598*20,1000) + MIN($C598*100,1000))),0))</f>
        <v/>
      </c>
      <c r="L598" s="31">
        <f>IF($K598="","",MIN(100,INT(SQRT($K598))))</f>
        <v/>
      </c>
      <c r="M598" s="31" t="n"/>
      <c r="N598" s="31">
        <f>IF($M598="Yes",$K598,"")</f>
        <v/>
      </c>
      <c r="O598" s="31" t="n"/>
      <c r="P598" s="59" t="n"/>
      <c r="Q598" s="59" t="n"/>
    </row>
    <row r="599">
      <c r="A599" s="31">
        <f>IF(Members!$A599="","",Members!$A599)</f>
        <v/>
      </c>
      <c r="B599" s="31" t="n"/>
      <c r="C599" s="31" t="n"/>
      <c r="D599" s="31" t="n"/>
      <c r="E599" s="31" t="n"/>
      <c r="F599" s="31" t="n"/>
      <c r="G599" s="31" t="n"/>
      <c r="H599" s="31" t="n"/>
      <c r="I599" s="31" t="n"/>
      <c r="J599" s="31" t="n"/>
      <c r="K599" s="31">
        <f>IF(COUNTA($D599:$J599)&lt;7,"",ROUND(MIN(10000, MAX(0, ((((($D599*1.2)+($E599*1.2)+($F599*1.1)+($G599*1.0)+($H599*1.0)+($I599*1.1)+($J599*0.9))/7.5)-1)/4*8000 + MIN($B599*20,1000) + MIN($C599*100,1000))),0))</f>
        <v/>
      </c>
      <c r="L599" s="31">
        <f>IF($K599="","",MIN(100,INT(SQRT($K599))))</f>
        <v/>
      </c>
      <c r="M599" s="31" t="n"/>
      <c r="N599" s="31">
        <f>IF($M599="Yes",$K599,"")</f>
        <v/>
      </c>
      <c r="O599" s="31" t="n"/>
      <c r="P599" s="59" t="n"/>
      <c r="Q599" s="59" t="n"/>
    </row>
    <row r="600">
      <c r="A600" s="31">
        <f>IF(Members!$A600="","",Members!$A600)</f>
        <v/>
      </c>
      <c r="B600" s="31" t="n"/>
      <c r="C600" s="31" t="n"/>
      <c r="D600" s="31" t="n"/>
      <c r="E600" s="31" t="n"/>
      <c r="F600" s="31" t="n"/>
      <c r="G600" s="31" t="n"/>
      <c r="H600" s="31" t="n"/>
      <c r="I600" s="31" t="n"/>
      <c r="J600" s="31" t="n"/>
      <c r="K600" s="31">
        <f>IF(COUNTA($D600:$J600)&lt;7,"",ROUND(MIN(10000, MAX(0, ((((($D600*1.2)+($E600*1.2)+($F600*1.1)+($G600*1.0)+($H600*1.0)+($I600*1.1)+($J600*0.9))/7.5)-1)/4*8000 + MIN($B600*20,1000) + MIN($C600*100,1000))),0))</f>
        <v/>
      </c>
      <c r="L600" s="31">
        <f>IF($K600="","",MIN(100,INT(SQRT($K600))))</f>
        <v/>
      </c>
      <c r="M600" s="31" t="n"/>
      <c r="N600" s="31">
        <f>IF($M600="Yes",$K600,"")</f>
        <v/>
      </c>
      <c r="O600" s="31" t="n"/>
      <c r="P600" s="59" t="n"/>
      <c r="Q600" s="59" t="n"/>
    </row>
    <row r="601">
      <c r="A601" s="31">
        <f>IF(Members!$A601="","",Members!$A601)</f>
        <v/>
      </c>
      <c r="B601" s="31" t="n"/>
      <c r="C601" s="31" t="n"/>
      <c r="D601" s="31" t="n"/>
      <c r="E601" s="31" t="n"/>
      <c r="F601" s="31" t="n"/>
      <c r="G601" s="31" t="n"/>
      <c r="H601" s="31" t="n"/>
      <c r="I601" s="31" t="n"/>
      <c r="J601" s="31" t="n"/>
      <c r="K601" s="31">
        <f>IF(COUNTA($D601:$J601)&lt;7,"",ROUND(MIN(10000, MAX(0, ((((($D601*1.2)+($E601*1.2)+($F601*1.1)+($G601*1.0)+($H601*1.0)+($I601*1.1)+($J601*0.9))/7.5)-1)/4*8000 + MIN($B601*20,1000) + MIN($C601*100,1000))),0))</f>
        <v/>
      </c>
      <c r="L601" s="31">
        <f>IF($K601="","",MIN(100,INT(SQRT($K601))))</f>
        <v/>
      </c>
      <c r="M601" s="31" t="n"/>
      <c r="N601" s="31">
        <f>IF($M601="Yes",$K601,"")</f>
        <v/>
      </c>
      <c r="O601" s="31" t="n"/>
      <c r="P601" s="59" t="n"/>
      <c r="Q601" s="59" t="n"/>
    </row>
    <row r="602">
      <c r="A602" s="31">
        <f>IF(Members!$A602="","",Members!$A602)</f>
        <v/>
      </c>
      <c r="B602" s="31" t="n"/>
      <c r="C602" s="31" t="n"/>
      <c r="D602" s="31" t="n"/>
      <c r="E602" s="31" t="n"/>
      <c r="F602" s="31" t="n"/>
      <c r="G602" s="31" t="n"/>
      <c r="H602" s="31" t="n"/>
      <c r="I602" s="31" t="n"/>
      <c r="J602" s="31" t="n"/>
      <c r="K602" s="31">
        <f>IF(COUNTA($D602:$J602)&lt;7,"",ROUND(MIN(10000, MAX(0, ((((($D602*1.2)+($E602*1.2)+($F602*1.1)+($G602*1.0)+($H602*1.0)+($I602*1.1)+($J602*0.9))/7.5)-1)/4*8000 + MIN($B602*20,1000) + MIN($C602*100,1000))),0))</f>
        <v/>
      </c>
      <c r="L602" s="31">
        <f>IF($K602="","",MIN(100,INT(SQRT($K602))))</f>
        <v/>
      </c>
      <c r="M602" s="31" t="n"/>
      <c r="N602" s="31">
        <f>IF($M602="Yes",$K602,"")</f>
        <v/>
      </c>
      <c r="O602" s="31" t="n"/>
      <c r="P602" s="59" t="n"/>
      <c r="Q602" s="59" t="n"/>
    </row>
    <row r="603">
      <c r="A603" s="31">
        <f>IF(Members!$A603="","",Members!$A603)</f>
        <v/>
      </c>
      <c r="B603" s="31" t="n"/>
      <c r="C603" s="31" t="n"/>
      <c r="D603" s="31" t="n"/>
      <c r="E603" s="31" t="n"/>
      <c r="F603" s="31" t="n"/>
      <c r="G603" s="31" t="n"/>
      <c r="H603" s="31" t="n"/>
      <c r="I603" s="31" t="n"/>
      <c r="J603" s="31" t="n"/>
      <c r="K603" s="31">
        <f>IF(COUNTA($D603:$J603)&lt;7,"",ROUND(MIN(10000, MAX(0, ((((($D603*1.2)+($E603*1.2)+($F603*1.1)+($G603*1.0)+($H603*1.0)+($I603*1.1)+($J603*0.9))/7.5)-1)/4*8000 + MIN($B603*20,1000) + MIN($C603*100,1000))),0))</f>
        <v/>
      </c>
      <c r="L603" s="31">
        <f>IF($K603="","",MIN(100,INT(SQRT($K603))))</f>
        <v/>
      </c>
      <c r="M603" s="31" t="n"/>
      <c r="N603" s="31">
        <f>IF($M603="Yes",$K603,"")</f>
        <v/>
      </c>
      <c r="O603" s="31" t="n"/>
      <c r="P603" s="59" t="n"/>
      <c r="Q603" s="59" t="n"/>
    </row>
    <row r="604">
      <c r="A604" s="31">
        <f>IF(Members!$A604="","",Members!$A604)</f>
        <v/>
      </c>
      <c r="B604" s="31" t="n"/>
      <c r="C604" s="31" t="n"/>
      <c r="D604" s="31" t="n"/>
      <c r="E604" s="31" t="n"/>
      <c r="F604" s="31" t="n"/>
      <c r="G604" s="31" t="n"/>
      <c r="H604" s="31" t="n"/>
      <c r="I604" s="31" t="n"/>
      <c r="J604" s="31" t="n"/>
      <c r="K604" s="31">
        <f>IF(COUNTA($D604:$J604)&lt;7,"",ROUND(MIN(10000, MAX(0, ((((($D604*1.2)+($E604*1.2)+($F604*1.1)+($G604*1.0)+($H604*1.0)+($I604*1.1)+($J604*0.9))/7.5)-1)/4*8000 + MIN($B604*20,1000) + MIN($C604*100,1000))),0))</f>
        <v/>
      </c>
      <c r="L604" s="31">
        <f>IF($K604="","",MIN(100,INT(SQRT($K604))))</f>
        <v/>
      </c>
      <c r="M604" s="31" t="n"/>
      <c r="N604" s="31">
        <f>IF($M604="Yes",$K604,"")</f>
        <v/>
      </c>
      <c r="O604" s="31" t="n"/>
      <c r="P604" s="59" t="n"/>
      <c r="Q604" s="59" t="n"/>
    </row>
    <row r="605">
      <c r="A605" s="31">
        <f>IF(Members!$A605="","",Members!$A605)</f>
        <v/>
      </c>
      <c r="B605" s="31" t="n"/>
      <c r="C605" s="31" t="n"/>
      <c r="D605" s="31" t="n"/>
      <c r="E605" s="31" t="n"/>
      <c r="F605" s="31" t="n"/>
      <c r="G605" s="31" t="n"/>
      <c r="H605" s="31" t="n"/>
      <c r="I605" s="31" t="n"/>
      <c r="J605" s="31" t="n"/>
      <c r="K605" s="31">
        <f>IF(COUNTA($D605:$J605)&lt;7,"",ROUND(MIN(10000, MAX(0, ((((($D605*1.2)+($E605*1.2)+($F605*1.1)+($G605*1.0)+($H605*1.0)+($I605*1.1)+($J605*0.9))/7.5)-1)/4*8000 + MIN($B605*20,1000) + MIN($C605*100,1000))),0))</f>
        <v/>
      </c>
      <c r="L605" s="31">
        <f>IF($K605="","",MIN(100,INT(SQRT($K605))))</f>
        <v/>
      </c>
      <c r="M605" s="31" t="n"/>
      <c r="N605" s="31">
        <f>IF($M605="Yes",$K605,"")</f>
        <v/>
      </c>
      <c r="O605" s="31" t="n"/>
      <c r="P605" s="59" t="n"/>
      <c r="Q605" s="59" t="n"/>
    </row>
    <row r="606">
      <c r="A606" s="31">
        <f>IF(Members!$A606="","",Members!$A606)</f>
        <v/>
      </c>
      <c r="B606" s="31" t="n"/>
      <c r="C606" s="31" t="n"/>
      <c r="D606" s="31" t="n"/>
      <c r="E606" s="31" t="n"/>
      <c r="F606" s="31" t="n"/>
      <c r="G606" s="31" t="n"/>
      <c r="H606" s="31" t="n"/>
      <c r="I606" s="31" t="n"/>
      <c r="J606" s="31" t="n"/>
      <c r="K606" s="31">
        <f>IF(COUNTA($D606:$J606)&lt;7,"",ROUND(MIN(10000, MAX(0, ((((($D606*1.2)+($E606*1.2)+($F606*1.1)+($G606*1.0)+($H606*1.0)+($I606*1.1)+($J606*0.9))/7.5)-1)/4*8000 + MIN($B606*20,1000) + MIN($C606*100,1000))),0))</f>
        <v/>
      </c>
      <c r="L606" s="31">
        <f>IF($K606="","",MIN(100,INT(SQRT($K606))))</f>
        <v/>
      </c>
      <c r="M606" s="31" t="n"/>
      <c r="N606" s="31">
        <f>IF($M606="Yes",$K606,"")</f>
        <v/>
      </c>
      <c r="O606" s="31" t="n"/>
      <c r="P606" s="59" t="n"/>
      <c r="Q606" s="59" t="n"/>
    </row>
    <row r="607">
      <c r="A607" s="31">
        <f>IF(Members!$A607="","",Members!$A607)</f>
        <v/>
      </c>
      <c r="B607" s="31" t="n"/>
      <c r="C607" s="31" t="n"/>
      <c r="D607" s="31" t="n"/>
      <c r="E607" s="31" t="n"/>
      <c r="F607" s="31" t="n"/>
      <c r="G607" s="31" t="n"/>
      <c r="H607" s="31" t="n"/>
      <c r="I607" s="31" t="n"/>
      <c r="J607" s="31" t="n"/>
      <c r="K607" s="31">
        <f>IF(COUNTA($D607:$J607)&lt;7,"",ROUND(MIN(10000, MAX(0, ((((($D607*1.2)+($E607*1.2)+($F607*1.1)+($G607*1.0)+($H607*1.0)+($I607*1.1)+($J607*0.9))/7.5)-1)/4*8000 + MIN($B607*20,1000) + MIN($C607*100,1000))),0))</f>
        <v/>
      </c>
      <c r="L607" s="31">
        <f>IF($K607="","",MIN(100,INT(SQRT($K607))))</f>
        <v/>
      </c>
      <c r="M607" s="31" t="n"/>
      <c r="N607" s="31">
        <f>IF($M607="Yes",$K607,"")</f>
        <v/>
      </c>
      <c r="O607" s="31" t="n"/>
      <c r="P607" s="59" t="n"/>
      <c r="Q607" s="59" t="n"/>
    </row>
    <row r="608">
      <c r="A608" s="31">
        <f>IF(Members!$A608="","",Members!$A608)</f>
        <v/>
      </c>
      <c r="B608" s="31" t="n"/>
      <c r="C608" s="31" t="n"/>
      <c r="D608" s="31" t="n"/>
      <c r="E608" s="31" t="n"/>
      <c r="F608" s="31" t="n"/>
      <c r="G608" s="31" t="n"/>
      <c r="H608" s="31" t="n"/>
      <c r="I608" s="31" t="n"/>
      <c r="J608" s="31" t="n"/>
      <c r="K608" s="31">
        <f>IF(COUNTA($D608:$J608)&lt;7,"",ROUND(MIN(10000, MAX(0, ((((($D608*1.2)+($E608*1.2)+($F608*1.1)+($G608*1.0)+($H608*1.0)+($I608*1.1)+($J608*0.9))/7.5)-1)/4*8000 + MIN($B608*20,1000) + MIN($C608*100,1000))),0))</f>
        <v/>
      </c>
      <c r="L608" s="31">
        <f>IF($K608="","",MIN(100,INT(SQRT($K608))))</f>
        <v/>
      </c>
      <c r="M608" s="31" t="n"/>
      <c r="N608" s="31">
        <f>IF($M608="Yes",$K608,"")</f>
        <v/>
      </c>
      <c r="O608" s="31" t="n"/>
      <c r="P608" s="59" t="n"/>
      <c r="Q608" s="59" t="n"/>
    </row>
    <row r="609">
      <c r="A609" s="31">
        <f>IF(Members!$A609="","",Members!$A609)</f>
        <v/>
      </c>
      <c r="B609" s="31" t="n"/>
      <c r="C609" s="31" t="n"/>
      <c r="D609" s="31" t="n"/>
      <c r="E609" s="31" t="n"/>
      <c r="F609" s="31" t="n"/>
      <c r="G609" s="31" t="n"/>
      <c r="H609" s="31" t="n"/>
      <c r="I609" s="31" t="n"/>
      <c r="J609" s="31" t="n"/>
      <c r="K609" s="31">
        <f>IF(COUNTA($D609:$J609)&lt;7,"",ROUND(MIN(10000, MAX(0, ((((($D609*1.2)+($E609*1.2)+($F609*1.1)+($G609*1.0)+($H609*1.0)+($I609*1.1)+($J609*0.9))/7.5)-1)/4*8000 + MIN($B609*20,1000) + MIN($C609*100,1000))),0))</f>
        <v/>
      </c>
      <c r="L609" s="31">
        <f>IF($K609="","",MIN(100,INT(SQRT($K609))))</f>
        <v/>
      </c>
      <c r="M609" s="31" t="n"/>
      <c r="N609" s="31">
        <f>IF($M609="Yes",$K609,"")</f>
        <v/>
      </c>
      <c r="O609" s="31" t="n"/>
      <c r="P609" s="59" t="n"/>
      <c r="Q609" s="59" t="n"/>
    </row>
    <row r="610">
      <c r="A610" s="31">
        <f>IF(Members!$A610="","",Members!$A610)</f>
        <v/>
      </c>
      <c r="B610" s="31" t="n"/>
      <c r="C610" s="31" t="n"/>
      <c r="D610" s="31" t="n"/>
      <c r="E610" s="31" t="n"/>
      <c r="F610" s="31" t="n"/>
      <c r="G610" s="31" t="n"/>
      <c r="H610" s="31" t="n"/>
      <c r="I610" s="31" t="n"/>
      <c r="J610" s="31" t="n"/>
      <c r="K610" s="31">
        <f>IF(COUNTA($D610:$J610)&lt;7,"",ROUND(MIN(10000, MAX(0, ((((($D610*1.2)+($E610*1.2)+($F610*1.1)+($G610*1.0)+($H610*1.0)+($I610*1.1)+($J610*0.9))/7.5)-1)/4*8000 + MIN($B610*20,1000) + MIN($C610*100,1000))),0))</f>
        <v/>
      </c>
      <c r="L610" s="31">
        <f>IF($K610="","",MIN(100,INT(SQRT($K610))))</f>
        <v/>
      </c>
      <c r="M610" s="31" t="n"/>
      <c r="N610" s="31">
        <f>IF($M610="Yes",$K610,"")</f>
        <v/>
      </c>
      <c r="O610" s="31" t="n"/>
      <c r="P610" s="59" t="n"/>
      <c r="Q610" s="59" t="n"/>
    </row>
    <row r="611">
      <c r="A611" s="31">
        <f>IF(Members!$A611="","",Members!$A611)</f>
        <v/>
      </c>
      <c r="B611" s="31" t="n"/>
      <c r="C611" s="31" t="n"/>
      <c r="D611" s="31" t="n"/>
      <c r="E611" s="31" t="n"/>
      <c r="F611" s="31" t="n"/>
      <c r="G611" s="31" t="n"/>
      <c r="H611" s="31" t="n"/>
      <c r="I611" s="31" t="n"/>
      <c r="J611" s="31" t="n"/>
      <c r="K611" s="31">
        <f>IF(COUNTA($D611:$J611)&lt;7,"",ROUND(MIN(10000, MAX(0, ((((($D611*1.2)+($E611*1.2)+($F611*1.1)+($G611*1.0)+($H611*1.0)+($I611*1.1)+($J611*0.9))/7.5)-1)/4*8000 + MIN($B611*20,1000) + MIN($C611*100,1000))),0))</f>
        <v/>
      </c>
      <c r="L611" s="31">
        <f>IF($K611="","",MIN(100,INT(SQRT($K611))))</f>
        <v/>
      </c>
      <c r="M611" s="31" t="n"/>
      <c r="N611" s="31">
        <f>IF($M611="Yes",$K611,"")</f>
        <v/>
      </c>
      <c r="O611" s="31" t="n"/>
      <c r="P611" s="59" t="n"/>
      <c r="Q611" s="59" t="n"/>
    </row>
    <row r="612">
      <c r="A612" s="31">
        <f>IF(Members!$A612="","",Members!$A612)</f>
        <v/>
      </c>
      <c r="B612" s="31" t="n"/>
      <c r="C612" s="31" t="n"/>
      <c r="D612" s="31" t="n"/>
      <c r="E612" s="31" t="n"/>
      <c r="F612" s="31" t="n"/>
      <c r="G612" s="31" t="n"/>
      <c r="H612" s="31" t="n"/>
      <c r="I612" s="31" t="n"/>
      <c r="J612" s="31" t="n"/>
      <c r="K612" s="31">
        <f>IF(COUNTA($D612:$J612)&lt;7,"",ROUND(MIN(10000, MAX(0, ((((($D612*1.2)+($E612*1.2)+($F612*1.1)+($G612*1.0)+($H612*1.0)+($I612*1.1)+($J612*0.9))/7.5)-1)/4*8000 + MIN($B612*20,1000) + MIN($C612*100,1000))),0))</f>
        <v/>
      </c>
      <c r="L612" s="31">
        <f>IF($K612="","",MIN(100,INT(SQRT($K612))))</f>
        <v/>
      </c>
      <c r="M612" s="31" t="n"/>
      <c r="N612" s="31">
        <f>IF($M612="Yes",$K612,"")</f>
        <v/>
      </c>
      <c r="O612" s="31" t="n"/>
      <c r="P612" s="59" t="n"/>
      <c r="Q612" s="59" t="n"/>
    </row>
    <row r="613">
      <c r="A613" s="31">
        <f>IF(Members!$A613="","",Members!$A613)</f>
        <v/>
      </c>
      <c r="B613" s="31" t="n"/>
      <c r="C613" s="31" t="n"/>
      <c r="D613" s="31" t="n"/>
      <c r="E613" s="31" t="n"/>
      <c r="F613" s="31" t="n"/>
      <c r="G613" s="31" t="n"/>
      <c r="H613" s="31" t="n"/>
      <c r="I613" s="31" t="n"/>
      <c r="J613" s="31" t="n"/>
      <c r="K613" s="31">
        <f>IF(COUNTA($D613:$J613)&lt;7,"",ROUND(MIN(10000, MAX(0, ((((($D613*1.2)+($E613*1.2)+($F613*1.1)+($G613*1.0)+($H613*1.0)+($I613*1.1)+($J613*0.9))/7.5)-1)/4*8000 + MIN($B613*20,1000) + MIN($C613*100,1000))),0))</f>
        <v/>
      </c>
      <c r="L613" s="31">
        <f>IF($K613="","",MIN(100,INT(SQRT($K613))))</f>
        <v/>
      </c>
      <c r="M613" s="31" t="n"/>
      <c r="N613" s="31">
        <f>IF($M613="Yes",$K613,"")</f>
        <v/>
      </c>
      <c r="O613" s="31" t="n"/>
      <c r="P613" s="59" t="n"/>
      <c r="Q613" s="59" t="n"/>
    </row>
    <row r="614">
      <c r="A614" s="31">
        <f>IF(Members!$A614="","",Members!$A614)</f>
        <v/>
      </c>
      <c r="B614" s="31" t="n"/>
      <c r="C614" s="31" t="n"/>
      <c r="D614" s="31" t="n"/>
      <c r="E614" s="31" t="n"/>
      <c r="F614" s="31" t="n"/>
      <c r="G614" s="31" t="n"/>
      <c r="H614" s="31" t="n"/>
      <c r="I614" s="31" t="n"/>
      <c r="J614" s="31" t="n"/>
      <c r="K614" s="31">
        <f>IF(COUNTA($D614:$J614)&lt;7,"",ROUND(MIN(10000, MAX(0, ((((($D614*1.2)+($E614*1.2)+($F614*1.1)+($G614*1.0)+($H614*1.0)+($I614*1.1)+($J614*0.9))/7.5)-1)/4*8000 + MIN($B614*20,1000) + MIN($C614*100,1000))),0))</f>
        <v/>
      </c>
      <c r="L614" s="31">
        <f>IF($K614="","",MIN(100,INT(SQRT($K614))))</f>
        <v/>
      </c>
      <c r="M614" s="31" t="n"/>
      <c r="N614" s="31">
        <f>IF($M614="Yes",$K614,"")</f>
        <v/>
      </c>
      <c r="O614" s="31" t="n"/>
      <c r="P614" s="59" t="n"/>
      <c r="Q614" s="59" t="n"/>
    </row>
    <row r="615">
      <c r="A615" s="31">
        <f>IF(Members!$A615="","",Members!$A615)</f>
        <v/>
      </c>
      <c r="B615" s="31" t="n"/>
      <c r="C615" s="31" t="n"/>
      <c r="D615" s="31" t="n"/>
      <c r="E615" s="31" t="n"/>
      <c r="F615" s="31" t="n"/>
      <c r="G615" s="31" t="n"/>
      <c r="H615" s="31" t="n"/>
      <c r="I615" s="31" t="n"/>
      <c r="J615" s="31" t="n"/>
      <c r="K615" s="31">
        <f>IF(COUNTA($D615:$J615)&lt;7,"",ROUND(MIN(10000, MAX(0, ((((($D615*1.2)+($E615*1.2)+($F615*1.1)+($G615*1.0)+($H615*1.0)+($I615*1.1)+($J615*0.9))/7.5)-1)/4*8000 + MIN($B615*20,1000) + MIN($C615*100,1000))),0))</f>
        <v/>
      </c>
      <c r="L615" s="31">
        <f>IF($K615="","",MIN(100,INT(SQRT($K615))))</f>
        <v/>
      </c>
      <c r="M615" s="31" t="n"/>
      <c r="N615" s="31">
        <f>IF($M615="Yes",$K615,"")</f>
        <v/>
      </c>
      <c r="O615" s="31" t="n"/>
      <c r="P615" s="59" t="n"/>
      <c r="Q615" s="59" t="n"/>
    </row>
    <row r="616">
      <c r="A616" s="31">
        <f>IF(Members!$A616="","",Members!$A616)</f>
        <v/>
      </c>
      <c r="B616" s="31" t="n"/>
      <c r="C616" s="31" t="n"/>
      <c r="D616" s="31" t="n"/>
      <c r="E616" s="31" t="n"/>
      <c r="F616" s="31" t="n"/>
      <c r="G616" s="31" t="n"/>
      <c r="H616" s="31" t="n"/>
      <c r="I616" s="31" t="n"/>
      <c r="J616" s="31" t="n"/>
      <c r="K616" s="31">
        <f>IF(COUNTA($D616:$J616)&lt;7,"",ROUND(MIN(10000, MAX(0, ((((($D616*1.2)+($E616*1.2)+($F616*1.1)+($G616*1.0)+($H616*1.0)+($I616*1.1)+($J616*0.9))/7.5)-1)/4*8000 + MIN($B616*20,1000) + MIN($C616*100,1000))),0))</f>
        <v/>
      </c>
      <c r="L616" s="31">
        <f>IF($K616="","",MIN(100,INT(SQRT($K616))))</f>
        <v/>
      </c>
      <c r="M616" s="31" t="n"/>
      <c r="N616" s="31">
        <f>IF($M616="Yes",$K616,"")</f>
        <v/>
      </c>
      <c r="O616" s="31" t="n"/>
      <c r="P616" s="59" t="n"/>
      <c r="Q616" s="59" t="n"/>
    </row>
    <row r="617">
      <c r="A617" s="31">
        <f>IF(Members!$A617="","",Members!$A617)</f>
        <v/>
      </c>
      <c r="B617" s="31" t="n"/>
      <c r="C617" s="31" t="n"/>
      <c r="D617" s="31" t="n"/>
      <c r="E617" s="31" t="n"/>
      <c r="F617" s="31" t="n"/>
      <c r="G617" s="31" t="n"/>
      <c r="H617" s="31" t="n"/>
      <c r="I617" s="31" t="n"/>
      <c r="J617" s="31" t="n"/>
      <c r="K617" s="31">
        <f>IF(COUNTA($D617:$J617)&lt;7,"",ROUND(MIN(10000, MAX(0, ((((($D617*1.2)+($E617*1.2)+($F617*1.1)+($G617*1.0)+($H617*1.0)+($I617*1.1)+($J617*0.9))/7.5)-1)/4*8000 + MIN($B617*20,1000) + MIN($C617*100,1000))),0))</f>
        <v/>
      </c>
      <c r="L617" s="31">
        <f>IF($K617="","",MIN(100,INT(SQRT($K617))))</f>
        <v/>
      </c>
      <c r="M617" s="31" t="n"/>
      <c r="N617" s="31">
        <f>IF($M617="Yes",$K617,"")</f>
        <v/>
      </c>
      <c r="O617" s="31" t="n"/>
      <c r="P617" s="59" t="n"/>
      <c r="Q617" s="59" t="n"/>
    </row>
    <row r="618">
      <c r="A618" s="31">
        <f>IF(Members!$A618="","",Members!$A618)</f>
        <v/>
      </c>
      <c r="B618" s="31" t="n"/>
      <c r="C618" s="31" t="n"/>
      <c r="D618" s="31" t="n"/>
      <c r="E618" s="31" t="n"/>
      <c r="F618" s="31" t="n"/>
      <c r="G618" s="31" t="n"/>
      <c r="H618" s="31" t="n"/>
      <c r="I618" s="31" t="n"/>
      <c r="J618" s="31" t="n"/>
      <c r="K618" s="31">
        <f>IF(COUNTA($D618:$J618)&lt;7,"",ROUND(MIN(10000, MAX(0, ((((($D618*1.2)+($E618*1.2)+($F618*1.1)+($G618*1.0)+($H618*1.0)+($I618*1.1)+($J618*0.9))/7.5)-1)/4*8000 + MIN($B618*20,1000) + MIN($C618*100,1000))),0))</f>
        <v/>
      </c>
      <c r="L618" s="31">
        <f>IF($K618="","",MIN(100,INT(SQRT($K618))))</f>
        <v/>
      </c>
      <c r="M618" s="31" t="n"/>
      <c r="N618" s="31">
        <f>IF($M618="Yes",$K618,"")</f>
        <v/>
      </c>
      <c r="O618" s="31" t="n"/>
      <c r="P618" s="59" t="n"/>
      <c r="Q618" s="59" t="n"/>
    </row>
    <row r="619">
      <c r="A619" s="31">
        <f>IF(Members!$A619="","",Members!$A619)</f>
        <v/>
      </c>
      <c r="B619" s="31" t="n"/>
      <c r="C619" s="31" t="n"/>
      <c r="D619" s="31" t="n"/>
      <c r="E619" s="31" t="n"/>
      <c r="F619" s="31" t="n"/>
      <c r="G619" s="31" t="n"/>
      <c r="H619" s="31" t="n"/>
      <c r="I619" s="31" t="n"/>
      <c r="J619" s="31" t="n"/>
      <c r="K619" s="31">
        <f>IF(COUNTA($D619:$J619)&lt;7,"",ROUND(MIN(10000, MAX(0, ((((($D619*1.2)+($E619*1.2)+($F619*1.1)+($G619*1.0)+($H619*1.0)+($I619*1.1)+($J619*0.9))/7.5)-1)/4*8000 + MIN($B619*20,1000) + MIN($C619*100,1000))),0))</f>
        <v/>
      </c>
      <c r="L619" s="31">
        <f>IF($K619="","",MIN(100,INT(SQRT($K619))))</f>
        <v/>
      </c>
      <c r="M619" s="31" t="n"/>
      <c r="N619" s="31">
        <f>IF($M619="Yes",$K619,"")</f>
        <v/>
      </c>
      <c r="O619" s="31" t="n"/>
      <c r="P619" s="59" t="n"/>
      <c r="Q619" s="59" t="n"/>
    </row>
    <row r="620">
      <c r="A620" s="31">
        <f>IF(Members!$A620="","",Members!$A620)</f>
        <v/>
      </c>
      <c r="B620" s="31" t="n"/>
      <c r="C620" s="31" t="n"/>
      <c r="D620" s="31" t="n"/>
      <c r="E620" s="31" t="n"/>
      <c r="F620" s="31" t="n"/>
      <c r="G620" s="31" t="n"/>
      <c r="H620" s="31" t="n"/>
      <c r="I620" s="31" t="n"/>
      <c r="J620" s="31" t="n"/>
      <c r="K620" s="31">
        <f>IF(COUNTA($D620:$J620)&lt;7,"",ROUND(MIN(10000, MAX(0, ((((($D620*1.2)+($E620*1.2)+($F620*1.1)+($G620*1.0)+($H620*1.0)+($I620*1.1)+($J620*0.9))/7.5)-1)/4*8000 + MIN($B620*20,1000) + MIN($C620*100,1000))),0))</f>
        <v/>
      </c>
      <c r="L620" s="31">
        <f>IF($K620="","",MIN(100,INT(SQRT($K620))))</f>
        <v/>
      </c>
      <c r="M620" s="31" t="n"/>
      <c r="N620" s="31">
        <f>IF($M620="Yes",$K620,"")</f>
        <v/>
      </c>
      <c r="O620" s="31" t="n"/>
      <c r="P620" s="59" t="n"/>
      <c r="Q620" s="59" t="n"/>
    </row>
    <row r="621">
      <c r="A621" s="31">
        <f>IF(Members!$A621="","",Members!$A621)</f>
        <v/>
      </c>
      <c r="B621" s="31" t="n"/>
      <c r="C621" s="31" t="n"/>
      <c r="D621" s="31" t="n"/>
      <c r="E621" s="31" t="n"/>
      <c r="F621" s="31" t="n"/>
      <c r="G621" s="31" t="n"/>
      <c r="H621" s="31" t="n"/>
      <c r="I621" s="31" t="n"/>
      <c r="J621" s="31" t="n"/>
      <c r="K621" s="31">
        <f>IF(COUNTA($D621:$J621)&lt;7,"",ROUND(MIN(10000, MAX(0, ((((($D621*1.2)+($E621*1.2)+($F621*1.1)+($G621*1.0)+($H621*1.0)+($I621*1.1)+($J621*0.9))/7.5)-1)/4*8000 + MIN($B621*20,1000) + MIN($C621*100,1000))),0))</f>
        <v/>
      </c>
      <c r="L621" s="31">
        <f>IF($K621="","",MIN(100,INT(SQRT($K621))))</f>
        <v/>
      </c>
      <c r="M621" s="31" t="n"/>
      <c r="N621" s="31">
        <f>IF($M621="Yes",$K621,"")</f>
        <v/>
      </c>
      <c r="O621" s="31" t="n"/>
      <c r="P621" s="59" t="n"/>
      <c r="Q621" s="59" t="n"/>
    </row>
    <row r="622">
      <c r="A622" s="31">
        <f>IF(Members!$A622="","",Members!$A622)</f>
        <v/>
      </c>
      <c r="B622" s="31" t="n"/>
      <c r="C622" s="31" t="n"/>
      <c r="D622" s="31" t="n"/>
      <c r="E622" s="31" t="n"/>
      <c r="F622" s="31" t="n"/>
      <c r="G622" s="31" t="n"/>
      <c r="H622" s="31" t="n"/>
      <c r="I622" s="31" t="n"/>
      <c r="J622" s="31" t="n"/>
      <c r="K622" s="31">
        <f>IF(COUNTA($D622:$J622)&lt;7,"",ROUND(MIN(10000, MAX(0, ((((($D622*1.2)+($E622*1.2)+($F622*1.1)+($G622*1.0)+($H622*1.0)+($I622*1.1)+($J622*0.9))/7.5)-1)/4*8000 + MIN($B622*20,1000) + MIN($C622*100,1000))),0))</f>
        <v/>
      </c>
      <c r="L622" s="31">
        <f>IF($K622="","",MIN(100,INT(SQRT($K622))))</f>
        <v/>
      </c>
      <c r="M622" s="31" t="n"/>
      <c r="N622" s="31">
        <f>IF($M622="Yes",$K622,"")</f>
        <v/>
      </c>
      <c r="O622" s="31" t="n"/>
      <c r="P622" s="59" t="n"/>
      <c r="Q622" s="59" t="n"/>
    </row>
    <row r="623">
      <c r="A623" s="31">
        <f>IF(Members!$A623="","",Members!$A623)</f>
        <v/>
      </c>
      <c r="B623" s="31" t="n"/>
      <c r="C623" s="31" t="n"/>
      <c r="D623" s="31" t="n"/>
      <c r="E623" s="31" t="n"/>
      <c r="F623" s="31" t="n"/>
      <c r="G623" s="31" t="n"/>
      <c r="H623" s="31" t="n"/>
      <c r="I623" s="31" t="n"/>
      <c r="J623" s="31" t="n"/>
      <c r="K623" s="31">
        <f>IF(COUNTA($D623:$J623)&lt;7,"",ROUND(MIN(10000, MAX(0, ((((($D623*1.2)+($E623*1.2)+($F623*1.1)+($G623*1.0)+($H623*1.0)+($I623*1.1)+($J623*0.9))/7.5)-1)/4*8000 + MIN($B623*20,1000) + MIN($C623*100,1000))),0))</f>
        <v/>
      </c>
      <c r="L623" s="31">
        <f>IF($K623="","",MIN(100,INT(SQRT($K623))))</f>
        <v/>
      </c>
      <c r="M623" s="31" t="n"/>
      <c r="N623" s="31">
        <f>IF($M623="Yes",$K623,"")</f>
        <v/>
      </c>
      <c r="O623" s="31" t="n"/>
      <c r="P623" s="59" t="n"/>
      <c r="Q623" s="59" t="n"/>
    </row>
    <row r="624">
      <c r="A624" s="31">
        <f>IF(Members!$A624="","",Members!$A624)</f>
        <v/>
      </c>
      <c r="B624" s="31" t="n"/>
      <c r="C624" s="31" t="n"/>
      <c r="D624" s="31" t="n"/>
      <c r="E624" s="31" t="n"/>
      <c r="F624" s="31" t="n"/>
      <c r="G624" s="31" t="n"/>
      <c r="H624" s="31" t="n"/>
      <c r="I624" s="31" t="n"/>
      <c r="J624" s="31" t="n"/>
      <c r="K624" s="31">
        <f>IF(COUNTA($D624:$J624)&lt;7,"",ROUND(MIN(10000, MAX(0, ((((($D624*1.2)+($E624*1.2)+($F624*1.1)+($G624*1.0)+($H624*1.0)+($I624*1.1)+($J624*0.9))/7.5)-1)/4*8000 + MIN($B624*20,1000) + MIN($C624*100,1000))),0))</f>
        <v/>
      </c>
      <c r="L624" s="31">
        <f>IF($K624="","",MIN(100,INT(SQRT($K624))))</f>
        <v/>
      </c>
      <c r="M624" s="31" t="n"/>
      <c r="N624" s="31">
        <f>IF($M624="Yes",$K624,"")</f>
        <v/>
      </c>
      <c r="O624" s="31" t="n"/>
      <c r="P624" s="59" t="n"/>
      <c r="Q624" s="59" t="n"/>
    </row>
    <row r="625">
      <c r="A625" s="31">
        <f>IF(Members!$A625="","",Members!$A625)</f>
        <v/>
      </c>
      <c r="B625" s="31" t="n"/>
      <c r="C625" s="31" t="n"/>
      <c r="D625" s="31" t="n"/>
      <c r="E625" s="31" t="n"/>
      <c r="F625" s="31" t="n"/>
      <c r="G625" s="31" t="n"/>
      <c r="H625" s="31" t="n"/>
      <c r="I625" s="31" t="n"/>
      <c r="J625" s="31" t="n"/>
      <c r="K625" s="31">
        <f>IF(COUNTA($D625:$J625)&lt;7,"",ROUND(MIN(10000, MAX(0, ((((($D625*1.2)+($E625*1.2)+($F625*1.1)+($G625*1.0)+($H625*1.0)+($I625*1.1)+($J625*0.9))/7.5)-1)/4*8000 + MIN($B625*20,1000) + MIN($C625*100,1000))),0))</f>
        <v/>
      </c>
      <c r="L625" s="31">
        <f>IF($K625="","",MIN(100,INT(SQRT($K625))))</f>
        <v/>
      </c>
      <c r="M625" s="31" t="n"/>
      <c r="N625" s="31">
        <f>IF($M625="Yes",$K625,"")</f>
        <v/>
      </c>
      <c r="O625" s="31" t="n"/>
      <c r="P625" s="59" t="n"/>
      <c r="Q625" s="59" t="n"/>
    </row>
    <row r="626">
      <c r="A626" s="31">
        <f>IF(Members!$A626="","",Members!$A626)</f>
        <v/>
      </c>
      <c r="B626" s="31" t="n"/>
      <c r="C626" s="31" t="n"/>
      <c r="D626" s="31" t="n"/>
      <c r="E626" s="31" t="n"/>
      <c r="F626" s="31" t="n"/>
      <c r="G626" s="31" t="n"/>
      <c r="H626" s="31" t="n"/>
      <c r="I626" s="31" t="n"/>
      <c r="J626" s="31" t="n"/>
      <c r="K626" s="31">
        <f>IF(COUNTA($D626:$J626)&lt;7,"",ROUND(MIN(10000, MAX(0, ((((($D626*1.2)+($E626*1.2)+($F626*1.1)+($G626*1.0)+($H626*1.0)+($I626*1.1)+($J626*0.9))/7.5)-1)/4*8000 + MIN($B626*20,1000) + MIN($C626*100,1000))),0))</f>
        <v/>
      </c>
      <c r="L626" s="31">
        <f>IF($K626="","",MIN(100,INT(SQRT($K626))))</f>
        <v/>
      </c>
      <c r="M626" s="31" t="n"/>
      <c r="N626" s="31">
        <f>IF($M626="Yes",$K626,"")</f>
        <v/>
      </c>
      <c r="O626" s="31" t="n"/>
      <c r="P626" s="59" t="n"/>
      <c r="Q626" s="59" t="n"/>
    </row>
    <row r="627">
      <c r="A627" s="31">
        <f>IF(Members!$A627="","",Members!$A627)</f>
        <v/>
      </c>
      <c r="B627" s="31" t="n"/>
      <c r="C627" s="31" t="n"/>
      <c r="D627" s="31" t="n"/>
      <c r="E627" s="31" t="n"/>
      <c r="F627" s="31" t="n"/>
      <c r="G627" s="31" t="n"/>
      <c r="H627" s="31" t="n"/>
      <c r="I627" s="31" t="n"/>
      <c r="J627" s="31" t="n"/>
      <c r="K627" s="31">
        <f>IF(COUNTA($D627:$J627)&lt;7,"",ROUND(MIN(10000, MAX(0, ((((($D627*1.2)+($E627*1.2)+($F627*1.1)+($G627*1.0)+($H627*1.0)+($I627*1.1)+($J627*0.9))/7.5)-1)/4*8000 + MIN($B627*20,1000) + MIN($C627*100,1000))),0))</f>
        <v/>
      </c>
      <c r="L627" s="31">
        <f>IF($K627="","",MIN(100,INT(SQRT($K627))))</f>
        <v/>
      </c>
      <c r="M627" s="31" t="n"/>
      <c r="N627" s="31">
        <f>IF($M627="Yes",$K627,"")</f>
        <v/>
      </c>
      <c r="O627" s="31" t="n"/>
      <c r="P627" s="59" t="n"/>
      <c r="Q627" s="59" t="n"/>
    </row>
    <row r="628">
      <c r="A628" s="31">
        <f>IF(Members!$A628="","",Members!$A628)</f>
        <v/>
      </c>
      <c r="B628" s="31" t="n"/>
      <c r="C628" s="31" t="n"/>
      <c r="D628" s="31" t="n"/>
      <c r="E628" s="31" t="n"/>
      <c r="F628" s="31" t="n"/>
      <c r="G628" s="31" t="n"/>
      <c r="H628" s="31" t="n"/>
      <c r="I628" s="31" t="n"/>
      <c r="J628" s="31" t="n"/>
      <c r="K628" s="31">
        <f>IF(COUNTA($D628:$J628)&lt;7,"",ROUND(MIN(10000, MAX(0, ((((($D628*1.2)+($E628*1.2)+($F628*1.1)+($G628*1.0)+($H628*1.0)+($I628*1.1)+($J628*0.9))/7.5)-1)/4*8000 + MIN($B628*20,1000) + MIN($C628*100,1000))),0))</f>
        <v/>
      </c>
      <c r="L628" s="31">
        <f>IF($K628="","",MIN(100,INT(SQRT($K628))))</f>
        <v/>
      </c>
      <c r="M628" s="31" t="n"/>
      <c r="N628" s="31">
        <f>IF($M628="Yes",$K628,"")</f>
        <v/>
      </c>
      <c r="O628" s="31" t="n"/>
      <c r="P628" s="59" t="n"/>
      <c r="Q628" s="59" t="n"/>
    </row>
    <row r="629">
      <c r="A629" s="31">
        <f>IF(Members!$A629="","",Members!$A629)</f>
        <v/>
      </c>
      <c r="B629" s="31" t="n"/>
      <c r="C629" s="31" t="n"/>
      <c r="D629" s="31" t="n"/>
      <c r="E629" s="31" t="n"/>
      <c r="F629" s="31" t="n"/>
      <c r="G629" s="31" t="n"/>
      <c r="H629" s="31" t="n"/>
      <c r="I629" s="31" t="n"/>
      <c r="J629" s="31" t="n"/>
      <c r="K629" s="31">
        <f>IF(COUNTA($D629:$J629)&lt;7,"",ROUND(MIN(10000, MAX(0, ((((($D629*1.2)+($E629*1.2)+($F629*1.1)+($G629*1.0)+($H629*1.0)+($I629*1.1)+($J629*0.9))/7.5)-1)/4*8000 + MIN($B629*20,1000) + MIN($C629*100,1000))),0))</f>
        <v/>
      </c>
      <c r="L629" s="31">
        <f>IF($K629="","",MIN(100,INT(SQRT($K629))))</f>
        <v/>
      </c>
      <c r="M629" s="31" t="n"/>
      <c r="N629" s="31">
        <f>IF($M629="Yes",$K629,"")</f>
        <v/>
      </c>
      <c r="O629" s="31" t="n"/>
      <c r="P629" s="59" t="n"/>
      <c r="Q629" s="59" t="n"/>
    </row>
    <row r="630">
      <c r="A630" s="31">
        <f>IF(Members!$A630="","",Members!$A630)</f>
        <v/>
      </c>
      <c r="B630" s="31" t="n"/>
      <c r="C630" s="31" t="n"/>
      <c r="D630" s="31" t="n"/>
      <c r="E630" s="31" t="n"/>
      <c r="F630" s="31" t="n"/>
      <c r="G630" s="31" t="n"/>
      <c r="H630" s="31" t="n"/>
      <c r="I630" s="31" t="n"/>
      <c r="J630" s="31" t="n"/>
      <c r="K630" s="31">
        <f>IF(COUNTA($D630:$J630)&lt;7,"",ROUND(MIN(10000, MAX(0, ((((($D630*1.2)+($E630*1.2)+($F630*1.1)+($G630*1.0)+($H630*1.0)+($I630*1.1)+($J630*0.9))/7.5)-1)/4*8000 + MIN($B630*20,1000) + MIN($C630*100,1000))),0))</f>
        <v/>
      </c>
      <c r="L630" s="31">
        <f>IF($K630="","",MIN(100,INT(SQRT($K630))))</f>
        <v/>
      </c>
      <c r="M630" s="31" t="n"/>
      <c r="N630" s="31">
        <f>IF($M630="Yes",$K630,"")</f>
        <v/>
      </c>
      <c r="O630" s="31" t="n"/>
      <c r="P630" s="59" t="n"/>
      <c r="Q630" s="59" t="n"/>
    </row>
    <row r="631">
      <c r="A631" s="31">
        <f>IF(Members!$A631="","",Members!$A631)</f>
        <v/>
      </c>
      <c r="B631" s="31" t="n"/>
      <c r="C631" s="31" t="n"/>
      <c r="D631" s="31" t="n"/>
      <c r="E631" s="31" t="n"/>
      <c r="F631" s="31" t="n"/>
      <c r="G631" s="31" t="n"/>
      <c r="H631" s="31" t="n"/>
      <c r="I631" s="31" t="n"/>
      <c r="J631" s="31" t="n"/>
      <c r="K631" s="31">
        <f>IF(COUNTA($D631:$J631)&lt;7,"",ROUND(MIN(10000, MAX(0, ((((($D631*1.2)+($E631*1.2)+($F631*1.1)+($G631*1.0)+($H631*1.0)+($I631*1.1)+($J631*0.9))/7.5)-1)/4*8000 + MIN($B631*20,1000) + MIN($C631*100,1000))),0))</f>
        <v/>
      </c>
      <c r="L631" s="31">
        <f>IF($K631="","",MIN(100,INT(SQRT($K631))))</f>
        <v/>
      </c>
      <c r="M631" s="31" t="n"/>
      <c r="N631" s="31">
        <f>IF($M631="Yes",$K631,"")</f>
        <v/>
      </c>
      <c r="O631" s="31" t="n"/>
      <c r="P631" s="59" t="n"/>
      <c r="Q631" s="59" t="n"/>
    </row>
    <row r="632">
      <c r="A632" s="31">
        <f>IF(Members!$A632="","",Members!$A632)</f>
        <v/>
      </c>
      <c r="B632" s="31" t="n"/>
      <c r="C632" s="31" t="n"/>
      <c r="D632" s="31" t="n"/>
      <c r="E632" s="31" t="n"/>
      <c r="F632" s="31" t="n"/>
      <c r="G632" s="31" t="n"/>
      <c r="H632" s="31" t="n"/>
      <c r="I632" s="31" t="n"/>
      <c r="J632" s="31" t="n"/>
      <c r="K632" s="31">
        <f>IF(COUNTA($D632:$J632)&lt;7,"",ROUND(MIN(10000, MAX(0, ((((($D632*1.2)+($E632*1.2)+($F632*1.1)+($G632*1.0)+($H632*1.0)+($I632*1.1)+($J632*0.9))/7.5)-1)/4*8000 + MIN($B632*20,1000) + MIN($C632*100,1000))),0))</f>
        <v/>
      </c>
      <c r="L632" s="31">
        <f>IF($K632="","",MIN(100,INT(SQRT($K632))))</f>
        <v/>
      </c>
      <c r="M632" s="31" t="n"/>
      <c r="N632" s="31">
        <f>IF($M632="Yes",$K632,"")</f>
        <v/>
      </c>
      <c r="O632" s="31" t="n"/>
      <c r="P632" s="59" t="n"/>
      <c r="Q632" s="59" t="n"/>
    </row>
    <row r="633">
      <c r="A633" s="31">
        <f>IF(Members!$A633="","",Members!$A633)</f>
        <v/>
      </c>
      <c r="B633" s="31" t="n"/>
      <c r="C633" s="31" t="n"/>
      <c r="D633" s="31" t="n"/>
      <c r="E633" s="31" t="n"/>
      <c r="F633" s="31" t="n"/>
      <c r="G633" s="31" t="n"/>
      <c r="H633" s="31" t="n"/>
      <c r="I633" s="31" t="n"/>
      <c r="J633" s="31" t="n"/>
      <c r="K633" s="31">
        <f>IF(COUNTA($D633:$J633)&lt;7,"",ROUND(MIN(10000, MAX(0, ((((($D633*1.2)+($E633*1.2)+($F633*1.1)+($G633*1.0)+($H633*1.0)+($I633*1.1)+($J633*0.9))/7.5)-1)/4*8000 + MIN($B633*20,1000) + MIN($C633*100,1000))),0))</f>
        <v/>
      </c>
      <c r="L633" s="31">
        <f>IF($K633="","",MIN(100,INT(SQRT($K633))))</f>
        <v/>
      </c>
      <c r="M633" s="31" t="n"/>
      <c r="N633" s="31">
        <f>IF($M633="Yes",$K633,"")</f>
        <v/>
      </c>
      <c r="O633" s="31" t="n"/>
      <c r="P633" s="59" t="n"/>
      <c r="Q633" s="59" t="n"/>
    </row>
    <row r="634">
      <c r="A634" s="31">
        <f>IF(Members!$A634="","",Members!$A634)</f>
        <v/>
      </c>
      <c r="B634" s="31" t="n"/>
      <c r="C634" s="31" t="n"/>
      <c r="D634" s="31" t="n"/>
      <c r="E634" s="31" t="n"/>
      <c r="F634" s="31" t="n"/>
      <c r="G634" s="31" t="n"/>
      <c r="H634" s="31" t="n"/>
      <c r="I634" s="31" t="n"/>
      <c r="J634" s="31" t="n"/>
      <c r="K634" s="31">
        <f>IF(COUNTA($D634:$J634)&lt;7,"",ROUND(MIN(10000, MAX(0, ((((($D634*1.2)+($E634*1.2)+($F634*1.1)+($G634*1.0)+($H634*1.0)+($I634*1.1)+($J634*0.9))/7.5)-1)/4*8000 + MIN($B634*20,1000) + MIN($C634*100,1000))),0))</f>
        <v/>
      </c>
      <c r="L634" s="31">
        <f>IF($K634="","",MIN(100,INT(SQRT($K634))))</f>
        <v/>
      </c>
      <c r="M634" s="31" t="n"/>
      <c r="N634" s="31">
        <f>IF($M634="Yes",$K634,"")</f>
        <v/>
      </c>
      <c r="O634" s="31" t="n"/>
      <c r="P634" s="59" t="n"/>
      <c r="Q634" s="59" t="n"/>
    </row>
    <row r="635">
      <c r="A635" s="31">
        <f>IF(Members!$A635="","",Members!$A635)</f>
        <v/>
      </c>
      <c r="B635" s="31" t="n"/>
      <c r="C635" s="31" t="n"/>
      <c r="D635" s="31" t="n"/>
      <c r="E635" s="31" t="n"/>
      <c r="F635" s="31" t="n"/>
      <c r="G635" s="31" t="n"/>
      <c r="H635" s="31" t="n"/>
      <c r="I635" s="31" t="n"/>
      <c r="J635" s="31" t="n"/>
      <c r="K635" s="31">
        <f>IF(COUNTA($D635:$J635)&lt;7,"",ROUND(MIN(10000, MAX(0, ((((($D635*1.2)+($E635*1.2)+($F635*1.1)+($G635*1.0)+($H635*1.0)+($I635*1.1)+($J635*0.9))/7.5)-1)/4*8000 + MIN($B635*20,1000) + MIN($C635*100,1000))),0))</f>
        <v/>
      </c>
      <c r="L635" s="31">
        <f>IF($K635="","",MIN(100,INT(SQRT($K635))))</f>
        <v/>
      </c>
      <c r="M635" s="31" t="n"/>
      <c r="N635" s="31">
        <f>IF($M635="Yes",$K635,"")</f>
        <v/>
      </c>
      <c r="O635" s="31" t="n"/>
      <c r="P635" s="59" t="n"/>
      <c r="Q635" s="59" t="n"/>
    </row>
    <row r="636">
      <c r="A636" s="31">
        <f>IF(Members!$A636="","",Members!$A636)</f>
        <v/>
      </c>
      <c r="B636" s="31" t="n"/>
      <c r="C636" s="31" t="n"/>
      <c r="D636" s="31" t="n"/>
      <c r="E636" s="31" t="n"/>
      <c r="F636" s="31" t="n"/>
      <c r="G636" s="31" t="n"/>
      <c r="H636" s="31" t="n"/>
      <c r="I636" s="31" t="n"/>
      <c r="J636" s="31" t="n"/>
      <c r="K636" s="31">
        <f>IF(COUNTA($D636:$J636)&lt;7,"",ROUND(MIN(10000, MAX(0, ((((($D636*1.2)+($E636*1.2)+($F636*1.1)+($G636*1.0)+($H636*1.0)+($I636*1.1)+($J636*0.9))/7.5)-1)/4*8000 + MIN($B636*20,1000) + MIN($C636*100,1000))),0))</f>
        <v/>
      </c>
      <c r="L636" s="31">
        <f>IF($K636="","",MIN(100,INT(SQRT($K636))))</f>
        <v/>
      </c>
      <c r="M636" s="31" t="n"/>
      <c r="N636" s="31">
        <f>IF($M636="Yes",$K636,"")</f>
        <v/>
      </c>
      <c r="O636" s="31" t="n"/>
      <c r="P636" s="59" t="n"/>
      <c r="Q636" s="59" t="n"/>
    </row>
    <row r="637">
      <c r="A637" s="31">
        <f>IF(Members!$A637="","",Members!$A637)</f>
        <v/>
      </c>
      <c r="B637" s="31" t="n"/>
      <c r="C637" s="31" t="n"/>
      <c r="D637" s="31" t="n"/>
      <c r="E637" s="31" t="n"/>
      <c r="F637" s="31" t="n"/>
      <c r="G637" s="31" t="n"/>
      <c r="H637" s="31" t="n"/>
      <c r="I637" s="31" t="n"/>
      <c r="J637" s="31" t="n"/>
      <c r="K637" s="31">
        <f>IF(COUNTA($D637:$J637)&lt;7,"",ROUND(MIN(10000, MAX(0, ((((($D637*1.2)+($E637*1.2)+($F637*1.1)+($G637*1.0)+($H637*1.0)+($I637*1.1)+($J637*0.9))/7.5)-1)/4*8000 + MIN($B637*20,1000) + MIN($C637*100,1000))),0))</f>
        <v/>
      </c>
      <c r="L637" s="31">
        <f>IF($K637="","",MIN(100,INT(SQRT($K637))))</f>
        <v/>
      </c>
      <c r="M637" s="31" t="n"/>
      <c r="N637" s="31">
        <f>IF($M637="Yes",$K637,"")</f>
        <v/>
      </c>
      <c r="O637" s="31" t="n"/>
      <c r="P637" s="59" t="n"/>
      <c r="Q637" s="59" t="n"/>
    </row>
    <row r="638">
      <c r="A638" s="31">
        <f>IF(Members!$A638="","",Members!$A638)</f>
        <v/>
      </c>
      <c r="B638" s="31" t="n"/>
      <c r="C638" s="31" t="n"/>
      <c r="D638" s="31" t="n"/>
      <c r="E638" s="31" t="n"/>
      <c r="F638" s="31" t="n"/>
      <c r="G638" s="31" t="n"/>
      <c r="H638" s="31" t="n"/>
      <c r="I638" s="31" t="n"/>
      <c r="J638" s="31" t="n"/>
      <c r="K638" s="31">
        <f>IF(COUNTA($D638:$J638)&lt;7,"",ROUND(MIN(10000, MAX(0, ((((($D638*1.2)+($E638*1.2)+($F638*1.1)+($G638*1.0)+($H638*1.0)+($I638*1.1)+($J638*0.9))/7.5)-1)/4*8000 + MIN($B638*20,1000) + MIN($C638*100,1000))),0))</f>
        <v/>
      </c>
      <c r="L638" s="31">
        <f>IF($K638="","",MIN(100,INT(SQRT($K638))))</f>
        <v/>
      </c>
      <c r="M638" s="31" t="n"/>
      <c r="N638" s="31">
        <f>IF($M638="Yes",$K638,"")</f>
        <v/>
      </c>
      <c r="O638" s="31" t="n"/>
      <c r="P638" s="59" t="n"/>
      <c r="Q638" s="59" t="n"/>
    </row>
    <row r="639">
      <c r="A639" s="31">
        <f>IF(Members!$A639="","",Members!$A639)</f>
        <v/>
      </c>
      <c r="B639" s="31" t="n"/>
      <c r="C639" s="31" t="n"/>
      <c r="D639" s="31" t="n"/>
      <c r="E639" s="31" t="n"/>
      <c r="F639" s="31" t="n"/>
      <c r="G639" s="31" t="n"/>
      <c r="H639" s="31" t="n"/>
      <c r="I639" s="31" t="n"/>
      <c r="J639" s="31" t="n"/>
      <c r="K639" s="31">
        <f>IF(COUNTA($D639:$J639)&lt;7,"",ROUND(MIN(10000, MAX(0, ((((($D639*1.2)+($E639*1.2)+($F639*1.1)+($G639*1.0)+($H639*1.0)+($I639*1.1)+($J639*0.9))/7.5)-1)/4*8000 + MIN($B639*20,1000) + MIN($C639*100,1000))),0))</f>
        <v/>
      </c>
      <c r="L639" s="31">
        <f>IF($K639="","",MIN(100,INT(SQRT($K639))))</f>
        <v/>
      </c>
      <c r="M639" s="31" t="n"/>
      <c r="N639" s="31">
        <f>IF($M639="Yes",$K639,"")</f>
        <v/>
      </c>
      <c r="O639" s="31" t="n"/>
      <c r="P639" s="59" t="n"/>
      <c r="Q639" s="59" t="n"/>
    </row>
    <row r="640">
      <c r="A640" s="31">
        <f>IF(Members!$A640="","",Members!$A640)</f>
        <v/>
      </c>
      <c r="B640" s="31" t="n"/>
      <c r="C640" s="31" t="n"/>
      <c r="D640" s="31" t="n"/>
      <c r="E640" s="31" t="n"/>
      <c r="F640" s="31" t="n"/>
      <c r="G640" s="31" t="n"/>
      <c r="H640" s="31" t="n"/>
      <c r="I640" s="31" t="n"/>
      <c r="J640" s="31" t="n"/>
      <c r="K640" s="31">
        <f>IF(COUNTA($D640:$J640)&lt;7,"",ROUND(MIN(10000, MAX(0, ((((($D640*1.2)+($E640*1.2)+($F640*1.1)+($G640*1.0)+($H640*1.0)+($I640*1.1)+($J640*0.9))/7.5)-1)/4*8000 + MIN($B640*20,1000) + MIN($C640*100,1000))),0))</f>
        <v/>
      </c>
      <c r="L640" s="31">
        <f>IF($K640="","",MIN(100,INT(SQRT($K640))))</f>
        <v/>
      </c>
      <c r="M640" s="31" t="n"/>
      <c r="N640" s="31">
        <f>IF($M640="Yes",$K640,"")</f>
        <v/>
      </c>
      <c r="O640" s="31" t="n"/>
      <c r="P640" s="59" t="n"/>
      <c r="Q640" s="59" t="n"/>
    </row>
    <row r="641">
      <c r="A641" s="31">
        <f>IF(Members!$A641="","",Members!$A641)</f>
        <v/>
      </c>
      <c r="B641" s="31" t="n"/>
      <c r="C641" s="31" t="n"/>
      <c r="D641" s="31" t="n"/>
      <c r="E641" s="31" t="n"/>
      <c r="F641" s="31" t="n"/>
      <c r="G641" s="31" t="n"/>
      <c r="H641" s="31" t="n"/>
      <c r="I641" s="31" t="n"/>
      <c r="J641" s="31" t="n"/>
      <c r="K641" s="31">
        <f>IF(COUNTA($D641:$J641)&lt;7,"",ROUND(MIN(10000, MAX(0, ((((($D641*1.2)+($E641*1.2)+($F641*1.1)+($G641*1.0)+($H641*1.0)+($I641*1.1)+($J641*0.9))/7.5)-1)/4*8000 + MIN($B641*20,1000) + MIN($C641*100,1000))),0))</f>
        <v/>
      </c>
      <c r="L641" s="31">
        <f>IF($K641="","",MIN(100,INT(SQRT($K641))))</f>
        <v/>
      </c>
      <c r="M641" s="31" t="n"/>
      <c r="N641" s="31">
        <f>IF($M641="Yes",$K641,"")</f>
        <v/>
      </c>
      <c r="O641" s="31" t="n"/>
      <c r="P641" s="59" t="n"/>
      <c r="Q641" s="59" t="n"/>
    </row>
    <row r="642">
      <c r="A642" s="31">
        <f>IF(Members!$A642="","",Members!$A642)</f>
        <v/>
      </c>
      <c r="B642" s="31" t="n"/>
      <c r="C642" s="31" t="n"/>
      <c r="D642" s="31" t="n"/>
      <c r="E642" s="31" t="n"/>
      <c r="F642" s="31" t="n"/>
      <c r="G642" s="31" t="n"/>
      <c r="H642" s="31" t="n"/>
      <c r="I642" s="31" t="n"/>
      <c r="J642" s="31" t="n"/>
      <c r="K642" s="31">
        <f>IF(COUNTA($D642:$J642)&lt;7,"",ROUND(MIN(10000, MAX(0, ((((($D642*1.2)+($E642*1.2)+($F642*1.1)+($G642*1.0)+($H642*1.0)+($I642*1.1)+($J642*0.9))/7.5)-1)/4*8000 + MIN($B642*20,1000) + MIN($C642*100,1000))),0))</f>
        <v/>
      </c>
      <c r="L642" s="31">
        <f>IF($K642="","",MIN(100,INT(SQRT($K642))))</f>
        <v/>
      </c>
      <c r="M642" s="31" t="n"/>
      <c r="N642" s="31">
        <f>IF($M642="Yes",$K642,"")</f>
        <v/>
      </c>
      <c r="O642" s="31" t="n"/>
      <c r="P642" s="59" t="n"/>
      <c r="Q642" s="59" t="n"/>
    </row>
    <row r="643">
      <c r="A643" s="31">
        <f>IF(Members!$A643="","",Members!$A643)</f>
        <v/>
      </c>
      <c r="B643" s="31" t="n"/>
      <c r="C643" s="31" t="n"/>
      <c r="D643" s="31" t="n"/>
      <c r="E643" s="31" t="n"/>
      <c r="F643" s="31" t="n"/>
      <c r="G643" s="31" t="n"/>
      <c r="H643" s="31" t="n"/>
      <c r="I643" s="31" t="n"/>
      <c r="J643" s="31" t="n"/>
      <c r="K643" s="31">
        <f>IF(COUNTA($D643:$J643)&lt;7,"",ROUND(MIN(10000, MAX(0, ((((($D643*1.2)+($E643*1.2)+($F643*1.1)+($G643*1.0)+($H643*1.0)+($I643*1.1)+($J643*0.9))/7.5)-1)/4*8000 + MIN($B643*20,1000) + MIN($C643*100,1000))),0))</f>
        <v/>
      </c>
      <c r="L643" s="31">
        <f>IF($K643="","",MIN(100,INT(SQRT($K643))))</f>
        <v/>
      </c>
      <c r="M643" s="31" t="n"/>
      <c r="N643" s="31">
        <f>IF($M643="Yes",$K643,"")</f>
        <v/>
      </c>
      <c r="O643" s="31" t="n"/>
      <c r="P643" s="59" t="n"/>
      <c r="Q643" s="59" t="n"/>
    </row>
    <row r="644">
      <c r="A644" s="31">
        <f>IF(Members!$A644="","",Members!$A644)</f>
        <v/>
      </c>
      <c r="B644" s="31" t="n"/>
      <c r="C644" s="31" t="n"/>
      <c r="D644" s="31" t="n"/>
      <c r="E644" s="31" t="n"/>
      <c r="F644" s="31" t="n"/>
      <c r="G644" s="31" t="n"/>
      <c r="H644" s="31" t="n"/>
      <c r="I644" s="31" t="n"/>
      <c r="J644" s="31" t="n"/>
      <c r="K644" s="31">
        <f>IF(COUNTA($D644:$J644)&lt;7,"",ROUND(MIN(10000, MAX(0, ((((($D644*1.2)+($E644*1.2)+($F644*1.1)+($G644*1.0)+($H644*1.0)+($I644*1.1)+($J644*0.9))/7.5)-1)/4*8000 + MIN($B644*20,1000) + MIN($C644*100,1000))),0))</f>
        <v/>
      </c>
      <c r="L644" s="31">
        <f>IF($K644="","",MIN(100,INT(SQRT($K644))))</f>
        <v/>
      </c>
      <c r="M644" s="31" t="n"/>
      <c r="N644" s="31">
        <f>IF($M644="Yes",$K644,"")</f>
        <v/>
      </c>
      <c r="O644" s="31" t="n"/>
      <c r="P644" s="59" t="n"/>
      <c r="Q644" s="59" t="n"/>
    </row>
    <row r="645">
      <c r="A645" s="31">
        <f>IF(Members!$A645="","",Members!$A645)</f>
        <v/>
      </c>
      <c r="B645" s="31" t="n"/>
      <c r="C645" s="31" t="n"/>
      <c r="D645" s="31" t="n"/>
      <c r="E645" s="31" t="n"/>
      <c r="F645" s="31" t="n"/>
      <c r="G645" s="31" t="n"/>
      <c r="H645" s="31" t="n"/>
      <c r="I645" s="31" t="n"/>
      <c r="J645" s="31" t="n"/>
      <c r="K645" s="31">
        <f>IF(COUNTA($D645:$J645)&lt;7,"",ROUND(MIN(10000, MAX(0, ((((($D645*1.2)+($E645*1.2)+($F645*1.1)+($G645*1.0)+($H645*1.0)+($I645*1.1)+($J645*0.9))/7.5)-1)/4*8000 + MIN($B645*20,1000) + MIN($C645*100,1000))),0))</f>
        <v/>
      </c>
      <c r="L645" s="31">
        <f>IF($K645="","",MIN(100,INT(SQRT($K645))))</f>
        <v/>
      </c>
      <c r="M645" s="31" t="n"/>
      <c r="N645" s="31">
        <f>IF($M645="Yes",$K645,"")</f>
        <v/>
      </c>
      <c r="O645" s="31" t="n"/>
      <c r="P645" s="59" t="n"/>
      <c r="Q645" s="59" t="n"/>
    </row>
    <row r="646">
      <c r="A646" s="31">
        <f>IF(Members!$A646="","",Members!$A646)</f>
        <v/>
      </c>
      <c r="B646" s="31" t="n"/>
      <c r="C646" s="31" t="n"/>
      <c r="D646" s="31" t="n"/>
      <c r="E646" s="31" t="n"/>
      <c r="F646" s="31" t="n"/>
      <c r="G646" s="31" t="n"/>
      <c r="H646" s="31" t="n"/>
      <c r="I646" s="31" t="n"/>
      <c r="J646" s="31" t="n"/>
      <c r="K646" s="31">
        <f>IF(COUNTA($D646:$J646)&lt;7,"",ROUND(MIN(10000, MAX(0, ((((($D646*1.2)+($E646*1.2)+($F646*1.1)+($G646*1.0)+($H646*1.0)+($I646*1.1)+($J646*0.9))/7.5)-1)/4*8000 + MIN($B646*20,1000) + MIN($C646*100,1000))),0))</f>
        <v/>
      </c>
      <c r="L646" s="31">
        <f>IF($K646="","",MIN(100,INT(SQRT($K646))))</f>
        <v/>
      </c>
      <c r="M646" s="31" t="n"/>
      <c r="N646" s="31">
        <f>IF($M646="Yes",$K646,"")</f>
        <v/>
      </c>
      <c r="O646" s="31" t="n"/>
      <c r="P646" s="59" t="n"/>
      <c r="Q646" s="59" t="n"/>
    </row>
    <row r="647">
      <c r="A647" s="31">
        <f>IF(Members!$A647="","",Members!$A647)</f>
        <v/>
      </c>
      <c r="B647" s="31" t="n"/>
      <c r="C647" s="31" t="n"/>
      <c r="D647" s="31" t="n"/>
      <c r="E647" s="31" t="n"/>
      <c r="F647" s="31" t="n"/>
      <c r="G647" s="31" t="n"/>
      <c r="H647" s="31" t="n"/>
      <c r="I647" s="31" t="n"/>
      <c r="J647" s="31" t="n"/>
      <c r="K647" s="31">
        <f>IF(COUNTA($D647:$J647)&lt;7,"",ROUND(MIN(10000, MAX(0, ((((($D647*1.2)+($E647*1.2)+($F647*1.1)+($G647*1.0)+($H647*1.0)+($I647*1.1)+($J647*0.9))/7.5)-1)/4*8000 + MIN($B647*20,1000) + MIN($C647*100,1000))),0))</f>
        <v/>
      </c>
      <c r="L647" s="31">
        <f>IF($K647="","",MIN(100,INT(SQRT($K647))))</f>
        <v/>
      </c>
      <c r="M647" s="31" t="n"/>
      <c r="N647" s="31">
        <f>IF($M647="Yes",$K647,"")</f>
        <v/>
      </c>
      <c r="O647" s="31" t="n"/>
      <c r="P647" s="59" t="n"/>
      <c r="Q647" s="59" t="n"/>
    </row>
    <row r="648">
      <c r="A648" s="31">
        <f>IF(Members!$A648="","",Members!$A648)</f>
        <v/>
      </c>
      <c r="B648" s="31" t="n"/>
      <c r="C648" s="31" t="n"/>
      <c r="D648" s="31" t="n"/>
      <c r="E648" s="31" t="n"/>
      <c r="F648" s="31" t="n"/>
      <c r="G648" s="31" t="n"/>
      <c r="H648" s="31" t="n"/>
      <c r="I648" s="31" t="n"/>
      <c r="J648" s="31" t="n"/>
      <c r="K648" s="31">
        <f>IF(COUNTA($D648:$J648)&lt;7,"",ROUND(MIN(10000, MAX(0, ((((($D648*1.2)+($E648*1.2)+($F648*1.1)+($G648*1.0)+($H648*1.0)+($I648*1.1)+($J648*0.9))/7.5)-1)/4*8000 + MIN($B648*20,1000) + MIN($C648*100,1000))),0))</f>
        <v/>
      </c>
      <c r="L648" s="31">
        <f>IF($K648="","",MIN(100,INT(SQRT($K648))))</f>
        <v/>
      </c>
      <c r="M648" s="31" t="n"/>
      <c r="N648" s="31">
        <f>IF($M648="Yes",$K648,"")</f>
        <v/>
      </c>
      <c r="O648" s="31" t="n"/>
      <c r="P648" s="59" t="n"/>
      <c r="Q648" s="59" t="n"/>
    </row>
    <row r="649">
      <c r="A649" s="31">
        <f>IF(Members!$A649="","",Members!$A649)</f>
        <v/>
      </c>
      <c r="B649" s="31" t="n"/>
      <c r="C649" s="31" t="n"/>
      <c r="D649" s="31" t="n"/>
      <c r="E649" s="31" t="n"/>
      <c r="F649" s="31" t="n"/>
      <c r="G649" s="31" t="n"/>
      <c r="H649" s="31" t="n"/>
      <c r="I649" s="31" t="n"/>
      <c r="J649" s="31" t="n"/>
      <c r="K649" s="31">
        <f>IF(COUNTA($D649:$J649)&lt;7,"",ROUND(MIN(10000, MAX(0, ((((($D649*1.2)+($E649*1.2)+($F649*1.1)+($G649*1.0)+($H649*1.0)+($I649*1.1)+($J649*0.9))/7.5)-1)/4*8000 + MIN($B649*20,1000) + MIN($C649*100,1000))),0))</f>
        <v/>
      </c>
      <c r="L649" s="31">
        <f>IF($K649="","",MIN(100,INT(SQRT($K649))))</f>
        <v/>
      </c>
      <c r="M649" s="31" t="n"/>
      <c r="N649" s="31">
        <f>IF($M649="Yes",$K649,"")</f>
        <v/>
      </c>
      <c r="O649" s="31" t="n"/>
      <c r="P649" s="59" t="n"/>
      <c r="Q649" s="59" t="n"/>
    </row>
    <row r="650">
      <c r="A650" s="31">
        <f>IF(Members!$A650="","",Members!$A650)</f>
        <v/>
      </c>
      <c r="B650" s="31" t="n"/>
      <c r="C650" s="31" t="n"/>
      <c r="D650" s="31" t="n"/>
      <c r="E650" s="31" t="n"/>
      <c r="F650" s="31" t="n"/>
      <c r="G650" s="31" t="n"/>
      <c r="H650" s="31" t="n"/>
      <c r="I650" s="31" t="n"/>
      <c r="J650" s="31" t="n"/>
      <c r="K650" s="31">
        <f>IF(COUNTA($D650:$J650)&lt;7,"",ROUND(MIN(10000, MAX(0, ((((($D650*1.2)+($E650*1.2)+($F650*1.1)+($G650*1.0)+($H650*1.0)+($I650*1.1)+($J650*0.9))/7.5)-1)/4*8000 + MIN($B650*20,1000) + MIN($C650*100,1000))),0))</f>
        <v/>
      </c>
      <c r="L650" s="31">
        <f>IF($K650="","",MIN(100,INT(SQRT($K650))))</f>
        <v/>
      </c>
      <c r="M650" s="31" t="n"/>
      <c r="N650" s="31">
        <f>IF($M650="Yes",$K650,"")</f>
        <v/>
      </c>
      <c r="O650" s="31" t="n"/>
      <c r="P650" s="59" t="n"/>
      <c r="Q650" s="59" t="n"/>
    </row>
    <row r="651">
      <c r="A651" s="31">
        <f>IF(Members!$A651="","",Members!$A651)</f>
        <v/>
      </c>
      <c r="B651" s="31" t="n"/>
      <c r="C651" s="31" t="n"/>
      <c r="D651" s="31" t="n"/>
      <c r="E651" s="31" t="n"/>
      <c r="F651" s="31" t="n"/>
      <c r="G651" s="31" t="n"/>
      <c r="H651" s="31" t="n"/>
      <c r="I651" s="31" t="n"/>
      <c r="J651" s="31" t="n"/>
      <c r="K651" s="31">
        <f>IF(COUNTA($D651:$J651)&lt;7,"",ROUND(MIN(10000, MAX(0, ((((($D651*1.2)+($E651*1.2)+($F651*1.1)+($G651*1.0)+($H651*1.0)+($I651*1.1)+($J651*0.9))/7.5)-1)/4*8000 + MIN($B651*20,1000) + MIN($C651*100,1000))),0))</f>
        <v/>
      </c>
      <c r="L651" s="31">
        <f>IF($K651="","",MIN(100,INT(SQRT($K651))))</f>
        <v/>
      </c>
      <c r="M651" s="31" t="n"/>
      <c r="N651" s="31">
        <f>IF($M651="Yes",$K651,"")</f>
        <v/>
      </c>
      <c r="O651" s="31" t="n"/>
      <c r="P651" s="59" t="n"/>
      <c r="Q651" s="59" t="n"/>
    </row>
    <row r="652">
      <c r="A652" s="31">
        <f>IF(Members!$A652="","",Members!$A652)</f>
        <v/>
      </c>
      <c r="B652" s="31" t="n"/>
      <c r="C652" s="31" t="n"/>
      <c r="D652" s="31" t="n"/>
      <c r="E652" s="31" t="n"/>
      <c r="F652" s="31" t="n"/>
      <c r="G652" s="31" t="n"/>
      <c r="H652" s="31" t="n"/>
      <c r="I652" s="31" t="n"/>
      <c r="J652" s="31" t="n"/>
      <c r="K652" s="31">
        <f>IF(COUNTA($D652:$J652)&lt;7,"",ROUND(MIN(10000, MAX(0, ((((($D652*1.2)+($E652*1.2)+($F652*1.1)+($G652*1.0)+($H652*1.0)+($I652*1.1)+($J652*0.9))/7.5)-1)/4*8000 + MIN($B652*20,1000) + MIN($C652*100,1000))),0))</f>
        <v/>
      </c>
      <c r="L652" s="31">
        <f>IF($K652="","",MIN(100,INT(SQRT($K652))))</f>
        <v/>
      </c>
      <c r="M652" s="31" t="n"/>
      <c r="N652" s="31">
        <f>IF($M652="Yes",$K652,"")</f>
        <v/>
      </c>
      <c r="O652" s="31" t="n"/>
      <c r="P652" s="59" t="n"/>
      <c r="Q652" s="59" t="n"/>
    </row>
    <row r="653">
      <c r="A653" s="31">
        <f>IF(Members!$A653="","",Members!$A653)</f>
        <v/>
      </c>
      <c r="B653" s="31" t="n"/>
      <c r="C653" s="31" t="n"/>
      <c r="D653" s="31" t="n"/>
      <c r="E653" s="31" t="n"/>
      <c r="F653" s="31" t="n"/>
      <c r="G653" s="31" t="n"/>
      <c r="H653" s="31" t="n"/>
      <c r="I653" s="31" t="n"/>
      <c r="J653" s="31" t="n"/>
      <c r="K653" s="31">
        <f>IF(COUNTA($D653:$J653)&lt;7,"",ROUND(MIN(10000, MAX(0, ((((($D653*1.2)+($E653*1.2)+($F653*1.1)+($G653*1.0)+($H653*1.0)+($I653*1.1)+($J653*0.9))/7.5)-1)/4*8000 + MIN($B653*20,1000) + MIN($C653*100,1000))),0))</f>
        <v/>
      </c>
      <c r="L653" s="31">
        <f>IF($K653="","",MIN(100,INT(SQRT($K653))))</f>
        <v/>
      </c>
      <c r="M653" s="31" t="n"/>
      <c r="N653" s="31">
        <f>IF($M653="Yes",$K653,"")</f>
        <v/>
      </c>
      <c r="O653" s="31" t="n"/>
      <c r="P653" s="59" t="n"/>
      <c r="Q653" s="59" t="n"/>
    </row>
    <row r="654">
      <c r="A654" s="31">
        <f>IF(Members!$A654="","",Members!$A654)</f>
        <v/>
      </c>
      <c r="B654" s="31" t="n"/>
      <c r="C654" s="31" t="n"/>
      <c r="D654" s="31" t="n"/>
      <c r="E654" s="31" t="n"/>
      <c r="F654" s="31" t="n"/>
      <c r="G654" s="31" t="n"/>
      <c r="H654" s="31" t="n"/>
      <c r="I654" s="31" t="n"/>
      <c r="J654" s="31" t="n"/>
      <c r="K654" s="31">
        <f>IF(COUNTA($D654:$J654)&lt;7,"",ROUND(MIN(10000, MAX(0, ((((($D654*1.2)+($E654*1.2)+($F654*1.1)+($G654*1.0)+($H654*1.0)+($I654*1.1)+($J654*0.9))/7.5)-1)/4*8000 + MIN($B654*20,1000) + MIN($C654*100,1000))),0))</f>
        <v/>
      </c>
      <c r="L654" s="31">
        <f>IF($K654="","",MIN(100,INT(SQRT($K654))))</f>
        <v/>
      </c>
      <c r="M654" s="31" t="n"/>
      <c r="N654" s="31">
        <f>IF($M654="Yes",$K654,"")</f>
        <v/>
      </c>
      <c r="O654" s="31" t="n"/>
      <c r="P654" s="59" t="n"/>
      <c r="Q654" s="59" t="n"/>
    </row>
    <row r="655">
      <c r="A655" s="31">
        <f>IF(Members!$A655="","",Members!$A655)</f>
        <v/>
      </c>
      <c r="B655" s="31" t="n"/>
      <c r="C655" s="31" t="n"/>
      <c r="D655" s="31" t="n"/>
      <c r="E655" s="31" t="n"/>
      <c r="F655" s="31" t="n"/>
      <c r="G655" s="31" t="n"/>
      <c r="H655" s="31" t="n"/>
      <c r="I655" s="31" t="n"/>
      <c r="J655" s="31" t="n"/>
      <c r="K655" s="31">
        <f>IF(COUNTA($D655:$J655)&lt;7,"",ROUND(MIN(10000, MAX(0, ((((($D655*1.2)+($E655*1.2)+($F655*1.1)+($G655*1.0)+($H655*1.0)+($I655*1.1)+($J655*0.9))/7.5)-1)/4*8000 + MIN($B655*20,1000) + MIN($C655*100,1000))),0))</f>
        <v/>
      </c>
      <c r="L655" s="31">
        <f>IF($K655="","",MIN(100,INT(SQRT($K655))))</f>
        <v/>
      </c>
      <c r="M655" s="31" t="n"/>
      <c r="N655" s="31">
        <f>IF($M655="Yes",$K655,"")</f>
        <v/>
      </c>
      <c r="O655" s="31" t="n"/>
      <c r="P655" s="59" t="n"/>
      <c r="Q655" s="59" t="n"/>
    </row>
    <row r="656">
      <c r="A656" s="31">
        <f>IF(Members!$A656="","",Members!$A656)</f>
        <v/>
      </c>
      <c r="B656" s="31" t="n"/>
      <c r="C656" s="31" t="n"/>
      <c r="D656" s="31" t="n"/>
      <c r="E656" s="31" t="n"/>
      <c r="F656" s="31" t="n"/>
      <c r="G656" s="31" t="n"/>
      <c r="H656" s="31" t="n"/>
      <c r="I656" s="31" t="n"/>
      <c r="J656" s="31" t="n"/>
      <c r="K656" s="31">
        <f>IF(COUNTA($D656:$J656)&lt;7,"",ROUND(MIN(10000, MAX(0, ((((($D656*1.2)+($E656*1.2)+($F656*1.1)+($G656*1.0)+($H656*1.0)+($I656*1.1)+($J656*0.9))/7.5)-1)/4*8000 + MIN($B656*20,1000) + MIN($C656*100,1000))),0))</f>
        <v/>
      </c>
      <c r="L656" s="31">
        <f>IF($K656="","",MIN(100,INT(SQRT($K656))))</f>
        <v/>
      </c>
      <c r="M656" s="31" t="n"/>
      <c r="N656" s="31">
        <f>IF($M656="Yes",$K656,"")</f>
        <v/>
      </c>
      <c r="O656" s="31" t="n"/>
      <c r="P656" s="59" t="n"/>
      <c r="Q656" s="59" t="n"/>
    </row>
    <row r="657">
      <c r="A657" s="31">
        <f>IF(Members!$A657="","",Members!$A657)</f>
        <v/>
      </c>
      <c r="B657" s="31" t="n"/>
      <c r="C657" s="31" t="n"/>
      <c r="D657" s="31" t="n"/>
      <c r="E657" s="31" t="n"/>
      <c r="F657" s="31" t="n"/>
      <c r="G657" s="31" t="n"/>
      <c r="H657" s="31" t="n"/>
      <c r="I657" s="31" t="n"/>
      <c r="J657" s="31" t="n"/>
      <c r="K657" s="31">
        <f>IF(COUNTA($D657:$J657)&lt;7,"",ROUND(MIN(10000, MAX(0, ((((($D657*1.2)+($E657*1.2)+($F657*1.1)+($G657*1.0)+($H657*1.0)+($I657*1.1)+($J657*0.9))/7.5)-1)/4*8000 + MIN($B657*20,1000) + MIN($C657*100,1000))),0))</f>
        <v/>
      </c>
      <c r="L657" s="31">
        <f>IF($K657="","",MIN(100,INT(SQRT($K657))))</f>
        <v/>
      </c>
      <c r="M657" s="31" t="n"/>
      <c r="N657" s="31">
        <f>IF($M657="Yes",$K657,"")</f>
        <v/>
      </c>
      <c r="O657" s="31" t="n"/>
      <c r="P657" s="59" t="n"/>
      <c r="Q657" s="59" t="n"/>
    </row>
    <row r="658">
      <c r="A658" s="31">
        <f>IF(Members!$A658="","",Members!$A658)</f>
        <v/>
      </c>
      <c r="B658" s="31" t="n"/>
      <c r="C658" s="31" t="n"/>
      <c r="D658" s="31" t="n"/>
      <c r="E658" s="31" t="n"/>
      <c r="F658" s="31" t="n"/>
      <c r="G658" s="31" t="n"/>
      <c r="H658" s="31" t="n"/>
      <c r="I658" s="31" t="n"/>
      <c r="J658" s="31" t="n"/>
      <c r="K658" s="31">
        <f>IF(COUNTA($D658:$J658)&lt;7,"",ROUND(MIN(10000, MAX(0, ((((($D658*1.2)+($E658*1.2)+($F658*1.1)+($G658*1.0)+($H658*1.0)+($I658*1.1)+($J658*0.9))/7.5)-1)/4*8000 + MIN($B658*20,1000) + MIN($C658*100,1000))),0))</f>
        <v/>
      </c>
      <c r="L658" s="31">
        <f>IF($K658="","",MIN(100,INT(SQRT($K658))))</f>
        <v/>
      </c>
      <c r="M658" s="31" t="n"/>
      <c r="N658" s="31">
        <f>IF($M658="Yes",$K658,"")</f>
        <v/>
      </c>
      <c r="O658" s="31" t="n"/>
      <c r="P658" s="59" t="n"/>
      <c r="Q658" s="59" t="n"/>
    </row>
    <row r="659">
      <c r="A659" s="31">
        <f>IF(Members!$A659="","",Members!$A659)</f>
        <v/>
      </c>
      <c r="B659" s="31" t="n"/>
      <c r="C659" s="31" t="n"/>
      <c r="D659" s="31" t="n"/>
      <c r="E659" s="31" t="n"/>
      <c r="F659" s="31" t="n"/>
      <c r="G659" s="31" t="n"/>
      <c r="H659" s="31" t="n"/>
      <c r="I659" s="31" t="n"/>
      <c r="J659" s="31" t="n"/>
      <c r="K659" s="31">
        <f>IF(COUNTA($D659:$J659)&lt;7,"",ROUND(MIN(10000, MAX(0, ((((($D659*1.2)+($E659*1.2)+($F659*1.1)+($G659*1.0)+($H659*1.0)+($I659*1.1)+($J659*0.9))/7.5)-1)/4*8000 + MIN($B659*20,1000) + MIN($C659*100,1000))),0))</f>
        <v/>
      </c>
      <c r="L659" s="31">
        <f>IF($K659="","",MIN(100,INT(SQRT($K659))))</f>
        <v/>
      </c>
      <c r="M659" s="31" t="n"/>
      <c r="N659" s="31">
        <f>IF($M659="Yes",$K659,"")</f>
        <v/>
      </c>
      <c r="O659" s="31" t="n"/>
      <c r="P659" s="59" t="n"/>
      <c r="Q659" s="59" t="n"/>
    </row>
    <row r="660">
      <c r="A660" s="31">
        <f>IF(Members!$A660="","",Members!$A660)</f>
        <v/>
      </c>
      <c r="B660" s="31" t="n"/>
      <c r="C660" s="31" t="n"/>
      <c r="D660" s="31" t="n"/>
      <c r="E660" s="31" t="n"/>
      <c r="F660" s="31" t="n"/>
      <c r="G660" s="31" t="n"/>
      <c r="H660" s="31" t="n"/>
      <c r="I660" s="31" t="n"/>
      <c r="J660" s="31" t="n"/>
      <c r="K660" s="31">
        <f>IF(COUNTA($D660:$J660)&lt;7,"",ROUND(MIN(10000, MAX(0, ((((($D660*1.2)+($E660*1.2)+($F660*1.1)+($G660*1.0)+($H660*1.0)+($I660*1.1)+($J660*0.9))/7.5)-1)/4*8000 + MIN($B660*20,1000) + MIN($C660*100,1000))),0))</f>
        <v/>
      </c>
      <c r="L660" s="31">
        <f>IF($K660="","",MIN(100,INT(SQRT($K660))))</f>
        <v/>
      </c>
      <c r="M660" s="31" t="n"/>
      <c r="N660" s="31">
        <f>IF($M660="Yes",$K660,"")</f>
        <v/>
      </c>
      <c r="O660" s="31" t="n"/>
      <c r="P660" s="59" t="n"/>
      <c r="Q660" s="59" t="n"/>
    </row>
    <row r="661">
      <c r="A661" s="31">
        <f>IF(Members!$A661="","",Members!$A661)</f>
        <v/>
      </c>
      <c r="B661" s="31" t="n"/>
      <c r="C661" s="31" t="n"/>
      <c r="D661" s="31" t="n"/>
      <c r="E661" s="31" t="n"/>
      <c r="F661" s="31" t="n"/>
      <c r="G661" s="31" t="n"/>
      <c r="H661" s="31" t="n"/>
      <c r="I661" s="31" t="n"/>
      <c r="J661" s="31" t="n"/>
      <c r="K661" s="31">
        <f>IF(COUNTA($D661:$J661)&lt;7,"",ROUND(MIN(10000, MAX(0, ((((($D661*1.2)+($E661*1.2)+($F661*1.1)+($G661*1.0)+($H661*1.0)+($I661*1.1)+($J661*0.9))/7.5)-1)/4*8000 + MIN($B661*20,1000) + MIN($C661*100,1000))),0))</f>
        <v/>
      </c>
      <c r="L661" s="31">
        <f>IF($K661="","",MIN(100,INT(SQRT($K661))))</f>
        <v/>
      </c>
      <c r="M661" s="31" t="n"/>
      <c r="N661" s="31">
        <f>IF($M661="Yes",$K661,"")</f>
        <v/>
      </c>
      <c r="O661" s="31" t="n"/>
      <c r="P661" s="59" t="n"/>
      <c r="Q661" s="59" t="n"/>
    </row>
    <row r="662">
      <c r="A662" s="31">
        <f>IF(Members!$A662="","",Members!$A662)</f>
        <v/>
      </c>
      <c r="B662" s="31" t="n"/>
      <c r="C662" s="31" t="n"/>
      <c r="D662" s="31" t="n"/>
      <c r="E662" s="31" t="n"/>
      <c r="F662" s="31" t="n"/>
      <c r="G662" s="31" t="n"/>
      <c r="H662" s="31" t="n"/>
      <c r="I662" s="31" t="n"/>
      <c r="J662" s="31" t="n"/>
      <c r="K662" s="31">
        <f>IF(COUNTA($D662:$J662)&lt;7,"",ROUND(MIN(10000, MAX(0, ((((($D662*1.2)+($E662*1.2)+($F662*1.1)+($G662*1.0)+($H662*1.0)+($I662*1.1)+($J662*0.9))/7.5)-1)/4*8000 + MIN($B662*20,1000) + MIN($C662*100,1000))),0))</f>
        <v/>
      </c>
      <c r="L662" s="31">
        <f>IF($K662="","",MIN(100,INT(SQRT($K662))))</f>
        <v/>
      </c>
      <c r="M662" s="31" t="n"/>
      <c r="N662" s="31">
        <f>IF($M662="Yes",$K662,"")</f>
        <v/>
      </c>
      <c r="O662" s="31" t="n"/>
      <c r="P662" s="59" t="n"/>
      <c r="Q662" s="59" t="n"/>
    </row>
    <row r="663">
      <c r="A663" s="31">
        <f>IF(Members!$A663="","",Members!$A663)</f>
        <v/>
      </c>
      <c r="B663" s="31" t="n"/>
      <c r="C663" s="31" t="n"/>
      <c r="D663" s="31" t="n"/>
      <c r="E663" s="31" t="n"/>
      <c r="F663" s="31" t="n"/>
      <c r="G663" s="31" t="n"/>
      <c r="H663" s="31" t="n"/>
      <c r="I663" s="31" t="n"/>
      <c r="J663" s="31" t="n"/>
      <c r="K663" s="31">
        <f>IF(COUNTA($D663:$J663)&lt;7,"",ROUND(MIN(10000, MAX(0, ((((($D663*1.2)+($E663*1.2)+($F663*1.1)+($G663*1.0)+($H663*1.0)+($I663*1.1)+($J663*0.9))/7.5)-1)/4*8000 + MIN($B663*20,1000) + MIN($C663*100,1000))),0))</f>
        <v/>
      </c>
      <c r="L663" s="31">
        <f>IF($K663="","",MIN(100,INT(SQRT($K663))))</f>
        <v/>
      </c>
      <c r="M663" s="31" t="n"/>
      <c r="N663" s="31">
        <f>IF($M663="Yes",$K663,"")</f>
        <v/>
      </c>
      <c r="O663" s="31" t="n"/>
      <c r="P663" s="59" t="n"/>
      <c r="Q663" s="59" t="n"/>
    </row>
    <row r="664">
      <c r="A664" s="31">
        <f>IF(Members!$A664="","",Members!$A664)</f>
        <v/>
      </c>
      <c r="B664" s="31" t="n"/>
      <c r="C664" s="31" t="n"/>
      <c r="D664" s="31" t="n"/>
      <c r="E664" s="31" t="n"/>
      <c r="F664" s="31" t="n"/>
      <c r="G664" s="31" t="n"/>
      <c r="H664" s="31" t="n"/>
      <c r="I664" s="31" t="n"/>
      <c r="J664" s="31" t="n"/>
      <c r="K664" s="31">
        <f>IF(COUNTA($D664:$J664)&lt;7,"",ROUND(MIN(10000, MAX(0, ((((($D664*1.2)+($E664*1.2)+($F664*1.1)+($G664*1.0)+($H664*1.0)+($I664*1.1)+($J664*0.9))/7.5)-1)/4*8000 + MIN($B664*20,1000) + MIN($C664*100,1000))),0))</f>
        <v/>
      </c>
      <c r="L664" s="31">
        <f>IF($K664="","",MIN(100,INT(SQRT($K664))))</f>
        <v/>
      </c>
      <c r="M664" s="31" t="n"/>
      <c r="N664" s="31">
        <f>IF($M664="Yes",$K664,"")</f>
        <v/>
      </c>
      <c r="O664" s="31" t="n"/>
      <c r="P664" s="59" t="n"/>
      <c r="Q664" s="59" t="n"/>
    </row>
    <row r="665">
      <c r="A665" s="31">
        <f>IF(Members!$A665="","",Members!$A665)</f>
        <v/>
      </c>
      <c r="B665" s="31" t="n"/>
      <c r="C665" s="31" t="n"/>
      <c r="D665" s="31" t="n"/>
      <c r="E665" s="31" t="n"/>
      <c r="F665" s="31" t="n"/>
      <c r="G665" s="31" t="n"/>
      <c r="H665" s="31" t="n"/>
      <c r="I665" s="31" t="n"/>
      <c r="J665" s="31" t="n"/>
      <c r="K665" s="31">
        <f>IF(COUNTA($D665:$J665)&lt;7,"",ROUND(MIN(10000, MAX(0, ((((($D665*1.2)+($E665*1.2)+($F665*1.1)+($G665*1.0)+($H665*1.0)+($I665*1.1)+($J665*0.9))/7.5)-1)/4*8000 + MIN($B665*20,1000) + MIN($C665*100,1000))),0))</f>
        <v/>
      </c>
      <c r="L665" s="31">
        <f>IF($K665="","",MIN(100,INT(SQRT($K665))))</f>
        <v/>
      </c>
      <c r="M665" s="31" t="n"/>
      <c r="N665" s="31">
        <f>IF($M665="Yes",$K665,"")</f>
        <v/>
      </c>
      <c r="O665" s="31" t="n"/>
      <c r="P665" s="59" t="n"/>
      <c r="Q665" s="59" t="n"/>
    </row>
    <row r="666">
      <c r="A666" s="31">
        <f>IF(Members!$A666="","",Members!$A666)</f>
        <v/>
      </c>
      <c r="B666" s="31" t="n"/>
      <c r="C666" s="31" t="n"/>
      <c r="D666" s="31" t="n"/>
      <c r="E666" s="31" t="n"/>
      <c r="F666" s="31" t="n"/>
      <c r="G666" s="31" t="n"/>
      <c r="H666" s="31" t="n"/>
      <c r="I666" s="31" t="n"/>
      <c r="J666" s="31" t="n"/>
      <c r="K666" s="31">
        <f>IF(COUNTA($D666:$J666)&lt;7,"",ROUND(MIN(10000, MAX(0, ((((($D666*1.2)+($E666*1.2)+($F666*1.1)+($G666*1.0)+($H666*1.0)+($I666*1.1)+($J666*0.9))/7.5)-1)/4*8000 + MIN($B666*20,1000) + MIN($C666*100,1000))),0))</f>
        <v/>
      </c>
      <c r="L666" s="31">
        <f>IF($K666="","",MIN(100,INT(SQRT($K666))))</f>
        <v/>
      </c>
      <c r="M666" s="31" t="n"/>
      <c r="N666" s="31">
        <f>IF($M666="Yes",$K666,"")</f>
        <v/>
      </c>
      <c r="O666" s="31" t="n"/>
      <c r="P666" s="59" t="n"/>
      <c r="Q666" s="59" t="n"/>
    </row>
    <row r="667">
      <c r="A667" s="31">
        <f>IF(Members!$A667="","",Members!$A667)</f>
        <v/>
      </c>
      <c r="B667" s="31" t="n"/>
      <c r="C667" s="31" t="n"/>
      <c r="D667" s="31" t="n"/>
      <c r="E667" s="31" t="n"/>
      <c r="F667" s="31" t="n"/>
      <c r="G667" s="31" t="n"/>
      <c r="H667" s="31" t="n"/>
      <c r="I667" s="31" t="n"/>
      <c r="J667" s="31" t="n"/>
      <c r="K667" s="31">
        <f>IF(COUNTA($D667:$J667)&lt;7,"",ROUND(MIN(10000, MAX(0, ((((($D667*1.2)+($E667*1.2)+($F667*1.1)+($G667*1.0)+($H667*1.0)+($I667*1.1)+($J667*0.9))/7.5)-1)/4*8000 + MIN($B667*20,1000) + MIN($C667*100,1000))),0))</f>
        <v/>
      </c>
      <c r="L667" s="31">
        <f>IF($K667="","",MIN(100,INT(SQRT($K667))))</f>
        <v/>
      </c>
      <c r="M667" s="31" t="n"/>
      <c r="N667" s="31">
        <f>IF($M667="Yes",$K667,"")</f>
        <v/>
      </c>
      <c r="O667" s="31" t="n"/>
      <c r="P667" s="59" t="n"/>
      <c r="Q667" s="59" t="n"/>
    </row>
    <row r="668">
      <c r="A668" s="31">
        <f>IF(Members!$A668="","",Members!$A668)</f>
        <v/>
      </c>
      <c r="B668" s="31" t="n"/>
      <c r="C668" s="31" t="n"/>
      <c r="D668" s="31" t="n"/>
      <c r="E668" s="31" t="n"/>
      <c r="F668" s="31" t="n"/>
      <c r="G668" s="31" t="n"/>
      <c r="H668" s="31" t="n"/>
      <c r="I668" s="31" t="n"/>
      <c r="J668" s="31" t="n"/>
      <c r="K668" s="31">
        <f>IF(COUNTA($D668:$J668)&lt;7,"",ROUND(MIN(10000, MAX(0, ((((($D668*1.2)+($E668*1.2)+($F668*1.1)+($G668*1.0)+($H668*1.0)+($I668*1.1)+($J668*0.9))/7.5)-1)/4*8000 + MIN($B668*20,1000) + MIN($C668*100,1000))),0))</f>
        <v/>
      </c>
      <c r="L668" s="31">
        <f>IF($K668="","",MIN(100,INT(SQRT($K668))))</f>
        <v/>
      </c>
      <c r="M668" s="31" t="n"/>
      <c r="N668" s="31">
        <f>IF($M668="Yes",$K668,"")</f>
        <v/>
      </c>
      <c r="O668" s="31" t="n"/>
      <c r="P668" s="59" t="n"/>
      <c r="Q668" s="59" t="n"/>
    </row>
    <row r="669">
      <c r="A669" s="31">
        <f>IF(Members!$A669="","",Members!$A669)</f>
        <v/>
      </c>
      <c r="B669" s="31" t="n"/>
      <c r="C669" s="31" t="n"/>
      <c r="D669" s="31" t="n"/>
      <c r="E669" s="31" t="n"/>
      <c r="F669" s="31" t="n"/>
      <c r="G669" s="31" t="n"/>
      <c r="H669" s="31" t="n"/>
      <c r="I669" s="31" t="n"/>
      <c r="J669" s="31" t="n"/>
      <c r="K669" s="31">
        <f>IF(COUNTA($D669:$J669)&lt;7,"",ROUND(MIN(10000, MAX(0, ((((($D669*1.2)+($E669*1.2)+($F669*1.1)+($G669*1.0)+($H669*1.0)+($I669*1.1)+($J669*0.9))/7.5)-1)/4*8000 + MIN($B669*20,1000) + MIN($C669*100,1000))),0))</f>
        <v/>
      </c>
      <c r="L669" s="31">
        <f>IF($K669="","",MIN(100,INT(SQRT($K669))))</f>
        <v/>
      </c>
      <c r="M669" s="31" t="n"/>
      <c r="N669" s="31">
        <f>IF($M669="Yes",$K669,"")</f>
        <v/>
      </c>
      <c r="O669" s="31" t="n"/>
      <c r="P669" s="59" t="n"/>
      <c r="Q669" s="59" t="n"/>
    </row>
    <row r="670">
      <c r="A670" s="31">
        <f>IF(Members!$A670="","",Members!$A670)</f>
        <v/>
      </c>
      <c r="B670" s="31" t="n"/>
      <c r="C670" s="31" t="n"/>
      <c r="D670" s="31" t="n"/>
      <c r="E670" s="31" t="n"/>
      <c r="F670" s="31" t="n"/>
      <c r="G670" s="31" t="n"/>
      <c r="H670" s="31" t="n"/>
      <c r="I670" s="31" t="n"/>
      <c r="J670" s="31" t="n"/>
      <c r="K670" s="31">
        <f>IF(COUNTA($D670:$J670)&lt;7,"",ROUND(MIN(10000, MAX(0, ((((($D670*1.2)+($E670*1.2)+($F670*1.1)+($G670*1.0)+($H670*1.0)+($I670*1.1)+($J670*0.9))/7.5)-1)/4*8000 + MIN($B670*20,1000) + MIN($C670*100,1000))),0))</f>
        <v/>
      </c>
      <c r="L670" s="31">
        <f>IF($K670="","",MIN(100,INT(SQRT($K670))))</f>
        <v/>
      </c>
      <c r="M670" s="31" t="n"/>
      <c r="N670" s="31">
        <f>IF($M670="Yes",$K670,"")</f>
        <v/>
      </c>
      <c r="O670" s="31" t="n"/>
      <c r="P670" s="59" t="n"/>
      <c r="Q670" s="59" t="n"/>
    </row>
    <row r="671">
      <c r="A671" s="31">
        <f>IF(Members!$A671="","",Members!$A671)</f>
        <v/>
      </c>
      <c r="B671" s="31" t="n"/>
      <c r="C671" s="31" t="n"/>
      <c r="D671" s="31" t="n"/>
      <c r="E671" s="31" t="n"/>
      <c r="F671" s="31" t="n"/>
      <c r="G671" s="31" t="n"/>
      <c r="H671" s="31" t="n"/>
      <c r="I671" s="31" t="n"/>
      <c r="J671" s="31" t="n"/>
      <c r="K671" s="31">
        <f>IF(COUNTA($D671:$J671)&lt;7,"",ROUND(MIN(10000, MAX(0, ((((($D671*1.2)+($E671*1.2)+($F671*1.1)+($G671*1.0)+($H671*1.0)+($I671*1.1)+($J671*0.9))/7.5)-1)/4*8000 + MIN($B671*20,1000) + MIN($C671*100,1000))),0))</f>
        <v/>
      </c>
      <c r="L671" s="31">
        <f>IF($K671="","",MIN(100,INT(SQRT($K671))))</f>
        <v/>
      </c>
      <c r="M671" s="31" t="n"/>
      <c r="N671" s="31">
        <f>IF($M671="Yes",$K671,"")</f>
        <v/>
      </c>
      <c r="O671" s="31" t="n"/>
      <c r="P671" s="59" t="n"/>
      <c r="Q671" s="59" t="n"/>
    </row>
    <row r="672">
      <c r="A672" s="31">
        <f>IF(Members!$A672="","",Members!$A672)</f>
        <v/>
      </c>
      <c r="B672" s="31" t="n"/>
      <c r="C672" s="31" t="n"/>
      <c r="D672" s="31" t="n"/>
      <c r="E672" s="31" t="n"/>
      <c r="F672" s="31" t="n"/>
      <c r="G672" s="31" t="n"/>
      <c r="H672" s="31" t="n"/>
      <c r="I672" s="31" t="n"/>
      <c r="J672" s="31" t="n"/>
      <c r="K672" s="31">
        <f>IF(COUNTA($D672:$J672)&lt;7,"",ROUND(MIN(10000, MAX(0, ((((($D672*1.2)+($E672*1.2)+($F672*1.1)+($G672*1.0)+($H672*1.0)+($I672*1.1)+($J672*0.9))/7.5)-1)/4*8000 + MIN($B672*20,1000) + MIN($C672*100,1000))),0))</f>
        <v/>
      </c>
      <c r="L672" s="31">
        <f>IF($K672="","",MIN(100,INT(SQRT($K672))))</f>
        <v/>
      </c>
      <c r="M672" s="31" t="n"/>
      <c r="N672" s="31">
        <f>IF($M672="Yes",$K672,"")</f>
        <v/>
      </c>
      <c r="O672" s="31" t="n"/>
      <c r="P672" s="59" t="n"/>
      <c r="Q672" s="59" t="n"/>
    </row>
    <row r="673">
      <c r="A673" s="31">
        <f>IF(Members!$A673="","",Members!$A673)</f>
        <v/>
      </c>
      <c r="B673" s="31" t="n"/>
      <c r="C673" s="31" t="n"/>
      <c r="D673" s="31" t="n"/>
      <c r="E673" s="31" t="n"/>
      <c r="F673" s="31" t="n"/>
      <c r="G673" s="31" t="n"/>
      <c r="H673" s="31" t="n"/>
      <c r="I673" s="31" t="n"/>
      <c r="J673" s="31" t="n"/>
      <c r="K673" s="31">
        <f>IF(COUNTA($D673:$J673)&lt;7,"",ROUND(MIN(10000, MAX(0, ((((($D673*1.2)+($E673*1.2)+($F673*1.1)+($G673*1.0)+($H673*1.0)+($I673*1.1)+($J673*0.9))/7.5)-1)/4*8000 + MIN($B673*20,1000) + MIN($C673*100,1000))),0))</f>
        <v/>
      </c>
      <c r="L673" s="31">
        <f>IF($K673="","",MIN(100,INT(SQRT($K673))))</f>
        <v/>
      </c>
      <c r="M673" s="31" t="n"/>
      <c r="N673" s="31">
        <f>IF($M673="Yes",$K673,"")</f>
        <v/>
      </c>
      <c r="O673" s="31" t="n"/>
      <c r="P673" s="59" t="n"/>
      <c r="Q673" s="59" t="n"/>
    </row>
    <row r="674">
      <c r="A674" s="31">
        <f>IF(Members!$A674="","",Members!$A674)</f>
        <v/>
      </c>
      <c r="B674" s="31" t="n"/>
      <c r="C674" s="31" t="n"/>
      <c r="D674" s="31" t="n"/>
      <c r="E674" s="31" t="n"/>
      <c r="F674" s="31" t="n"/>
      <c r="G674" s="31" t="n"/>
      <c r="H674" s="31" t="n"/>
      <c r="I674" s="31" t="n"/>
      <c r="J674" s="31" t="n"/>
      <c r="K674" s="31">
        <f>IF(COUNTA($D674:$J674)&lt;7,"",ROUND(MIN(10000, MAX(0, ((((($D674*1.2)+($E674*1.2)+($F674*1.1)+($G674*1.0)+($H674*1.0)+($I674*1.1)+($J674*0.9))/7.5)-1)/4*8000 + MIN($B674*20,1000) + MIN($C674*100,1000))),0))</f>
        <v/>
      </c>
      <c r="L674" s="31">
        <f>IF($K674="","",MIN(100,INT(SQRT($K674))))</f>
        <v/>
      </c>
      <c r="M674" s="31" t="n"/>
      <c r="N674" s="31">
        <f>IF($M674="Yes",$K674,"")</f>
        <v/>
      </c>
      <c r="O674" s="31" t="n"/>
      <c r="P674" s="59" t="n"/>
      <c r="Q674" s="59" t="n"/>
    </row>
    <row r="675">
      <c r="A675" s="31">
        <f>IF(Members!$A675="","",Members!$A675)</f>
        <v/>
      </c>
      <c r="B675" s="31" t="n"/>
      <c r="C675" s="31" t="n"/>
      <c r="D675" s="31" t="n"/>
      <c r="E675" s="31" t="n"/>
      <c r="F675" s="31" t="n"/>
      <c r="G675" s="31" t="n"/>
      <c r="H675" s="31" t="n"/>
      <c r="I675" s="31" t="n"/>
      <c r="J675" s="31" t="n"/>
      <c r="K675" s="31">
        <f>IF(COUNTA($D675:$J675)&lt;7,"",ROUND(MIN(10000, MAX(0, ((((($D675*1.2)+($E675*1.2)+($F675*1.1)+($G675*1.0)+($H675*1.0)+($I675*1.1)+($J675*0.9))/7.5)-1)/4*8000 + MIN($B675*20,1000) + MIN($C675*100,1000))),0))</f>
        <v/>
      </c>
      <c r="L675" s="31">
        <f>IF($K675="","",MIN(100,INT(SQRT($K675))))</f>
        <v/>
      </c>
      <c r="M675" s="31" t="n"/>
      <c r="N675" s="31">
        <f>IF($M675="Yes",$K675,"")</f>
        <v/>
      </c>
      <c r="O675" s="31" t="n"/>
      <c r="P675" s="59" t="n"/>
      <c r="Q675" s="59" t="n"/>
    </row>
    <row r="676">
      <c r="A676" s="31">
        <f>IF(Members!$A676="","",Members!$A676)</f>
        <v/>
      </c>
      <c r="B676" s="31" t="n"/>
      <c r="C676" s="31" t="n"/>
      <c r="D676" s="31" t="n"/>
      <c r="E676" s="31" t="n"/>
      <c r="F676" s="31" t="n"/>
      <c r="G676" s="31" t="n"/>
      <c r="H676" s="31" t="n"/>
      <c r="I676" s="31" t="n"/>
      <c r="J676" s="31" t="n"/>
      <c r="K676" s="31">
        <f>IF(COUNTA($D676:$J676)&lt;7,"",ROUND(MIN(10000, MAX(0, ((((($D676*1.2)+($E676*1.2)+($F676*1.1)+($G676*1.0)+($H676*1.0)+($I676*1.1)+($J676*0.9))/7.5)-1)/4*8000 + MIN($B676*20,1000) + MIN($C676*100,1000))),0))</f>
        <v/>
      </c>
      <c r="L676" s="31">
        <f>IF($K676="","",MIN(100,INT(SQRT($K676))))</f>
        <v/>
      </c>
      <c r="M676" s="31" t="n"/>
      <c r="N676" s="31">
        <f>IF($M676="Yes",$K676,"")</f>
        <v/>
      </c>
      <c r="O676" s="31" t="n"/>
      <c r="P676" s="59" t="n"/>
      <c r="Q676" s="59" t="n"/>
    </row>
    <row r="677">
      <c r="A677" s="31">
        <f>IF(Members!$A677="","",Members!$A677)</f>
        <v/>
      </c>
      <c r="B677" s="31" t="n"/>
      <c r="C677" s="31" t="n"/>
      <c r="D677" s="31" t="n"/>
      <c r="E677" s="31" t="n"/>
      <c r="F677" s="31" t="n"/>
      <c r="G677" s="31" t="n"/>
      <c r="H677" s="31" t="n"/>
      <c r="I677" s="31" t="n"/>
      <c r="J677" s="31" t="n"/>
      <c r="K677" s="31">
        <f>IF(COUNTA($D677:$J677)&lt;7,"",ROUND(MIN(10000, MAX(0, ((((($D677*1.2)+($E677*1.2)+($F677*1.1)+($G677*1.0)+($H677*1.0)+($I677*1.1)+($J677*0.9))/7.5)-1)/4*8000 + MIN($B677*20,1000) + MIN($C677*100,1000))),0))</f>
        <v/>
      </c>
      <c r="L677" s="31">
        <f>IF($K677="","",MIN(100,INT(SQRT($K677))))</f>
        <v/>
      </c>
      <c r="M677" s="31" t="n"/>
      <c r="N677" s="31">
        <f>IF($M677="Yes",$K677,"")</f>
        <v/>
      </c>
      <c r="O677" s="31" t="n"/>
      <c r="P677" s="59" t="n"/>
      <c r="Q677" s="59" t="n"/>
    </row>
    <row r="678">
      <c r="A678" s="31">
        <f>IF(Members!$A678="","",Members!$A678)</f>
        <v/>
      </c>
      <c r="B678" s="31" t="n"/>
      <c r="C678" s="31" t="n"/>
      <c r="D678" s="31" t="n"/>
      <c r="E678" s="31" t="n"/>
      <c r="F678" s="31" t="n"/>
      <c r="G678" s="31" t="n"/>
      <c r="H678" s="31" t="n"/>
      <c r="I678" s="31" t="n"/>
      <c r="J678" s="31" t="n"/>
      <c r="K678" s="31">
        <f>IF(COUNTA($D678:$J678)&lt;7,"",ROUND(MIN(10000, MAX(0, ((((($D678*1.2)+($E678*1.2)+($F678*1.1)+($G678*1.0)+($H678*1.0)+($I678*1.1)+($J678*0.9))/7.5)-1)/4*8000 + MIN($B678*20,1000) + MIN($C678*100,1000))),0))</f>
        <v/>
      </c>
      <c r="L678" s="31">
        <f>IF($K678="","",MIN(100,INT(SQRT($K678))))</f>
        <v/>
      </c>
      <c r="M678" s="31" t="n"/>
      <c r="N678" s="31">
        <f>IF($M678="Yes",$K678,"")</f>
        <v/>
      </c>
      <c r="O678" s="31" t="n"/>
      <c r="P678" s="59" t="n"/>
      <c r="Q678" s="59" t="n"/>
    </row>
    <row r="679">
      <c r="A679" s="31">
        <f>IF(Members!$A679="","",Members!$A679)</f>
        <v/>
      </c>
      <c r="B679" s="31" t="n"/>
      <c r="C679" s="31" t="n"/>
      <c r="D679" s="31" t="n"/>
      <c r="E679" s="31" t="n"/>
      <c r="F679" s="31" t="n"/>
      <c r="G679" s="31" t="n"/>
      <c r="H679" s="31" t="n"/>
      <c r="I679" s="31" t="n"/>
      <c r="J679" s="31" t="n"/>
      <c r="K679" s="31">
        <f>IF(COUNTA($D679:$J679)&lt;7,"",ROUND(MIN(10000, MAX(0, ((((($D679*1.2)+($E679*1.2)+($F679*1.1)+($G679*1.0)+($H679*1.0)+($I679*1.1)+($J679*0.9))/7.5)-1)/4*8000 + MIN($B679*20,1000) + MIN($C679*100,1000))),0))</f>
        <v/>
      </c>
      <c r="L679" s="31">
        <f>IF($K679="","",MIN(100,INT(SQRT($K679))))</f>
        <v/>
      </c>
      <c r="M679" s="31" t="n"/>
      <c r="N679" s="31">
        <f>IF($M679="Yes",$K679,"")</f>
        <v/>
      </c>
      <c r="O679" s="31" t="n"/>
      <c r="P679" s="59" t="n"/>
      <c r="Q679" s="59" t="n"/>
    </row>
    <row r="680">
      <c r="A680" s="31">
        <f>IF(Members!$A680="","",Members!$A680)</f>
        <v/>
      </c>
      <c r="B680" s="31" t="n"/>
      <c r="C680" s="31" t="n"/>
      <c r="D680" s="31" t="n"/>
      <c r="E680" s="31" t="n"/>
      <c r="F680" s="31" t="n"/>
      <c r="G680" s="31" t="n"/>
      <c r="H680" s="31" t="n"/>
      <c r="I680" s="31" t="n"/>
      <c r="J680" s="31" t="n"/>
      <c r="K680" s="31">
        <f>IF(COUNTA($D680:$J680)&lt;7,"",ROUND(MIN(10000, MAX(0, ((((($D680*1.2)+($E680*1.2)+($F680*1.1)+($G680*1.0)+($H680*1.0)+($I680*1.1)+($J680*0.9))/7.5)-1)/4*8000 + MIN($B680*20,1000) + MIN($C680*100,1000))),0))</f>
        <v/>
      </c>
      <c r="L680" s="31">
        <f>IF($K680="","",MIN(100,INT(SQRT($K680))))</f>
        <v/>
      </c>
      <c r="M680" s="31" t="n"/>
      <c r="N680" s="31">
        <f>IF($M680="Yes",$K680,"")</f>
        <v/>
      </c>
      <c r="O680" s="31" t="n"/>
      <c r="P680" s="59" t="n"/>
      <c r="Q680" s="59" t="n"/>
    </row>
    <row r="681">
      <c r="A681" s="31">
        <f>IF(Members!$A681="","",Members!$A681)</f>
        <v/>
      </c>
      <c r="B681" s="31" t="n"/>
      <c r="C681" s="31" t="n"/>
      <c r="D681" s="31" t="n"/>
      <c r="E681" s="31" t="n"/>
      <c r="F681" s="31" t="n"/>
      <c r="G681" s="31" t="n"/>
      <c r="H681" s="31" t="n"/>
      <c r="I681" s="31" t="n"/>
      <c r="J681" s="31" t="n"/>
      <c r="K681" s="31">
        <f>IF(COUNTA($D681:$J681)&lt;7,"",ROUND(MIN(10000, MAX(0, ((((($D681*1.2)+($E681*1.2)+($F681*1.1)+($G681*1.0)+($H681*1.0)+($I681*1.1)+($J681*0.9))/7.5)-1)/4*8000 + MIN($B681*20,1000) + MIN($C681*100,1000))),0))</f>
        <v/>
      </c>
      <c r="L681" s="31">
        <f>IF($K681="","",MIN(100,INT(SQRT($K681))))</f>
        <v/>
      </c>
      <c r="M681" s="31" t="n"/>
      <c r="N681" s="31">
        <f>IF($M681="Yes",$K681,"")</f>
        <v/>
      </c>
      <c r="O681" s="31" t="n"/>
      <c r="P681" s="59" t="n"/>
      <c r="Q681" s="59" t="n"/>
    </row>
    <row r="682">
      <c r="A682" s="31">
        <f>IF(Members!$A682="","",Members!$A682)</f>
        <v/>
      </c>
      <c r="B682" s="31" t="n"/>
      <c r="C682" s="31" t="n"/>
      <c r="D682" s="31" t="n"/>
      <c r="E682" s="31" t="n"/>
      <c r="F682" s="31" t="n"/>
      <c r="G682" s="31" t="n"/>
      <c r="H682" s="31" t="n"/>
      <c r="I682" s="31" t="n"/>
      <c r="J682" s="31" t="n"/>
      <c r="K682" s="31">
        <f>IF(COUNTA($D682:$J682)&lt;7,"",ROUND(MIN(10000, MAX(0, ((((($D682*1.2)+($E682*1.2)+($F682*1.1)+($G682*1.0)+($H682*1.0)+($I682*1.1)+($J682*0.9))/7.5)-1)/4*8000 + MIN($B682*20,1000) + MIN($C682*100,1000))),0))</f>
        <v/>
      </c>
      <c r="L682" s="31">
        <f>IF($K682="","",MIN(100,INT(SQRT($K682))))</f>
        <v/>
      </c>
      <c r="M682" s="31" t="n"/>
      <c r="N682" s="31">
        <f>IF($M682="Yes",$K682,"")</f>
        <v/>
      </c>
      <c r="O682" s="31" t="n"/>
      <c r="P682" s="59" t="n"/>
      <c r="Q682" s="59" t="n"/>
    </row>
    <row r="683">
      <c r="A683" s="31">
        <f>IF(Members!$A683="","",Members!$A683)</f>
        <v/>
      </c>
      <c r="B683" s="31" t="n"/>
      <c r="C683" s="31" t="n"/>
      <c r="D683" s="31" t="n"/>
      <c r="E683" s="31" t="n"/>
      <c r="F683" s="31" t="n"/>
      <c r="G683" s="31" t="n"/>
      <c r="H683" s="31" t="n"/>
      <c r="I683" s="31" t="n"/>
      <c r="J683" s="31" t="n"/>
      <c r="K683" s="31">
        <f>IF(COUNTA($D683:$J683)&lt;7,"",ROUND(MIN(10000, MAX(0, ((((($D683*1.2)+($E683*1.2)+($F683*1.1)+($G683*1.0)+($H683*1.0)+($I683*1.1)+($J683*0.9))/7.5)-1)/4*8000 + MIN($B683*20,1000) + MIN($C683*100,1000))),0))</f>
        <v/>
      </c>
      <c r="L683" s="31">
        <f>IF($K683="","",MIN(100,INT(SQRT($K683))))</f>
        <v/>
      </c>
      <c r="M683" s="31" t="n"/>
      <c r="N683" s="31">
        <f>IF($M683="Yes",$K683,"")</f>
        <v/>
      </c>
      <c r="O683" s="31" t="n"/>
      <c r="P683" s="59" t="n"/>
      <c r="Q683" s="59" t="n"/>
    </row>
    <row r="684">
      <c r="A684" s="31">
        <f>IF(Members!$A684="","",Members!$A684)</f>
        <v/>
      </c>
      <c r="B684" s="31" t="n"/>
      <c r="C684" s="31" t="n"/>
      <c r="D684" s="31" t="n"/>
      <c r="E684" s="31" t="n"/>
      <c r="F684" s="31" t="n"/>
      <c r="G684" s="31" t="n"/>
      <c r="H684" s="31" t="n"/>
      <c r="I684" s="31" t="n"/>
      <c r="J684" s="31" t="n"/>
      <c r="K684" s="31">
        <f>IF(COUNTA($D684:$J684)&lt;7,"",ROUND(MIN(10000, MAX(0, ((((($D684*1.2)+($E684*1.2)+($F684*1.1)+($G684*1.0)+($H684*1.0)+($I684*1.1)+($J684*0.9))/7.5)-1)/4*8000 + MIN($B684*20,1000) + MIN($C684*100,1000))),0))</f>
        <v/>
      </c>
      <c r="L684" s="31">
        <f>IF($K684="","",MIN(100,INT(SQRT($K684))))</f>
        <v/>
      </c>
      <c r="M684" s="31" t="n"/>
      <c r="N684" s="31">
        <f>IF($M684="Yes",$K684,"")</f>
        <v/>
      </c>
      <c r="O684" s="31" t="n"/>
      <c r="P684" s="59" t="n"/>
      <c r="Q684" s="59" t="n"/>
    </row>
    <row r="685">
      <c r="A685" s="31">
        <f>IF(Members!$A685="","",Members!$A685)</f>
        <v/>
      </c>
      <c r="B685" s="31" t="n"/>
      <c r="C685" s="31" t="n"/>
      <c r="D685" s="31" t="n"/>
      <c r="E685" s="31" t="n"/>
      <c r="F685" s="31" t="n"/>
      <c r="G685" s="31" t="n"/>
      <c r="H685" s="31" t="n"/>
      <c r="I685" s="31" t="n"/>
      <c r="J685" s="31" t="n"/>
      <c r="K685" s="31">
        <f>IF(COUNTA($D685:$J685)&lt;7,"",ROUND(MIN(10000, MAX(0, ((((($D685*1.2)+($E685*1.2)+($F685*1.1)+($G685*1.0)+($H685*1.0)+($I685*1.1)+($J685*0.9))/7.5)-1)/4*8000 + MIN($B685*20,1000) + MIN($C685*100,1000))),0))</f>
        <v/>
      </c>
      <c r="L685" s="31">
        <f>IF($K685="","",MIN(100,INT(SQRT($K685))))</f>
        <v/>
      </c>
      <c r="M685" s="31" t="n"/>
      <c r="N685" s="31">
        <f>IF($M685="Yes",$K685,"")</f>
        <v/>
      </c>
      <c r="O685" s="31" t="n"/>
      <c r="P685" s="59" t="n"/>
      <c r="Q685" s="59" t="n"/>
    </row>
    <row r="686">
      <c r="A686" s="31">
        <f>IF(Members!$A686="","",Members!$A686)</f>
        <v/>
      </c>
      <c r="B686" s="31" t="n"/>
      <c r="C686" s="31" t="n"/>
      <c r="D686" s="31" t="n"/>
      <c r="E686" s="31" t="n"/>
      <c r="F686" s="31" t="n"/>
      <c r="G686" s="31" t="n"/>
      <c r="H686" s="31" t="n"/>
      <c r="I686" s="31" t="n"/>
      <c r="J686" s="31" t="n"/>
      <c r="K686" s="31">
        <f>IF(COUNTA($D686:$J686)&lt;7,"",ROUND(MIN(10000, MAX(0, ((((($D686*1.2)+($E686*1.2)+($F686*1.1)+($G686*1.0)+($H686*1.0)+($I686*1.1)+($J686*0.9))/7.5)-1)/4*8000 + MIN($B686*20,1000) + MIN($C686*100,1000))),0))</f>
        <v/>
      </c>
      <c r="L686" s="31">
        <f>IF($K686="","",MIN(100,INT(SQRT($K686))))</f>
        <v/>
      </c>
      <c r="M686" s="31" t="n"/>
      <c r="N686" s="31">
        <f>IF($M686="Yes",$K686,"")</f>
        <v/>
      </c>
      <c r="O686" s="31" t="n"/>
      <c r="P686" s="59" t="n"/>
      <c r="Q686" s="59" t="n"/>
    </row>
    <row r="687">
      <c r="A687" s="31">
        <f>IF(Members!$A687="","",Members!$A687)</f>
        <v/>
      </c>
      <c r="B687" s="31" t="n"/>
      <c r="C687" s="31" t="n"/>
      <c r="D687" s="31" t="n"/>
      <c r="E687" s="31" t="n"/>
      <c r="F687" s="31" t="n"/>
      <c r="G687" s="31" t="n"/>
      <c r="H687" s="31" t="n"/>
      <c r="I687" s="31" t="n"/>
      <c r="J687" s="31" t="n"/>
      <c r="K687" s="31">
        <f>IF(COUNTA($D687:$J687)&lt;7,"",ROUND(MIN(10000, MAX(0, ((((($D687*1.2)+($E687*1.2)+($F687*1.1)+($G687*1.0)+($H687*1.0)+($I687*1.1)+($J687*0.9))/7.5)-1)/4*8000 + MIN($B687*20,1000) + MIN($C687*100,1000))),0))</f>
        <v/>
      </c>
      <c r="L687" s="31">
        <f>IF($K687="","",MIN(100,INT(SQRT($K687))))</f>
        <v/>
      </c>
      <c r="M687" s="31" t="n"/>
      <c r="N687" s="31">
        <f>IF($M687="Yes",$K687,"")</f>
        <v/>
      </c>
      <c r="O687" s="31" t="n"/>
      <c r="P687" s="59" t="n"/>
      <c r="Q687" s="59" t="n"/>
    </row>
    <row r="688">
      <c r="A688" s="31">
        <f>IF(Members!$A688="","",Members!$A688)</f>
        <v/>
      </c>
      <c r="B688" s="31" t="n"/>
      <c r="C688" s="31" t="n"/>
      <c r="D688" s="31" t="n"/>
      <c r="E688" s="31" t="n"/>
      <c r="F688" s="31" t="n"/>
      <c r="G688" s="31" t="n"/>
      <c r="H688" s="31" t="n"/>
      <c r="I688" s="31" t="n"/>
      <c r="J688" s="31" t="n"/>
      <c r="K688" s="31">
        <f>IF(COUNTA($D688:$J688)&lt;7,"",ROUND(MIN(10000, MAX(0, ((((($D688*1.2)+($E688*1.2)+($F688*1.1)+($G688*1.0)+($H688*1.0)+($I688*1.1)+($J688*0.9))/7.5)-1)/4*8000 + MIN($B688*20,1000) + MIN($C688*100,1000))),0))</f>
        <v/>
      </c>
      <c r="L688" s="31">
        <f>IF($K688="","",MIN(100,INT(SQRT($K688))))</f>
        <v/>
      </c>
      <c r="M688" s="31" t="n"/>
      <c r="N688" s="31">
        <f>IF($M688="Yes",$K688,"")</f>
        <v/>
      </c>
      <c r="O688" s="31" t="n"/>
      <c r="P688" s="59" t="n"/>
      <c r="Q688" s="59" t="n"/>
    </row>
    <row r="689">
      <c r="A689" s="31">
        <f>IF(Members!$A689="","",Members!$A689)</f>
        <v/>
      </c>
      <c r="B689" s="31" t="n"/>
      <c r="C689" s="31" t="n"/>
      <c r="D689" s="31" t="n"/>
      <c r="E689" s="31" t="n"/>
      <c r="F689" s="31" t="n"/>
      <c r="G689" s="31" t="n"/>
      <c r="H689" s="31" t="n"/>
      <c r="I689" s="31" t="n"/>
      <c r="J689" s="31" t="n"/>
      <c r="K689" s="31">
        <f>IF(COUNTA($D689:$J689)&lt;7,"",ROUND(MIN(10000, MAX(0, ((((($D689*1.2)+($E689*1.2)+($F689*1.1)+($G689*1.0)+($H689*1.0)+($I689*1.1)+($J689*0.9))/7.5)-1)/4*8000 + MIN($B689*20,1000) + MIN($C689*100,1000))),0))</f>
        <v/>
      </c>
      <c r="L689" s="31">
        <f>IF($K689="","",MIN(100,INT(SQRT($K689))))</f>
        <v/>
      </c>
      <c r="M689" s="31" t="n"/>
      <c r="N689" s="31">
        <f>IF($M689="Yes",$K689,"")</f>
        <v/>
      </c>
      <c r="O689" s="31" t="n"/>
      <c r="P689" s="59" t="n"/>
      <c r="Q689" s="59" t="n"/>
    </row>
    <row r="690">
      <c r="A690" s="31">
        <f>IF(Members!$A690="","",Members!$A690)</f>
        <v/>
      </c>
      <c r="B690" s="31" t="n"/>
      <c r="C690" s="31" t="n"/>
      <c r="D690" s="31" t="n"/>
      <c r="E690" s="31" t="n"/>
      <c r="F690" s="31" t="n"/>
      <c r="G690" s="31" t="n"/>
      <c r="H690" s="31" t="n"/>
      <c r="I690" s="31" t="n"/>
      <c r="J690" s="31" t="n"/>
      <c r="K690" s="31">
        <f>IF(COUNTA($D690:$J690)&lt;7,"",ROUND(MIN(10000, MAX(0, ((((($D690*1.2)+($E690*1.2)+($F690*1.1)+($G690*1.0)+($H690*1.0)+($I690*1.1)+($J690*0.9))/7.5)-1)/4*8000 + MIN($B690*20,1000) + MIN($C690*100,1000))),0))</f>
        <v/>
      </c>
      <c r="L690" s="31">
        <f>IF($K690="","",MIN(100,INT(SQRT($K690))))</f>
        <v/>
      </c>
      <c r="M690" s="31" t="n"/>
      <c r="N690" s="31">
        <f>IF($M690="Yes",$K690,"")</f>
        <v/>
      </c>
      <c r="O690" s="31" t="n"/>
      <c r="P690" s="59" t="n"/>
      <c r="Q690" s="59" t="n"/>
    </row>
    <row r="691">
      <c r="A691" s="31">
        <f>IF(Members!$A691="","",Members!$A691)</f>
        <v/>
      </c>
      <c r="B691" s="31" t="n"/>
      <c r="C691" s="31" t="n"/>
      <c r="D691" s="31" t="n"/>
      <c r="E691" s="31" t="n"/>
      <c r="F691" s="31" t="n"/>
      <c r="G691" s="31" t="n"/>
      <c r="H691" s="31" t="n"/>
      <c r="I691" s="31" t="n"/>
      <c r="J691" s="31" t="n"/>
      <c r="K691" s="31">
        <f>IF(COUNTA($D691:$J691)&lt;7,"",ROUND(MIN(10000, MAX(0, ((((($D691*1.2)+($E691*1.2)+($F691*1.1)+($G691*1.0)+($H691*1.0)+($I691*1.1)+($J691*0.9))/7.5)-1)/4*8000 + MIN($B691*20,1000) + MIN($C691*100,1000))),0))</f>
        <v/>
      </c>
      <c r="L691" s="31">
        <f>IF($K691="","",MIN(100,INT(SQRT($K691))))</f>
        <v/>
      </c>
      <c r="M691" s="31" t="n"/>
      <c r="N691" s="31">
        <f>IF($M691="Yes",$K691,"")</f>
        <v/>
      </c>
      <c r="O691" s="31" t="n"/>
      <c r="P691" s="59" t="n"/>
      <c r="Q691" s="59" t="n"/>
    </row>
    <row r="692">
      <c r="A692" s="31">
        <f>IF(Members!$A692="","",Members!$A692)</f>
        <v/>
      </c>
      <c r="B692" s="31" t="n"/>
      <c r="C692" s="31" t="n"/>
      <c r="D692" s="31" t="n"/>
      <c r="E692" s="31" t="n"/>
      <c r="F692" s="31" t="n"/>
      <c r="G692" s="31" t="n"/>
      <c r="H692" s="31" t="n"/>
      <c r="I692" s="31" t="n"/>
      <c r="J692" s="31" t="n"/>
      <c r="K692" s="31">
        <f>IF(COUNTA($D692:$J692)&lt;7,"",ROUND(MIN(10000, MAX(0, ((((($D692*1.2)+($E692*1.2)+($F692*1.1)+($G692*1.0)+($H692*1.0)+($I692*1.1)+($J692*0.9))/7.5)-1)/4*8000 + MIN($B692*20,1000) + MIN($C692*100,1000))),0))</f>
        <v/>
      </c>
      <c r="L692" s="31">
        <f>IF($K692="","",MIN(100,INT(SQRT($K692))))</f>
        <v/>
      </c>
      <c r="M692" s="31" t="n"/>
      <c r="N692" s="31">
        <f>IF($M692="Yes",$K692,"")</f>
        <v/>
      </c>
      <c r="O692" s="31" t="n"/>
      <c r="P692" s="59" t="n"/>
      <c r="Q692" s="59" t="n"/>
    </row>
    <row r="693">
      <c r="A693" s="31">
        <f>IF(Members!$A693="","",Members!$A693)</f>
        <v/>
      </c>
      <c r="B693" s="31" t="n"/>
      <c r="C693" s="31" t="n"/>
      <c r="D693" s="31" t="n"/>
      <c r="E693" s="31" t="n"/>
      <c r="F693" s="31" t="n"/>
      <c r="G693" s="31" t="n"/>
      <c r="H693" s="31" t="n"/>
      <c r="I693" s="31" t="n"/>
      <c r="J693" s="31" t="n"/>
      <c r="K693" s="31">
        <f>IF(COUNTA($D693:$J693)&lt;7,"",ROUND(MIN(10000, MAX(0, ((((($D693*1.2)+($E693*1.2)+($F693*1.1)+($G693*1.0)+($H693*1.0)+($I693*1.1)+($J693*0.9))/7.5)-1)/4*8000 + MIN($B693*20,1000) + MIN($C693*100,1000))),0))</f>
        <v/>
      </c>
      <c r="L693" s="31">
        <f>IF($K693="","",MIN(100,INT(SQRT($K693))))</f>
        <v/>
      </c>
      <c r="M693" s="31" t="n"/>
      <c r="N693" s="31">
        <f>IF($M693="Yes",$K693,"")</f>
        <v/>
      </c>
      <c r="O693" s="31" t="n"/>
      <c r="P693" s="59" t="n"/>
      <c r="Q693" s="59" t="n"/>
    </row>
    <row r="694">
      <c r="A694" s="31">
        <f>IF(Members!$A694="","",Members!$A694)</f>
        <v/>
      </c>
      <c r="B694" s="31" t="n"/>
      <c r="C694" s="31" t="n"/>
      <c r="D694" s="31" t="n"/>
      <c r="E694" s="31" t="n"/>
      <c r="F694" s="31" t="n"/>
      <c r="G694" s="31" t="n"/>
      <c r="H694" s="31" t="n"/>
      <c r="I694" s="31" t="n"/>
      <c r="J694" s="31" t="n"/>
      <c r="K694" s="31">
        <f>IF(COUNTA($D694:$J694)&lt;7,"",ROUND(MIN(10000, MAX(0, ((((($D694*1.2)+($E694*1.2)+($F694*1.1)+($G694*1.0)+($H694*1.0)+($I694*1.1)+($J694*0.9))/7.5)-1)/4*8000 + MIN($B694*20,1000) + MIN($C694*100,1000))),0))</f>
        <v/>
      </c>
      <c r="L694" s="31">
        <f>IF($K694="","",MIN(100,INT(SQRT($K694))))</f>
        <v/>
      </c>
      <c r="M694" s="31" t="n"/>
      <c r="N694" s="31">
        <f>IF($M694="Yes",$K694,"")</f>
        <v/>
      </c>
      <c r="O694" s="31" t="n"/>
      <c r="P694" s="59" t="n"/>
      <c r="Q694" s="59" t="n"/>
    </row>
    <row r="695">
      <c r="A695" s="31">
        <f>IF(Members!$A695="","",Members!$A695)</f>
        <v/>
      </c>
      <c r="B695" s="31" t="n"/>
      <c r="C695" s="31" t="n"/>
      <c r="D695" s="31" t="n"/>
      <c r="E695" s="31" t="n"/>
      <c r="F695" s="31" t="n"/>
      <c r="G695" s="31" t="n"/>
      <c r="H695" s="31" t="n"/>
      <c r="I695" s="31" t="n"/>
      <c r="J695" s="31" t="n"/>
      <c r="K695" s="31">
        <f>IF(COUNTA($D695:$J695)&lt;7,"",ROUND(MIN(10000, MAX(0, ((((($D695*1.2)+($E695*1.2)+($F695*1.1)+($G695*1.0)+($H695*1.0)+($I695*1.1)+($J695*0.9))/7.5)-1)/4*8000 + MIN($B695*20,1000) + MIN($C695*100,1000))),0))</f>
        <v/>
      </c>
      <c r="L695" s="31">
        <f>IF($K695="","",MIN(100,INT(SQRT($K695))))</f>
        <v/>
      </c>
      <c r="M695" s="31" t="n"/>
      <c r="N695" s="31">
        <f>IF($M695="Yes",$K695,"")</f>
        <v/>
      </c>
      <c r="O695" s="31" t="n"/>
      <c r="P695" s="59" t="n"/>
      <c r="Q695" s="59" t="n"/>
    </row>
    <row r="696">
      <c r="A696" s="31">
        <f>IF(Members!$A696="","",Members!$A696)</f>
        <v/>
      </c>
      <c r="B696" s="31" t="n"/>
      <c r="C696" s="31" t="n"/>
      <c r="D696" s="31" t="n"/>
      <c r="E696" s="31" t="n"/>
      <c r="F696" s="31" t="n"/>
      <c r="G696" s="31" t="n"/>
      <c r="H696" s="31" t="n"/>
      <c r="I696" s="31" t="n"/>
      <c r="J696" s="31" t="n"/>
      <c r="K696" s="31">
        <f>IF(COUNTA($D696:$J696)&lt;7,"",ROUND(MIN(10000, MAX(0, ((((($D696*1.2)+($E696*1.2)+($F696*1.1)+($G696*1.0)+($H696*1.0)+($I696*1.1)+($J696*0.9))/7.5)-1)/4*8000 + MIN($B696*20,1000) + MIN($C696*100,1000))),0))</f>
        <v/>
      </c>
      <c r="L696" s="31">
        <f>IF($K696="","",MIN(100,INT(SQRT($K696))))</f>
        <v/>
      </c>
      <c r="M696" s="31" t="n"/>
      <c r="N696" s="31">
        <f>IF($M696="Yes",$K696,"")</f>
        <v/>
      </c>
      <c r="O696" s="31" t="n"/>
      <c r="P696" s="59" t="n"/>
      <c r="Q696" s="59" t="n"/>
    </row>
    <row r="697">
      <c r="A697" s="31">
        <f>IF(Members!$A697="","",Members!$A697)</f>
        <v/>
      </c>
      <c r="B697" s="31" t="n"/>
      <c r="C697" s="31" t="n"/>
      <c r="D697" s="31" t="n"/>
      <c r="E697" s="31" t="n"/>
      <c r="F697" s="31" t="n"/>
      <c r="G697" s="31" t="n"/>
      <c r="H697" s="31" t="n"/>
      <c r="I697" s="31" t="n"/>
      <c r="J697" s="31" t="n"/>
      <c r="K697" s="31">
        <f>IF(COUNTA($D697:$J697)&lt;7,"",ROUND(MIN(10000, MAX(0, ((((($D697*1.2)+($E697*1.2)+($F697*1.1)+($G697*1.0)+($H697*1.0)+($I697*1.1)+($J697*0.9))/7.5)-1)/4*8000 + MIN($B697*20,1000) + MIN($C697*100,1000))),0))</f>
        <v/>
      </c>
      <c r="L697" s="31">
        <f>IF($K697="","",MIN(100,INT(SQRT($K697))))</f>
        <v/>
      </c>
      <c r="M697" s="31" t="n"/>
      <c r="N697" s="31">
        <f>IF($M697="Yes",$K697,"")</f>
        <v/>
      </c>
      <c r="O697" s="31" t="n"/>
      <c r="P697" s="59" t="n"/>
      <c r="Q697" s="59" t="n"/>
    </row>
    <row r="698">
      <c r="A698" s="31">
        <f>IF(Members!$A698="","",Members!$A698)</f>
        <v/>
      </c>
      <c r="B698" s="31" t="n"/>
      <c r="C698" s="31" t="n"/>
      <c r="D698" s="31" t="n"/>
      <c r="E698" s="31" t="n"/>
      <c r="F698" s="31" t="n"/>
      <c r="G698" s="31" t="n"/>
      <c r="H698" s="31" t="n"/>
      <c r="I698" s="31" t="n"/>
      <c r="J698" s="31" t="n"/>
      <c r="K698" s="31">
        <f>IF(COUNTA($D698:$J698)&lt;7,"",ROUND(MIN(10000, MAX(0, ((((($D698*1.2)+($E698*1.2)+($F698*1.1)+($G698*1.0)+($H698*1.0)+($I698*1.1)+($J698*0.9))/7.5)-1)/4*8000 + MIN($B698*20,1000) + MIN($C698*100,1000))),0))</f>
        <v/>
      </c>
      <c r="L698" s="31">
        <f>IF($K698="","",MIN(100,INT(SQRT($K698))))</f>
        <v/>
      </c>
      <c r="M698" s="31" t="n"/>
      <c r="N698" s="31">
        <f>IF($M698="Yes",$K698,"")</f>
        <v/>
      </c>
      <c r="O698" s="31" t="n"/>
      <c r="P698" s="59" t="n"/>
      <c r="Q698" s="59" t="n"/>
    </row>
    <row r="699">
      <c r="A699" s="31">
        <f>IF(Members!$A699="","",Members!$A699)</f>
        <v/>
      </c>
      <c r="B699" s="31" t="n"/>
      <c r="C699" s="31" t="n"/>
      <c r="D699" s="31" t="n"/>
      <c r="E699" s="31" t="n"/>
      <c r="F699" s="31" t="n"/>
      <c r="G699" s="31" t="n"/>
      <c r="H699" s="31" t="n"/>
      <c r="I699" s="31" t="n"/>
      <c r="J699" s="31" t="n"/>
      <c r="K699" s="31">
        <f>IF(COUNTA($D699:$J699)&lt;7,"",ROUND(MIN(10000, MAX(0, ((((($D699*1.2)+($E699*1.2)+($F699*1.1)+($G699*1.0)+($H699*1.0)+($I699*1.1)+($J699*0.9))/7.5)-1)/4*8000 + MIN($B699*20,1000) + MIN($C699*100,1000))),0))</f>
        <v/>
      </c>
      <c r="L699" s="31">
        <f>IF($K699="","",MIN(100,INT(SQRT($K699))))</f>
        <v/>
      </c>
      <c r="M699" s="31" t="n"/>
      <c r="N699" s="31">
        <f>IF($M699="Yes",$K699,"")</f>
        <v/>
      </c>
      <c r="O699" s="31" t="n"/>
      <c r="P699" s="59" t="n"/>
      <c r="Q699" s="59" t="n"/>
    </row>
    <row r="700">
      <c r="A700" s="31">
        <f>IF(Members!$A700="","",Members!$A700)</f>
        <v/>
      </c>
      <c r="B700" s="31" t="n"/>
      <c r="C700" s="31" t="n"/>
      <c r="D700" s="31" t="n"/>
      <c r="E700" s="31" t="n"/>
      <c r="F700" s="31" t="n"/>
      <c r="G700" s="31" t="n"/>
      <c r="H700" s="31" t="n"/>
      <c r="I700" s="31" t="n"/>
      <c r="J700" s="31" t="n"/>
      <c r="K700" s="31">
        <f>IF(COUNTA($D700:$J700)&lt;7,"",ROUND(MIN(10000, MAX(0, ((((($D700*1.2)+($E700*1.2)+($F700*1.1)+($G700*1.0)+($H700*1.0)+($I700*1.1)+($J700*0.9))/7.5)-1)/4*8000 + MIN($B700*20,1000) + MIN($C700*100,1000))),0))</f>
        <v/>
      </c>
      <c r="L700" s="31">
        <f>IF($K700="","",MIN(100,INT(SQRT($K700))))</f>
        <v/>
      </c>
      <c r="M700" s="31" t="n"/>
      <c r="N700" s="31">
        <f>IF($M700="Yes",$K700,"")</f>
        <v/>
      </c>
      <c r="O700" s="31" t="n"/>
      <c r="P700" s="59" t="n"/>
      <c r="Q700" s="59" t="n"/>
    </row>
    <row r="701">
      <c r="A701" s="31">
        <f>IF(Members!$A701="","",Members!$A701)</f>
        <v/>
      </c>
      <c r="B701" s="31" t="n"/>
      <c r="C701" s="31" t="n"/>
      <c r="D701" s="31" t="n"/>
      <c r="E701" s="31" t="n"/>
      <c r="F701" s="31" t="n"/>
      <c r="G701" s="31" t="n"/>
      <c r="H701" s="31" t="n"/>
      <c r="I701" s="31" t="n"/>
      <c r="J701" s="31" t="n"/>
      <c r="K701" s="31">
        <f>IF(COUNTA($D701:$J701)&lt;7,"",ROUND(MIN(10000, MAX(0, ((((($D701*1.2)+($E701*1.2)+($F701*1.1)+($G701*1.0)+($H701*1.0)+($I701*1.1)+($J701*0.9))/7.5)-1)/4*8000 + MIN($B701*20,1000) + MIN($C701*100,1000))),0))</f>
        <v/>
      </c>
      <c r="L701" s="31">
        <f>IF($K701="","",MIN(100,INT(SQRT($K701))))</f>
        <v/>
      </c>
      <c r="M701" s="31" t="n"/>
      <c r="N701" s="31">
        <f>IF($M701="Yes",$K701,"")</f>
        <v/>
      </c>
      <c r="O701" s="31" t="n"/>
      <c r="P701" s="59" t="n"/>
      <c r="Q701" s="59" t="n"/>
    </row>
    <row r="702">
      <c r="A702" s="31">
        <f>IF(Members!$A702="","",Members!$A702)</f>
        <v/>
      </c>
      <c r="B702" s="31" t="n"/>
      <c r="C702" s="31" t="n"/>
      <c r="D702" s="31" t="n"/>
      <c r="E702" s="31" t="n"/>
      <c r="F702" s="31" t="n"/>
      <c r="G702" s="31" t="n"/>
      <c r="H702" s="31" t="n"/>
      <c r="I702" s="31" t="n"/>
      <c r="J702" s="31" t="n"/>
      <c r="K702" s="31">
        <f>IF(COUNTA($D702:$J702)&lt;7,"",ROUND(MIN(10000, MAX(0, ((((($D702*1.2)+($E702*1.2)+($F702*1.1)+($G702*1.0)+($H702*1.0)+($I702*1.1)+($J702*0.9))/7.5)-1)/4*8000 + MIN($B702*20,1000) + MIN($C702*100,1000))),0))</f>
        <v/>
      </c>
      <c r="L702" s="31">
        <f>IF($K702="","",MIN(100,INT(SQRT($K702))))</f>
        <v/>
      </c>
      <c r="M702" s="31" t="n"/>
      <c r="N702" s="31">
        <f>IF($M702="Yes",$K702,"")</f>
        <v/>
      </c>
      <c r="O702" s="31" t="n"/>
      <c r="P702" s="59" t="n"/>
      <c r="Q702" s="59" t="n"/>
    </row>
    <row r="703">
      <c r="A703" s="31">
        <f>IF(Members!$A703="","",Members!$A703)</f>
        <v/>
      </c>
      <c r="B703" s="31" t="n"/>
      <c r="C703" s="31" t="n"/>
      <c r="D703" s="31" t="n"/>
      <c r="E703" s="31" t="n"/>
      <c r="F703" s="31" t="n"/>
      <c r="G703" s="31" t="n"/>
      <c r="H703" s="31" t="n"/>
      <c r="I703" s="31" t="n"/>
      <c r="J703" s="31" t="n"/>
      <c r="K703" s="31">
        <f>IF(COUNTA($D703:$J703)&lt;7,"",ROUND(MIN(10000, MAX(0, ((((($D703*1.2)+($E703*1.2)+($F703*1.1)+($G703*1.0)+($H703*1.0)+($I703*1.1)+($J703*0.9))/7.5)-1)/4*8000 + MIN($B703*20,1000) + MIN($C703*100,1000))),0))</f>
        <v/>
      </c>
      <c r="L703" s="31">
        <f>IF($K703="","",MIN(100,INT(SQRT($K703))))</f>
        <v/>
      </c>
      <c r="M703" s="31" t="n"/>
      <c r="N703" s="31">
        <f>IF($M703="Yes",$K703,"")</f>
        <v/>
      </c>
      <c r="O703" s="31" t="n"/>
      <c r="P703" s="59" t="n"/>
      <c r="Q703" s="59" t="n"/>
    </row>
    <row r="704">
      <c r="A704" s="31">
        <f>IF(Members!$A704="","",Members!$A704)</f>
        <v/>
      </c>
      <c r="B704" s="31" t="n"/>
      <c r="C704" s="31" t="n"/>
      <c r="D704" s="31" t="n"/>
      <c r="E704" s="31" t="n"/>
      <c r="F704" s="31" t="n"/>
      <c r="G704" s="31" t="n"/>
      <c r="H704" s="31" t="n"/>
      <c r="I704" s="31" t="n"/>
      <c r="J704" s="31" t="n"/>
      <c r="K704" s="31">
        <f>IF(COUNTA($D704:$J704)&lt;7,"",ROUND(MIN(10000, MAX(0, ((((($D704*1.2)+($E704*1.2)+($F704*1.1)+($G704*1.0)+($H704*1.0)+($I704*1.1)+($J704*0.9))/7.5)-1)/4*8000 + MIN($B704*20,1000) + MIN($C704*100,1000))),0))</f>
        <v/>
      </c>
      <c r="L704" s="31">
        <f>IF($K704="","",MIN(100,INT(SQRT($K704))))</f>
        <v/>
      </c>
      <c r="M704" s="31" t="n"/>
      <c r="N704" s="31">
        <f>IF($M704="Yes",$K704,"")</f>
        <v/>
      </c>
      <c r="O704" s="31" t="n"/>
      <c r="P704" s="59" t="n"/>
      <c r="Q704" s="59" t="n"/>
    </row>
    <row r="705">
      <c r="A705" s="31">
        <f>IF(Members!$A705="","",Members!$A705)</f>
        <v/>
      </c>
      <c r="B705" s="31" t="n"/>
      <c r="C705" s="31" t="n"/>
      <c r="D705" s="31" t="n"/>
      <c r="E705" s="31" t="n"/>
      <c r="F705" s="31" t="n"/>
      <c r="G705" s="31" t="n"/>
      <c r="H705" s="31" t="n"/>
      <c r="I705" s="31" t="n"/>
      <c r="J705" s="31" t="n"/>
      <c r="K705" s="31">
        <f>IF(COUNTA($D705:$J705)&lt;7,"",ROUND(MIN(10000, MAX(0, ((((($D705*1.2)+($E705*1.2)+($F705*1.1)+($G705*1.0)+($H705*1.0)+($I705*1.1)+($J705*0.9))/7.5)-1)/4*8000 + MIN($B705*20,1000) + MIN($C705*100,1000))),0))</f>
        <v/>
      </c>
      <c r="L705" s="31">
        <f>IF($K705="","",MIN(100,INT(SQRT($K705))))</f>
        <v/>
      </c>
      <c r="M705" s="31" t="n"/>
      <c r="N705" s="31">
        <f>IF($M705="Yes",$K705,"")</f>
        <v/>
      </c>
      <c r="O705" s="31" t="n"/>
      <c r="P705" s="59" t="n"/>
      <c r="Q705" s="59" t="n"/>
    </row>
    <row r="706">
      <c r="A706" s="31">
        <f>IF(Members!$A706="","",Members!$A706)</f>
        <v/>
      </c>
      <c r="B706" s="31" t="n"/>
      <c r="C706" s="31" t="n"/>
      <c r="D706" s="31" t="n"/>
      <c r="E706" s="31" t="n"/>
      <c r="F706" s="31" t="n"/>
      <c r="G706" s="31" t="n"/>
      <c r="H706" s="31" t="n"/>
      <c r="I706" s="31" t="n"/>
      <c r="J706" s="31" t="n"/>
      <c r="K706" s="31">
        <f>IF(COUNTA($D706:$J706)&lt;7,"",ROUND(MIN(10000, MAX(0, ((((($D706*1.2)+($E706*1.2)+($F706*1.1)+($G706*1.0)+($H706*1.0)+($I706*1.1)+($J706*0.9))/7.5)-1)/4*8000 + MIN($B706*20,1000) + MIN($C706*100,1000))),0))</f>
        <v/>
      </c>
      <c r="L706" s="31">
        <f>IF($K706="","",MIN(100,INT(SQRT($K706))))</f>
        <v/>
      </c>
      <c r="M706" s="31" t="n"/>
      <c r="N706" s="31">
        <f>IF($M706="Yes",$K706,"")</f>
        <v/>
      </c>
      <c r="O706" s="31" t="n"/>
      <c r="P706" s="59" t="n"/>
      <c r="Q706" s="59" t="n"/>
    </row>
    <row r="707">
      <c r="A707" s="31">
        <f>IF(Members!$A707="","",Members!$A707)</f>
        <v/>
      </c>
      <c r="B707" s="31" t="n"/>
      <c r="C707" s="31" t="n"/>
      <c r="D707" s="31" t="n"/>
      <c r="E707" s="31" t="n"/>
      <c r="F707" s="31" t="n"/>
      <c r="G707" s="31" t="n"/>
      <c r="H707" s="31" t="n"/>
      <c r="I707" s="31" t="n"/>
      <c r="J707" s="31" t="n"/>
      <c r="K707" s="31">
        <f>IF(COUNTA($D707:$J707)&lt;7,"",ROUND(MIN(10000, MAX(0, ((((($D707*1.2)+($E707*1.2)+($F707*1.1)+($G707*1.0)+($H707*1.0)+($I707*1.1)+($J707*0.9))/7.5)-1)/4*8000 + MIN($B707*20,1000) + MIN($C707*100,1000))),0))</f>
        <v/>
      </c>
      <c r="L707" s="31">
        <f>IF($K707="","",MIN(100,INT(SQRT($K707))))</f>
        <v/>
      </c>
      <c r="M707" s="31" t="n"/>
      <c r="N707" s="31">
        <f>IF($M707="Yes",$K707,"")</f>
        <v/>
      </c>
      <c r="O707" s="31" t="n"/>
      <c r="P707" s="59" t="n"/>
      <c r="Q707" s="59" t="n"/>
    </row>
    <row r="708">
      <c r="A708" s="31">
        <f>IF(Members!$A708="","",Members!$A708)</f>
        <v/>
      </c>
      <c r="B708" s="31" t="n"/>
      <c r="C708" s="31" t="n"/>
      <c r="D708" s="31" t="n"/>
      <c r="E708" s="31" t="n"/>
      <c r="F708" s="31" t="n"/>
      <c r="G708" s="31" t="n"/>
      <c r="H708" s="31" t="n"/>
      <c r="I708" s="31" t="n"/>
      <c r="J708" s="31" t="n"/>
      <c r="K708" s="31">
        <f>IF(COUNTA($D708:$J708)&lt;7,"",ROUND(MIN(10000, MAX(0, ((((($D708*1.2)+($E708*1.2)+($F708*1.1)+($G708*1.0)+($H708*1.0)+($I708*1.1)+($J708*0.9))/7.5)-1)/4*8000 + MIN($B708*20,1000) + MIN($C708*100,1000))),0))</f>
        <v/>
      </c>
      <c r="L708" s="31">
        <f>IF($K708="","",MIN(100,INT(SQRT($K708))))</f>
        <v/>
      </c>
      <c r="M708" s="31" t="n"/>
      <c r="N708" s="31">
        <f>IF($M708="Yes",$K708,"")</f>
        <v/>
      </c>
      <c r="O708" s="31" t="n"/>
      <c r="P708" s="59" t="n"/>
      <c r="Q708" s="59" t="n"/>
    </row>
    <row r="709">
      <c r="A709" s="31">
        <f>IF(Members!$A709="","",Members!$A709)</f>
        <v/>
      </c>
      <c r="B709" s="31" t="n"/>
      <c r="C709" s="31" t="n"/>
      <c r="D709" s="31" t="n"/>
      <c r="E709" s="31" t="n"/>
      <c r="F709" s="31" t="n"/>
      <c r="G709" s="31" t="n"/>
      <c r="H709" s="31" t="n"/>
      <c r="I709" s="31" t="n"/>
      <c r="J709" s="31" t="n"/>
      <c r="K709" s="31">
        <f>IF(COUNTA($D709:$J709)&lt;7,"",ROUND(MIN(10000, MAX(0, ((((($D709*1.2)+($E709*1.2)+($F709*1.1)+($G709*1.0)+($H709*1.0)+($I709*1.1)+($J709*0.9))/7.5)-1)/4*8000 + MIN($B709*20,1000) + MIN($C709*100,1000))),0))</f>
        <v/>
      </c>
      <c r="L709" s="31">
        <f>IF($K709="","",MIN(100,INT(SQRT($K709))))</f>
        <v/>
      </c>
      <c r="M709" s="31" t="n"/>
      <c r="N709" s="31">
        <f>IF($M709="Yes",$K709,"")</f>
        <v/>
      </c>
      <c r="O709" s="31" t="n"/>
      <c r="P709" s="59" t="n"/>
      <c r="Q709" s="59" t="n"/>
    </row>
    <row r="710">
      <c r="A710" s="31">
        <f>IF(Members!$A710="","",Members!$A710)</f>
        <v/>
      </c>
      <c r="B710" s="31" t="n"/>
      <c r="C710" s="31" t="n"/>
      <c r="D710" s="31" t="n"/>
      <c r="E710" s="31" t="n"/>
      <c r="F710" s="31" t="n"/>
      <c r="G710" s="31" t="n"/>
      <c r="H710" s="31" t="n"/>
      <c r="I710" s="31" t="n"/>
      <c r="J710" s="31" t="n"/>
      <c r="K710" s="31">
        <f>IF(COUNTA($D710:$J710)&lt;7,"",ROUND(MIN(10000, MAX(0, ((((($D710*1.2)+($E710*1.2)+($F710*1.1)+($G710*1.0)+($H710*1.0)+($I710*1.1)+($J710*0.9))/7.5)-1)/4*8000 + MIN($B710*20,1000) + MIN($C710*100,1000))),0))</f>
        <v/>
      </c>
      <c r="L710" s="31">
        <f>IF($K710="","",MIN(100,INT(SQRT($K710))))</f>
        <v/>
      </c>
      <c r="M710" s="31" t="n"/>
      <c r="N710" s="31">
        <f>IF($M710="Yes",$K710,"")</f>
        <v/>
      </c>
      <c r="O710" s="31" t="n"/>
      <c r="P710" s="59" t="n"/>
      <c r="Q710" s="59" t="n"/>
    </row>
    <row r="711">
      <c r="A711" s="31">
        <f>IF(Members!$A711="","",Members!$A711)</f>
        <v/>
      </c>
      <c r="B711" s="31" t="n"/>
      <c r="C711" s="31" t="n"/>
      <c r="D711" s="31" t="n"/>
      <c r="E711" s="31" t="n"/>
      <c r="F711" s="31" t="n"/>
      <c r="G711" s="31" t="n"/>
      <c r="H711" s="31" t="n"/>
      <c r="I711" s="31" t="n"/>
      <c r="J711" s="31" t="n"/>
      <c r="K711" s="31">
        <f>IF(COUNTA($D711:$J711)&lt;7,"",ROUND(MIN(10000, MAX(0, ((((($D711*1.2)+($E711*1.2)+($F711*1.1)+($G711*1.0)+($H711*1.0)+($I711*1.1)+($J711*0.9))/7.5)-1)/4*8000 + MIN($B711*20,1000) + MIN($C711*100,1000))),0))</f>
        <v/>
      </c>
      <c r="L711" s="31">
        <f>IF($K711="","",MIN(100,INT(SQRT($K711))))</f>
        <v/>
      </c>
      <c r="M711" s="31" t="n"/>
      <c r="N711" s="31">
        <f>IF($M711="Yes",$K711,"")</f>
        <v/>
      </c>
      <c r="O711" s="31" t="n"/>
      <c r="P711" s="59" t="n"/>
      <c r="Q711" s="59" t="n"/>
    </row>
    <row r="712">
      <c r="A712" s="31">
        <f>IF(Members!$A712="","",Members!$A712)</f>
        <v/>
      </c>
      <c r="B712" s="31" t="n"/>
      <c r="C712" s="31" t="n"/>
      <c r="D712" s="31" t="n"/>
      <c r="E712" s="31" t="n"/>
      <c r="F712" s="31" t="n"/>
      <c r="G712" s="31" t="n"/>
      <c r="H712" s="31" t="n"/>
      <c r="I712" s="31" t="n"/>
      <c r="J712" s="31" t="n"/>
      <c r="K712" s="31">
        <f>IF(COUNTA($D712:$J712)&lt;7,"",ROUND(MIN(10000, MAX(0, ((((($D712*1.2)+($E712*1.2)+($F712*1.1)+($G712*1.0)+($H712*1.0)+($I712*1.1)+($J712*0.9))/7.5)-1)/4*8000 + MIN($B712*20,1000) + MIN($C712*100,1000))),0))</f>
        <v/>
      </c>
      <c r="L712" s="31">
        <f>IF($K712="","",MIN(100,INT(SQRT($K712))))</f>
        <v/>
      </c>
      <c r="M712" s="31" t="n"/>
      <c r="N712" s="31">
        <f>IF($M712="Yes",$K712,"")</f>
        <v/>
      </c>
      <c r="O712" s="31" t="n"/>
      <c r="P712" s="59" t="n"/>
      <c r="Q712" s="59" t="n"/>
    </row>
    <row r="713">
      <c r="A713" s="31">
        <f>IF(Members!$A713="","",Members!$A713)</f>
        <v/>
      </c>
      <c r="B713" s="31" t="n"/>
      <c r="C713" s="31" t="n"/>
      <c r="D713" s="31" t="n"/>
      <c r="E713" s="31" t="n"/>
      <c r="F713" s="31" t="n"/>
      <c r="G713" s="31" t="n"/>
      <c r="H713" s="31" t="n"/>
      <c r="I713" s="31" t="n"/>
      <c r="J713" s="31" t="n"/>
      <c r="K713" s="31">
        <f>IF(COUNTA($D713:$J713)&lt;7,"",ROUND(MIN(10000, MAX(0, ((((($D713*1.2)+($E713*1.2)+($F713*1.1)+($G713*1.0)+($H713*1.0)+($I713*1.1)+($J713*0.9))/7.5)-1)/4*8000 + MIN($B713*20,1000) + MIN($C713*100,1000))),0))</f>
        <v/>
      </c>
      <c r="L713" s="31">
        <f>IF($K713="","",MIN(100,INT(SQRT($K713))))</f>
        <v/>
      </c>
      <c r="M713" s="31" t="n"/>
      <c r="N713" s="31">
        <f>IF($M713="Yes",$K713,"")</f>
        <v/>
      </c>
      <c r="O713" s="31" t="n"/>
      <c r="P713" s="59" t="n"/>
      <c r="Q713" s="59" t="n"/>
    </row>
    <row r="714">
      <c r="A714" s="31">
        <f>IF(Members!$A714="","",Members!$A714)</f>
        <v/>
      </c>
      <c r="B714" s="31" t="n"/>
      <c r="C714" s="31" t="n"/>
      <c r="D714" s="31" t="n"/>
      <c r="E714" s="31" t="n"/>
      <c r="F714" s="31" t="n"/>
      <c r="G714" s="31" t="n"/>
      <c r="H714" s="31" t="n"/>
      <c r="I714" s="31" t="n"/>
      <c r="J714" s="31" t="n"/>
      <c r="K714" s="31">
        <f>IF(COUNTA($D714:$J714)&lt;7,"",ROUND(MIN(10000, MAX(0, ((((($D714*1.2)+($E714*1.2)+($F714*1.1)+($G714*1.0)+($H714*1.0)+($I714*1.1)+($J714*0.9))/7.5)-1)/4*8000 + MIN($B714*20,1000) + MIN($C714*100,1000))),0))</f>
        <v/>
      </c>
      <c r="L714" s="31">
        <f>IF($K714="","",MIN(100,INT(SQRT($K714))))</f>
        <v/>
      </c>
      <c r="M714" s="31" t="n"/>
      <c r="N714" s="31">
        <f>IF($M714="Yes",$K714,"")</f>
        <v/>
      </c>
      <c r="O714" s="31" t="n"/>
      <c r="P714" s="59" t="n"/>
      <c r="Q714" s="59" t="n"/>
    </row>
    <row r="715">
      <c r="A715" s="31">
        <f>IF(Members!$A715="","",Members!$A715)</f>
        <v/>
      </c>
      <c r="B715" s="31" t="n"/>
      <c r="C715" s="31" t="n"/>
      <c r="D715" s="31" t="n"/>
      <c r="E715" s="31" t="n"/>
      <c r="F715" s="31" t="n"/>
      <c r="G715" s="31" t="n"/>
      <c r="H715" s="31" t="n"/>
      <c r="I715" s="31" t="n"/>
      <c r="J715" s="31" t="n"/>
      <c r="K715" s="31">
        <f>IF(COUNTA($D715:$J715)&lt;7,"",ROUND(MIN(10000, MAX(0, ((((($D715*1.2)+($E715*1.2)+($F715*1.1)+($G715*1.0)+($H715*1.0)+($I715*1.1)+($J715*0.9))/7.5)-1)/4*8000 + MIN($B715*20,1000) + MIN($C715*100,1000))),0))</f>
        <v/>
      </c>
      <c r="L715" s="31">
        <f>IF($K715="","",MIN(100,INT(SQRT($K715))))</f>
        <v/>
      </c>
      <c r="M715" s="31" t="n"/>
      <c r="N715" s="31">
        <f>IF($M715="Yes",$K715,"")</f>
        <v/>
      </c>
      <c r="O715" s="31" t="n"/>
      <c r="P715" s="59" t="n"/>
      <c r="Q715" s="59" t="n"/>
    </row>
    <row r="716">
      <c r="A716" s="31">
        <f>IF(Members!$A716="","",Members!$A716)</f>
        <v/>
      </c>
      <c r="B716" s="31" t="n"/>
      <c r="C716" s="31" t="n"/>
      <c r="D716" s="31" t="n"/>
      <c r="E716" s="31" t="n"/>
      <c r="F716" s="31" t="n"/>
      <c r="G716" s="31" t="n"/>
      <c r="H716" s="31" t="n"/>
      <c r="I716" s="31" t="n"/>
      <c r="J716" s="31" t="n"/>
      <c r="K716" s="31">
        <f>IF(COUNTA($D716:$J716)&lt;7,"",ROUND(MIN(10000, MAX(0, ((((($D716*1.2)+($E716*1.2)+($F716*1.1)+($G716*1.0)+($H716*1.0)+($I716*1.1)+($J716*0.9))/7.5)-1)/4*8000 + MIN($B716*20,1000) + MIN($C716*100,1000))),0))</f>
        <v/>
      </c>
      <c r="L716" s="31">
        <f>IF($K716="","",MIN(100,INT(SQRT($K716))))</f>
        <v/>
      </c>
      <c r="M716" s="31" t="n"/>
      <c r="N716" s="31">
        <f>IF($M716="Yes",$K716,"")</f>
        <v/>
      </c>
      <c r="O716" s="31" t="n"/>
      <c r="P716" s="59" t="n"/>
      <c r="Q716" s="59" t="n"/>
    </row>
    <row r="717">
      <c r="A717" s="31">
        <f>IF(Members!$A717="","",Members!$A717)</f>
        <v/>
      </c>
      <c r="B717" s="31" t="n"/>
      <c r="C717" s="31" t="n"/>
      <c r="D717" s="31" t="n"/>
      <c r="E717" s="31" t="n"/>
      <c r="F717" s="31" t="n"/>
      <c r="G717" s="31" t="n"/>
      <c r="H717" s="31" t="n"/>
      <c r="I717" s="31" t="n"/>
      <c r="J717" s="31" t="n"/>
      <c r="K717" s="31">
        <f>IF(COUNTA($D717:$J717)&lt;7,"",ROUND(MIN(10000, MAX(0, ((((($D717*1.2)+($E717*1.2)+($F717*1.1)+($G717*1.0)+($H717*1.0)+($I717*1.1)+($J717*0.9))/7.5)-1)/4*8000 + MIN($B717*20,1000) + MIN($C717*100,1000))),0))</f>
        <v/>
      </c>
      <c r="L717" s="31">
        <f>IF($K717="","",MIN(100,INT(SQRT($K717))))</f>
        <v/>
      </c>
      <c r="M717" s="31" t="n"/>
      <c r="N717" s="31">
        <f>IF($M717="Yes",$K717,"")</f>
        <v/>
      </c>
      <c r="O717" s="31" t="n"/>
      <c r="P717" s="59" t="n"/>
      <c r="Q717" s="59" t="n"/>
    </row>
    <row r="718">
      <c r="A718" s="31">
        <f>IF(Members!$A718="","",Members!$A718)</f>
        <v/>
      </c>
      <c r="B718" s="31" t="n"/>
      <c r="C718" s="31" t="n"/>
      <c r="D718" s="31" t="n"/>
      <c r="E718" s="31" t="n"/>
      <c r="F718" s="31" t="n"/>
      <c r="G718" s="31" t="n"/>
      <c r="H718" s="31" t="n"/>
      <c r="I718" s="31" t="n"/>
      <c r="J718" s="31" t="n"/>
      <c r="K718" s="31">
        <f>IF(COUNTA($D718:$J718)&lt;7,"",ROUND(MIN(10000, MAX(0, ((((($D718*1.2)+($E718*1.2)+($F718*1.1)+($G718*1.0)+($H718*1.0)+($I718*1.1)+($J718*0.9))/7.5)-1)/4*8000 + MIN($B718*20,1000) + MIN($C718*100,1000))),0))</f>
        <v/>
      </c>
      <c r="L718" s="31">
        <f>IF($K718="","",MIN(100,INT(SQRT($K718))))</f>
        <v/>
      </c>
      <c r="M718" s="31" t="n"/>
      <c r="N718" s="31">
        <f>IF($M718="Yes",$K718,"")</f>
        <v/>
      </c>
      <c r="O718" s="31" t="n"/>
      <c r="P718" s="59" t="n"/>
      <c r="Q718" s="59" t="n"/>
    </row>
    <row r="719">
      <c r="A719" s="31">
        <f>IF(Members!$A719="","",Members!$A719)</f>
        <v/>
      </c>
      <c r="B719" s="31" t="n"/>
      <c r="C719" s="31" t="n"/>
      <c r="D719" s="31" t="n"/>
      <c r="E719" s="31" t="n"/>
      <c r="F719" s="31" t="n"/>
      <c r="G719" s="31" t="n"/>
      <c r="H719" s="31" t="n"/>
      <c r="I719" s="31" t="n"/>
      <c r="J719" s="31" t="n"/>
      <c r="K719" s="31">
        <f>IF(COUNTA($D719:$J719)&lt;7,"",ROUND(MIN(10000, MAX(0, ((((($D719*1.2)+($E719*1.2)+($F719*1.1)+($G719*1.0)+($H719*1.0)+($I719*1.1)+($J719*0.9))/7.5)-1)/4*8000 + MIN($B719*20,1000) + MIN($C719*100,1000))),0))</f>
        <v/>
      </c>
      <c r="L719" s="31">
        <f>IF($K719="","",MIN(100,INT(SQRT($K719))))</f>
        <v/>
      </c>
      <c r="M719" s="31" t="n"/>
      <c r="N719" s="31">
        <f>IF($M719="Yes",$K719,"")</f>
        <v/>
      </c>
      <c r="O719" s="31" t="n"/>
      <c r="P719" s="59" t="n"/>
      <c r="Q719" s="59" t="n"/>
    </row>
    <row r="720">
      <c r="A720" s="31">
        <f>IF(Members!$A720="","",Members!$A720)</f>
        <v/>
      </c>
      <c r="B720" s="31" t="n"/>
      <c r="C720" s="31" t="n"/>
      <c r="D720" s="31" t="n"/>
      <c r="E720" s="31" t="n"/>
      <c r="F720" s="31" t="n"/>
      <c r="G720" s="31" t="n"/>
      <c r="H720" s="31" t="n"/>
      <c r="I720" s="31" t="n"/>
      <c r="J720" s="31" t="n"/>
      <c r="K720" s="31">
        <f>IF(COUNTA($D720:$J720)&lt;7,"",ROUND(MIN(10000, MAX(0, ((((($D720*1.2)+($E720*1.2)+($F720*1.1)+($G720*1.0)+($H720*1.0)+($I720*1.1)+($J720*0.9))/7.5)-1)/4*8000 + MIN($B720*20,1000) + MIN($C720*100,1000))),0))</f>
        <v/>
      </c>
      <c r="L720" s="31">
        <f>IF($K720="","",MIN(100,INT(SQRT($K720))))</f>
        <v/>
      </c>
      <c r="M720" s="31" t="n"/>
      <c r="N720" s="31">
        <f>IF($M720="Yes",$K720,"")</f>
        <v/>
      </c>
      <c r="O720" s="31" t="n"/>
      <c r="P720" s="59" t="n"/>
      <c r="Q720" s="59" t="n"/>
    </row>
    <row r="721">
      <c r="A721" s="31">
        <f>IF(Members!$A721="","",Members!$A721)</f>
        <v/>
      </c>
      <c r="B721" s="31" t="n"/>
      <c r="C721" s="31" t="n"/>
      <c r="D721" s="31" t="n"/>
      <c r="E721" s="31" t="n"/>
      <c r="F721" s="31" t="n"/>
      <c r="G721" s="31" t="n"/>
      <c r="H721" s="31" t="n"/>
      <c r="I721" s="31" t="n"/>
      <c r="J721" s="31" t="n"/>
      <c r="K721" s="31">
        <f>IF(COUNTA($D721:$J721)&lt;7,"",ROUND(MIN(10000, MAX(0, ((((($D721*1.2)+($E721*1.2)+($F721*1.1)+($G721*1.0)+($H721*1.0)+($I721*1.1)+($J721*0.9))/7.5)-1)/4*8000 + MIN($B721*20,1000) + MIN($C721*100,1000))),0))</f>
        <v/>
      </c>
      <c r="L721" s="31">
        <f>IF($K721="","",MIN(100,INT(SQRT($K721))))</f>
        <v/>
      </c>
      <c r="M721" s="31" t="n"/>
      <c r="N721" s="31">
        <f>IF($M721="Yes",$K721,"")</f>
        <v/>
      </c>
      <c r="O721" s="31" t="n"/>
      <c r="P721" s="59" t="n"/>
      <c r="Q721" s="59" t="n"/>
    </row>
    <row r="722">
      <c r="A722" s="31">
        <f>IF(Members!$A722="","",Members!$A722)</f>
        <v/>
      </c>
      <c r="B722" s="31" t="n"/>
      <c r="C722" s="31" t="n"/>
      <c r="D722" s="31" t="n"/>
      <c r="E722" s="31" t="n"/>
      <c r="F722" s="31" t="n"/>
      <c r="G722" s="31" t="n"/>
      <c r="H722" s="31" t="n"/>
      <c r="I722" s="31" t="n"/>
      <c r="J722" s="31" t="n"/>
      <c r="K722" s="31">
        <f>IF(COUNTA($D722:$J722)&lt;7,"",ROUND(MIN(10000, MAX(0, ((((($D722*1.2)+($E722*1.2)+($F722*1.1)+($G722*1.0)+($H722*1.0)+($I722*1.1)+($J722*0.9))/7.5)-1)/4*8000 + MIN($B722*20,1000) + MIN($C722*100,1000))),0))</f>
        <v/>
      </c>
      <c r="L722" s="31">
        <f>IF($K722="","",MIN(100,INT(SQRT($K722))))</f>
        <v/>
      </c>
      <c r="M722" s="31" t="n"/>
      <c r="N722" s="31">
        <f>IF($M722="Yes",$K722,"")</f>
        <v/>
      </c>
      <c r="O722" s="31" t="n"/>
      <c r="P722" s="59" t="n"/>
      <c r="Q722" s="59" t="n"/>
    </row>
    <row r="723">
      <c r="A723" s="31">
        <f>IF(Members!$A723="","",Members!$A723)</f>
        <v/>
      </c>
      <c r="B723" s="31" t="n"/>
      <c r="C723" s="31" t="n"/>
      <c r="D723" s="31" t="n"/>
      <c r="E723" s="31" t="n"/>
      <c r="F723" s="31" t="n"/>
      <c r="G723" s="31" t="n"/>
      <c r="H723" s="31" t="n"/>
      <c r="I723" s="31" t="n"/>
      <c r="J723" s="31" t="n"/>
      <c r="K723" s="31">
        <f>IF(COUNTA($D723:$J723)&lt;7,"",ROUND(MIN(10000, MAX(0, ((((($D723*1.2)+($E723*1.2)+($F723*1.1)+($G723*1.0)+($H723*1.0)+($I723*1.1)+($J723*0.9))/7.5)-1)/4*8000 + MIN($B723*20,1000) + MIN($C723*100,1000))),0))</f>
        <v/>
      </c>
      <c r="L723" s="31">
        <f>IF($K723="","",MIN(100,INT(SQRT($K723))))</f>
        <v/>
      </c>
      <c r="M723" s="31" t="n"/>
      <c r="N723" s="31">
        <f>IF($M723="Yes",$K723,"")</f>
        <v/>
      </c>
      <c r="O723" s="31" t="n"/>
      <c r="P723" s="59" t="n"/>
      <c r="Q723" s="59" t="n"/>
    </row>
    <row r="724">
      <c r="A724" s="31">
        <f>IF(Members!$A724="","",Members!$A724)</f>
        <v/>
      </c>
      <c r="B724" s="31" t="n"/>
      <c r="C724" s="31" t="n"/>
      <c r="D724" s="31" t="n"/>
      <c r="E724" s="31" t="n"/>
      <c r="F724" s="31" t="n"/>
      <c r="G724" s="31" t="n"/>
      <c r="H724" s="31" t="n"/>
      <c r="I724" s="31" t="n"/>
      <c r="J724" s="31" t="n"/>
      <c r="K724" s="31">
        <f>IF(COUNTA($D724:$J724)&lt;7,"",ROUND(MIN(10000, MAX(0, ((((($D724*1.2)+($E724*1.2)+($F724*1.1)+($G724*1.0)+($H724*1.0)+($I724*1.1)+($J724*0.9))/7.5)-1)/4*8000 + MIN($B724*20,1000) + MIN($C724*100,1000))),0))</f>
        <v/>
      </c>
      <c r="L724" s="31">
        <f>IF($K724="","",MIN(100,INT(SQRT($K724))))</f>
        <v/>
      </c>
      <c r="M724" s="31" t="n"/>
      <c r="N724" s="31">
        <f>IF($M724="Yes",$K724,"")</f>
        <v/>
      </c>
      <c r="O724" s="31" t="n"/>
      <c r="P724" s="59" t="n"/>
      <c r="Q724" s="59" t="n"/>
    </row>
    <row r="725">
      <c r="A725" s="31">
        <f>IF(Members!$A725="","",Members!$A725)</f>
        <v/>
      </c>
      <c r="B725" s="31" t="n"/>
      <c r="C725" s="31" t="n"/>
      <c r="D725" s="31" t="n"/>
      <c r="E725" s="31" t="n"/>
      <c r="F725" s="31" t="n"/>
      <c r="G725" s="31" t="n"/>
      <c r="H725" s="31" t="n"/>
      <c r="I725" s="31" t="n"/>
      <c r="J725" s="31" t="n"/>
      <c r="K725" s="31">
        <f>IF(COUNTA($D725:$J725)&lt;7,"",ROUND(MIN(10000, MAX(0, ((((($D725*1.2)+($E725*1.2)+($F725*1.1)+($G725*1.0)+($H725*1.0)+($I725*1.1)+($J725*0.9))/7.5)-1)/4*8000 + MIN($B725*20,1000) + MIN($C725*100,1000))),0))</f>
        <v/>
      </c>
      <c r="L725" s="31">
        <f>IF($K725="","",MIN(100,INT(SQRT($K725))))</f>
        <v/>
      </c>
      <c r="M725" s="31" t="n"/>
      <c r="N725" s="31">
        <f>IF($M725="Yes",$K725,"")</f>
        <v/>
      </c>
      <c r="O725" s="31" t="n"/>
      <c r="P725" s="59" t="n"/>
      <c r="Q725" s="59" t="n"/>
    </row>
    <row r="726">
      <c r="A726" s="31">
        <f>IF(Members!$A726="","",Members!$A726)</f>
        <v/>
      </c>
      <c r="B726" s="31" t="n"/>
      <c r="C726" s="31" t="n"/>
      <c r="D726" s="31" t="n"/>
      <c r="E726" s="31" t="n"/>
      <c r="F726" s="31" t="n"/>
      <c r="G726" s="31" t="n"/>
      <c r="H726" s="31" t="n"/>
      <c r="I726" s="31" t="n"/>
      <c r="J726" s="31" t="n"/>
      <c r="K726" s="31">
        <f>IF(COUNTA($D726:$J726)&lt;7,"",ROUND(MIN(10000, MAX(0, ((((($D726*1.2)+($E726*1.2)+($F726*1.1)+($G726*1.0)+($H726*1.0)+($I726*1.1)+($J726*0.9))/7.5)-1)/4*8000 + MIN($B726*20,1000) + MIN($C726*100,1000))),0))</f>
        <v/>
      </c>
      <c r="L726" s="31">
        <f>IF($K726="","",MIN(100,INT(SQRT($K726))))</f>
        <v/>
      </c>
      <c r="M726" s="31" t="n"/>
      <c r="N726" s="31">
        <f>IF($M726="Yes",$K726,"")</f>
        <v/>
      </c>
      <c r="O726" s="31" t="n"/>
      <c r="P726" s="59" t="n"/>
      <c r="Q726" s="59" t="n"/>
    </row>
    <row r="727">
      <c r="A727" s="31">
        <f>IF(Members!$A727="","",Members!$A727)</f>
        <v/>
      </c>
      <c r="B727" s="31" t="n"/>
      <c r="C727" s="31" t="n"/>
      <c r="D727" s="31" t="n"/>
      <c r="E727" s="31" t="n"/>
      <c r="F727" s="31" t="n"/>
      <c r="G727" s="31" t="n"/>
      <c r="H727" s="31" t="n"/>
      <c r="I727" s="31" t="n"/>
      <c r="J727" s="31" t="n"/>
      <c r="K727" s="31">
        <f>IF(COUNTA($D727:$J727)&lt;7,"",ROUND(MIN(10000, MAX(0, ((((($D727*1.2)+($E727*1.2)+($F727*1.1)+($G727*1.0)+($H727*1.0)+($I727*1.1)+($J727*0.9))/7.5)-1)/4*8000 + MIN($B727*20,1000) + MIN($C727*100,1000))),0))</f>
        <v/>
      </c>
      <c r="L727" s="31">
        <f>IF($K727="","",MIN(100,INT(SQRT($K727))))</f>
        <v/>
      </c>
      <c r="M727" s="31" t="n"/>
      <c r="N727" s="31">
        <f>IF($M727="Yes",$K727,"")</f>
        <v/>
      </c>
      <c r="O727" s="31" t="n"/>
      <c r="P727" s="59" t="n"/>
      <c r="Q727" s="59" t="n"/>
    </row>
    <row r="728">
      <c r="A728" s="31">
        <f>IF(Members!$A728="","",Members!$A728)</f>
        <v/>
      </c>
      <c r="B728" s="31" t="n"/>
      <c r="C728" s="31" t="n"/>
      <c r="D728" s="31" t="n"/>
      <c r="E728" s="31" t="n"/>
      <c r="F728" s="31" t="n"/>
      <c r="G728" s="31" t="n"/>
      <c r="H728" s="31" t="n"/>
      <c r="I728" s="31" t="n"/>
      <c r="J728" s="31" t="n"/>
      <c r="K728" s="31">
        <f>IF(COUNTA($D728:$J728)&lt;7,"",ROUND(MIN(10000, MAX(0, ((((($D728*1.2)+($E728*1.2)+($F728*1.1)+($G728*1.0)+($H728*1.0)+($I728*1.1)+($J728*0.9))/7.5)-1)/4*8000 + MIN($B728*20,1000) + MIN($C728*100,1000))),0))</f>
        <v/>
      </c>
      <c r="L728" s="31">
        <f>IF($K728="","",MIN(100,INT(SQRT($K728))))</f>
        <v/>
      </c>
      <c r="M728" s="31" t="n"/>
      <c r="N728" s="31">
        <f>IF($M728="Yes",$K728,"")</f>
        <v/>
      </c>
      <c r="O728" s="31" t="n"/>
      <c r="P728" s="59" t="n"/>
      <c r="Q728" s="59" t="n"/>
    </row>
    <row r="729">
      <c r="A729" s="31">
        <f>IF(Members!$A729="","",Members!$A729)</f>
        <v/>
      </c>
      <c r="B729" s="31" t="n"/>
      <c r="C729" s="31" t="n"/>
      <c r="D729" s="31" t="n"/>
      <c r="E729" s="31" t="n"/>
      <c r="F729" s="31" t="n"/>
      <c r="G729" s="31" t="n"/>
      <c r="H729" s="31" t="n"/>
      <c r="I729" s="31" t="n"/>
      <c r="J729" s="31" t="n"/>
      <c r="K729" s="31">
        <f>IF(COUNTA($D729:$J729)&lt;7,"",ROUND(MIN(10000, MAX(0, ((((($D729*1.2)+($E729*1.2)+($F729*1.1)+($G729*1.0)+($H729*1.0)+($I729*1.1)+($J729*0.9))/7.5)-1)/4*8000 + MIN($B729*20,1000) + MIN($C729*100,1000))),0))</f>
        <v/>
      </c>
      <c r="L729" s="31">
        <f>IF($K729="","",MIN(100,INT(SQRT($K729))))</f>
        <v/>
      </c>
      <c r="M729" s="31" t="n"/>
      <c r="N729" s="31">
        <f>IF($M729="Yes",$K729,"")</f>
        <v/>
      </c>
      <c r="O729" s="31" t="n"/>
      <c r="P729" s="59" t="n"/>
      <c r="Q729" s="59" t="n"/>
    </row>
    <row r="730">
      <c r="A730" s="31">
        <f>IF(Members!$A730="","",Members!$A730)</f>
        <v/>
      </c>
      <c r="B730" s="31" t="n"/>
      <c r="C730" s="31" t="n"/>
      <c r="D730" s="31" t="n"/>
      <c r="E730" s="31" t="n"/>
      <c r="F730" s="31" t="n"/>
      <c r="G730" s="31" t="n"/>
      <c r="H730" s="31" t="n"/>
      <c r="I730" s="31" t="n"/>
      <c r="J730" s="31" t="n"/>
      <c r="K730" s="31">
        <f>IF(COUNTA($D730:$J730)&lt;7,"",ROUND(MIN(10000, MAX(0, ((((($D730*1.2)+($E730*1.2)+($F730*1.1)+($G730*1.0)+($H730*1.0)+($I730*1.1)+($J730*0.9))/7.5)-1)/4*8000 + MIN($B730*20,1000) + MIN($C730*100,1000))),0))</f>
        <v/>
      </c>
      <c r="L730" s="31">
        <f>IF($K730="","",MIN(100,INT(SQRT($K730))))</f>
        <v/>
      </c>
      <c r="M730" s="31" t="n"/>
      <c r="N730" s="31">
        <f>IF($M730="Yes",$K730,"")</f>
        <v/>
      </c>
      <c r="O730" s="31" t="n"/>
      <c r="P730" s="59" t="n"/>
      <c r="Q730" s="59" t="n"/>
    </row>
    <row r="731">
      <c r="A731" s="31">
        <f>IF(Members!$A731="","",Members!$A731)</f>
        <v/>
      </c>
      <c r="B731" s="31" t="n"/>
      <c r="C731" s="31" t="n"/>
      <c r="D731" s="31" t="n"/>
      <c r="E731" s="31" t="n"/>
      <c r="F731" s="31" t="n"/>
      <c r="G731" s="31" t="n"/>
      <c r="H731" s="31" t="n"/>
      <c r="I731" s="31" t="n"/>
      <c r="J731" s="31" t="n"/>
      <c r="K731" s="31">
        <f>IF(COUNTA($D731:$J731)&lt;7,"",ROUND(MIN(10000, MAX(0, ((((($D731*1.2)+($E731*1.2)+($F731*1.1)+($G731*1.0)+($H731*1.0)+($I731*1.1)+($J731*0.9))/7.5)-1)/4*8000 + MIN($B731*20,1000) + MIN($C731*100,1000))),0))</f>
        <v/>
      </c>
      <c r="L731" s="31">
        <f>IF($K731="","",MIN(100,INT(SQRT($K731))))</f>
        <v/>
      </c>
      <c r="M731" s="31" t="n"/>
      <c r="N731" s="31">
        <f>IF($M731="Yes",$K731,"")</f>
        <v/>
      </c>
      <c r="O731" s="31" t="n"/>
      <c r="P731" s="59" t="n"/>
      <c r="Q731" s="59" t="n"/>
    </row>
    <row r="732">
      <c r="A732" s="31">
        <f>IF(Members!$A732="","",Members!$A732)</f>
        <v/>
      </c>
      <c r="B732" s="31" t="n"/>
      <c r="C732" s="31" t="n"/>
      <c r="D732" s="31" t="n"/>
      <c r="E732" s="31" t="n"/>
      <c r="F732" s="31" t="n"/>
      <c r="G732" s="31" t="n"/>
      <c r="H732" s="31" t="n"/>
      <c r="I732" s="31" t="n"/>
      <c r="J732" s="31" t="n"/>
      <c r="K732" s="31">
        <f>IF(COUNTA($D732:$J732)&lt;7,"",ROUND(MIN(10000, MAX(0, ((((($D732*1.2)+($E732*1.2)+($F732*1.1)+($G732*1.0)+($H732*1.0)+($I732*1.1)+($J732*0.9))/7.5)-1)/4*8000 + MIN($B732*20,1000) + MIN($C732*100,1000))),0))</f>
        <v/>
      </c>
      <c r="L732" s="31">
        <f>IF($K732="","",MIN(100,INT(SQRT($K732))))</f>
        <v/>
      </c>
      <c r="M732" s="31" t="n"/>
      <c r="N732" s="31">
        <f>IF($M732="Yes",$K732,"")</f>
        <v/>
      </c>
      <c r="O732" s="31" t="n"/>
      <c r="P732" s="59" t="n"/>
      <c r="Q732" s="59" t="n"/>
    </row>
    <row r="733">
      <c r="A733" s="31">
        <f>IF(Members!$A733="","",Members!$A733)</f>
        <v/>
      </c>
      <c r="B733" s="31" t="n"/>
      <c r="C733" s="31" t="n"/>
      <c r="D733" s="31" t="n"/>
      <c r="E733" s="31" t="n"/>
      <c r="F733" s="31" t="n"/>
      <c r="G733" s="31" t="n"/>
      <c r="H733" s="31" t="n"/>
      <c r="I733" s="31" t="n"/>
      <c r="J733" s="31" t="n"/>
      <c r="K733" s="31">
        <f>IF(COUNTA($D733:$J733)&lt;7,"",ROUND(MIN(10000, MAX(0, ((((($D733*1.2)+($E733*1.2)+($F733*1.1)+($G733*1.0)+($H733*1.0)+($I733*1.1)+($J733*0.9))/7.5)-1)/4*8000 + MIN($B733*20,1000) + MIN($C733*100,1000))),0))</f>
        <v/>
      </c>
      <c r="L733" s="31">
        <f>IF($K733="","",MIN(100,INT(SQRT($K733))))</f>
        <v/>
      </c>
      <c r="M733" s="31" t="n"/>
      <c r="N733" s="31">
        <f>IF($M733="Yes",$K733,"")</f>
        <v/>
      </c>
      <c r="O733" s="31" t="n"/>
      <c r="P733" s="59" t="n"/>
      <c r="Q733" s="59" t="n"/>
    </row>
    <row r="734">
      <c r="A734" s="31">
        <f>IF(Members!$A734="","",Members!$A734)</f>
        <v/>
      </c>
      <c r="B734" s="31" t="n"/>
      <c r="C734" s="31" t="n"/>
      <c r="D734" s="31" t="n"/>
      <c r="E734" s="31" t="n"/>
      <c r="F734" s="31" t="n"/>
      <c r="G734" s="31" t="n"/>
      <c r="H734" s="31" t="n"/>
      <c r="I734" s="31" t="n"/>
      <c r="J734" s="31" t="n"/>
      <c r="K734" s="31">
        <f>IF(COUNTA($D734:$J734)&lt;7,"",ROUND(MIN(10000, MAX(0, ((((($D734*1.2)+($E734*1.2)+($F734*1.1)+($G734*1.0)+($H734*1.0)+($I734*1.1)+($J734*0.9))/7.5)-1)/4*8000 + MIN($B734*20,1000) + MIN($C734*100,1000))),0))</f>
        <v/>
      </c>
      <c r="L734" s="31">
        <f>IF($K734="","",MIN(100,INT(SQRT($K734))))</f>
        <v/>
      </c>
      <c r="M734" s="31" t="n"/>
      <c r="N734" s="31">
        <f>IF($M734="Yes",$K734,"")</f>
        <v/>
      </c>
      <c r="O734" s="31" t="n"/>
      <c r="P734" s="59" t="n"/>
      <c r="Q734" s="59" t="n"/>
    </row>
    <row r="735">
      <c r="A735" s="31">
        <f>IF(Members!$A735="","",Members!$A735)</f>
        <v/>
      </c>
      <c r="B735" s="31" t="n"/>
      <c r="C735" s="31" t="n"/>
      <c r="D735" s="31" t="n"/>
      <c r="E735" s="31" t="n"/>
      <c r="F735" s="31" t="n"/>
      <c r="G735" s="31" t="n"/>
      <c r="H735" s="31" t="n"/>
      <c r="I735" s="31" t="n"/>
      <c r="J735" s="31" t="n"/>
      <c r="K735" s="31">
        <f>IF(COUNTA($D735:$J735)&lt;7,"",ROUND(MIN(10000, MAX(0, ((((($D735*1.2)+($E735*1.2)+($F735*1.1)+($G735*1.0)+($H735*1.0)+($I735*1.1)+($J735*0.9))/7.5)-1)/4*8000 + MIN($B735*20,1000) + MIN($C735*100,1000))),0))</f>
        <v/>
      </c>
      <c r="L735" s="31">
        <f>IF($K735="","",MIN(100,INT(SQRT($K735))))</f>
        <v/>
      </c>
      <c r="M735" s="31" t="n"/>
      <c r="N735" s="31">
        <f>IF($M735="Yes",$K735,"")</f>
        <v/>
      </c>
      <c r="O735" s="31" t="n"/>
      <c r="P735" s="59" t="n"/>
      <c r="Q735" s="59" t="n"/>
    </row>
    <row r="736">
      <c r="A736" s="31">
        <f>IF(Members!$A736="","",Members!$A736)</f>
        <v/>
      </c>
      <c r="B736" s="31" t="n"/>
      <c r="C736" s="31" t="n"/>
      <c r="D736" s="31" t="n"/>
      <c r="E736" s="31" t="n"/>
      <c r="F736" s="31" t="n"/>
      <c r="G736" s="31" t="n"/>
      <c r="H736" s="31" t="n"/>
      <c r="I736" s="31" t="n"/>
      <c r="J736" s="31" t="n"/>
      <c r="K736" s="31">
        <f>IF(COUNTA($D736:$J736)&lt;7,"",ROUND(MIN(10000, MAX(0, ((((($D736*1.2)+($E736*1.2)+($F736*1.1)+($G736*1.0)+($H736*1.0)+($I736*1.1)+($J736*0.9))/7.5)-1)/4*8000 + MIN($B736*20,1000) + MIN($C736*100,1000))),0))</f>
        <v/>
      </c>
      <c r="L736" s="31">
        <f>IF($K736="","",MIN(100,INT(SQRT($K736))))</f>
        <v/>
      </c>
      <c r="M736" s="31" t="n"/>
      <c r="N736" s="31">
        <f>IF($M736="Yes",$K736,"")</f>
        <v/>
      </c>
      <c r="O736" s="31" t="n"/>
      <c r="P736" s="59" t="n"/>
      <c r="Q736" s="59" t="n"/>
    </row>
    <row r="737">
      <c r="A737" s="31">
        <f>IF(Members!$A737="","",Members!$A737)</f>
        <v/>
      </c>
      <c r="B737" s="31" t="n"/>
      <c r="C737" s="31" t="n"/>
      <c r="D737" s="31" t="n"/>
      <c r="E737" s="31" t="n"/>
      <c r="F737" s="31" t="n"/>
      <c r="G737" s="31" t="n"/>
      <c r="H737" s="31" t="n"/>
      <c r="I737" s="31" t="n"/>
      <c r="J737" s="31" t="n"/>
      <c r="K737" s="31">
        <f>IF(COUNTA($D737:$J737)&lt;7,"",ROUND(MIN(10000, MAX(0, ((((($D737*1.2)+($E737*1.2)+($F737*1.1)+($G737*1.0)+($H737*1.0)+($I737*1.1)+($J737*0.9))/7.5)-1)/4*8000 + MIN($B737*20,1000) + MIN($C737*100,1000))),0))</f>
        <v/>
      </c>
      <c r="L737" s="31">
        <f>IF($K737="","",MIN(100,INT(SQRT($K737))))</f>
        <v/>
      </c>
      <c r="M737" s="31" t="n"/>
      <c r="N737" s="31">
        <f>IF($M737="Yes",$K737,"")</f>
        <v/>
      </c>
      <c r="O737" s="31" t="n"/>
      <c r="P737" s="59" t="n"/>
      <c r="Q737" s="59" t="n"/>
    </row>
    <row r="738">
      <c r="A738" s="31">
        <f>IF(Members!$A738="","",Members!$A738)</f>
        <v/>
      </c>
      <c r="B738" s="31" t="n"/>
      <c r="C738" s="31" t="n"/>
      <c r="D738" s="31" t="n"/>
      <c r="E738" s="31" t="n"/>
      <c r="F738" s="31" t="n"/>
      <c r="G738" s="31" t="n"/>
      <c r="H738" s="31" t="n"/>
      <c r="I738" s="31" t="n"/>
      <c r="J738" s="31" t="n"/>
      <c r="K738" s="31">
        <f>IF(COUNTA($D738:$J738)&lt;7,"",ROUND(MIN(10000, MAX(0, ((((($D738*1.2)+($E738*1.2)+($F738*1.1)+($G738*1.0)+($H738*1.0)+($I738*1.1)+($J738*0.9))/7.5)-1)/4*8000 + MIN($B738*20,1000) + MIN($C738*100,1000))),0))</f>
        <v/>
      </c>
      <c r="L738" s="31">
        <f>IF($K738="","",MIN(100,INT(SQRT($K738))))</f>
        <v/>
      </c>
      <c r="M738" s="31" t="n"/>
      <c r="N738" s="31">
        <f>IF($M738="Yes",$K738,"")</f>
        <v/>
      </c>
      <c r="O738" s="31" t="n"/>
      <c r="P738" s="59" t="n"/>
      <c r="Q738" s="59" t="n"/>
    </row>
    <row r="739">
      <c r="A739" s="31">
        <f>IF(Members!$A739="","",Members!$A739)</f>
        <v/>
      </c>
      <c r="B739" s="31" t="n"/>
      <c r="C739" s="31" t="n"/>
      <c r="D739" s="31" t="n"/>
      <c r="E739" s="31" t="n"/>
      <c r="F739" s="31" t="n"/>
      <c r="G739" s="31" t="n"/>
      <c r="H739" s="31" t="n"/>
      <c r="I739" s="31" t="n"/>
      <c r="J739" s="31" t="n"/>
      <c r="K739" s="31">
        <f>IF(COUNTA($D739:$J739)&lt;7,"",ROUND(MIN(10000, MAX(0, ((((($D739*1.2)+($E739*1.2)+($F739*1.1)+($G739*1.0)+($H739*1.0)+($I739*1.1)+($J739*0.9))/7.5)-1)/4*8000 + MIN($B739*20,1000) + MIN($C739*100,1000))),0))</f>
        <v/>
      </c>
      <c r="L739" s="31">
        <f>IF($K739="","",MIN(100,INT(SQRT($K739))))</f>
        <v/>
      </c>
      <c r="M739" s="31" t="n"/>
      <c r="N739" s="31">
        <f>IF($M739="Yes",$K739,"")</f>
        <v/>
      </c>
      <c r="O739" s="31" t="n"/>
      <c r="P739" s="59" t="n"/>
      <c r="Q739" s="59" t="n"/>
    </row>
    <row r="740">
      <c r="A740" s="31">
        <f>IF(Members!$A740="","",Members!$A740)</f>
        <v/>
      </c>
      <c r="B740" s="31" t="n"/>
      <c r="C740" s="31" t="n"/>
      <c r="D740" s="31" t="n"/>
      <c r="E740" s="31" t="n"/>
      <c r="F740" s="31" t="n"/>
      <c r="G740" s="31" t="n"/>
      <c r="H740" s="31" t="n"/>
      <c r="I740" s="31" t="n"/>
      <c r="J740" s="31" t="n"/>
      <c r="K740" s="31">
        <f>IF(COUNTA($D740:$J740)&lt;7,"",ROUND(MIN(10000, MAX(0, ((((($D740*1.2)+($E740*1.2)+($F740*1.1)+($G740*1.0)+($H740*1.0)+($I740*1.1)+($J740*0.9))/7.5)-1)/4*8000 + MIN($B740*20,1000) + MIN($C740*100,1000))),0))</f>
        <v/>
      </c>
      <c r="L740" s="31">
        <f>IF($K740="","",MIN(100,INT(SQRT($K740))))</f>
        <v/>
      </c>
      <c r="M740" s="31" t="n"/>
      <c r="N740" s="31">
        <f>IF($M740="Yes",$K740,"")</f>
        <v/>
      </c>
      <c r="O740" s="31" t="n"/>
      <c r="P740" s="59" t="n"/>
      <c r="Q740" s="59" t="n"/>
    </row>
    <row r="741">
      <c r="A741" s="31">
        <f>IF(Members!$A741="","",Members!$A741)</f>
        <v/>
      </c>
      <c r="B741" s="31" t="n"/>
      <c r="C741" s="31" t="n"/>
      <c r="D741" s="31" t="n"/>
      <c r="E741" s="31" t="n"/>
      <c r="F741" s="31" t="n"/>
      <c r="G741" s="31" t="n"/>
      <c r="H741" s="31" t="n"/>
      <c r="I741" s="31" t="n"/>
      <c r="J741" s="31" t="n"/>
      <c r="K741" s="31">
        <f>IF(COUNTA($D741:$J741)&lt;7,"",ROUND(MIN(10000, MAX(0, ((((($D741*1.2)+($E741*1.2)+($F741*1.1)+($G741*1.0)+($H741*1.0)+($I741*1.1)+($J741*0.9))/7.5)-1)/4*8000 + MIN($B741*20,1000) + MIN($C741*100,1000))),0))</f>
        <v/>
      </c>
      <c r="L741" s="31">
        <f>IF($K741="","",MIN(100,INT(SQRT($K741))))</f>
        <v/>
      </c>
      <c r="M741" s="31" t="n"/>
      <c r="N741" s="31">
        <f>IF($M741="Yes",$K741,"")</f>
        <v/>
      </c>
      <c r="O741" s="31" t="n"/>
      <c r="P741" s="59" t="n"/>
      <c r="Q741" s="59" t="n"/>
    </row>
    <row r="742">
      <c r="A742" s="31">
        <f>IF(Members!$A742="","",Members!$A742)</f>
        <v/>
      </c>
      <c r="B742" s="31" t="n"/>
      <c r="C742" s="31" t="n"/>
      <c r="D742" s="31" t="n"/>
      <c r="E742" s="31" t="n"/>
      <c r="F742" s="31" t="n"/>
      <c r="G742" s="31" t="n"/>
      <c r="H742" s="31" t="n"/>
      <c r="I742" s="31" t="n"/>
      <c r="J742" s="31" t="n"/>
      <c r="K742" s="31">
        <f>IF(COUNTA($D742:$J742)&lt;7,"",ROUND(MIN(10000, MAX(0, ((((($D742*1.2)+($E742*1.2)+($F742*1.1)+($G742*1.0)+($H742*1.0)+($I742*1.1)+($J742*0.9))/7.5)-1)/4*8000 + MIN($B742*20,1000) + MIN($C742*100,1000))),0))</f>
        <v/>
      </c>
      <c r="L742" s="31">
        <f>IF($K742="","",MIN(100,INT(SQRT($K742))))</f>
        <v/>
      </c>
      <c r="M742" s="31" t="n"/>
      <c r="N742" s="31">
        <f>IF($M742="Yes",$K742,"")</f>
        <v/>
      </c>
      <c r="O742" s="31" t="n"/>
      <c r="P742" s="59" t="n"/>
      <c r="Q742" s="59" t="n"/>
    </row>
    <row r="743">
      <c r="A743" s="31">
        <f>IF(Members!$A743="","",Members!$A743)</f>
        <v/>
      </c>
      <c r="B743" s="31" t="n"/>
      <c r="C743" s="31" t="n"/>
      <c r="D743" s="31" t="n"/>
      <c r="E743" s="31" t="n"/>
      <c r="F743" s="31" t="n"/>
      <c r="G743" s="31" t="n"/>
      <c r="H743" s="31" t="n"/>
      <c r="I743" s="31" t="n"/>
      <c r="J743" s="31" t="n"/>
      <c r="K743" s="31">
        <f>IF(COUNTA($D743:$J743)&lt;7,"",ROUND(MIN(10000, MAX(0, ((((($D743*1.2)+($E743*1.2)+($F743*1.1)+($G743*1.0)+($H743*1.0)+($I743*1.1)+($J743*0.9))/7.5)-1)/4*8000 + MIN($B743*20,1000) + MIN($C743*100,1000))),0))</f>
        <v/>
      </c>
      <c r="L743" s="31">
        <f>IF($K743="","",MIN(100,INT(SQRT($K743))))</f>
        <v/>
      </c>
      <c r="M743" s="31" t="n"/>
      <c r="N743" s="31">
        <f>IF($M743="Yes",$K743,"")</f>
        <v/>
      </c>
      <c r="O743" s="31" t="n"/>
      <c r="P743" s="59" t="n"/>
      <c r="Q743" s="59" t="n"/>
    </row>
    <row r="744">
      <c r="A744" s="31">
        <f>IF(Members!$A744="","",Members!$A744)</f>
        <v/>
      </c>
      <c r="B744" s="31" t="n"/>
      <c r="C744" s="31" t="n"/>
      <c r="D744" s="31" t="n"/>
      <c r="E744" s="31" t="n"/>
      <c r="F744" s="31" t="n"/>
      <c r="G744" s="31" t="n"/>
      <c r="H744" s="31" t="n"/>
      <c r="I744" s="31" t="n"/>
      <c r="J744" s="31" t="n"/>
      <c r="K744" s="31">
        <f>IF(COUNTA($D744:$J744)&lt;7,"",ROUND(MIN(10000, MAX(0, ((((($D744*1.2)+($E744*1.2)+($F744*1.1)+($G744*1.0)+($H744*1.0)+($I744*1.1)+($J744*0.9))/7.5)-1)/4*8000 + MIN($B744*20,1000) + MIN($C744*100,1000))),0))</f>
        <v/>
      </c>
      <c r="L744" s="31">
        <f>IF($K744="","",MIN(100,INT(SQRT($K744))))</f>
        <v/>
      </c>
      <c r="M744" s="31" t="n"/>
      <c r="N744" s="31">
        <f>IF($M744="Yes",$K744,"")</f>
        <v/>
      </c>
      <c r="O744" s="31" t="n"/>
      <c r="P744" s="59" t="n"/>
      <c r="Q744" s="59" t="n"/>
    </row>
    <row r="745">
      <c r="A745" s="31">
        <f>IF(Members!$A745="","",Members!$A745)</f>
        <v/>
      </c>
      <c r="B745" s="31" t="n"/>
      <c r="C745" s="31" t="n"/>
      <c r="D745" s="31" t="n"/>
      <c r="E745" s="31" t="n"/>
      <c r="F745" s="31" t="n"/>
      <c r="G745" s="31" t="n"/>
      <c r="H745" s="31" t="n"/>
      <c r="I745" s="31" t="n"/>
      <c r="J745" s="31" t="n"/>
      <c r="K745" s="31">
        <f>IF(COUNTA($D745:$J745)&lt;7,"",ROUND(MIN(10000, MAX(0, ((((($D745*1.2)+($E745*1.2)+($F745*1.1)+($G745*1.0)+($H745*1.0)+($I745*1.1)+($J745*0.9))/7.5)-1)/4*8000 + MIN($B745*20,1000) + MIN($C745*100,1000))),0))</f>
        <v/>
      </c>
      <c r="L745" s="31">
        <f>IF($K745="","",MIN(100,INT(SQRT($K745))))</f>
        <v/>
      </c>
      <c r="M745" s="31" t="n"/>
      <c r="N745" s="31">
        <f>IF($M745="Yes",$K745,"")</f>
        <v/>
      </c>
      <c r="O745" s="31" t="n"/>
      <c r="P745" s="59" t="n"/>
      <c r="Q745" s="59" t="n"/>
    </row>
    <row r="746">
      <c r="A746" s="31">
        <f>IF(Members!$A746="","",Members!$A746)</f>
        <v/>
      </c>
      <c r="B746" s="31" t="n"/>
      <c r="C746" s="31" t="n"/>
      <c r="D746" s="31" t="n"/>
      <c r="E746" s="31" t="n"/>
      <c r="F746" s="31" t="n"/>
      <c r="G746" s="31" t="n"/>
      <c r="H746" s="31" t="n"/>
      <c r="I746" s="31" t="n"/>
      <c r="J746" s="31" t="n"/>
      <c r="K746" s="31">
        <f>IF(COUNTA($D746:$J746)&lt;7,"",ROUND(MIN(10000, MAX(0, ((((($D746*1.2)+($E746*1.2)+($F746*1.1)+($G746*1.0)+($H746*1.0)+($I746*1.1)+($J746*0.9))/7.5)-1)/4*8000 + MIN($B746*20,1000) + MIN($C746*100,1000))),0))</f>
        <v/>
      </c>
      <c r="L746" s="31">
        <f>IF($K746="","",MIN(100,INT(SQRT($K746))))</f>
        <v/>
      </c>
      <c r="M746" s="31" t="n"/>
      <c r="N746" s="31">
        <f>IF($M746="Yes",$K746,"")</f>
        <v/>
      </c>
      <c r="O746" s="31" t="n"/>
      <c r="P746" s="59" t="n"/>
      <c r="Q746" s="59" t="n"/>
    </row>
    <row r="747">
      <c r="A747" s="31">
        <f>IF(Members!$A747="","",Members!$A747)</f>
        <v/>
      </c>
      <c r="B747" s="31" t="n"/>
      <c r="C747" s="31" t="n"/>
      <c r="D747" s="31" t="n"/>
      <c r="E747" s="31" t="n"/>
      <c r="F747" s="31" t="n"/>
      <c r="G747" s="31" t="n"/>
      <c r="H747" s="31" t="n"/>
      <c r="I747" s="31" t="n"/>
      <c r="J747" s="31" t="n"/>
      <c r="K747" s="31">
        <f>IF(COUNTA($D747:$J747)&lt;7,"",ROUND(MIN(10000, MAX(0, ((((($D747*1.2)+($E747*1.2)+($F747*1.1)+($G747*1.0)+($H747*1.0)+($I747*1.1)+($J747*0.9))/7.5)-1)/4*8000 + MIN($B747*20,1000) + MIN($C747*100,1000))),0))</f>
        <v/>
      </c>
      <c r="L747" s="31">
        <f>IF($K747="","",MIN(100,INT(SQRT($K747))))</f>
        <v/>
      </c>
      <c r="M747" s="31" t="n"/>
      <c r="N747" s="31">
        <f>IF($M747="Yes",$K747,"")</f>
        <v/>
      </c>
      <c r="O747" s="31" t="n"/>
      <c r="P747" s="59" t="n"/>
      <c r="Q747" s="59" t="n"/>
    </row>
    <row r="748">
      <c r="A748" s="31">
        <f>IF(Members!$A748="","",Members!$A748)</f>
        <v/>
      </c>
      <c r="B748" s="31" t="n"/>
      <c r="C748" s="31" t="n"/>
      <c r="D748" s="31" t="n"/>
      <c r="E748" s="31" t="n"/>
      <c r="F748" s="31" t="n"/>
      <c r="G748" s="31" t="n"/>
      <c r="H748" s="31" t="n"/>
      <c r="I748" s="31" t="n"/>
      <c r="J748" s="31" t="n"/>
      <c r="K748" s="31">
        <f>IF(COUNTA($D748:$J748)&lt;7,"",ROUND(MIN(10000, MAX(0, ((((($D748*1.2)+($E748*1.2)+($F748*1.1)+($G748*1.0)+($H748*1.0)+($I748*1.1)+($J748*0.9))/7.5)-1)/4*8000 + MIN($B748*20,1000) + MIN($C748*100,1000))),0))</f>
        <v/>
      </c>
      <c r="L748" s="31">
        <f>IF($K748="","",MIN(100,INT(SQRT($K748))))</f>
        <v/>
      </c>
      <c r="M748" s="31" t="n"/>
      <c r="N748" s="31">
        <f>IF($M748="Yes",$K748,"")</f>
        <v/>
      </c>
      <c r="O748" s="31" t="n"/>
      <c r="P748" s="59" t="n"/>
      <c r="Q748" s="59" t="n"/>
    </row>
    <row r="749">
      <c r="A749" s="31">
        <f>IF(Members!$A749="","",Members!$A749)</f>
        <v/>
      </c>
      <c r="B749" s="31" t="n"/>
      <c r="C749" s="31" t="n"/>
      <c r="D749" s="31" t="n"/>
      <c r="E749" s="31" t="n"/>
      <c r="F749" s="31" t="n"/>
      <c r="G749" s="31" t="n"/>
      <c r="H749" s="31" t="n"/>
      <c r="I749" s="31" t="n"/>
      <c r="J749" s="31" t="n"/>
      <c r="K749" s="31">
        <f>IF(COUNTA($D749:$J749)&lt;7,"",ROUND(MIN(10000, MAX(0, ((((($D749*1.2)+($E749*1.2)+($F749*1.1)+($G749*1.0)+($H749*1.0)+($I749*1.1)+($J749*0.9))/7.5)-1)/4*8000 + MIN($B749*20,1000) + MIN($C749*100,1000))),0))</f>
        <v/>
      </c>
      <c r="L749" s="31">
        <f>IF($K749="","",MIN(100,INT(SQRT($K749))))</f>
        <v/>
      </c>
      <c r="M749" s="31" t="n"/>
      <c r="N749" s="31">
        <f>IF($M749="Yes",$K749,"")</f>
        <v/>
      </c>
      <c r="O749" s="31" t="n"/>
      <c r="P749" s="59" t="n"/>
      <c r="Q749" s="59" t="n"/>
    </row>
    <row r="750">
      <c r="A750" s="31">
        <f>IF(Members!$A750="","",Members!$A750)</f>
        <v/>
      </c>
      <c r="B750" s="31" t="n"/>
      <c r="C750" s="31" t="n"/>
      <c r="D750" s="31" t="n"/>
      <c r="E750" s="31" t="n"/>
      <c r="F750" s="31" t="n"/>
      <c r="G750" s="31" t="n"/>
      <c r="H750" s="31" t="n"/>
      <c r="I750" s="31" t="n"/>
      <c r="J750" s="31" t="n"/>
      <c r="K750" s="31">
        <f>IF(COUNTA($D750:$J750)&lt;7,"",ROUND(MIN(10000, MAX(0, ((((($D750*1.2)+($E750*1.2)+($F750*1.1)+($G750*1.0)+($H750*1.0)+($I750*1.1)+($J750*0.9))/7.5)-1)/4*8000 + MIN($B750*20,1000) + MIN($C750*100,1000))),0))</f>
        <v/>
      </c>
      <c r="L750" s="31">
        <f>IF($K750="","",MIN(100,INT(SQRT($K750))))</f>
        <v/>
      </c>
      <c r="M750" s="31" t="n"/>
      <c r="N750" s="31">
        <f>IF($M750="Yes",$K750,"")</f>
        <v/>
      </c>
      <c r="O750" s="31" t="n"/>
      <c r="P750" s="59" t="n"/>
      <c r="Q750" s="59" t="n"/>
    </row>
    <row r="751">
      <c r="A751" s="31">
        <f>IF(Members!$A751="","",Members!$A751)</f>
        <v/>
      </c>
      <c r="B751" s="31" t="n"/>
      <c r="C751" s="31" t="n"/>
      <c r="D751" s="31" t="n"/>
      <c r="E751" s="31" t="n"/>
      <c r="F751" s="31" t="n"/>
      <c r="G751" s="31" t="n"/>
      <c r="H751" s="31" t="n"/>
      <c r="I751" s="31" t="n"/>
      <c r="J751" s="31" t="n"/>
      <c r="K751" s="31">
        <f>IF(COUNTA($D751:$J751)&lt;7,"",ROUND(MIN(10000, MAX(0, ((((($D751*1.2)+($E751*1.2)+($F751*1.1)+($G751*1.0)+($H751*1.0)+($I751*1.1)+($J751*0.9))/7.5)-1)/4*8000 + MIN($B751*20,1000) + MIN($C751*100,1000))),0))</f>
        <v/>
      </c>
      <c r="L751" s="31">
        <f>IF($K751="","",MIN(100,INT(SQRT($K751))))</f>
        <v/>
      </c>
      <c r="M751" s="31" t="n"/>
      <c r="N751" s="31">
        <f>IF($M751="Yes",$K751,"")</f>
        <v/>
      </c>
      <c r="O751" s="31" t="n"/>
      <c r="P751" s="59" t="n"/>
      <c r="Q751" s="59" t="n"/>
    </row>
    <row r="752">
      <c r="A752" s="31">
        <f>IF(Members!$A752="","",Members!$A752)</f>
        <v/>
      </c>
      <c r="B752" s="31" t="n"/>
      <c r="C752" s="31" t="n"/>
      <c r="D752" s="31" t="n"/>
      <c r="E752" s="31" t="n"/>
      <c r="F752" s="31" t="n"/>
      <c r="G752" s="31" t="n"/>
      <c r="H752" s="31" t="n"/>
      <c r="I752" s="31" t="n"/>
      <c r="J752" s="31" t="n"/>
      <c r="K752" s="31">
        <f>IF(COUNTA($D752:$J752)&lt;7,"",ROUND(MIN(10000, MAX(0, ((((($D752*1.2)+($E752*1.2)+($F752*1.1)+($G752*1.0)+($H752*1.0)+($I752*1.1)+($J752*0.9))/7.5)-1)/4*8000 + MIN($B752*20,1000) + MIN($C752*100,1000))),0))</f>
        <v/>
      </c>
      <c r="L752" s="31">
        <f>IF($K752="","",MIN(100,INT(SQRT($K752))))</f>
        <v/>
      </c>
      <c r="M752" s="31" t="n"/>
      <c r="N752" s="31">
        <f>IF($M752="Yes",$K752,"")</f>
        <v/>
      </c>
      <c r="O752" s="31" t="n"/>
      <c r="P752" s="59" t="n"/>
      <c r="Q752" s="59" t="n"/>
    </row>
    <row r="753">
      <c r="A753" s="31">
        <f>IF(Members!$A753="","",Members!$A753)</f>
        <v/>
      </c>
      <c r="B753" s="31" t="n"/>
      <c r="C753" s="31" t="n"/>
      <c r="D753" s="31" t="n"/>
      <c r="E753" s="31" t="n"/>
      <c r="F753" s="31" t="n"/>
      <c r="G753" s="31" t="n"/>
      <c r="H753" s="31" t="n"/>
      <c r="I753" s="31" t="n"/>
      <c r="J753" s="31" t="n"/>
      <c r="K753" s="31">
        <f>IF(COUNTA($D753:$J753)&lt;7,"",ROUND(MIN(10000, MAX(0, ((((($D753*1.2)+($E753*1.2)+($F753*1.1)+($G753*1.0)+($H753*1.0)+($I753*1.1)+($J753*0.9))/7.5)-1)/4*8000 + MIN($B753*20,1000) + MIN($C753*100,1000))),0))</f>
        <v/>
      </c>
      <c r="L753" s="31">
        <f>IF($K753="","",MIN(100,INT(SQRT($K753))))</f>
        <v/>
      </c>
      <c r="M753" s="31" t="n"/>
      <c r="N753" s="31">
        <f>IF($M753="Yes",$K753,"")</f>
        <v/>
      </c>
      <c r="O753" s="31" t="n"/>
      <c r="P753" s="59" t="n"/>
      <c r="Q753" s="59" t="n"/>
    </row>
    <row r="754">
      <c r="A754" s="31">
        <f>IF(Members!$A754="","",Members!$A754)</f>
        <v/>
      </c>
      <c r="B754" s="31" t="n"/>
      <c r="C754" s="31" t="n"/>
      <c r="D754" s="31" t="n"/>
      <c r="E754" s="31" t="n"/>
      <c r="F754" s="31" t="n"/>
      <c r="G754" s="31" t="n"/>
      <c r="H754" s="31" t="n"/>
      <c r="I754" s="31" t="n"/>
      <c r="J754" s="31" t="n"/>
      <c r="K754" s="31">
        <f>IF(COUNTA($D754:$J754)&lt;7,"",ROUND(MIN(10000, MAX(0, ((((($D754*1.2)+($E754*1.2)+($F754*1.1)+($G754*1.0)+($H754*1.0)+($I754*1.1)+($J754*0.9))/7.5)-1)/4*8000 + MIN($B754*20,1000) + MIN($C754*100,1000))),0))</f>
        <v/>
      </c>
      <c r="L754" s="31">
        <f>IF($K754="","",MIN(100,INT(SQRT($K754))))</f>
        <v/>
      </c>
      <c r="M754" s="31" t="n"/>
      <c r="N754" s="31">
        <f>IF($M754="Yes",$K754,"")</f>
        <v/>
      </c>
      <c r="O754" s="31" t="n"/>
      <c r="P754" s="59" t="n"/>
      <c r="Q754" s="59" t="n"/>
    </row>
    <row r="755">
      <c r="A755" s="31">
        <f>IF(Members!$A755="","",Members!$A755)</f>
        <v/>
      </c>
      <c r="B755" s="31" t="n"/>
      <c r="C755" s="31" t="n"/>
      <c r="D755" s="31" t="n"/>
      <c r="E755" s="31" t="n"/>
      <c r="F755" s="31" t="n"/>
      <c r="G755" s="31" t="n"/>
      <c r="H755" s="31" t="n"/>
      <c r="I755" s="31" t="n"/>
      <c r="J755" s="31" t="n"/>
      <c r="K755" s="31">
        <f>IF(COUNTA($D755:$J755)&lt;7,"",ROUND(MIN(10000, MAX(0, ((((($D755*1.2)+($E755*1.2)+($F755*1.1)+($G755*1.0)+($H755*1.0)+($I755*1.1)+($J755*0.9))/7.5)-1)/4*8000 + MIN($B755*20,1000) + MIN($C755*100,1000))),0))</f>
        <v/>
      </c>
      <c r="L755" s="31">
        <f>IF($K755="","",MIN(100,INT(SQRT($K755))))</f>
        <v/>
      </c>
      <c r="M755" s="31" t="n"/>
      <c r="N755" s="31">
        <f>IF($M755="Yes",$K755,"")</f>
        <v/>
      </c>
      <c r="O755" s="31" t="n"/>
      <c r="P755" s="59" t="n"/>
      <c r="Q755" s="59" t="n"/>
    </row>
    <row r="756">
      <c r="A756" s="31">
        <f>IF(Members!$A756="","",Members!$A756)</f>
        <v/>
      </c>
      <c r="B756" s="31" t="n"/>
      <c r="C756" s="31" t="n"/>
      <c r="D756" s="31" t="n"/>
      <c r="E756" s="31" t="n"/>
      <c r="F756" s="31" t="n"/>
      <c r="G756" s="31" t="n"/>
      <c r="H756" s="31" t="n"/>
      <c r="I756" s="31" t="n"/>
      <c r="J756" s="31" t="n"/>
      <c r="K756" s="31">
        <f>IF(COUNTA($D756:$J756)&lt;7,"",ROUND(MIN(10000, MAX(0, ((((($D756*1.2)+($E756*1.2)+($F756*1.1)+($G756*1.0)+($H756*1.0)+($I756*1.1)+($J756*0.9))/7.5)-1)/4*8000 + MIN($B756*20,1000) + MIN($C756*100,1000))),0))</f>
        <v/>
      </c>
      <c r="L756" s="31">
        <f>IF($K756="","",MIN(100,INT(SQRT($K756))))</f>
        <v/>
      </c>
      <c r="M756" s="31" t="n"/>
      <c r="N756" s="31">
        <f>IF($M756="Yes",$K756,"")</f>
        <v/>
      </c>
      <c r="O756" s="31" t="n"/>
      <c r="P756" s="59" t="n"/>
      <c r="Q756" s="59" t="n"/>
    </row>
    <row r="757">
      <c r="A757" s="31">
        <f>IF(Members!$A757="","",Members!$A757)</f>
        <v/>
      </c>
      <c r="B757" s="31" t="n"/>
      <c r="C757" s="31" t="n"/>
      <c r="D757" s="31" t="n"/>
      <c r="E757" s="31" t="n"/>
      <c r="F757" s="31" t="n"/>
      <c r="G757" s="31" t="n"/>
      <c r="H757" s="31" t="n"/>
      <c r="I757" s="31" t="n"/>
      <c r="J757" s="31" t="n"/>
      <c r="K757" s="31">
        <f>IF(COUNTA($D757:$J757)&lt;7,"",ROUND(MIN(10000, MAX(0, ((((($D757*1.2)+($E757*1.2)+($F757*1.1)+($G757*1.0)+($H757*1.0)+($I757*1.1)+($J757*0.9))/7.5)-1)/4*8000 + MIN($B757*20,1000) + MIN($C757*100,1000))),0))</f>
        <v/>
      </c>
      <c r="L757" s="31">
        <f>IF($K757="","",MIN(100,INT(SQRT($K757))))</f>
        <v/>
      </c>
      <c r="M757" s="31" t="n"/>
      <c r="N757" s="31">
        <f>IF($M757="Yes",$K757,"")</f>
        <v/>
      </c>
      <c r="O757" s="31" t="n"/>
      <c r="P757" s="59" t="n"/>
      <c r="Q757" s="59" t="n"/>
    </row>
    <row r="758">
      <c r="A758" s="31">
        <f>IF(Members!$A758="","",Members!$A758)</f>
        <v/>
      </c>
      <c r="B758" s="31" t="n"/>
      <c r="C758" s="31" t="n"/>
      <c r="D758" s="31" t="n"/>
      <c r="E758" s="31" t="n"/>
      <c r="F758" s="31" t="n"/>
      <c r="G758" s="31" t="n"/>
      <c r="H758" s="31" t="n"/>
      <c r="I758" s="31" t="n"/>
      <c r="J758" s="31" t="n"/>
      <c r="K758" s="31">
        <f>IF(COUNTA($D758:$J758)&lt;7,"",ROUND(MIN(10000, MAX(0, ((((($D758*1.2)+($E758*1.2)+($F758*1.1)+($G758*1.0)+($H758*1.0)+($I758*1.1)+($J758*0.9))/7.5)-1)/4*8000 + MIN($B758*20,1000) + MIN($C758*100,1000))),0))</f>
        <v/>
      </c>
      <c r="L758" s="31">
        <f>IF($K758="","",MIN(100,INT(SQRT($K758))))</f>
        <v/>
      </c>
      <c r="M758" s="31" t="n"/>
      <c r="N758" s="31">
        <f>IF($M758="Yes",$K758,"")</f>
        <v/>
      </c>
      <c r="O758" s="31" t="n"/>
      <c r="P758" s="59" t="n"/>
      <c r="Q758" s="59" t="n"/>
    </row>
    <row r="759">
      <c r="A759" s="31">
        <f>IF(Members!$A759="","",Members!$A759)</f>
        <v/>
      </c>
      <c r="B759" s="31" t="n"/>
      <c r="C759" s="31" t="n"/>
      <c r="D759" s="31" t="n"/>
      <c r="E759" s="31" t="n"/>
      <c r="F759" s="31" t="n"/>
      <c r="G759" s="31" t="n"/>
      <c r="H759" s="31" t="n"/>
      <c r="I759" s="31" t="n"/>
      <c r="J759" s="31" t="n"/>
      <c r="K759" s="31">
        <f>IF(COUNTA($D759:$J759)&lt;7,"",ROUND(MIN(10000, MAX(0, ((((($D759*1.2)+($E759*1.2)+($F759*1.1)+($G759*1.0)+($H759*1.0)+($I759*1.1)+($J759*0.9))/7.5)-1)/4*8000 + MIN($B759*20,1000) + MIN($C759*100,1000))),0))</f>
        <v/>
      </c>
      <c r="L759" s="31">
        <f>IF($K759="","",MIN(100,INT(SQRT($K759))))</f>
        <v/>
      </c>
      <c r="M759" s="31" t="n"/>
      <c r="N759" s="31">
        <f>IF($M759="Yes",$K759,"")</f>
        <v/>
      </c>
      <c r="O759" s="31" t="n"/>
      <c r="P759" s="59" t="n"/>
      <c r="Q759" s="59" t="n"/>
    </row>
    <row r="760">
      <c r="A760" s="31">
        <f>IF(Members!$A760="","",Members!$A760)</f>
        <v/>
      </c>
      <c r="B760" s="31" t="n"/>
      <c r="C760" s="31" t="n"/>
      <c r="D760" s="31" t="n"/>
      <c r="E760" s="31" t="n"/>
      <c r="F760" s="31" t="n"/>
      <c r="G760" s="31" t="n"/>
      <c r="H760" s="31" t="n"/>
      <c r="I760" s="31" t="n"/>
      <c r="J760" s="31" t="n"/>
      <c r="K760" s="31">
        <f>IF(COUNTA($D760:$J760)&lt;7,"",ROUND(MIN(10000, MAX(0, ((((($D760*1.2)+($E760*1.2)+($F760*1.1)+($G760*1.0)+($H760*1.0)+($I760*1.1)+($J760*0.9))/7.5)-1)/4*8000 + MIN($B760*20,1000) + MIN($C760*100,1000))),0))</f>
        <v/>
      </c>
      <c r="L760" s="31">
        <f>IF($K760="","",MIN(100,INT(SQRT($K760))))</f>
        <v/>
      </c>
      <c r="M760" s="31" t="n"/>
      <c r="N760" s="31">
        <f>IF($M760="Yes",$K760,"")</f>
        <v/>
      </c>
      <c r="O760" s="31" t="n"/>
      <c r="P760" s="59" t="n"/>
      <c r="Q760" s="59" t="n"/>
    </row>
    <row r="761">
      <c r="A761" s="31">
        <f>IF(Members!$A761="","",Members!$A761)</f>
        <v/>
      </c>
      <c r="B761" s="31" t="n"/>
      <c r="C761" s="31" t="n"/>
      <c r="D761" s="31" t="n"/>
      <c r="E761" s="31" t="n"/>
      <c r="F761" s="31" t="n"/>
      <c r="G761" s="31" t="n"/>
      <c r="H761" s="31" t="n"/>
      <c r="I761" s="31" t="n"/>
      <c r="J761" s="31" t="n"/>
      <c r="K761" s="31">
        <f>IF(COUNTA($D761:$J761)&lt;7,"",ROUND(MIN(10000, MAX(0, ((((($D761*1.2)+($E761*1.2)+($F761*1.1)+($G761*1.0)+($H761*1.0)+($I761*1.1)+($J761*0.9))/7.5)-1)/4*8000 + MIN($B761*20,1000) + MIN($C761*100,1000))),0))</f>
        <v/>
      </c>
      <c r="L761" s="31">
        <f>IF($K761="","",MIN(100,INT(SQRT($K761))))</f>
        <v/>
      </c>
      <c r="M761" s="31" t="n"/>
      <c r="N761" s="31">
        <f>IF($M761="Yes",$K761,"")</f>
        <v/>
      </c>
      <c r="O761" s="31" t="n"/>
      <c r="P761" s="59" t="n"/>
      <c r="Q761" s="59" t="n"/>
    </row>
    <row r="762">
      <c r="A762" s="31">
        <f>IF(Members!$A762="","",Members!$A762)</f>
        <v/>
      </c>
      <c r="B762" s="31" t="n"/>
      <c r="C762" s="31" t="n"/>
      <c r="D762" s="31" t="n"/>
      <c r="E762" s="31" t="n"/>
      <c r="F762" s="31" t="n"/>
      <c r="G762" s="31" t="n"/>
      <c r="H762" s="31" t="n"/>
      <c r="I762" s="31" t="n"/>
      <c r="J762" s="31" t="n"/>
      <c r="K762" s="31">
        <f>IF(COUNTA($D762:$J762)&lt;7,"",ROUND(MIN(10000, MAX(0, ((((($D762*1.2)+($E762*1.2)+($F762*1.1)+($G762*1.0)+($H762*1.0)+($I762*1.1)+($J762*0.9))/7.5)-1)/4*8000 + MIN($B762*20,1000) + MIN($C762*100,1000))),0))</f>
        <v/>
      </c>
      <c r="L762" s="31">
        <f>IF($K762="","",MIN(100,INT(SQRT($K762))))</f>
        <v/>
      </c>
      <c r="M762" s="31" t="n"/>
      <c r="N762" s="31">
        <f>IF($M762="Yes",$K762,"")</f>
        <v/>
      </c>
      <c r="O762" s="31" t="n"/>
      <c r="P762" s="59" t="n"/>
      <c r="Q762" s="59" t="n"/>
    </row>
    <row r="763">
      <c r="A763" s="31">
        <f>IF(Members!$A763="","",Members!$A763)</f>
        <v/>
      </c>
      <c r="B763" s="31" t="n"/>
      <c r="C763" s="31" t="n"/>
      <c r="D763" s="31" t="n"/>
      <c r="E763" s="31" t="n"/>
      <c r="F763" s="31" t="n"/>
      <c r="G763" s="31" t="n"/>
      <c r="H763" s="31" t="n"/>
      <c r="I763" s="31" t="n"/>
      <c r="J763" s="31" t="n"/>
      <c r="K763" s="31">
        <f>IF(COUNTA($D763:$J763)&lt;7,"",ROUND(MIN(10000, MAX(0, ((((($D763*1.2)+($E763*1.2)+($F763*1.1)+($G763*1.0)+($H763*1.0)+($I763*1.1)+($J763*0.9))/7.5)-1)/4*8000 + MIN($B763*20,1000) + MIN($C763*100,1000))),0))</f>
        <v/>
      </c>
      <c r="L763" s="31">
        <f>IF($K763="","",MIN(100,INT(SQRT($K763))))</f>
        <v/>
      </c>
      <c r="M763" s="31" t="n"/>
      <c r="N763" s="31">
        <f>IF($M763="Yes",$K763,"")</f>
        <v/>
      </c>
      <c r="O763" s="31" t="n"/>
      <c r="P763" s="59" t="n"/>
      <c r="Q763" s="59" t="n"/>
    </row>
    <row r="764">
      <c r="A764" s="31">
        <f>IF(Members!$A764="","",Members!$A764)</f>
        <v/>
      </c>
      <c r="B764" s="31" t="n"/>
      <c r="C764" s="31" t="n"/>
      <c r="D764" s="31" t="n"/>
      <c r="E764" s="31" t="n"/>
      <c r="F764" s="31" t="n"/>
      <c r="G764" s="31" t="n"/>
      <c r="H764" s="31" t="n"/>
      <c r="I764" s="31" t="n"/>
      <c r="J764" s="31" t="n"/>
      <c r="K764" s="31">
        <f>IF(COUNTA($D764:$J764)&lt;7,"",ROUND(MIN(10000, MAX(0, ((((($D764*1.2)+($E764*1.2)+($F764*1.1)+($G764*1.0)+($H764*1.0)+($I764*1.1)+($J764*0.9))/7.5)-1)/4*8000 + MIN($B764*20,1000) + MIN($C764*100,1000))),0))</f>
        <v/>
      </c>
      <c r="L764" s="31">
        <f>IF($K764="","",MIN(100,INT(SQRT($K764))))</f>
        <v/>
      </c>
      <c r="M764" s="31" t="n"/>
      <c r="N764" s="31">
        <f>IF($M764="Yes",$K764,"")</f>
        <v/>
      </c>
      <c r="O764" s="31" t="n"/>
      <c r="P764" s="59" t="n"/>
      <c r="Q764" s="59" t="n"/>
    </row>
    <row r="765">
      <c r="A765" s="31">
        <f>IF(Members!$A765="","",Members!$A765)</f>
        <v/>
      </c>
      <c r="B765" s="31" t="n"/>
      <c r="C765" s="31" t="n"/>
      <c r="D765" s="31" t="n"/>
      <c r="E765" s="31" t="n"/>
      <c r="F765" s="31" t="n"/>
      <c r="G765" s="31" t="n"/>
      <c r="H765" s="31" t="n"/>
      <c r="I765" s="31" t="n"/>
      <c r="J765" s="31" t="n"/>
      <c r="K765" s="31">
        <f>IF(COUNTA($D765:$J765)&lt;7,"",ROUND(MIN(10000, MAX(0, ((((($D765*1.2)+($E765*1.2)+($F765*1.1)+($G765*1.0)+($H765*1.0)+($I765*1.1)+($J765*0.9))/7.5)-1)/4*8000 + MIN($B765*20,1000) + MIN($C765*100,1000))),0))</f>
        <v/>
      </c>
      <c r="L765" s="31">
        <f>IF($K765="","",MIN(100,INT(SQRT($K765))))</f>
        <v/>
      </c>
      <c r="M765" s="31" t="n"/>
      <c r="N765" s="31">
        <f>IF($M765="Yes",$K765,"")</f>
        <v/>
      </c>
      <c r="O765" s="31" t="n"/>
      <c r="P765" s="59" t="n"/>
      <c r="Q765" s="59" t="n"/>
    </row>
    <row r="766">
      <c r="A766" s="31">
        <f>IF(Members!$A766="","",Members!$A766)</f>
        <v/>
      </c>
      <c r="B766" s="31" t="n"/>
      <c r="C766" s="31" t="n"/>
      <c r="D766" s="31" t="n"/>
      <c r="E766" s="31" t="n"/>
      <c r="F766" s="31" t="n"/>
      <c r="G766" s="31" t="n"/>
      <c r="H766" s="31" t="n"/>
      <c r="I766" s="31" t="n"/>
      <c r="J766" s="31" t="n"/>
      <c r="K766" s="31">
        <f>IF(COUNTA($D766:$J766)&lt;7,"",ROUND(MIN(10000, MAX(0, ((((($D766*1.2)+($E766*1.2)+($F766*1.1)+($G766*1.0)+($H766*1.0)+($I766*1.1)+($J766*0.9))/7.5)-1)/4*8000 + MIN($B766*20,1000) + MIN($C766*100,1000))),0))</f>
        <v/>
      </c>
      <c r="L766" s="31">
        <f>IF($K766="","",MIN(100,INT(SQRT($K766))))</f>
        <v/>
      </c>
      <c r="M766" s="31" t="n"/>
      <c r="N766" s="31">
        <f>IF($M766="Yes",$K766,"")</f>
        <v/>
      </c>
      <c r="O766" s="31" t="n"/>
      <c r="P766" s="59" t="n"/>
      <c r="Q766" s="59" t="n"/>
    </row>
    <row r="767">
      <c r="A767" s="31">
        <f>IF(Members!$A767="","",Members!$A767)</f>
        <v/>
      </c>
      <c r="B767" s="31" t="n"/>
      <c r="C767" s="31" t="n"/>
      <c r="D767" s="31" t="n"/>
      <c r="E767" s="31" t="n"/>
      <c r="F767" s="31" t="n"/>
      <c r="G767" s="31" t="n"/>
      <c r="H767" s="31" t="n"/>
      <c r="I767" s="31" t="n"/>
      <c r="J767" s="31" t="n"/>
      <c r="K767" s="31">
        <f>IF(COUNTA($D767:$J767)&lt;7,"",ROUND(MIN(10000, MAX(0, ((((($D767*1.2)+($E767*1.2)+($F767*1.1)+($G767*1.0)+($H767*1.0)+($I767*1.1)+($J767*0.9))/7.5)-1)/4*8000 + MIN($B767*20,1000) + MIN($C767*100,1000))),0))</f>
        <v/>
      </c>
      <c r="L767" s="31">
        <f>IF($K767="","",MIN(100,INT(SQRT($K767))))</f>
        <v/>
      </c>
      <c r="M767" s="31" t="n"/>
      <c r="N767" s="31">
        <f>IF($M767="Yes",$K767,"")</f>
        <v/>
      </c>
      <c r="O767" s="31" t="n"/>
      <c r="P767" s="59" t="n"/>
      <c r="Q767" s="59" t="n"/>
    </row>
    <row r="768">
      <c r="A768" s="31">
        <f>IF(Members!$A768="","",Members!$A768)</f>
        <v/>
      </c>
      <c r="B768" s="31" t="n"/>
      <c r="C768" s="31" t="n"/>
      <c r="D768" s="31" t="n"/>
      <c r="E768" s="31" t="n"/>
      <c r="F768" s="31" t="n"/>
      <c r="G768" s="31" t="n"/>
      <c r="H768" s="31" t="n"/>
      <c r="I768" s="31" t="n"/>
      <c r="J768" s="31" t="n"/>
      <c r="K768" s="31">
        <f>IF(COUNTA($D768:$J768)&lt;7,"",ROUND(MIN(10000, MAX(0, ((((($D768*1.2)+($E768*1.2)+($F768*1.1)+($G768*1.0)+($H768*1.0)+($I768*1.1)+($J768*0.9))/7.5)-1)/4*8000 + MIN($B768*20,1000) + MIN($C768*100,1000))),0))</f>
        <v/>
      </c>
      <c r="L768" s="31">
        <f>IF($K768="","",MIN(100,INT(SQRT($K768))))</f>
        <v/>
      </c>
      <c r="M768" s="31" t="n"/>
      <c r="N768" s="31">
        <f>IF($M768="Yes",$K768,"")</f>
        <v/>
      </c>
      <c r="O768" s="31" t="n"/>
      <c r="P768" s="59" t="n"/>
      <c r="Q768" s="59" t="n"/>
    </row>
    <row r="769">
      <c r="A769" s="31">
        <f>IF(Members!$A769="","",Members!$A769)</f>
        <v/>
      </c>
      <c r="B769" s="31" t="n"/>
      <c r="C769" s="31" t="n"/>
      <c r="D769" s="31" t="n"/>
      <c r="E769" s="31" t="n"/>
      <c r="F769" s="31" t="n"/>
      <c r="G769" s="31" t="n"/>
      <c r="H769" s="31" t="n"/>
      <c r="I769" s="31" t="n"/>
      <c r="J769" s="31" t="n"/>
      <c r="K769" s="31">
        <f>IF(COUNTA($D769:$J769)&lt;7,"",ROUND(MIN(10000, MAX(0, ((((($D769*1.2)+($E769*1.2)+($F769*1.1)+($G769*1.0)+($H769*1.0)+($I769*1.1)+($J769*0.9))/7.5)-1)/4*8000 + MIN($B769*20,1000) + MIN($C769*100,1000))),0))</f>
        <v/>
      </c>
      <c r="L769" s="31">
        <f>IF($K769="","",MIN(100,INT(SQRT($K769))))</f>
        <v/>
      </c>
      <c r="M769" s="31" t="n"/>
      <c r="N769" s="31">
        <f>IF($M769="Yes",$K769,"")</f>
        <v/>
      </c>
      <c r="O769" s="31" t="n"/>
      <c r="P769" s="59" t="n"/>
      <c r="Q769" s="59" t="n"/>
    </row>
    <row r="770">
      <c r="A770" s="31">
        <f>IF(Members!$A770="","",Members!$A770)</f>
        <v/>
      </c>
      <c r="B770" s="31" t="n"/>
      <c r="C770" s="31" t="n"/>
      <c r="D770" s="31" t="n"/>
      <c r="E770" s="31" t="n"/>
      <c r="F770" s="31" t="n"/>
      <c r="G770" s="31" t="n"/>
      <c r="H770" s="31" t="n"/>
      <c r="I770" s="31" t="n"/>
      <c r="J770" s="31" t="n"/>
      <c r="K770" s="31">
        <f>IF(COUNTA($D770:$J770)&lt;7,"",ROUND(MIN(10000, MAX(0, ((((($D770*1.2)+($E770*1.2)+($F770*1.1)+($G770*1.0)+($H770*1.0)+($I770*1.1)+($J770*0.9))/7.5)-1)/4*8000 + MIN($B770*20,1000) + MIN($C770*100,1000))),0))</f>
        <v/>
      </c>
      <c r="L770" s="31">
        <f>IF($K770="","",MIN(100,INT(SQRT($K770))))</f>
        <v/>
      </c>
      <c r="M770" s="31" t="n"/>
      <c r="N770" s="31">
        <f>IF($M770="Yes",$K770,"")</f>
        <v/>
      </c>
      <c r="O770" s="31" t="n"/>
      <c r="P770" s="59" t="n"/>
      <c r="Q770" s="59" t="n"/>
    </row>
    <row r="771">
      <c r="A771" s="31">
        <f>IF(Members!$A771="","",Members!$A771)</f>
        <v/>
      </c>
      <c r="B771" s="31" t="n"/>
      <c r="C771" s="31" t="n"/>
      <c r="D771" s="31" t="n"/>
      <c r="E771" s="31" t="n"/>
      <c r="F771" s="31" t="n"/>
      <c r="G771" s="31" t="n"/>
      <c r="H771" s="31" t="n"/>
      <c r="I771" s="31" t="n"/>
      <c r="J771" s="31" t="n"/>
      <c r="K771" s="31">
        <f>IF(COUNTA($D771:$J771)&lt;7,"",ROUND(MIN(10000, MAX(0, ((((($D771*1.2)+($E771*1.2)+($F771*1.1)+($G771*1.0)+($H771*1.0)+($I771*1.1)+($J771*0.9))/7.5)-1)/4*8000 + MIN($B771*20,1000) + MIN($C771*100,1000))),0))</f>
        <v/>
      </c>
      <c r="L771" s="31">
        <f>IF($K771="","",MIN(100,INT(SQRT($K771))))</f>
        <v/>
      </c>
      <c r="M771" s="31" t="n"/>
      <c r="N771" s="31">
        <f>IF($M771="Yes",$K771,"")</f>
        <v/>
      </c>
      <c r="O771" s="31" t="n"/>
      <c r="P771" s="59" t="n"/>
      <c r="Q771" s="59" t="n"/>
    </row>
    <row r="772">
      <c r="A772" s="31">
        <f>IF(Members!$A772="","",Members!$A772)</f>
        <v/>
      </c>
      <c r="B772" s="31" t="n"/>
      <c r="C772" s="31" t="n"/>
      <c r="D772" s="31" t="n"/>
      <c r="E772" s="31" t="n"/>
      <c r="F772" s="31" t="n"/>
      <c r="G772" s="31" t="n"/>
      <c r="H772" s="31" t="n"/>
      <c r="I772" s="31" t="n"/>
      <c r="J772" s="31" t="n"/>
      <c r="K772" s="31">
        <f>IF(COUNTA($D772:$J772)&lt;7,"",ROUND(MIN(10000, MAX(0, ((((($D772*1.2)+($E772*1.2)+($F772*1.1)+($G772*1.0)+($H772*1.0)+($I772*1.1)+($J772*0.9))/7.5)-1)/4*8000 + MIN($B772*20,1000) + MIN($C772*100,1000))),0))</f>
        <v/>
      </c>
      <c r="L772" s="31">
        <f>IF($K772="","",MIN(100,INT(SQRT($K772))))</f>
        <v/>
      </c>
      <c r="M772" s="31" t="n"/>
      <c r="N772" s="31">
        <f>IF($M772="Yes",$K772,"")</f>
        <v/>
      </c>
      <c r="O772" s="31" t="n"/>
      <c r="P772" s="59" t="n"/>
      <c r="Q772" s="59" t="n"/>
    </row>
    <row r="773">
      <c r="A773" s="31">
        <f>IF(Members!$A773="","",Members!$A773)</f>
        <v/>
      </c>
      <c r="B773" s="31" t="n"/>
      <c r="C773" s="31" t="n"/>
      <c r="D773" s="31" t="n"/>
      <c r="E773" s="31" t="n"/>
      <c r="F773" s="31" t="n"/>
      <c r="G773" s="31" t="n"/>
      <c r="H773" s="31" t="n"/>
      <c r="I773" s="31" t="n"/>
      <c r="J773" s="31" t="n"/>
      <c r="K773" s="31">
        <f>IF(COUNTA($D773:$J773)&lt;7,"",ROUND(MIN(10000, MAX(0, ((((($D773*1.2)+($E773*1.2)+($F773*1.1)+($G773*1.0)+($H773*1.0)+($I773*1.1)+($J773*0.9))/7.5)-1)/4*8000 + MIN($B773*20,1000) + MIN($C773*100,1000))),0))</f>
        <v/>
      </c>
      <c r="L773" s="31">
        <f>IF($K773="","",MIN(100,INT(SQRT($K773))))</f>
        <v/>
      </c>
      <c r="M773" s="31" t="n"/>
      <c r="N773" s="31">
        <f>IF($M773="Yes",$K773,"")</f>
        <v/>
      </c>
      <c r="O773" s="31" t="n"/>
      <c r="P773" s="59" t="n"/>
      <c r="Q773" s="59" t="n"/>
    </row>
    <row r="774">
      <c r="A774" s="31">
        <f>IF(Members!$A774="","",Members!$A774)</f>
        <v/>
      </c>
      <c r="B774" s="31" t="n"/>
      <c r="C774" s="31" t="n"/>
      <c r="D774" s="31" t="n"/>
      <c r="E774" s="31" t="n"/>
      <c r="F774" s="31" t="n"/>
      <c r="G774" s="31" t="n"/>
      <c r="H774" s="31" t="n"/>
      <c r="I774" s="31" t="n"/>
      <c r="J774" s="31" t="n"/>
      <c r="K774" s="31">
        <f>IF(COUNTA($D774:$J774)&lt;7,"",ROUND(MIN(10000, MAX(0, ((((($D774*1.2)+($E774*1.2)+($F774*1.1)+($G774*1.0)+($H774*1.0)+($I774*1.1)+($J774*0.9))/7.5)-1)/4*8000 + MIN($B774*20,1000) + MIN($C774*100,1000))),0))</f>
        <v/>
      </c>
      <c r="L774" s="31">
        <f>IF($K774="","",MIN(100,INT(SQRT($K774))))</f>
        <v/>
      </c>
      <c r="M774" s="31" t="n"/>
      <c r="N774" s="31">
        <f>IF($M774="Yes",$K774,"")</f>
        <v/>
      </c>
      <c r="O774" s="31" t="n"/>
      <c r="P774" s="59" t="n"/>
      <c r="Q774" s="59" t="n"/>
    </row>
    <row r="775">
      <c r="A775" s="31">
        <f>IF(Members!$A775="","",Members!$A775)</f>
        <v/>
      </c>
      <c r="B775" s="31" t="n"/>
      <c r="C775" s="31" t="n"/>
      <c r="D775" s="31" t="n"/>
      <c r="E775" s="31" t="n"/>
      <c r="F775" s="31" t="n"/>
      <c r="G775" s="31" t="n"/>
      <c r="H775" s="31" t="n"/>
      <c r="I775" s="31" t="n"/>
      <c r="J775" s="31" t="n"/>
      <c r="K775" s="31">
        <f>IF(COUNTA($D775:$J775)&lt;7,"",ROUND(MIN(10000, MAX(0, ((((($D775*1.2)+($E775*1.2)+($F775*1.1)+($G775*1.0)+($H775*1.0)+($I775*1.1)+($J775*0.9))/7.5)-1)/4*8000 + MIN($B775*20,1000) + MIN($C775*100,1000))),0))</f>
        <v/>
      </c>
      <c r="L775" s="31">
        <f>IF($K775="","",MIN(100,INT(SQRT($K775))))</f>
        <v/>
      </c>
      <c r="M775" s="31" t="n"/>
      <c r="N775" s="31">
        <f>IF($M775="Yes",$K775,"")</f>
        <v/>
      </c>
      <c r="O775" s="31" t="n"/>
      <c r="P775" s="59" t="n"/>
      <c r="Q775" s="59" t="n"/>
    </row>
    <row r="776">
      <c r="A776" s="31">
        <f>IF(Members!$A776="","",Members!$A776)</f>
        <v/>
      </c>
      <c r="B776" s="31" t="n"/>
      <c r="C776" s="31" t="n"/>
      <c r="D776" s="31" t="n"/>
      <c r="E776" s="31" t="n"/>
      <c r="F776" s="31" t="n"/>
      <c r="G776" s="31" t="n"/>
      <c r="H776" s="31" t="n"/>
      <c r="I776" s="31" t="n"/>
      <c r="J776" s="31" t="n"/>
      <c r="K776" s="31">
        <f>IF(COUNTA($D776:$J776)&lt;7,"",ROUND(MIN(10000, MAX(0, ((((($D776*1.2)+($E776*1.2)+($F776*1.1)+($G776*1.0)+($H776*1.0)+($I776*1.1)+($J776*0.9))/7.5)-1)/4*8000 + MIN($B776*20,1000) + MIN($C776*100,1000))),0))</f>
        <v/>
      </c>
      <c r="L776" s="31">
        <f>IF($K776="","",MIN(100,INT(SQRT($K776))))</f>
        <v/>
      </c>
      <c r="M776" s="31" t="n"/>
      <c r="N776" s="31">
        <f>IF($M776="Yes",$K776,"")</f>
        <v/>
      </c>
      <c r="O776" s="31" t="n"/>
      <c r="P776" s="59" t="n"/>
      <c r="Q776" s="59" t="n"/>
    </row>
    <row r="777">
      <c r="A777" s="31">
        <f>IF(Members!$A777="","",Members!$A777)</f>
        <v/>
      </c>
      <c r="B777" s="31" t="n"/>
      <c r="C777" s="31" t="n"/>
      <c r="D777" s="31" t="n"/>
      <c r="E777" s="31" t="n"/>
      <c r="F777" s="31" t="n"/>
      <c r="G777" s="31" t="n"/>
      <c r="H777" s="31" t="n"/>
      <c r="I777" s="31" t="n"/>
      <c r="J777" s="31" t="n"/>
      <c r="K777" s="31">
        <f>IF(COUNTA($D777:$J777)&lt;7,"",ROUND(MIN(10000, MAX(0, ((((($D777*1.2)+($E777*1.2)+($F777*1.1)+($G777*1.0)+($H777*1.0)+($I777*1.1)+($J777*0.9))/7.5)-1)/4*8000 + MIN($B777*20,1000) + MIN($C777*100,1000))),0))</f>
        <v/>
      </c>
      <c r="L777" s="31">
        <f>IF($K777="","",MIN(100,INT(SQRT($K777))))</f>
        <v/>
      </c>
      <c r="M777" s="31" t="n"/>
      <c r="N777" s="31">
        <f>IF($M777="Yes",$K777,"")</f>
        <v/>
      </c>
      <c r="O777" s="31" t="n"/>
      <c r="P777" s="59" t="n"/>
      <c r="Q777" s="59" t="n"/>
    </row>
    <row r="778">
      <c r="A778" s="31">
        <f>IF(Members!$A778="","",Members!$A778)</f>
        <v/>
      </c>
      <c r="B778" s="31" t="n"/>
      <c r="C778" s="31" t="n"/>
      <c r="D778" s="31" t="n"/>
      <c r="E778" s="31" t="n"/>
      <c r="F778" s="31" t="n"/>
      <c r="G778" s="31" t="n"/>
      <c r="H778" s="31" t="n"/>
      <c r="I778" s="31" t="n"/>
      <c r="J778" s="31" t="n"/>
      <c r="K778" s="31">
        <f>IF(COUNTA($D778:$J778)&lt;7,"",ROUND(MIN(10000, MAX(0, ((((($D778*1.2)+($E778*1.2)+($F778*1.1)+($G778*1.0)+($H778*1.0)+($I778*1.1)+($J778*0.9))/7.5)-1)/4*8000 + MIN($B778*20,1000) + MIN($C778*100,1000))),0))</f>
        <v/>
      </c>
      <c r="L778" s="31">
        <f>IF($K778="","",MIN(100,INT(SQRT($K778))))</f>
        <v/>
      </c>
      <c r="M778" s="31" t="n"/>
      <c r="N778" s="31">
        <f>IF($M778="Yes",$K778,"")</f>
        <v/>
      </c>
      <c r="O778" s="31" t="n"/>
      <c r="P778" s="59" t="n"/>
      <c r="Q778" s="59" t="n"/>
    </row>
    <row r="779">
      <c r="A779" s="31">
        <f>IF(Members!$A779="","",Members!$A779)</f>
        <v/>
      </c>
      <c r="B779" s="31" t="n"/>
      <c r="C779" s="31" t="n"/>
      <c r="D779" s="31" t="n"/>
      <c r="E779" s="31" t="n"/>
      <c r="F779" s="31" t="n"/>
      <c r="G779" s="31" t="n"/>
      <c r="H779" s="31" t="n"/>
      <c r="I779" s="31" t="n"/>
      <c r="J779" s="31" t="n"/>
      <c r="K779" s="31">
        <f>IF(COUNTA($D779:$J779)&lt;7,"",ROUND(MIN(10000, MAX(0, ((((($D779*1.2)+($E779*1.2)+($F779*1.1)+($G779*1.0)+($H779*1.0)+($I779*1.1)+($J779*0.9))/7.5)-1)/4*8000 + MIN($B779*20,1000) + MIN($C779*100,1000))),0))</f>
        <v/>
      </c>
      <c r="L779" s="31">
        <f>IF($K779="","",MIN(100,INT(SQRT($K779))))</f>
        <v/>
      </c>
      <c r="M779" s="31" t="n"/>
      <c r="N779" s="31">
        <f>IF($M779="Yes",$K779,"")</f>
        <v/>
      </c>
      <c r="O779" s="31" t="n"/>
      <c r="P779" s="59" t="n"/>
      <c r="Q779" s="59" t="n"/>
    </row>
    <row r="780">
      <c r="A780" s="31">
        <f>IF(Members!$A780="","",Members!$A780)</f>
        <v/>
      </c>
      <c r="B780" s="31" t="n"/>
      <c r="C780" s="31" t="n"/>
      <c r="D780" s="31" t="n"/>
      <c r="E780" s="31" t="n"/>
      <c r="F780" s="31" t="n"/>
      <c r="G780" s="31" t="n"/>
      <c r="H780" s="31" t="n"/>
      <c r="I780" s="31" t="n"/>
      <c r="J780" s="31" t="n"/>
      <c r="K780" s="31">
        <f>IF(COUNTA($D780:$J780)&lt;7,"",ROUND(MIN(10000, MAX(0, ((((($D780*1.2)+($E780*1.2)+($F780*1.1)+($G780*1.0)+($H780*1.0)+($I780*1.1)+($J780*0.9))/7.5)-1)/4*8000 + MIN($B780*20,1000) + MIN($C780*100,1000))),0))</f>
        <v/>
      </c>
      <c r="L780" s="31">
        <f>IF($K780="","",MIN(100,INT(SQRT($K780))))</f>
        <v/>
      </c>
      <c r="M780" s="31" t="n"/>
      <c r="N780" s="31">
        <f>IF($M780="Yes",$K780,"")</f>
        <v/>
      </c>
      <c r="O780" s="31" t="n"/>
      <c r="P780" s="59" t="n"/>
      <c r="Q780" s="59" t="n"/>
    </row>
    <row r="781">
      <c r="A781" s="31">
        <f>IF(Members!$A781="","",Members!$A781)</f>
        <v/>
      </c>
      <c r="B781" s="31" t="n"/>
      <c r="C781" s="31" t="n"/>
      <c r="D781" s="31" t="n"/>
      <c r="E781" s="31" t="n"/>
      <c r="F781" s="31" t="n"/>
      <c r="G781" s="31" t="n"/>
      <c r="H781" s="31" t="n"/>
      <c r="I781" s="31" t="n"/>
      <c r="J781" s="31" t="n"/>
      <c r="K781" s="31">
        <f>IF(COUNTA($D781:$J781)&lt;7,"",ROUND(MIN(10000, MAX(0, ((((($D781*1.2)+($E781*1.2)+($F781*1.1)+($G781*1.0)+($H781*1.0)+($I781*1.1)+($J781*0.9))/7.5)-1)/4*8000 + MIN($B781*20,1000) + MIN($C781*100,1000))),0))</f>
        <v/>
      </c>
      <c r="L781" s="31">
        <f>IF($K781="","",MIN(100,INT(SQRT($K781))))</f>
        <v/>
      </c>
      <c r="M781" s="31" t="n"/>
      <c r="N781" s="31">
        <f>IF($M781="Yes",$K781,"")</f>
        <v/>
      </c>
      <c r="O781" s="31" t="n"/>
      <c r="P781" s="59" t="n"/>
      <c r="Q781" s="59" t="n"/>
    </row>
    <row r="782">
      <c r="A782" s="31">
        <f>IF(Members!$A782="","",Members!$A782)</f>
        <v/>
      </c>
      <c r="B782" s="31" t="n"/>
      <c r="C782" s="31" t="n"/>
      <c r="D782" s="31" t="n"/>
      <c r="E782" s="31" t="n"/>
      <c r="F782" s="31" t="n"/>
      <c r="G782" s="31" t="n"/>
      <c r="H782" s="31" t="n"/>
      <c r="I782" s="31" t="n"/>
      <c r="J782" s="31" t="n"/>
      <c r="K782" s="31">
        <f>IF(COUNTA($D782:$J782)&lt;7,"",ROUND(MIN(10000, MAX(0, ((((($D782*1.2)+($E782*1.2)+($F782*1.1)+($G782*1.0)+($H782*1.0)+($I782*1.1)+($J782*0.9))/7.5)-1)/4*8000 + MIN($B782*20,1000) + MIN($C782*100,1000))),0))</f>
        <v/>
      </c>
      <c r="L782" s="31">
        <f>IF($K782="","",MIN(100,INT(SQRT($K782))))</f>
        <v/>
      </c>
      <c r="M782" s="31" t="n"/>
      <c r="N782" s="31">
        <f>IF($M782="Yes",$K782,"")</f>
        <v/>
      </c>
      <c r="O782" s="31" t="n"/>
      <c r="P782" s="59" t="n"/>
      <c r="Q782" s="59" t="n"/>
    </row>
    <row r="783">
      <c r="A783" s="31">
        <f>IF(Members!$A783="","",Members!$A783)</f>
        <v/>
      </c>
      <c r="B783" s="31" t="n"/>
      <c r="C783" s="31" t="n"/>
      <c r="D783" s="31" t="n"/>
      <c r="E783" s="31" t="n"/>
      <c r="F783" s="31" t="n"/>
      <c r="G783" s="31" t="n"/>
      <c r="H783" s="31" t="n"/>
      <c r="I783" s="31" t="n"/>
      <c r="J783" s="31" t="n"/>
      <c r="K783" s="31">
        <f>IF(COUNTA($D783:$J783)&lt;7,"",ROUND(MIN(10000, MAX(0, ((((($D783*1.2)+($E783*1.2)+($F783*1.1)+($G783*1.0)+($H783*1.0)+($I783*1.1)+($J783*0.9))/7.5)-1)/4*8000 + MIN($B783*20,1000) + MIN($C783*100,1000))),0))</f>
        <v/>
      </c>
      <c r="L783" s="31">
        <f>IF($K783="","",MIN(100,INT(SQRT($K783))))</f>
        <v/>
      </c>
      <c r="M783" s="31" t="n"/>
      <c r="N783" s="31">
        <f>IF($M783="Yes",$K783,"")</f>
        <v/>
      </c>
      <c r="O783" s="31" t="n"/>
      <c r="P783" s="59" t="n"/>
      <c r="Q783" s="59" t="n"/>
    </row>
    <row r="784">
      <c r="A784" s="31">
        <f>IF(Members!$A784="","",Members!$A784)</f>
        <v/>
      </c>
      <c r="B784" s="31" t="n"/>
      <c r="C784" s="31" t="n"/>
      <c r="D784" s="31" t="n"/>
      <c r="E784" s="31" t="n"/>
      <c r="F784" s="31" t="n"/>
      <c r="G784" s="31" t="n"/>
      <c r="H784" s="31" t="n"/>
      <c r="I784" s="31" t="n"/>
      <c r="J784" s="31" t="n"/>
      <c r="K784" s="31">
        <f>IF(COUNTA($D784:$J784)&lt;7,"",ROUND(MIN(10000, MAX(0, ((((($D784*1.2)+($E784*1.2)+($F784*1.1)+($G784*1.0)+($H784*1.0)+($I784*1.1)+($J784*0.9))/7.5)-1)/4*8000 + MIN($B784*20,1000) + MIN($C784*100,1000))),0))</f>
        <v/>
      </c>
      <c r="L784" s="31">
        <f>IF($K784="","",MIN(100,INT(SQRT($K784))))</f>
        <v/>
      </c>
      <c r="M784" s="31" t="n"/>
      <c r="N784" s="31">
        <f>IF($M784="Yes",$K784,"")</f>
        <v/>
      </c>
      <c r="O784" s="31" t="n"/>
      <c r="P784" s="59" t="n"/>
      <c r="Q784" s="59" t="n"/>
    </row>
    <row r="785">
      <c r="A785" s="31">
        <f>IF(Members!$A785="","",Members!$A785)</f>
        <v/>
      </c>
      <c r="B785" s="31" t="n"/>
      <c r="C785" s="31" t="n"/>
      <c r="D785" s="31" t="n"/>
      <c r="E785" s="31" t="n"/>
      <c r="F785" s="31" t="n"/>
      <c r="G785" s="31" t="n"/>
      <c r="H785" s="31" t="n"/>
      <c r="I785" s="31" t="n"/>
      <c r="J785" s="31" t="n"/>
      <c r="K785" s="31">
        <f>IF(COUNTA($D785:$J785)&lt;7,"",ROUND(MIN(10000, MAX(0, ((((($D785*1.2)+($E785*1.2)+($F785*1.1)+($G785*1.0)+($H785*1.0)+($I785*1.1)+($J785*0.9))/7.5)-1)/4*8000 + MIN($B785*20,1000) + MIN($C785*100,1000))),0))</f>
        <v/>
      </c>
      <c r="L785" s="31">
        <f>IF($K785="","",MIN(100,INT(SQRT($K785))))</f>
        <v/>
      </c>
      <c r="M785" s="31" t="n"/>
      <c r="N785" s="31">
        <f>IF($M785="Yes",$K785,"")</f>
        <v/>
      </c>
      <c r="O785" s="31" t="n"/>
      <c r="P785" s="59" t="n"/>
      <c r="Q785" s="59" t="n"/>
    </row>
    <row r="786">
      <c r="A786" s="31">
        <f>IF(Members!$A786="","",Members!$A786)</f>
        <v/>
      </c>
      <c r="B786" s="31" t="n"/>
      <c r="C786" s="31" t="n"/>
      <c r="D786" s="31" t="n"/>
      <c r="E786" s="31" t="n"/>
      <c r="F786" s="31" t="n"/>
      <c r="G786" s="31" t="n"/>
      <c r="H786" s="31" t="n"/>
      <c r="I786" s="31" t="n"/>
      <c r="J786" s="31" t="n"/>
      <c r="K786" s="31">
        <f>IF(COUNTA($D786:$J786)&lt;7,"",ROUND(MIN(10000, MAX(0, ((((($D786*1.2)+($E786*1.2)+($F786*1.1)+($G786*1.0)+($H786*1.0)+($I786*1.1)+($J786*0.9))/7.5)-1)/4*8000 + MIN($B786*20,1000) + MIN($C786*100,1000))),0))</f>
        <v/>
      </c>
      <c r="L786" s="31">
        <f>IF($K786="","",MIN(100,INT(SQRT($K786))))</f>
        <v/>
      </c>
      <c r="M786" s="31" t="n"/>
      <c r="N786" s="31">
        <f>IF($M786="Yes",$K786,"")</f>
        <v/>
      </c>
      <c r="O786" s="31" t="n"/>
      <c r="P786" s="59" t="n"/>
      <c r="Q786" s="59" t="n"/>
    </row>
    <row r="787">
      <c r="A787" s="31">
        <f>IF(Members!$A787="","",Members!$A787)</f>
        <v/>
      </c>
      <c r="B787" s="31" t="n"/>
      <c r="C787" s="31" t="n"/>
      <c r="D787" s="31" t="n"/>
      <c r="E787" s="31" t="n"/>
      <c r="F787" s="31" t="n"/>
      <c r="G787" s="31" t="n"/>
      <c r="H787" s="31" t="n"/>
      <c r="I787" s="31" t="n"/>
      <c r="J787" s="31" t="n"/>
      <c r="K787" s="31">
        <f>IF(COUNTA($D787:$J787)&lt;7,"",ROUND(MIN(10000, MAX(0, ((((($D787*1.2)+($E787*1.2)+($F787*1.1)+($G787*1.0)+($H787*1.0)+($I787*1.1)+($J787*0.9))/7.5)-1)/4*8000 + MIN($B787*20,1000) + MIN($C787*100,1000))),0))</f>
        <v/>
      </c>
      <c r="L787" s="31">
        <f>IF($K787="","",MIN(100,INT(SQRT($K787))))</f>
        <v/>
      </c>
      <c r="M787" s="31" t="n"/>
      <c r="N787" s="31">
        <f>IF($M787="Yes",$K787,"")</f>
        <v/>
      </c>
      <c r="O787" s="31" t="n"/>
      <c r="P787" s="59" t="n"/>
      <c r="Q787" s="59" t="n"/>
    </row>
    <row r="788">
      <c r="A788" s="31">
        <f>IF(Members!$A788="","",Members!$A788)</f>
        <v/>
      </c>
      <c r="B788" s="31" t="n"/>
      <c r="C788" s="31" t="n"/>
      <c r="D788" s="31" t="n"/>
      <c r="E788" s="31" t="n"/>
      <c r="F788" s="31" t="n"/>
      <c r="G788" s="31" t="n"/>
      <c r="H788" s="31" t="n"/>
      <c r="I788" s="31" t="n"/>
      <c r="J788" s="31" t="n"/>
      <c r="K788" s="31">
        <f>IF(COUNTA($D788:$J788)&lt;7,"",ROUND(MIN(10000, MAX(0, ((((($D788*1.2)+($E788*1.2)+($F788*1.1)+($G788*1.0)+($H788*1.0)+($I788*1.1)+($J788*0.9))/7.5)-1)/4*8000 + MIN($B788*20,1000) + MIN($C788*100,1000))),0))</f>
        <v/>
      </c>
      <c r="L788" s="31">
        <f>IF($K788="","",MIN(100,INT(SQRT($K788))))</f>
        <v/>
      </c>
      <c r="M788" s="31" t="n"/>
      <c r="N788" s="31">
        <f>IF($M788="Yes",$K788,"")</f>
        <v/>
      </c>
      <c r="O788" s="31" t="n"/>
      <c r="P788" s="59" t="n"/>
      <c r="Q788" s="59" t="n"/>
    </row>
    <row r="789">
      <c r="A789" s="31">
        <f>IF(Members!$A789="","",Members!$A789)</f>
        <v/>
      </c>
      <c r="B789" s="31" t="n"/>
      <c r="C789" s="31" t="n"/>
      <c r="D789" s="31" t="n"/>
      <c r="E789" s="31" t="n"/>
      <c r="F789" s="31" t="n"/>
      <c r="G789" s="31" t="n"/>
      <c r="H789" s="31" t="n"/>
      <c r="I789" s="31" t="n"/>
      <c r="J789" s="31" t="n"/>
      <c r="K789" s="31">
        <f>IF(COUNTA($D789:$J789)&lt;7,"",ROUND(MIN(10000, MAX(0, ((((($D789*1.2)+($E789*1.2)+($F789*1.1)+($G789*1.0)+($H789*1.0)+($I789*1.1)+($J789*0.9))/7.5)-1)/4*8000 + MIN($B789*20,1000) + MIN($C789*100,1000))),0))</f>
        <v/>
      </c>
      <c r="L789" s="31">
        <f>IF($K789="","",MIN(100,INT(SQRT($K789))))</f>
        <v/>
      </c>
      <c r="M789" s="31" t="n"/>
      <c r="N789" s="31">
        <f>IF($M789="Yes",$K789,"")</f>
        <v/>
      </c>
      <c r="O789" s="31" t="n"/>
      <c r="P789" s="59" t="n"/>
      <c r="Q789" s="59" t="n"/>
    </row>
    <row r="790">
      <c r="A790" s="31">
        <f>IF(Members!$A790="","",Members!$A790)</f>
        <v/>
      </c>
      <c r="B790" s="31" t="n"/>
      <c r="C790" s="31" t="n"/>
      <c r="D790" s="31" t="n"/>
      <c r="E790" s="31" t="n"/>
      <c r="F790" s="31" t="n"/>
      <c r="G790" s="31" t="n"/>
      <c r="H790" s="31" t="n"/>
      <c r="I790" s="31" t="n"/>
      <c r="J790" s="31" t="n"/>
      <c r="K790" s="31">
        <f>IF(COUNTA($D790:$J790)&lt;7,"",ROUND(MIN(10000, MAX(0, ((((($D790*1.2)+($E790*1.2)+($F790*1.1)+($G790*1.0)+($H790*1.0)+($I790*1.1)+($J790*0.9))/7.5)-1)/4*8000 + MIN($B790*20,1000) + MIN($C790*100,1000))),0))</f>
        <v/>
      </c>
      <c r="L790" s="31">
        <f>IF($K790="","",MIN(100,INT(SQRT($K790))))</f>
        <v/>
      </c>
      <c r="M790" s="31" t="n"/>
      <c r="N790" s="31">
        <f>IF($M790="Yes",$K790,"")</f>
        <v/>
      </c>
      <c r="O790" s="31" t="n"/>
      <c r="P790" s="59" t="n"/>
      <c r="Q790" s="59" t="n"/>
    </row>
    <row r="791">
      <c r="A791" s="31">
        <f>IF(Members!$A791="","",Members!$A791)</f>
        <v/>
      </c>
      <c r="B791" s="31" t="n"/>
      <c r="C791" s="31" t="n"/>
      <c r="D791" s="31" t="n"/>
      <c r="E791" s="31" t="n"/>
      <c r="F791" s="31" t="n"/>
      <c r="G791" s="31" t="n"/>
      <c r="H791" s="31" t="n"/>
      <c r="I791" s="31" t="n"/>
      <c r="J791" s="31" t="n"/>
      <c r="K791" s="31">
        <f>IF(COUNTA($D791:$J791)&lt;7,"",ROUND(MIN(10000, MAX(0, ((((($D791*1.2)+($E791*1.2)+($F791*1.1)+($G791*1.0)+($H791*1.0)+($I791*1.1)+($J791*0.9))/7.5)-1)/4*8000 + MIN($B791*20,1000) + MIN($C791*100,1000))),0))</f>
        <v/>
      </c>
      <c r="L791" s="31">
        <f>IF($K791="","",MIN(100,INT(SQRT($K791))))</f>
        <v/>
      </c>
      <c r="M791" s="31" t="n"/>
      <c r="N791" s="31">
        <f>IF($M791="Yes",$K791,"")</f>
        <v/>
      </c>
      <c r="O791" s="31" t="n"/>
      <c r="P791" s="59" t="n"/>
      <c r="Q791" s="59" t="n"/>
    </row>
    <row r="792">
      <c r="A792" s="31">
        <f>IF(Members!$A792="","",Members!$A792)</f>
        <v/>
      </c>
      <c r="B792" s="31" t="n"/>
      <c r="C792" s="31" t="n"/>
      <c r="D792" s="31" t="n"/>
      <c r="E792" s="31" t="n"/>
      <c r="F792" s="31" t="n"/>
      <c r="G792" s="31" t="n"/>
      <c r="H792" s="31" t="n"/>
      <c r="I792" s="31" t="n"/>
      <c r="J792" s="31" t="n"/>
      <c r="K792" s="31">
        <f>IF(COUNTA($D792:$J792)&lt;7,"",ROUND(MIN(10000, MAX(0, ((((($D792*1.2)+($E792*1.2)+($F792*1.1)+($G792*1.0)+($H792*1.0)+($I792*1.1)+($J792*0.9))/7.5)-1)/4*8000 + MIN($B792*20,1000) + MIN($C792*100,1000))),0))</f>
        <v/>
      </c>
      <c r="L792" s="31">
        <f>IF($K792="","",MIN(100,INT(SQRT($K792))))</f>
        <v/>
      </c>
      <c r="M792" s="31" t="n"/>
      <c r="N792" s="31">
        <f>IF($M792="Yes",$K792,"")</f>
        <v/>
      </c>
      <c r="O792" s="31" t="n"/>
      <c r="P792" s="59" t="n"/>
      <c r="Q792" s="59" t="n"/>
    </row>
    <row r="793">
      <c r="A793" s="31">
        <f>IF(Members!$A793="","",Members!$A793)</f>
        <v/>
      </c>
      <c r="B793" s="31" t="n"/>
      <c r="C793" s="31" t="n"/>
      <c r="D793" s="31" t="n"/>
      <c r="E793" s="31" t="n"/>
      <c r="F793" s="31" t="n"/>
      <c r="G793" s="31" t="n"/>
      <c r="H793" s="31" t="n"/>
      <c r="I793" s="31" t="n"/>
      <c r="J793" s="31" t="n"/>
      <c r="K793" s="31">
        <f>IF(COUNTA($D793:$J793)&lt;7,"",ROUND(MIN(10000, MAX(0, ((((($D793*1.2)+($E793*1.2)+($F793*1.1)+($G793*1.0)+($H793*1.0)+($I793*1.1)+($J793*0.9))/7.5)-1)/4*8000 + MIN($B793*20,1000) + MIN($C793*100,1000))),0))</f>
        <v/>
      </c>
      <c r="L793" s="31">
        <f>IF($K793="","",MIN(100,INT(SQRT($K793))))</f>
        <v/>
      </c>
      <c r="M793" s="31" t="n"/>
      <c r="N793" s="31">
        <f>IF($M793="Yes",$K793,"")</f>
        <v/>
      </c>
      <c r="O793" s="31" t="n"/>
      <c r="P793" s="59" t="n"/>
      <c r="Q793" s="59" t="n"/>
    </row>
    <row r="794">
      <c r="A794" s="31">
        <f>IF(Members!$A794="","",Members!$A794)</f>
        <v/>
      </c>
      <c r="B794" s="31" t="n"/>
      <c r="C794" s="31" t="n"/>
      <c r="D794" s="31" t="n"/>
      <c r="E794" s="31" t="n"/>
      <c r="F794" s="31" t="n"/>
      <c r="G794" s="31" t="n"/>
      <c r="H794" s="31" t="n"/>
      <c r="I794" s="31" t="n"/>
      <c r="J794" s="31" t="n"/>
      <c r="K794" s="31">
        <f>IF(COUNTA($D794:$J794)&lt;7,"",ROUND(MIN(10000, MAX(0, ((((($D794*1.2)+($E794*1.2)+($F794*1.1)+($G794*1.0)+($H794*1.0)+($I794*1.1)+($J794*0.9))/7.5)-1)/4*8000 + MIN($B794*20,1000) + MIN($C794*100,1000))),0))</f>
        <v/>
      </c>
      <c r="L794" s="31">
        <f>IF($K794="","",MIN(100,INT(SQRT($K794))))</f>
        <v/>
      </c>
      <c r="M794" s="31" t="n"/>
      <c r="N794" s="31">
        <f>IF($M794="Yes",$K794,"")</f>
        <v/>
      </c>
      <c r="O794" s="31" t="n"/>
      <c r="P794" s="59" t="n"/>
      <c r="Q794" s="59" t="n"/>
    </row>
    <row r="795">
      <c r="A795" s="31">
        <f>IF(Members!$A795="","",Members!$A795)</f>
        <v/>
      </c>
      <c r="B795" s="31" t="n"/>
      <c r="C795" s="31" t="n"/>
      <c r="D795" s="31" t="n"/>
      <c r="E795" s="31" t="n"/>
      <c r="F795" s="31" t="n"/>
      <c r="G795" s="31" t="n"/>
      <c r="H795" s="31" t="n"/>
      <c r="I795" s="31" t="n"/>
      <c r="J795" s="31" t="n"/>
      <c r="K795" s="31">
        <f>IF(COUNTA($D795:$J795)&lt;7,"",ROUND(MIN(10000, MAX(0, ((((($D795*1.2)+($E795*1.2)+($F795*1.1)+($G795*1.0)+($H795*1.0)+($I795*1.1)+($J795*0.9))/7.5)-1)/4*8000 + MIN($B795*20,1000) + MIN($C795*100,1000))),0))</f>
        <v/>
      </c>
      <c r="L795" s="31">
        <f>IF($K795="","",MIN(100,INT(SQRT($K795))))</f>
        <v/>
      </c>
      <c r="M795" s="31" t="n"/>
      <c r="N795" s="31">
        <f>IF($M795="Yes",$K795,"")</f>
        <v/>
      </c>
      <c r="O795" s="31" t="n"/>
      <c r="P795" s="59" t="n"/>
      <c r="Q795" s="59" t="n"/>
    </row>
    <row r="796">
      <c r="A796" s="31">
        <f>IF(Members!$A796="","",Members!$A796)</f>
        <v/>
      </c>
      <c r="B796" s="31" t="n"/>
      <c r="C796" s="31" t="n"/>
      <c r="D796" s="31" t="n"/>
      <c r="E796" s="31" t="n"/>
      <c r="F796" s="31" t="n"/>
      <c r="G796" s="31" t="n"/>
      <c r="H796" s="31" t="n"/>
      <c r="I796" s="31" t="n"/>
      <c r="J796" s="31" t="n"/>
      <c r="K796" s="31">
        <f>IF(COUNTA($D796:$J796)&lt;7,"",ROUND(MIN(10000, MAX(0, ((((($D796*1.2)+($E796*1.2)+($F796*1.1)+($G796*1.0)+($H796*1.0)+($I796*1.1)+($J796*0.9))/7.5)-1)/4*8000 + MIN($B796*20,1000) + MIN($C796*100,1000))),0))</f>
        <v/>
      </c>
      <c r="L796" s="31">
        <f>IF($K796="","",MIN(100,INT(SQRT($K796))))</f>
        <v/>
      </c>
      <c r="M796" s="31" t="n"/>
      <c r="N796" s="31">
        <f>IF($M796="Yes",$K796,"")</f>
        <v/>
      </c>
      <c r="O796" s="31" t="n"/>
      <c r="P796" s="59" t="n"/>
      <c r="Q796" s="59" t="n"/>
    </row>
    <row r="797">
      <c r="A797" s="31">
        <f>IF(Members!$A797="","",Members!$A797)</f>
        <v/>
      </c>
      <c r="B797" s="31" t="n"/>
      <c r="C797" s="31" t="n"/>
      <c r="D797" s="31" t="n"/>
      <c r="E797" s="31" t="n"/>
      <c r="F797" s="31" t="n"/>
      <c r="G797" s="31" t="n"/>
      <c r="H797" s="31" t="n"/>
      <c r="I797" s="31" t="n"/>
      <c r="J797" s="31" t="n"/>
      <c r="K797" s="31">
        <f>IF(COUNTA($D797:$J797)&lt;7,"",ROUND(MIN(10000, MAX(0, ((((($D797*1.2)+($E797*1.2)+($F797*1.1)+($G797*1.0)+($H797*1.0)+($I797*1.1)+($J797*0.9))/7.5)-1)/4*8000 + MIN($B797*20,1000) + MIN($C797*100,1000))),0))</f>
        <v/>
      </c>
      <c r="L797" s="31">
        <f>IF($K797="","",MIN(100,INT(SQRT($K797))))</f>
        <v/>
      </c>
      <c r="M797" s="31" t="n"/>
      <c r="N797" s="31">
        <f>IF($M797="Yes",$K797,"")</f>
        <v/>
      </c>
      <c r="O797" s="31" t="n"/>
      <c r="P797" s="59" t="n"/>
      <c r="Q797" s="59" t="n"/>
    </row>
    <row r="798">
      <c r="A798" s="31">
        <f>IF(Members!$A798="","",Members!$A798)</f>
        <v/>
      </c>
      <c r="B798" s="31" t="n"/>
      <c r="C798" s="31" t="n"/>
      <c r="D798" s="31" t="n"/>
      <c r="E798" s="31" t="n"/>
      <c r="F798" s="31" t="n"/>
      <c r="G798" s="31" t="n"/>
      <c r="H798" s="31" t="n"/>
      <c r="I798" s="31" t="n"/>
      <c r="J798" s="31" t="n"/>
      <c r="K798" s="31">
        <f>IF(COUNTA($D798:$J798)&lt;7,"",ROUND(MIN(10000, MAX(0, ((((($D798*1.2)+($E798*1.2)+($F798*1.1)+($G798*1.0)+($H798*1.0)+($I798*1.1)+($J798*0.9))/7.5)-1)/4*8000 + MIN($B798*20,1000) + MIN($C798*100,1000))),0))</f>
        <v/>
      </c>
      <c r="L798" s="31">
        <f>IF($K798="","",MIN(100,INT(SQRT($K798))))</f>
        <v/>
      </c>
      <c r="M798" s="31" t="n"/>
      <c r="N798" s="31">
        <f>IF($M798="Yes",$K798,"")</f>
        <v/>
      </c>
      <c r="O798" s="31" t="n"/>
      <c r="P798" s="59" t="n"/>
      <c r="Q798" s="59" t="n"/>
    </row>
    <row r="799">
      <c r="A799" s="31">
        <f>IF(Members!$A799="","",Members!$A799)</f>
        <v/>
      </c>
      <c r="B799" s="31" t="n"/>
      <c r="C799" s="31" t="n"/>
      <c r="D799" s="31" t="n"/>
      <c r="E799" s="31" t="n"/>
      <c r="F799" s="31" t="n"/>
      <c r="G799" s="31" t="n"/>
      <c r="H799" s="31" t="n"/>
      <c r="I799" s="31" t="n"/>
      <c r="J799" s="31" t="n"/>
      <c r="K799" s="31">
        <f>IF(COUNTA($D799:$J799)&lt;7,"",ROUND(MIN(10000, MAX(0, ((((($D799*1.2)+($E799*1.2)+($F799*1.1)+($G799*1.0)+($H799*1.0)+($I799*1.1)+($J799*0.9))/7.5)-1)/4*8000 + MIN($B799*20,1000) + MIN($C799*100,1000))),0))</f>
        <v/>
      </c>
      <c r="L799" s="31">
        <f>IF($K799="","",MIN(100,INT(SQRT($K799))))</f>
        <v/>
      </c>
      <c r="M799" s="31" t="n"/>
      <c r="N799" s="31">
        <f>IF($M799="Yes",$K799,"")</f>
        <v/>
      </c>
      <c r="O799" s="31" t="n"/>
      <c r="P799" s="59" t="n"/>
      <c r="Q799" s="59" t="n"/>
    </row>
    <row r="800">
      <c r="A800" s="31">
        <f>IF(Members!$A800="","",Members!$A800)</f>
        <v/>
      </c>
      <c r="B800" s="31" t="n"/>
      <c r="C800" s="31" t="n"/>
      <c r="D800" s="31" t="n"/>
      <c r="E800" s="31" t="n"/>
      <c r="F800" s="31" t="n"/>
      <c r="G800" s="31" t="n"/>
      <c r="H800" s="31" t="n"/>
      <c r="I800" s="31" t="n"/>
      <c r="J800" s="31" t="n"/>
      <c r="K800" s="31">
        <f>IF(COUNTA($D800:$J800)&lt;7,"",ROUND(MIN(10000, MAX(0, ((((($D800*1.2)+($E800*1.2)+($F800*1.1)+($G800*1.0)+($H800*1.0)+($I800*1.1)+($J800*0.9))/7.5)-1)/4*8000 + MIN($B800*20,1000) + MIN($C800*100,1000))),0))</f>
        <v/>
      </c>
      <c r="L800" s="31">
        <f>IF($K800="","",MIN(100,INT(SQRT($K800))))</f>
        <v/>
      </c>
      <c r="M800" s="31" t="n"/>
      <c r="N800" s="31">
        <f>IF($M800="Yes",$K800,"")</f>
        <v/>
      </c>
      <c r="O800" s="31" t="n"/>
      <c r="P800" s="59" t="n"/>
      <c r="Q800" s="59" t="n"/>
    </row>
    <row r="801">
      <c r="A801" s="31">
        <f>IF(Members!$A801="","",Members!$A801)</f>
        <v/>
      </c>
      <c r="B801" s="31" t="n"/>
      <c r="C801" s="31" t="n"/>
      <c r="D801" s="31" t="n"/>
      <c r="E801" s="31" t="n"/>
      <c r="F801" s="31" t="n"/>
      <c r="G801" s="31" t="n"/>
      <c r="H801" s="31" t="n"/>
      <c r="I801" s="31" t="n"/>
      <c r="J801" s="31" t="n"/>
      <c r="K801" s="31">
        <f>IF(COUNTA($D801:$J801)&lt;7,"",ROUND(MIN(10000, MAX(0, ((((($D801*1.2)+($E801*1.2)+($F801*1.1)+($G801*1.0)+($H801*1.0)+($I801*1.1)+($J801*0.9))/7.5)-1)/4*8000 + MIN($B801*20,1000) + MIN($C801*100,1000))),0))</f>
        <v/>
      </c>
      <c r="L801" s="31">
        <f>IF($K801="","",MIN(100,INT(SQRT($K801))))</f>
        <v/>
      </c>
      <c r="M801" s="31" t="n"/>
      <c r="N801" s="31">
        <f>IF($M801="Yes",$K801,"")</f>
        <v/>
      </c>
      <c r="O801" s="31" t="n"/>
      <c r="P801" s="59" t="n"/>
      <c r="Q801" s="59" t="n"/>
    </row>
    <row r="802">
      <c r="A802" s="31">
        <f>IF(Members!$A802="","",Members!$A802)</f>
        <v/>
      </c>
      <c r="B802" s="31" t="n"/>
      <c r="C802" s="31" t="n"/>
      <c r="D802" s="31" t="n"/>
      <c r="E802" s="31" t="n"/>
      <c r="F802" s="31" t="n"/>
      <c r="G802" s="31" t="n"/>
      <c r="H802" s="31" t="n"/>
      <c r="I802" s="31" t="n"/>
      <c r="J802" s="31" t="n"/>
      <c r="K802" s="31">
        <f>IF(COUNTA($D802:$J802)&lt;7,"",ROUND(MIN(10000, MAX(0, ((((($D802*1.2)+($E802*1.2)+($F802*1.1)+($G802*1.0)+($H802*1.0)+($I802*1.1)+($J802*0.9))/7.5)-1)/4*8000 + MIN($B802*20,1000) + MIN($C802*100,1000))),0))</f>
        <v/>
      </c>
      <c r="L802" s="31">
        <f>IF($K802="","",MIN(100,INT(SQRT($K802))))</f>
        <v/>
      </c>
      <c r="M802" s="31" t="n"/>
      <c r="N802" s="31">
        <f>IF($M802="Yes",$K802,"")</f>
        <v/>
      </c>
      <c r="O802" s="31" t="n"/>
      <c r="P802" s="59" t="n"/>
      <c r="Q802" s="59" t="n"/>
    </row>
    <row r="803">
      <c r="A803" s="31">
        <f>IF(Members!$A803="","",Members!$A803)</f>
        <v/>
      </c>
      <c r="B803" s="31" t="n"/>
      <c r="C803" s="31" t="n"/>
      <c r="D803" s="31" t="n"/>
      <c r="E803" s="31" t="n"/>
      <c r="F803" s="31" t="n"/>
      <c r="G803" s="31" t="n"/>
      <c r="H803" s="31" t="n"/>
      <c r="I803" s="31" t="n"/>
      <c r="J803" s="31" t="n"/>
      <c r="K803" s="31">
        <f>IF(COUNTA($D803:$J803)&lt;7,"",ROUND(MIN(10000, MAX(0, ((((($D803*1.2)+($E803*1.2)+($F803*1.1)+($G803*1.0)+($H803*1.0)+($I803*1.1)+($J803*0.9))/7.5)-1)/4*8000 + MIN($B803*20,1000) + MIN($C803*100,1000))),0))</f>
        <v/>
      </c>
      <c r="L803" s="31">
        <f>IF($K803="","",MIN(100,INT(SQRT($K803))))</f>
        <v/>
      </c>
      <c r="M803" s="31" t="n"/>
      <c r="N803" s="31">
        <f>IF($M803="Yes",$K803,"")</f>
        <v/>
      </c>
      <c r="O803" s="31" t="n"/>
      <c r="P803" s="59" t="n"/>
      <c r="Q803" s="59" t="n"/>
    </row>
    <row r="804">
      <c r="A804" s="31">
        <f>IF(Members!$A804="","",Members!$A804)</f>
        <v/>
      </c>
      <c r="B804" s="31" t="n"/>
      <c r="C804" s="31" t="n"/>
      <c r="D804" s="31" t="n"/>
      <c r="E804" s="31" t="n"/>
      <c r="F804" s="31" t="n"/>
      <c r="G804" s="31" t="n"/>
      <c r="H804" s="31" t="n"/>
      <c r="I804" s="31" t="n"/>
      <c r="J804" s="31" t="n"/>
      <c r="K804" s="31">
        <f>IF(COUNTA($D804:$J804)&lt;7,"",ROUND(MIN(10000, MAX(0, ((((($D804*1.2)+($E804*1.2)+($F804*1.1)+($G804*1.0)+($H804*1.0)+($I804*1.1)+($J804*0.9))/7.5)-1)/4*8000 + MIN($B804*20,1000) + MIN($C804*100,1000))),0))</f>
        <v/>
      </c>
      <c r="L804" s="31">
        <f>IF($K804="","",MIN(100,INT(SQRT($K804))))</f>
        <v/>
      </c>
      <c r="M804" s="31" t="n"/>
      <c r="N804" s="31">
        <f>IF($M804="Yes",$K804,"")</f>
        <v/>
      </c>
      <c r="O804" s="31" t="n"/>
      <c r="P804" s="59" t="n"/>
      <c r="Q804" s="59" t="n"/>
    </row>
    <row r="805">
      <c r="A805" s="31">
        <f>IF(Members!$A805="","",Members!$A805)</f>
        <v/>
      </c>
      <c r="B805" s="31" t="n"/>
      <c r="C805" s="31" t="n"/>
      <c r="D805" s="31" t="n"/>
      <c r="E805" s="31" t="n"/>
      <c r="F805" s="31" t="n"/>
      <c r="G805" s="31" t="n"/>
      <c r="H805" s="31" t="n"/>
      <c r="I805" s="31" t="n"/>
      <c r="J805" s="31" t="n"/>
      <c r="K805" s="31">
        <f>IF(COUNTA($D805:$J805)&lt;7,"",ROUND(MIN(10000, MAX(0, ((((($D805*1.2)+($E805*1.2)+($F805*1.1)+($G805*1.0)+($H805*1.0)+($I805*1.1)+($J805*0.9))/7.5)-1)/4*8000 + MIN($B805*20,1000) + MIN($C805*100,1000))),0))</f>
        <v/>
      </c>
      <c r="L805" s="31">
        <f>IF($K805="","",MIN(100,INT(SQRT($K805))))</f>
        <v/>
      </c>
      <c r="M805" s="31" t="n"/>
      <c r="N805" s="31">
        <f>IF($M805="Yes",$K805,"")</f>
        <v/>
      </c>
      <c r="O805" s="31" t="n"/>
      <c r="P805" s="59" t="n"/>
      <c r="Q805" s="59" t="n"/>
    </row>
    <row r="806">
      <c r="A806" s="31">
        <f>IF(Members!$A806="","",Members!$A806)</f>
        <v/>
      </c>
      <c r="B806" s="31" t="n"/>
      <c r="C806" s="31" t="n"/>
      <c r="D806" s="31" t="n"/>
      <c r="E806" s="31" t="n"/>
      <c r="F806" s="31" t="n"/>
      <c r="G806" s="31" t="n"/>
      <c r="H806" s="31" t="n"/>
      <c r="I806" s="31" t="n"/>
      <c r="J806" s="31" t="n"/>
      <c r="K806" s="31">
        <f>IF(COUNTA($D806:$J806)&lt;7,"",ROUND(MIN(10000, MAX(0, ((((($D806*1.2)+($E806*1.2)+($F806*1.1)+($G806*1.0)+($H806*1.0)+($I806*1.1)+($J806*0.9))/7.5)-1)/4*8000 + MIN($B806*20,1000) + MIN($C806*100,1000))),0))</f>
        <v/>
      </c>
      <c r="L806" s="31">
        <f>IF($K806="","",MIN(100,INT(SQRT($K806))))</f>
        <v/>
      </c>
      <c r="M806" s="31" t="n"/>
      <c r="N806" s="31">
        <f>IF($M806="Yes",$K806,"")</f>
        <v/>
      </c>
      <c r="O806" s="31" t="n"/>
      <c r="P806" s="59" t="n"/>
      <c r="Q806" s="59" t="n"/>
    </row>
    <row r="807">
      <c r="A807" s="31">
        <f>IF(Members!$A807="","",Members!$A807)</f>
        <v/>
      </c>
      <c r="B807" s="31" t="n"/>
      <c r="C807" s="31" t="n"/>
      <c r="D807" s="31" t="n"/>
      <c r="E807" s="31" t="n"/>
      <c r="F807" s="31" t="n"/>
      <c r="G807" s="31" t="n"/>
      <c r="H807" s="31" t="n"/>
      <c r="I807" s="31" t="n"/>
      <c r="J807" s="31" t="n"/>
      <c r="K807" s="31">
        <f>IF(COUNTA($D807:$J807)&lt;7,"",ROUND(MIN(10000, MAX(0, ((((($D807*1.2)+($E807*1.2)+($F807*1.1)+($G807*1.0)+($H807*1.0)+($I807*1.1)+($J807*0.9))/7.5)-1)/4*8000 + MIN($B807*20,1000) + MIN($C807*100,1000))),0))</f>
        <v/>
      </c>
      <c r="L807" s="31">
        <f>IF($K807="","",MIN(100,INT(SQRT($K807))))</f>
        <v/>
      </c>
      <c r="M807" s="31" t="n"/>
      <c r="N807" s="31">
        <f>IF($M807="Yes",$K807,"")</f>
        <v/>
      </c>
      <c r="O807" s="31" t="n"/>
      <c r="P807" s="59" t="n"/>
      <c r="Q807" s="59" t="n"/>
    </row>
    <row r="808">
      <c r="A808" s="31">
        <f>IF(Members!$A808="","",Members!$A808)</f>
        <v/>
      </c>
      <c r="B808" s="31" t="n"/>
      <c r="C808" s="31" t="n"/>
      <c r="D808" s="31" t="n"/>
      <c r="E808" s="31" t="n"/>
      <c r="F808" s="31" t="n"/>
      <c r="G808" s="31" t="n"/>
      <c r="H808" s="31" t="n"/>
      <c r="I808" s="31" t="n"/>
      <c r="J808" s="31" t="n"/>
      <c r="K808" s="31">
        <f>IF(COUNTA($D808:$J808)&lt;7,"",ROUND(MIN(10000, MAX(0, ((((($D808*1.2)+($E808*1.2)+($F808*1.1)+($G808*1.0)+($H808*1.0)+($I808*1.1)+($J808*0.9))/7.5)-1)/4*8000 + MIN($B808*20,1000) + MIN($C808*100,1000))),0))</f>
        <v/>
      </c>
      <c r="L808" s="31">
        <f>IF($K808="","",MIN(100,INT(SQRT($K808))))</f>
        <v/>
      </c>
      <c r="M808" s="31" t="n"/>
      <c r="N808" s="31">
        <f>IF($M808="Yes",$K808,"")</f>
        <v/>
      </c>
      <c r="O808" s="31" t="n"/>
      <c r="P808" s="59" t="n"/>
      <c r="Q808" s="59" t="n"/>
    </row>
    <row r="809">
      <c r="A809" s="31">
        <f>IF(Members!$A809="","",Members!$A809)</f>
        <v/>
      </c>
      <c r="B809" s="31" t="n"/>
      <c r="C809" s="31" t="n"/>
      <c r="D809" s="31" t="n"/>
      <c r="E809" s="31" t="n"/>
      <c r="F809" s="31" t="n"/>
      <c r="G809" s="31" t="n"/>
      <c r="H809" s="31" t="n"/>
      <c r="I809" s="31" t="n"/>
      <c r="J809" s="31" t="n"/>
      <c r="K809" s="31">
        <f>IF(COUNTA($D809:$J809)&lt;7,"",ROUND(MIN(10000, MAX(0, ((((($D809*1.2)+($E809*1.2)+($F809*1.1)+($G809*1.0)+($H809*1.0)+($I809*1.1)+($J809*0.9))/7.5)-1)/4*8000 + MIN($B809*20,1000) + MIN($C809*100,1000))),0))</f>
        <v/>
      </c>
      <c r="L809" s="31">
        <f>IF($K809="","",MIN(100,INT(SQRT($K809))))</f>
        <v/>
      </c>
      <c r="M809" s="31" t="n"/>
      <c r="N809" s="31">
        <f>IF($M809="Yes",$K809,"")</f>
        <v/>
      </c>
      <c r="O809" s="31" t="n"/>
      <c r="P809" s="59" t="n"/>
      <c r="Q809" s="59" t="n"/>
    </row>
    <row r="810">
      <c r="A810" s="31">
        <f>IF(Members!$A810="","",Members!$A810)</f>
        <v/>
      </c>
      <c r="B810" s="31" t="n"/>
      <c r="C810" s="31" t="n"/>
      <c r="D810" s="31" t="n"/>
      <c r="E810" s="31" t="n"/>
      <c r="F810" s="31" t="n"/>
      <c r="G810" s="31" t="n"/>
      <c r="H810" s="31" t="n"/>
      <c r="I810" s="31" t="n"/>
      <c r="J810" s="31" t="n"/>
      <c r="K810" s="31">
        <f>IF(COUNTA($D810:$J810)&lt;7,"",ROUND(MIN(10000, MAX(0, ((((($D810*1.2)+($E810*1.2)+($F810*1.1)+($G810*1.0)+($H810*1.0)+($I810*1.1)+($J810*0.9))/7.5)-1)/4*8000 + MIN($B810*20,1000) + MIN($C810*100,1000))),0))</f>
        <v/>
      </c>
      <c r="L810" s="31">
        <f>IF($K810="","",MIN(100,INT(SQRT($K810))))</f>
        <v/>
      </c>
      <c r="M810" s="31" t="n"/>
      <c r="N810" s="31">
        <f>IF($M810="Yes",$K810,"")</f>
        <v/>
      </c>
      <c r="O810" s="31" t="n"/>
      <c r="P810" s="59" t="n"/>
      <c r="Q810" s="59" t="n"/>
    </row>
    <row r="811">
      <c r="A811" s="31">
        <f>IF(Members!$A811="","",Members!$A811)</f>
        <v/>
      </c>
      <c r="B811" s="31" t="n"/>
      <c r="C811" s="31" t="n"/>
      <c r="D811" s="31" t="n"/>
      <c r="E811" s="31" t="n"/>
      <c r="F811" s="31" t="n"/>
      <c r="G811" s="31" t="n"/>
      <c r="H811" s="31" t="n"/>
      <c r="I811" s="31" t="n"/>
      <c r="J811" s="31" t="n"/>
      <c r="K811" s="31">
        <f>IF(COUNTA($D811:$J811)&lt;7,"",ROUND(MIN(10000, MAX(0, ((((($D811*1.2)+($E811*1.2)+($F811*1.1)+($G811*1.0)+($H811*1.0)+($I811*1.1)+($J811*0.9))/7.5)-1)/4*8000 + MIN($B811*20,1000) + MIN($C811*100,1000))),0))</f>
        <v/>
      </c>
      <c r="L811" s="31">
        <f>IF($K811="","",MIN(100,INT(SQRT($K811))))</f>
        <v/>
      </c>
      <c r="M811" s="31" t="n"/>
      <c r="N811" s="31">
        <f>IF($M811="Yes",$K811,"")</f>
        <v/>
      </c>
      <c r="O811" s="31" t="n"/>
      <c r="P811" s="59" t="n"/>
      <c r="Q811" s="59" t="n"/>
    </row>
    <row r="812">
      <c r="A812" s="31">
        <f>IF(Members!$A812="","",Members!$A812)</f>
        <v/>
      </c>
      <c r="B812" s="31" t="n"/>
      <c r="C812" s="31" t="n"/>
      <c r="D812" s="31" t="n"/>
      <c r="E812" s="31" t="n"/>
      <c r="F812" s="31" t="n"/>
      <c r="G812" s="31" t="n"/>
      <c r="H812" s="31" t="n"/>
      <c r="I812" s="31" t="n"/>
      <c r="J812" s="31" t="n"/>
      <c r="K812" s="31">
        <f>IF(COUNTA($D812:$J812)&lt;7,"",ROUND(MIN(10000, MAX(0, ((((($D812*1.2)+($E812*1.2)+($F812*1.1)+($G812*1.0)+($H812*1.0)+($I812*1.1)+($J812*0.9))/7.5)-1)/4*8000 + MIN($B812*20,1000) + MIN($C812*100,1000))),0))</f>
        <v/>
      </c>
      <c r="L812" s="31">
        <f>IF($K812="","",MIN(100,INT(SQRT($K812))))</f>
        <v/>
      </c>
      <c r="M812" s="31" t="n"/>
      <c r="N812" s="31">
        <f>IF($M812="Yes",$K812,"")</f>
        <v/>
      </c>
      <c r="O812" s="31" t="n"/>
      <c r="P812" s="59" t="n"/>
      <c r="Q812" s="59" t="n"/>
    </row>
    <row r="813">
      <c r="A813" s="31">
        <f>IF(Members!$A813="","",Members!$A813)</f>
        <v/>
      </c>
      <c r="B813" s="31" t="n"/>
      <c r="C813" s="31" t="n"/>
      <c r="D813" s="31" t="n"/>
      <c r="E813" s="31" t="n"/>
      <c r="F813" s="31" t="n"/>
      <c r="G813" s="31" t="n"/>
      <c r="H813" s="31" t="n"/>
      <c r="I813" s="31" t="n"/>
      <c r="J813" s="31" t="n"/>
      <c r="K813" s="31">
        <f>IF(COUNTA($D813:$J813)&lt;7,"",ROUND(MIN(10000, MAX(0, ((((($D813*1.2)+($E813*1.2)+($F813*1.1)+($G813*1.0)+($H813*1.0)+($I813*1.1)+($J813*0.9))/7.5)-1)/4*8000 + MIN($B813*20,1000) + MIN($C813*100,1000))),0))</f>
        <v/>
      </c>
      <c r="L813" s="31">
        <f>IF($K813="","",MIN(100,INT(SQRT($K813))))</f>
        <v/>
      </c>
      <c r="M813" s="31" t="n"/>
      <c r="N813" s="31">
        <f>IF($M813="Yes",$K813,"")</f>
        <v/>
      </c>
      <c r="O813" s="31" t="n"/>
      <c r="P813" s="59" t="n"/>
      <c r="Q813" s="59" t="n"/>
    </row>
    <row r="814">
      <c r="A814" s="31">
        <f>IF(Members!$A814="","",Members!$A814)</f>
        <v/>
      </c>
      <c r="B814" s="31" t="n"/>
      <c r="C814" s="31" t="n"/>
      <c r="D814" s="31" t="n"/>
      <c r="E814" s="31" t="n"/>
      <c r="F814" s="31" t="n"/>
      <c r="G814" s="31" t="n"/>
      <c r="H814" s="31" t="n"/>
      <c r="I814" s="31" t="n"/>
      <c r="J814" s="31" t="n"/>
      <c r="K814" s="31">
        <f>IF(COUNTA($D814:$J814)&lt;7,"",ROUND(MIN(10000, MAX(0, ((((($D814*1.2)+($E814*1.2)+($F814*1.1)+($G814*1.0)+($H814*1.0)+($I814*1.1)+($J814*0.9))/7.5)-1)/4*8000 + MIN($B814*20,1000) + MIN($C814*100,1000))),0))</f>
        <v/>
      </c>
      <c r="L814" s="31">
        <f>IF($K814="","",MIN(100,INT(SQRT($K814))))</f>
        <v/>
      </c>
      <c r="M814" s="31" t="n"/>
      <c r="N814" s="31">
        <f>IF($M814="Yes",$K814,"")</f>
        <v/>
      </c>
      <c r="O814" s="31" t="n"/>
      <c r="P814" s="59" t="n"/>
      <c r="Q814" s="59" t="n"/>
    </row>
    <row r="815">
      <c r="A815" s="31">
        <f>IF(Members!$A815="","",Members!$A815)</f>
        <v/>
      </c>
      <c r="B815" s="31" t="n"/>
      <c r="C815" s="31" t="n"/>
      <c r="D815" s="31" t="n"/>
      <c r="E815" s="31" t="n"/>
      <c r="F815" s="31" t="n"/>
      <c r="G815" s="31" t="n"/>
      <c r="H815" s="31" t="n"/>
      <c r="I815" s="31" t="n"/>
      <c r="J815" s="31" t="n"/>
      <c r="K815" s="31">
        <f>IF(COUNTA($D815:$J815)&lt;7,"",ROUND(MIN(10000, MAX(0, ((((($D815*1.2)+($E815*1.2)+($F815*1.1)+($G815*1.0)+($H815*1.0)+($I815*1.1)+($J815*0.9))/7.5)-1)/4*8000 + MIN($B815*20,1000) + MIN($C815*100,1000))),0))</f>
        <v/>
      </c>
      <c r="L815" s="31">
        <f>IF($K815="","",MIN(100,INT(SQRT($K815))))</f>
        <v/>
      </c>
      <c r="M815" s="31" t="n"/>
      <c r="N815" s="31">
        <f>IF($M815="Yes",$K815,"")</f>
        <v/>
      </c>
      <c r="O815" s="31" t="n"/>
      <c r="P815" s="59" t="n"/>
      <c r="Q815" s="59" t="n"/>
    </row>
    <row r="816">
      <c r="A816" s="31">
        <f>IF(Members!$A816="","",Members!$A816)</f>
        <v/>
      </c>
      <c r="B816" s="31" t="n"/>
      <c r="C816" s="31" t="n"/>
      <c r="D816" s="31" t="n"/>
      <c r="E816" s="31" t="n"/>
      <c r="F816" s="31" t="n"/>
      <c r="G816" s="31" t="n"/>
      <c r="H816" s="31" t="n"/>
      <c r="I816" s="31" t="n"/>
      <c r="J816" s="31" t="n"/>
      <c r="K816" s="31">
        <f>IF(COUNTA($D816:$J816)&lt;7,"",ROUND(MIN(10000, MAX(0, ((((($D816*1.2)+($E816*1.2)+($F816*1.1)+($G816*1.0)+($H816*1.0)+($I816*1.1)+($J816*0.9))/7.5)-1)/4*8000 + MIN($B816*20,1000) + MIN($C816*100,1000))),0))</f>
        <v/>
      </c>
      <c r="L816" s="31">
        <f>IF($K816="","",MIN(100,INT(SQRT($K816))))</f>
        <v/>
      </c>
      <c r="M816" s="31" t="n"/>
      <c r="N816" s="31">
        <f>IF($M816="Yes",$K816,"")</f>
        <v/>
      </c>
      <c r="O816" s="31" t="n"/>
      <c r="P816" s="59" t="n"/>
      <c r="Q816" s="59" t="n"/>
    </row>
    <row r="817">
      <c r="A817" s="31">
        <f>IF(Members!$A817="","",Members!$A817)</f>
        <v/>
      </c>
      <c r="B817" s="31" t="n"/>
      <c r="C817" s="31" t="n"/>
      <c r="D817" s="31" t="n"/>
      <c r="E817" s="31" t="n"/>
      <c r="F817" s="31" t="n"/>
      <c r="G817" s="31" t="n"/>
      <c r="H817" s="31" t="n"/>
      <c r="I817" s="31" t="n"/>
      <c r="J817" s="31" t="n"/>
      <c r="K817" s="31">
        <f>IF(COUNTA($D817:$J817)&lt;7,"",ROUND(MIN(10000, MAX(0, ((((($D817*1.2)+($E817*1.2)+($F817*1.1)+($G817*1.0)+($H817*1.0)+($I817*1.1)+($J817*0.9))/7.5)-1)/4*8000 + MIN($B817*20,1000) + MIN($C817*100,1000))),0))</f>
        <v/>
      </c>
      <c r="L817" s="31">
        <f>IF($K817="","",MIN(100,INT(SQRT($K817))))</f>
        <v/>
      </c>
      <c r="M817" s="31" t="n"/>
      <c r="N817" s="31">
        <f>IF($M817="Yes",$K817,"")</f>
        <v/>
      </c>
      <c r="O817" s="31" t="n"/>
      <c r="P817" s="59" t="n"/>
      <c r="Q817" s="59" t="n"/>
    </row>
    <row r="818">
      <c r="A818" s="31">
        <f>IF(Members!$A818="","",Members!$A818)</f>
        <v/>
      </c>
      <c r="B818" s="31" t="n"/>
      <c r="C818" s="31" t="n"/>
      <c r="D818" s="31" t="n"/>
      <c r="E818" s="31" t="n"/>
      <c r="F818" s="31" t="n"/>
      <c r="G818" s="31" t="n"/>
      <c r="H818" s="31" t="n"/>
      <c r="I818" s="31" t="n"/>
      <c r="J818" s="31" t="n"/>
      <c r="K818" s="31">
        <f>IF(COUNTA($D818:$J818)&lt;7,"",ROUND(MIN(10000, MAX(0, ((((($D818*1.2)+($E818*1.2)+($F818*1.1)+($G818*1.0)+($H818*1.0)+($I818*1.1)+($J818*0.9))/7.5)-1)/4*8000 + MIN($B818*20,1000) + MIN($C818*100,1000))),0))</f>
        <v/>
      </c>
      <c r="L818" s="31">
        <f>IF($K818="","",MIN(100,INT(SQRT($K818))))</f>
        <v/>
      </c>
      <c r="M818" s="31" t="n"/>
      <c r="N818" s="31">
        <f>IF($M818="Yes",$K818,"")</f>
        <v/>
      </c>
      <c r="O818" s="31" t="n"/>
      <c r="P818" s="59" t="n"/>
      <c r="Q818" s="59" t="n"/>
    </row>
    <row r="819">
      <c r="A819" s="31">
        <f>IF(Members!$A819="","",Members!$A819)</f>
        <v/>
      </c>
      <c r="B819" s="31" t="n"/>
      <c r="C819" s="31" t="n"/>
      <c r="D819" s="31" t="n"/>
      <c r="E819" s="31" t="n"/>
      <c r="F819" s="31" t="n"/>
      <c r="G819" s="31" t="n"/>
      <c r="H819" s="31" t="n"/>
      <c r="I819" s="31" t="n"/>
      <c r="J819" s="31" t="n"/>
      <c r="K819" s="31">
        <f>IF(COUNTA($D819:$J819)&lt;7,"",ROUND(MIN(10000, MAX(0, ((((($D819*1.2)+($E819*1.2)+($F819*1.1)+($G819*1.0)+($H819*1.0)+($I819*1.1)+($J819*0.9))/7.5)-1)/4*8000 + MIN($B819*20,1000) + MIN($C819*100,1000))),0))</f>
        <v/>
      </c>
      <c r="L819" s="31">
        <f>IF($K819="","",MIN(100,INT(SQRT($K819))))</f>
        <v/>
      </c>
      <c r="M819" s="31" t="n"/>
      <c r="N819" s="31">
        <f>IF($M819="Yes",$K819,"")</f>
        <v/>
      </c>
      <c r="O819" s="31" t="n"/>
      <c r="P819" s="59" t="n"/>
      <c r="Q819" s="59" t="n"/>
    </row>
    <row r="820">
      <c r="A820" s="31">
        <f>IF(Members!$A820="","",Members!$A820)</f>
        <v/>
      </c>
      <c r="B820" s="31" t="n"/>
      <c r="C820" s="31" t="n"/>
      <c r="D820" s="31" t="n"/>
      <c r="E820" s="31" t="n"/>
      <c r="F820" s="31" t="n"/>
      <c r="G820" s="31" t="n"/>
      <c r="H820" s="31" t="n"/>
      <c r="I820" s="31" t="n"/>
      <c r="J820" s="31" t="n"/>
      <c r="K820" s="31">
        <f>IF(COUNTA($D820:$J820)&lt;7,"",ROUND(MIN(10000, MAX(0, ((((($D820*1.2)+($E820*1.2)+($F820*1.1)+($G820*1.0)+($H820*1.0)+($I820*1.1)+($J820*0.9))/7.5)-1)/4*8000 + MIN($B820*20,1000) + MIN($C820*100,1000))),0))</f>
        <v/>
      </c>
      <c r="L820" s="31">
        <f>IF($K820="","",MIN(100,INT(SQRT($K820))))</f>
        <v/>
      </c>
      <c r="M820" s="31" t="n"/>
      <c r="N820" s="31">
        <f>IF($M820="Yes",$K820,"")</f>
        <v/>
      </c>
      <c r="O820" s="31" t="n"/>
      <c r="P820" s="59" t="n"/>
      <c r="Q820" s="59" t="n"/>
    </row>
    <row r="821">
      <c r="A821" s="31">
        <f>IF(Members!$A821="","",Members!$A821)</f>
        <v/>
      </c>
      <c r="B821" s="31" t="n"/>
      <c r="C821" s="31" t="n"/>
      <c r="D821" s="31" t="n"/>
      <c r="E821" s="31" t="n"/>
      <c r="F821" s="31" t="n"/>
      <c r="G821" s="31" t="n"/>
      <c r="H821" s="31" t="n"/>
      <c r="I821" s="31" t="n"/>
      <c r="J821" s="31" t="n"/>
      <c r="K821" s="31">
        <f>IF(COUNTA($D821:$J821)&lt;7,"",ROUND(MIN(10000, MAX(0, ((((($D821*1.2)+($E821*1.2)+($F821*1.1)+($G821*1.0)+($H821*1.0)+($I821*1.1)+($J821*0.9))/7.5)-1)/4*8000 + MIN($B821*20,1000) + MIN($C821*100,1000))),0))</f>
        <v/>
      </c>
      <c r="L821" s="31">
        <f>IF($K821="","",MIN(100,INT(SQRT($K821))))</f>
        <v/>
      </c>
      <c r="M821" s="31" t="n"/>
      <c r="N821" s="31">
        <f>IF($M821="Yes",$K821,"")</f>
        <v/>
      </c>
      <c r="O821" s="31" t="n"/>
      <c r="P821" s="59" t="n"/>
      <c r="Q821" s="59" t="n"/>
    </row>
    <row r="822">
      <c r="A822" s="31">
        <f>IF(Members!$A822="","",Members!$A822)</f>
        <v/>
      </c>
      <c r="B822" s="31" t="n"/>
      <c r="C822" s="31" t="n"/>
      <c r="D822" s="31" t="n"/>
      <c r="E822" s="31" t="n"/>
      <c r="F822" s="31" t="n"/>
      <c r="G822" s="31" t="n"/>
      <c r="H822" s="31" t="n"/>
      <c r="I822" s="31" t="n"/>
      <c r="J822" s="31" t="n"/>
      <c r="K822" s="31">
        <f>IF(COUNTA($D822:$J822)&lt;7,"",ROUND(MIN(10000, MAX(0, ((((($D822*1.2)+($E822*1.2)+($F822*1.1)+($G822*1.0)+($H822*1.0)+($I822*1.1)+($J822*0.9))/7.5)-1)/4*8000 + MIN($B822*20,1000) + MIN($C822*100,1000))),0))</f>
        <v/>
      </c>
      <c r="L822" s="31">
        <f>IF($K822="","",MIN(100,INT(SQRT($K822))))</f>
        <v/>
      </c>
      <c r="M822" s="31" t="n"/>
      <c r="N822" s="31">
        <f>IF($M822="Yes",$K822,"")</f>
        <v/>
      </c>
      <c r="O822" s="31" t="n"/>
      <c r="P822" s="59" t="n"/>
      <c r="Q822" s="59" t="n"/>
    </row>
    <row r="823">
      <c r="A823" s="31">
        <f>IF(Members!$A823="","",Members!$A823)</f>
        <v/>
      </c>
      <c r="B823" s="31" t="n"/>
      <c r="C823" s="31" t="n"/>
      <c r="D823" s="31" t="n"/>
      <c r="E823" s="31" t="n"/>
      <c r="F823" s="31" t="n"/>
      <c r="G823" s="31" t="n"/>
      <c r="H823" s="31" t="n"/>
      <c r="I823" s="31" t="n"/>
      <c r="J823" s="31" t="n"/>
      <c r="K823" s="31">
        <f>IF(COUNTA($D823:$J823)&lt;7,"",ROUND(MIN(10000, MAX(0, ((((($D823*1.2)+($E823*1.2)+($F823*1.1)+($G823*1.0)+($H823*1.0)+($I823*1.1)+($J823*0.9))/7.5)-1)/4*8000 + MIN($B823*20,1000) + MIN($C823*100,1000))),0))</f>
        <v/>
      </c>
      <c r="L823" s="31">
        <f>IF($K823="","",MIN(100,INT(SQRT($K823))))</f>
        <v/>
      </c>
      <c r="M823" s="31" t="n"/>
      <c r="N823" s="31">
        <f>IF($M823="Yes",$K823,"")</f>
        <v/>
      </c>
      <c r="O823" s="31" t="n"/>
      <c r="P823" s="59" t="n"/>
      <c r="Q823" s="59" t="n"/>
    </row>
    <row r="824">
      <c r="A824" s="31">
        <f>IF(Members!$A824="","",Members!$A824)</f>
        <v/>
      </c>
      <c r="B824" s="31" t="n"/>
      <c r="C824" s="31" t="n"/>
      <c r="D824" s="31" t="n"/>
      <c r="E824" s="31" t="n"/>
      <c r="F824" s="31" t="n"/>
      <c r="G824" s="31" t="n"/>
      <c r="H824" s="31" t="n"/>
      <c r="I824" s="31" t="n"/>
      <c r="J824" s="31" t="n"/>
      <c r="K824" s="31">
        <f>IF(COUNTA($D824:$J824)&lt;7,"",ROUND(MIN(10000, MAX(0, ((((($D824*1.2)+($E824*1.2)+($F824*1.1)+($G824*1.0)+($H824*1.0)+($I824*1.1)+($J824*0.9))/7.5)-1)/4*8000 + MIN($B824*20,1000) + MIN($C824*100,1000))),0))</f>
        <v/>
      </c>
      <c r="L824" s="31">
        <f>IF($K824="","",MIN(100,INT(SQRT($K824))))</f>
        <v/>
      </c>
      <c r="M824" s="31" t="n"/>
      <c r="N824" s="31">
        <f>IF($M824="Yes",$K824,"")</f>
        <v/>
      </c>
      <c r="O824" s="31" t="n"/>
      <c r="P824" s="59" t="n"/>
      <c r="Q824" s="59" t="n"/>
    </row>
    <row r="825">
      <c r="A825" s="31">
        <f>IF(Members!$A825="","",Members!$A825)</f>
        <v/>
      </c>
      <c r="B825" s="31" t="n"/>
      <c r="C825" s="31" t="n"/>
      <c r="D825" s="31" t="n"/>
      <c r="E825" s="31" t="n"/>
      <c r="F825" s="31" t="n"/>
      <c r="G825" s="31" t="n"/>
      <c r="H825" s="31" t="n"/>
      <c r="I825" s="31" t="n"/>
      <c r="J825" s="31" t="n"/>
      <c r="K825" s="31">
        <f>IF(COUNTA($D825:$J825)&lt;7,"",ROUND(MIN(10000, MAX(0, ((((($D825*1.2)+($E825*1.2)+($F825*1.1)+($G825*1.0)+($H825*1.0)+($I825*1.1)+($J825*0.9))/7.5)-1)/4*8000 + MIN($B825*20,1000) + MIN($C825*100,1000))),0))</f>
        <v/>
      </c>
      <c r="L825" s="31">
        <f>IF($K825="","",MIN(100,INT(SQRT($K825))))</f>
        <v/>
      </c>
      <c r="M825" s="31" t="n"/>
      <c r="N825" s="31">
        <f>IF($M825="Yes",$K825,"")</f>
        <v/>
      </c>
      <c r="O825" s="31" t="n"/>
      <c r="P825" s="59" t="n"/>
      <c r="Q825" s="59" t="n"/>
    </row>
    <row r="826">
      <c r="A826" s="31">
        <f>IF(Members!$A826="","",Members!$A826)</f>
        <v/>
      </c>
      <c r="B826" s="31" t="n"/>
      <c r="C826" s="31" t="n"/>
      <c r="D826" s="31" t="n"/>
      <c r="E826" s="31" t="n"/>
      <c r="F826" s="31" t="n"/>
      <c r="G826" s="31" t="n"/>
      <c r="H826" s="31" t="n"/>
      <c r="I826" s="31" t="n"/>
      <c r="J826" s="31" t="n"/>
      <c r="K826" s="31">
        <f>IF(COUNTA($D826:$J826)&lt;7,"",ROUND(MIN(10000, MAX(0, ((((($D826*1.2)+($E826*1.2)+($F826*1.1)+($G826*1.0)+($H826*1.0)+($I826*1.1)+($J826*0.9))/7.5)-1)/4*8000 + MIN($B826*20,1000) + MIN($C826*100,1000))),0))</f>
        <v/>
      </c>
      <c r="L826" s="31">
        <f>IF($K826="","",MIN(100,INT(SQRT($K826))))</f>
        <v/>
      </c>
      <c r="M826" s="31" t="n"/>
      <c r="N826" s="31">
        <f>IF($M826="Yes",$K826,"")</f>
        <v/>
      </c>
      <c r="O826" s="31" t="n"/>
      <c r="P826" s="59" t="n"/>
      <c r="Q826" s="59" t="n"/>
    </row>
    <row r="827">
      <c r="A827" s="31">
        <f>IF(Members!$A827="","",Members!$A827)</f>
        <v/>
      </c>
      <c r="B827" s="31" t="n"/>
      <c r="C827" s="31" t="n"/>
      <c r="D827" s="31" t="n"/>
      <c r="E827" s="31" t="n"/>
      <c r="F827" s="31" t="n"/>
      <c r="G827" s="31" t="n"/>
      <c r="H827" s="31" t="n"/>
      <c r="I827" s="31" t="n"/>
      <c r="J827" s="31" t="n"/>
      <c r="K827" s="31">
        <f>IF(COUNTA($D827:$J827)&lt;7,"",ROUND(MIN(10000, MAX(0, ((((($D827*1.2)+($E827*1.2)+($F827*1.1)+($G827*1.0)+($H827*1.0)+($I827*1.1)+($J827*0.9))/7.5)-1)/4*8000 + MIN($B827*20,1000) + MIN($C827*100,1000))),0))</f>
        <v/>
      </c>
      <c r="L827" s="31">
        <f>IF($K827="","",MIN(100,INT(SQRT($K827))))</f>
        <v/>
      </c>
      <c r="M827" s="31" t="n"/>
      <c r="N827" s="31">
        <f>IF($M827="Yes",$K827,"")</f>
        <v/>
      </c>
      <c r="O827" s="31" t="n"/>
      <c r="P827" s="59" t="n"/>
      <c r="Q827" s="59" t="n"/>
    </row>
    <row r="828">
      <c r="A828" s="31">
        <f>IF(Members!$A828="","",Members!$A828)</f>
        <v/>
      </c>
      <c r="B828" s="31" t="n"/>
      <c r="C828" s="31" t="n"/>
      <c r="D828" s="31" t="n"/>
      <c r="E828" s="31" t="n"/>
      <c r="F828" s="31" t="n"/>
      <c r="G828" s="31" t="n"/>
      <c r="H828" s="31" t="n"/>
      <c r="I828" s="31" t="n"/>
      <c r="J828" s="31" t="n"/>
      <c r="K828" s="31">
        <f>IF(COUNTA($D828:$J828)&lt;7,"",ROUND(MIN(10000, MAX(0, ((((($D828*1.2)+($E828*1.2)+($F828*1.1)+($G828*1.0)+($H828*1.0)+($I828*1.1)+($J828*0.9))/7.5)-1)/4*8000 + MIN($B828*20,1000) + MIN($C828*100,1000))),0))</f>
        <v/>
      </c>
      <c r="L828" s="31">
        <f>IF($K828="","",MIN(100,INT(SQRT($K828))))</f>
        <v/>
      </c>
      <c r="M828" s="31" t="n"/>
      <c r="N828" s="31">
        <f>IF($M828="Yes",$K828,"")</f>
        <v/>
      </c>
      <c r="O828" s="31" t="n"/>
      <c r="P828" s="59" t="n"/>
      <c r="Q828" s="59" t="n"/>
    </row>
    <row r="829">
      <c r="A829" s="31">
        <f>IF(Members!$A829="","",Members!$A829)</f>
        <v/>
      </c>
      <c r="B829" s="31" t="n"/>
      <c r="C829" s="31" t="n"/>
      <c r="D829" s="31" t="n"/>
      <c r="E829" s="31" t="n"/>
      <c r="F829" s="31" t="n"/>
      <c r="G829" s="31" t="n"/>
      <c r="H829" s="31" t="n"/>
      <c r="I829" s="31" t="n"/>
      <c r="J829" s="31" t="n"/>
      <c r="K829" s="31">
        <f>IF(COUNTA($D829:$J829)&lt;7,"",ROUND(MIN(10000, MAX(0, ((((($D829*1.2)+($E829*1.2)+($F829*1.1)+($G829*1.0)+($H829*1.0)+($I829*1.1)+($J829*0.9))/7.5)-1)/4*8000 + MIN($B829*20,1000) + MIN($C829*100,1000))),0))</f>
        <v/>
      </c>
      <c r="L829" s="31">
        <f>IF($K829="","",MIN(100,INT(SQRT($K829))))</f>
        <v/>
      </c>
      <c r="M829" s="31" t="n"/>
      <c r="N829" s="31">
        <f>IF($M829="Yes",$K829,"")</f>
        <v/>
      </c>
      <c r="O829" s="31" t="n"/>
      <c r="P829" s="59" t="n"/>
      <c r="Q829" s="59" t="n"/>
    </row>
    <row r="830">
      <c r="A830" s="31">
        <f>IF(Members!$A830="","",Members!$A830)</f>
        <v/>
      </c>
      <c r="B830" s="31" t="n"/>
      <c r="C830" s="31" t="n"/>
      <c r="D830" s="31" t="n"/>
      <c r="E830" s="31" t="n"/>
      <c r="F830" s="31" t="n"/>
      <c r="G830" s="31" t="n"/>
      <c r="H830" s="31" t="n"/>
      <c r="I830" s="31" t="n"/>
      <c r="J830" s="31" t="n"/>
      <c r="K830" s="31">
        <f>IF(COUNTA($D830:$J830)&lt;7,"",ROUND(MIN(10000, MAX(0, ((((($D830*1.2)+($E830*1.2)+($F830*1.1)+($G830*1.0)+($H830*1.0)+($I830*1.1)+($J830*0.9))/7.5)-1)/4*8000 + MIN($B830*20,1000) + MIN($C830*100,1000))),0))</f>
        <v/>
      </c>
      <c r="L830" s="31">
        <f>IF($K830="","",MIN(100,INT(SQRT($K830))))</f>
        <v/>
      </c>
      <c r="M830" s="31" t="n"/>
      <c r="N830" s="31">
        <f>IF($M830="Yes",$K830,"")</f>
        <v/>
      </c>
      <c r="O830" s="31" t="n"/>
      <c r="P830" s="59" t="n"/>
      <c r="Q830" s="59" t="n"/>
    </row>
    <row r="831">
      <c r="A831" s="31">
        <f>IF(Members!$A831="","",Members!$A831)</f>
        <v/>
      </c>
      <c r="B831" s="31" t="n"/>
      <c r="C831" s="31" t="n"/>
      <c r="D831" s="31" t="n"/>
      <c r="E831" s="31" t="n"/>
      <c r="F831" s="31" t="n"/>
      <c r="G831" s="31" t="n"/>
      <c r="H831" s="31" t="n"/>
      <c r="I831" s="31" t="n"/>
      <c r="J831" s="31" t="n"/>
      <c r="K831" s="31">
        <f>IF(COUNTA($D831:$J831)&lt;7,"",ROUND(MIN(10000, MAX(0, ((((($D831*1.2)+($E831*1.2)+($F831*1.1)+($G831*1.0)+($H831*1.0)+($I831*1.1)+($J831*0.9))/7.5)-1)/4*8000 + MIN($B831*20,1000) + MIN($C831*100,1000))),0))</f>
        <v/>
      </c>
      <c r="L831" s="31">
        <f>IF($K831="","",MIN(100,INT(SQRT($K831))))</f>
        <v/>
      </c>
      <c r="M831" s="31" t="n"/>
      <c r="N831" s="31">
        <f>IF($M831="Yes",$K831,"")</f>
        <v/>
      </c>
      <c r="O831" s="31" t="n"/>
      <c r="P831" s="59" t="n"/>
      <c r="Q831" s="59" t="n"/>
    </row>
    <row r="832">
      <c r="A832" s="31">
        <f>IF(Members!$A832="","",Members!$A832)</f>
        <v/>
      </c>
      <c r="B832" s="31" t="n"/>
      <c r="C832" s="31" t="n"/>
      <c r="D832" s="31" t="n"/>
      <c r="E832" s="31" t="n"/>
      <c r="F832" s="31" t="n"/>
      <c r="G832" s="31" t="n"/>
      <c r="H832" s="31" t="n"/>
      <c r="I832" s="31" t="n"/>
      <c r="J832" s="31" t="n"/>
      <c r="K832" s="31">
        <f>IF(COUNTA($D832:$J832)&lt;7,"",ROUND(MIN(10000, MAX(0, ((((($D832*1.2)+($E832*1.2)+($F832*1.1)+($G832*1.0)+($H832*1.0)+($I832*1.1)+($J832*0.9))/7.5)-1)/4*8000 + MIN($B832*20,1000) + MIN($C832*100,1000))),0))</f>
        <v/>
      </c>
      <c r="L832" s="31">
        <f>IF($K832="","",MIN(100,INT(SQRT($K832))))</f>
        <v/>
      </c>
      <c r="M832" s="31" t="n"/>
      <c r="N832" s="31">
        <f>IF($M832="Yes",$K832,"")</f>
        <v/>
      </c>
      <c r="O832" s="31" t="n"/>
      <c r="P832" s="59" t="n"/>
      <c r="Q832" s="59" t="n"/>
    </row>
    <row r="833">
      <c r="A833" s="31">
        <f>IF(Members!$A833="","",Members!$A833)</f>
        <v/>
      </c>
      <c r="B833" s="31" t="n"/>
      <c r="C833" s="31" t="n"/>
      <c r="D833" s="31" t="n"/>
      <c r="E833" s="31" t="n"/>
      <c r="F833" s="31" t="n"/>
      <c r="G833" s="31" t="n"/>
      <c r="H833" s="31" t="n"/>
      <c r="I833" s="31" t="n"/>
      <c r="J833" s="31" t="n"/>
      <c r="K833" s="31">
        <f>IF(COUNTA($D833:$J833)&lt;7,"",ROUND(MIN(10000, MAX(0, ((((($D833*1.2)+($E833*1.2)+($F833*1.1)+($G833*1.0)+($H833*1.0)+($I833*1.1)+($J833*0.9))/7.5)-1)/4*8000 + MIN($B833*20,1000) + MIN($C833*100,1000))),0))</f>
        <v/>
      </c>
      <c r="L833" s="31">
        <f>IF($K833="","",MIN(100,INT(SQRT($K833))))</f>
        <v/>
      </c>
      <c r="M833" s="31" t="n"/>
      <c r="N833" s="31">
        <f>IF($M833="Yes",$K833,"")</f>
        <v/>
      </c>
      <c r="O833" s="31" t="n"/>
      <c r="P833" s="59" t="n"/>
      <c r="Q833" s="59" t="n"/>
    </row>
    <row r="834">
      <c r="A834" s="31">
        <f>IF(Members!$A834="","",Members!$A834)</f>
        <v/>
      </c>
      <c r="B834" s="31" t="n"/>
      <c r="C834" s="31" t="n"/>
      <c r="D834" s="31" t="n"/>
      <c r="E834" s="31" t="n"/>
      <c r="F834" s="31" t="n"/>
      <c r="G834" s="31" t="n"/>
      <c r="H834" s="31" t="n"/>
      <c r="I834" s="31" t="n"/>
      <c r="J834" s="31" t="n"/>
      <c r="K834" s="31">
        <f>IF(COUNTA($D834:$J834)&lt;7,"",ROUND(MIN(10000, MAX(0, ((((($D834*1.2)+($E834*1.2)+($F834*1.1)+($G834*1.0)+($H834*1.0)+($I834*1.1)+($J834*0.9))/7.5)-1)/4*8000 + MIN($B834*20,1000) + MIN($C834*100,1000))),0))</f>
        <v/>
      </c>
      <c r="L834" s="31">
        <f>IF($K834="","",MIN(100,INT(SQRT($K834))))</f>
        <v/>
      </c>
      <c r="M834" s="31" t="n"/>
      <c r="N834" s="31">
        <f>IF($M834="Yes",$K834,"")</f>
        <v/>
      </c>
      <c r="O834" s="31" t="n"/>
      <c r="P834" s="59" t="n"/>
      <c r="Q834" s="59" t="n"/>
    </row>
    <row r="835">
      <c r="A835" s="31">
        <f>IF(Members!$A835="","",Members!$A835)</f>
        <v/>
      </c>
      <c r="B835" s="31" t="n"/>
      <c r="C835" s="31" t="n"/>
      <c r="D835" s="31" t="n"/>
      <c r="E835" s="31" t="n"/>
      <c r="F835" s="31" t="n"/>
      <c r="G835" s="31" t="n"/>
      <c r="H835" s="31" t="n"/>
      <c r="I835" s="31" t="n"/>
      <c r="J835" s="31" t="n"/>
      <c r="K835" s="31">
        <f>IF(COUNTA($D835:$J835)&lt;7,"",ROUND(MIN(10000, MAX(0, ((((($D835*1.2)+($E835*1.2)+($F835*1.1)+($G835*1.0)+($H835*1.0)+($I835*1.1)+($J835*0.9))/7.5)-1)/4*8000 + MIN($B835*20,1000) + MIN($C835*100,1000))),0))</f>
        <v/>
      </c>
      <c r="L835" s="31">
        <f>IF($K835="","",MIN(100,INT(SQRT($K835))))</f>
        <v/>
      </c>
      <c r="M835" s="31" t="n"/>
      <c r="N835" s="31">
        <f>IF($M835="Yes",$K835,"")</f>
        <v/>
      </c>
      <c r="O835" s="31" t="n"/>
      <c r="P835" s="59" t="n"/>
      <c r="Q835" s="59" t="n"/>
    </row>
    <row r="836">
      <c r="A836" s="31">
        <f>IF(Members!$A836="","",Members!$A836)</f>
        <v/>
      </c>
      <c r="B836" s="31" t="n"/>
      <c r="C836" s="31" t="n"/>
      <c r="D836" s="31" t="n"/>
      <c r="E836" s="31" t="n"/>
      <c r="F836" s="31" t="n"/>
      <c r="G836" s="31" t="n"/>
      <c r="H836" s="31" t="n"/>
      <c r="I836" s="31" t="n"/>
      <c r="J836" s="31" t="n"/>
      <c r="K836" s="31">
        <f>IF(COUNTA($D836:$J836)&lt;7,"",ROUND(MIN(10000, MAX(0, ((((($D836*1.2)+($E836*1.2)+($F836*1.1)+($G836*1.0)+($H836*1.0)+($I836*1.1)+($J836*0.9))/7.5)-1)/4*8000 + MIN($B836*20,1000) + MIN($C836*100,1000))),0))</f>
        <v/>
      </c>
      <c r="L836" s="31">
        <f>IF($K836="","",MIN(100,INT(SQRT($K836))))</f>
        <v/>
      </c>
      <c r="M836" s="31" t="n"/>
      <c r="N836" s="31">
        <f>IF($M836="Yes",$K836,"")</f>
        <v/>
      </c>
      <c r="O836" s="31" t="n"/>
      <c r="P836" s="59" t="n"/>
      <c r="Q836" s="59" t="n"/>
    </row>
    <row r="837">
      <c r="A837" s="31">
        <f>IF(Members!$A837="","",Members!$A837)</f>
        <v/>
      </c>
      <c r="B837" s="31" t="n"/>
      <c r="C837" s="31" t="n"/>
      <c r="D837" s="31" t="n"/>
      <c r="E837" s="31" t="n"/>
      <c r="F837" s="31" t="n"/>
      <c r="G837" s="31" t="n"/>
      <c r="H837" s="31" t="n"/>
      <c r="I837" s="31" t="n"/>
      <c r="J837" s="31" t="n"/>
      <c r="K837" s="31">
        <f>IF(COUNTA($D837:$J837)&lt;7,"",ROUND(MIN(10000, MAX(0, ((((($D837*1.2)+($E837*1.2)+($F837*1.1)+($G837*1.0)+($H837*1.0)+($I837*1.1)+($J837*0.9))/7.5)-1)/4*8000 + MIN($B837*20,1000) + MIN($C837*100,1000))),0))</f>
        <v/>
      </c>
      <c r="L837" s="31">
        <f>IF($K837="","",MIN(100,INT(SQRT($K837))))</f>
        <v/>
      </c>
      <c r="M837" s="31" t="n"/>
      <c r="N837" s="31">
        <f>IF($M837="Yes",$K837,"")</f>
        <v/>
      </c>
      <c r="O837" s="31" t="n"/>
      <c r="P837" s="59" t="n"/>
      <c r="Q837" s="59" t="n"/>
    </row>
    <row r="838">
      <c r="A838" s="31">
        <f>IF(Members!$A838="","",Members!$A838)</f>
        <v/>
      </c>
      <c r="B838" s="31" t="n"/>
      <c r="C838" s="31" t="n"/>
      <c r="D838" s="31" t="n"/>
      <c r="E838" s="31" t="n"/>
      <c r="F838" s="31" t="n"/>
      <c r="G838" s="31" t="n"/>
      <c r="H838" s="31" t="n"/>
      <c r="I838" s="31" t="n"/>
      <c r="J838" s="31" t="n"/>
      <c r="K838" s="31">
        <f>IF(COUNTA($D838:$J838)&lt;7,"",ROUND(MIN(10000, MAX(0, ((((($D838*1.2)+($E838*1.2)+($F838*1.1)+($G838*1.0)+($H838*1.0)+($I838*1.1)+($J838*0.9))/7.5)-1)/4*8000 + MIN($B838*20,1000) + MIN($C838*100,1000))),0))</f>
        <v/>
      </c>
      <c r="L838" s="31">
        <f>IF($K838="","",MIN(100,INT(SQRT($K838))))</f>
        <v/>
      </c>
      <c r="M838" s="31" t="n"/>
      <c r="N838" s="31">
        <f>IF($M838="Yes",$K838,"")</f>
        <v/>
      </c>
      <c r="O838" s="31" t="n"/>
      <c r="P838" s="59" t="n"/>
      <c r="Q838" s="59" t="n"/>
    </row>
    <row r="839">
      <c r="A839" s="31">
        <f>IF(Members!$A839="","",Members!$A839)</f>
        <v/>
      </c>
      <c r="B839" s="31" t="n"/>
      <c r="C839" s="31" t="n"/>
      <c r="D839" s="31" t="n"/>
      <c r="E839" s="31" t="n"/>
      <c r="F839" s="31" t="n"/>
      <c r="G839" s="31" t="n"/>
      <c r="H839" s="31" t="n"/>
      <c r="I839" s="31" t="n"/>
      <c r="J839" s="31" t="n"/>
      <c r="K839" s="31">
        <f>IF(COUNTA($D839:$J839)&lt;7,"",ROUND(MIN(10000, MAX(0, ((((($D839*1.2)+($E839*1.2)+($F839*1.1)+($G839*1.0)+($H839*1.0)+($I839*1.1)+($J839*0.9))/7.5)-1)/4*8000 + MIN($B839*20,1000) + MIN($C839*100,1000))),0))</f>
        <v/>
      </c>
      <c r="L839" s="31">
        <f>IF($K839="","",MIN(100,INT(SQRT($K839))))</f>
        <v/>
      </c>
      <c r="M839" s="31" t="n"/>
      <c r="N839" s="31">
        <f>IF($M839="Yes",$K839,"")</f>
        <v/>
      </c>
      <c r="O839" s="31" t="n"/>
      <c r="P839" s="59" t="n"/>
      <c r="Q839" s="59" t="n"/>
    </row>
    <row r="840">
      <c r="A840" s="31">
        <f>IF(Members!$A840="","",Members!$A840)</f>
        <v/>
      </c>
      <c r="B840" s="31" t="n"/>
      <c r="C840" s="31" t="n"/>
      <c r="D840" s="31" t="n"/>
      <c r="E840" s="31" t="n"/>
      <c r="F840" s="31" t="n"/>
      <c r="G840" s="31" t="n"/>
      <c r="H840" s="31" t="n"/>
      <c r="I840" s="31" t="n"/>
      <c r="J840" s="31" t="n"/>
      <c r="K840" s="31">
        <f>IF(COUNTA($D840:$J840)&lt;7,"",ROUND(MIN(10000, MAX(0, ((((($D840*1.2)+($E840*1.2)+($F840*1.1)+($G840*1.0)+($H840*1.0)+($I840*1.1)+($J840*0.9))/7.5)-1)/4*8000 + MIN($B840*20,1000) + MIN($C840*100,1000))),0))</f>
        <v/>
      </c>
      <c r="L840" s="31">
        <f>IF($K840="","",MIN(100,INT(SQRT($K840))))</f>
        <v/>
      </c>
      <c r="M840" s="31" t="n"/>
      <c r="N840" s="31">
        <f>IF($M840="Yes",$K840,"")</f>
        <v/>
      </c>
      <c r="O840" s="31" t="n"/>
      <c r="P840" s="59" t="n"/>
      <c r="Q840" s="59" t="n"/>
    </row>
    <row r="841">
      <c r="A841" s="31">
        <f>IF(Members!$A841="","",Members!$A841)</f>
        <v/>
      </c>
      <c r="B841" s="31" t="n"/>
      <c r="C841" s="31" t="n"/>
      <c r="D841" s="31" t="n"/>
      <c r="E841" s="31" t="n"/>
      <c r="F841" s="31" t="n"/>
      <c r="G841" s="31" t="n"/>
      <c r="H841" s="31" t="n"/>
      <c r="I841" s="31" t="n"/>
      <c r="J841" s="31" t="n"/>
      <c r="K841" s="31">
        <f>IF(COUNTA($D841:$J841)&lt;7,"",ROUND(MIN(10000, MAX(0, ((((($D841*1.2)+($E841*1.2)+($F841*1.1)+($G841*1.0)+($H841*1.0)+($I841*1.1)+($J841*0.9))/7.5)-1)/4*8000 + MIN($B841*20,1000) + MIN($C841*100,1000))),0))</f>
        <v/>
      </c>
      <c r="L841" s="31">
        <f>IF($K841="","",MIN(100,INT(SQRT($K841))))</f>
        <v/>
      </c>
      <c r="M841" s="31" t="n"/>
      <c r="N841" s="31">
        <f>IF($M841="Yes",$K841,"")</f>
        <v/>
      </c>
      <c r="O841" s="31" t="n"/>
      <c r="P841" s="59" t="n"/>
      <c r="Q841" s="59" t="n"/>
    </row>
    <row r="842">
      <c r="A842" s="31">
        <f>IF(Members!$A842="","",Members!$A842)</f>
        <v/>
      </c>
      <c r="B842" s="31" t="n"/>
      <c r="C842" s="31" t="n"/>
      <c r="D842" s="31" t="n"/>
      <c r="E842" s="31" t="n"/>
      <c r="F842" s="31" t="n"/>
      <c r="G842" s="31" t="n"/>
      <c r="H842" s="31" t="n"/>
      <c r="I842" s="31" t="n"/>
      <c r="J842" s="31" t="n"/>
      <c r="K842" s="31">
        <f>IF(COUNTA($D842:$J842)&lt;7,"",ROUND(MIN(10000, MAX(0, ((((($D842*1.2)+($E842*1.2)+($F842*1.1)+($G842*1.0)+($H842*1.0)+($I842*1.1)+($J842*0.9))/7.5)-1)/4*8000 + MIN($B842*20,1000) + MIN($C842*100,1000))),0))</f>
        <v/>
      </c>
      <c r="L842" s="31">
        <f>IF($K842="","",MIN(100,INT(SQRT($K842))))</f>
        <v/>
      </c>
      <c r="M842" s="31" t="n"/>
      <c r="N842" s="31">
        <f>IF($M842="Yes",$K842,"")</f>
        <v/>
      </c>
      <c r="O842" s="31" t="n"/>
      <c r="P842" s="59" t="n"/>
      <c r="Q842" s="59" t="n"/>
    </row>
    <row r="843">
      <c r="A843" s="31">
        <f>IF(Members!$A843="","",Members!$A843)</f>
        <v/>
      </c>
      <c r="B843" s="31" t="n"/>
      <c r="C843" s="31" t="n"/>
      <c r="D843" s="31" t="n"/>
      <c r="E843" s="31" t="n"/>
      <c r="F843" s="31" t="n"/>
      <c r="G843" s="31" t="n"/>
      <c r="H843" s="31" t="n"/>
      <c r="I843" s="31" t="n"/>
      <c r="J843" s="31" t="n"/>
      <c r="K843" s="31">
        <f>IF(COUNTA($D843:$J843)&lt;7,"",ROUND(MIN(10000, MAX(0, ((((($D843*1.2)+($E843*1.2)+($F843*1.1)+($G843*1.0)+($H843*1.0)+($I843*1.1)+($J843*0.9))/7.5)-1)/4*8000 + MIN($B843*20,1000) + MIN($C843*100,1000))),0))</f>
        <v/>
      </c>
      <c r="L843" s="31">
        <f>IF($K843="","",MIN(100,INT(SQRT($K843))))</f>
        <v/>
      </c>
      <c r="M843" s="31" t="n"/>
      <c r="N843" s="31">
        <f>IF($M843="Yes",$K843,"")</f>
        <v/>
      </c>
      <c r="O843" s="31" t="n"/>
      <c r="P843" s="59" t="n"/>
      <c r="Q843" s="59" t="n"/>
    </row>
    <row r="844">
      <c r="A844" s="31">
        <f>IF(Members!$A844="","",Members!$A844)</f>
        <v/>
      </c>
      <c r="B844" s="31" t="n"/>
      <c r="C844" s="31" t="n"/>
      <c r="D844" s="31" t="n"/>
      <c r="E844" s="31" t="n"/>
      <c r="F844" s="31" t="n"/>
      <c r="G844" s="31" t="n"/>
      <c r="H844" s="31" t="n"/>
      <c r="I844" s="31" t="n"/>
      <c r="J844" s="31" t="n"/>
      <c r="K844" s="31">
        <f>IF(COUNTA($D844:$J844)&lt;7,"",ROUND(MIN(10000, MAX(0, ((((($D844*1.2)+($E844*1.2)+($F844*1.1)+($G844*1.0)+($H844*1.0)+($I844*1.1)+($J844*0.9))/7.5)-1)/4*8000 + MIN($B844*20,1000) + MIN($C844*100,1000))),0))</f>
        <v/>
      </c>
      <c r="L844" s="31">
        <f>IF($K844="","",MIN(100,INT(SQRT($K844))))</f>
        <v/>
      </c>
      <c r="M844" s="31" t="n"/>
      <c r="N844" s="31">
        <f>IF($M844="Yes",$K844,"")</f>
        <v/>
      </c>
      <c r="O844" s="31" t="n"/>
      <c r="P844" s="59" t="n"/>
      <c r="Q844" s="59" t="n"/>
    </row>
    <row r="845">
      <c r="A845" s="31">
        <f>IF(Members!$A845="","",Members!$A845)</f>
        <v/>
      </c>
      <c r="B845" s="31" t="n"/>
      <c r="C845" s="31" t="n"/>
      <c r="D845" s="31" t="n"/>
      <c r="E845" s="31" t="n"/>
      <c r="F845" s="31" t="n"/>
      <c r="G845" s="31" t="n"/>
      <c r="H845" s="31" t="n"/>
      <c r="I845" s="31" t="n"/>
      <c r="J845" s="31" t="n"/>
      <c r="K845" s="31">
        <f>IF(COUNTA($D845:$J845)&lt;7,"",ROUND(MIN(10000, MAX(0, ((((($D845*1.2)+($E845*1.2)+($F845*1.1)+($G845*1.0)+($H845*1.0)+($I845*1.1)+($J845*0.9))/7.5)-1)/4*8000 + MIN($B845*20,1000) + MIN($C845*100,1000))),0))</f>
        <v/>
      </c>
      <c r="L845" s="31">
        <f>IF($K845="","",MIN(100,INT(SQRT($K845))))</f>
        <v/>
      </c>
      <c r="M845" s="31" t="n"/>
      <c r="N845" s="31">
        <f>IF($M845="Yes",$K845,"")</f>
        <v/>
      </c>
      <c r="O845" s="31" t="n"/>
      <c r="P845" s="59" t="n"/>
      <c r="Q845" s="59" t="n"/>
    </row>
    <row r="846">
      <c r="A846" s="31">
        <f>IF(Members!$A846="","",Members!$A846)</f>
        <v/>
      </c>
      <c r="B846" s="31" t="n"/>
      <c r="C846" s="31" t="n"/>
      <c r="D846" s="31" t="n"/>
      <c r="E846" s="31" t="n"/>
      <c r="F846" s="31" t="n"/>
      <c r="G846" s="31" t="n"/>
      <c r="H846" s="31" t="n"/>
      <c r="I846" s="31" t="n"/>
      <c r="J846" s="31" t="n"/>
      <c r="K846" s="31">
        <f>IF(COUNTA($D846:$J846)&lt;7,"",ROUND(MIN(10000, MAX(0, ((((($D846*1.2)+($E846*1.2)+($F846*1.1)+($G846*1.0)+($H846*1.0)+($I846*1.1)+($J846*0.9))/7.5)-1)/4*8000 + MIN($B846*20,1000) + MIN($C846*100,1000))),0))</f>
        <v/>
      </c>
      <c r="L846" s="31">
        <f>IF($K846="","",MIN(100,INT(SQRT($K846))))</f>
        <v/>
      </c>
      <c r="M846" s="31" t="n"/>
      <c r="N846" s="31">
        <f>IF($M846="Yes",$K846,"")</f>
        <v/>
      </c>
      <c r="O846" s="31" t="n"/>
      <c r="P846" s="59" t="n"/>
      <c r="Q846" s="59" t="n"/>
    </row>
    <row r="847">
      <c r="A847" s="31">
        <f>IF(Members!$A847="","",Members!$A847)</f>
        <v/>
      </c>
      <c r="B847" s="31" t="n"/>
      <c r="C847" s="31" t="n"/>
      <c r="D847" s="31" t="n"/>
      <c r="E847" s="31" t="n"/>
      <c r="F847" s="31" t="n"/>
      <c r="G847" s="31" t="n"/>
      <c r="H847" s="31" t="n"/>
      <c r="I847" s="31" t="n"/>
      <c r="J847" s="31" t="n"/>
      <c r="K847" s="31">
        <f>IF(COUNTA($D847:$J847)&lt;7,"",ROUND(MIN(10000, MAX(0, ((((($D847*1.2)+($E847*1.2)+($F847*1.1)+($G847*1.0)+($H847*1.0)+($I847*1.1)+($J847*0.9))/7.5)-1)/4*8000 + MIN($B847*20,1000) + MIN($C847*100,1000))),0))</f>
        <v/>
      </c>
      <c r="L847" s="31">
        <f>IF($K847="","",MIN(100,INT(SQRT($K847))))</f>
        <v/>
      </c>
      <c r="M847" s="31" t="n"/>
      <c r="N847" s="31">
        <f>IF($M847="Yes",$K847,"")</f>
        <v/>
      </c>
      <c r="O847" s="31" t="n"/>
      <c r="P847" s="59" t="n"/>
      <c r="Q847" s="59" t="n"/>
    </row>
    <row r="848">
      <c r="A848" s="31">
        <f>IF(Members!$A848="","",Members!$A848)</f>
        <v/>
      </c>
      <c r="B848" s="31" t="n"/>
      <c r="C848" s="31" t="n"/>
      <c r="D848" s="31" t="n"/>
      <c r="E848" s="31" t="n"/>
      <c r="F848" s="31" t="n"/>
      <c r="G848" s="31" t="n"/>
      <c r="H848" s="31" t="n"/>
      <c r="I848" s="31" t="n"/>
      <c r="J848" s="31" t="n"/>
      <c r="K848" s="31">
        <f>IF(COUNTA($D848:$J848)&lt;7,"",ROUND(MIN(10000, MAX(0, ((((($D848*1.2)+($E848*1.2)+($F848*1.1)+($G848*1.0)+($H848*1.0)+($I848*1.1)+($J848*0.9))/7.5)-1)/4*8000 + MIN($B848*20,1000) + MIN($C848*100,1000))),0))</f>
        <v/>
      </c>
      <c r="L848" s="31">
        <f>IF($K848="","",MIN(100,INT(SQRT($K848))))</f>
        <v/>
      </c>
      <c r="M848" s="31" t="n"/>
      <c r="N848" s="31">
        <f>IF($M848="Yes",$K848,"")</f>
        <v/>
      </c>
      <c r="O848" s="31" t="n"/>
      <c r="P848" s="59" t="n"/>
      <c r="Q848" s="59" t="n"/>
    </row>
    <row r="849">
      <c r="A849" s="31">
        <f>IF(Members!$A849="","",Members!$A849)</f>
        <v/>
      </c>
      <c r="B849" s="31" t="n"/>
      <c r="C849" s="31" t="n"/>
      <c r="D849" s="31" t="n"/>
      <c r="E849" s="31" t="n"/>
      <c r="F849" s="31" t="n"/>
      <c r="G849" s="31" t="n"/>
      <c r="H849" s="31" t="n"/>
      <c r="I849" s="31" t="n"/>
      <c r="J849" s="31" t="n"/>
      <c r="K849" s="31">
        <f>IF(COUNTA($D849:$J849)&lt;7,"",ROUND(MIN(10000, MAX(0, ((((($D849*1.2)+($E849*1.2)+($F849*1.1)+($G849*1.0)+($H849*1.0)+($I849*1.1)+($J849*0.9))/7.5)-1)/4*8000 + MIN($B849*20,1000) + MIN($C849*100,1000))),0))</f>
        <v/>
      </c>
      <c r="L849" s="31">
        <f>IF($K849="","",MIN(100,INT(SQRT($K849))))</f>
        <v/>
      </c>
      <c r="M849" s="31" t="n"/>
      <c r="N849" s="31">
        <f>IF($M849="Yes",$K849,"")</f>
        <v/>
      </c>
      <c r="O849" s="31" t="n"/>
      <c r="P849" s="59" t="n"/>
      <c r="Q849" s="59" t="n"/>
    </row>
    <row r="850">
      <c r="A850" s="31">
        <f>IF(Members!$A850="","",Members!$A850)</f>
        <v/>
      </c>
      <c r="B850" s="31" t="n"/>
      <c r="C850" s="31" t="n"/>
      <c r="D850" s="31" t="n"/>
      <c r="E850" s="31" t="n"/>
      <c r="F850" s="31" t="n"/>
      <c r="G850" s="31" t="n"/>
      <c r="H850" s="31" t="n"/>
      <c r="I850" s="31" t="n"/>
      <c r="J850" s="31" t="n"/>
      <c r="K850" s="31">
        <f>IF(COUNTA($D850:$J850)&lt;7,"",ROUND(MIN(10000, MAX(0, ((((($D850*1.2)+($E850*1.2)+($F850*1.1)+($G850*1.0)+($H850*1.0)+($I850*1.1)+($J850*0.9))/7.5)-1)/4*8000 + MIN($B850*20,1000) + MIN($C850*100,1000))),0))</f>
        <v/>
      </c>
      <c r="L850" s="31">
        <f>IF($K850="","",MIN(100,INT(SQRT($K850))))</f>
        <v/>
      </c>
      <c r="M850" s="31" t="n"/>
      <c r="N850" s="31">
        <f>IF($M850="Yes",$K850,"")</f>
        <v/>
      </c>
      <c r="O850" s="31" t="n"/>
      <c r="P850" s="59" t="n"/>
      <c r="Q850" s="59" t="n"/>
    </row>
    <row r="851">
      <c r="A851" s="31">
        <f>IF(Members!$A851="","",Members!$A851)</f>
        <v/>
      </c>
      <c r="B851" s="31" t="n"/>
      <c r="C851" s="31" t="n"/>
      <c r="D851" s="31" t="n"/>
      <c r="E851" s="31" t="n"/>
      <c r="F851" s="31" t="n"/>
      <c r="G851" s="31" t="n"/>
      <c r="H851" s="31" t="n"/>
      <c r="I851" s="31" t="n"/>
      <c r="J851" s="31" t="n"/>
      <c r="K851" s="31">
        <f>IF(COUNTA($D851:$J851)&lt;7,"",ROUND(MIN(10000, MAX(0, ((((($D851*1.2)+($E851*1.2)+($F851*1.1)+($G851*1.0)+($H851*1.0)+($I851*1.1)+($J851*0.9))/7.5)-1)/4*8000 + MIN($B851*20,1000) + MIN($C851*100,1000))),0))</f>
        <v/>
      </c>
      <c r="L851" s="31">
        <f>IF($K851="","",MIN(100,INT(SQRT($K851))))</f>
        <v/>
      </c>
      <c r="M851" s="31" t="n"/>
      <c r="N851" s="31">
        <f>IF($M851="Yes",$K851,"")</f>
        <v/>
      </c>
      <c r="O851" s="31" t="n"/>
      <c r="P851" s="59" t="n"/>
      <c r="Q851" s="59" t="n"/>
    </row>
    <row r="852">
      <c r="A852" s="31">
        <f>IF(Members!$A852="","",Members!$A852)</f>
        <v/>
      </c>
      <c r="B852" s="31" t="n"/>
      <c r="C852" s="31" t="n"/>
      <c r="D852" s="31" t="n"/>
      <c r="E852" s="31" t="n"/>
      <c r="F852" s="31" t="n"/>
      <c r="G852" s="31" t="n"/>
      <c r="H852" s="31" t="n"/>
      <c r="I852" s="31" t="n"/>
      <c r="J852" s="31" t="n"/>
      <c r="K852" s="31">
        <f>IF(COUNTA($D852:$J852)&lt;7,"",ROUND(MIN(10000, MAX(0, ((((($D852*1.2)+($E852*1.2)+($F852*1.1)+($G852*1.0)+($H852*1.0)+($I852*1.1)+($J852*0.9))/7.5)-1)/4*8000 + MIN($B852*20,1000) + MIN($C852*100,1000))),0))</f>
        <v/>
      </c>
      <c r="L852" s="31">
        <f>IF($K852="","",MIN(100,INT(SQRT($K852))))</f>
        <v/>
      </c>
      <c r="M852" s="31" t="n"/>
      <c r="N852" s="31">
        <f>IF($M852="Yes",$K852,"")</f>
        <v/>
      </c>
      <c r="O852" s="31" t="n"/>
      <c r="P852" s="59" t="n"/>
      <c r="Q852" s="59" t="n"/>
    </row>
    <row r="853">
      <c r="A853" s="31">
        <f>IF(Members!$A853="","",Members!$A853)</f>
        <v/>
      </c>
      <c r="B853" s="31" t="n"/>
      <c r="C853" s="31" t="n"/>
      <c r="D853" s="31" t="n"/>
      <c r="E853" s="31" t="n"/>
      <c r="F853" s="31" t="n"/>
      <c r="G853" s="31" t="n"/>
      <c r="H853" s="31" t="n"/>
      <c r="I853" s="31" t="n"/>
      <c r="J853" s="31" t="n"/>
      <c r="K853" s="31">
        <f>IF(COUNTA($D853:$J853)&lt;7,"",ROUND(MIN(10000, MAX(0, ((((($D853*1.2)+($E853*1.2)+($F853*1.1)+($G853*1.0)+($H853*1.0)+($I853*1.1)+($J853*0.9))/7.5)-1)/4*8000 + MIN($B853*20,1000) + MIN($C853*100,1000))),0))</f>
        <v/>
      </c>
      <c r="L853" s="31">
        <f>IF($K853="","",MIN(100,INT(SQRT($K853))))</f>
        <v/>
      </c>
      <c r="M853" s="31" t="n"/>
      <c r="N853" s="31">
        <f>IF($M853="Yes",$K853,"")</f>
        <v/>
      </c>
      <c r="O853" s="31" t="n"/>
      <c r="P853" s="59" t="n"/>
      <c r="Q853" s="59" t="n"/>
    </row>
    <row r="854">
      <c r="A854" s="31">
        <f>IF(Members!$A854="","",Members!$A854)</f>
        <v/>
      </c>
      <c r="B854" s="31" t="n"/>
      <c r="C854" s="31" t="n"/>
      <c r="D854" s="31" t="n"/>
      <c r="E854" s="31" t="n"/>
      <c r="F854" s="31" t="n"/>
      <c r="G854" s="31" t="n"/>
      <c r="H854" s="31" t="n"/>
      <c r="I854" s="31" t="n"/>
      <c r="J854" s="31" t="n"/>
      <c r="K854" s="31">
        <f>IF(COUNTA($D854:$J854)&lt;7,"",ROUND(MIN(10000, MAX(0, ((((($D854*1.2)+($E854*1.2)+($F854*1.1)+($G854*1.0)+($H854*1.0)+($I854*1.1)+($J854*0.9))/7.5)-1)/4*8000 + MIN($B854*20,1000) + MIN($C854*100,1000))),0))</f>
        <v/>
      </c>
      <c r="L854" s="31">
        <f>IF($K854="","",MIN(100,INT(SQRT($K854))))</f>
        <v/>
      </c>
      <c r="M854" s="31" t="n"/>
      <c r="N854" s="31">
        <f>IF($M854="Yes",$K854,"")</f>
        <v/>
      </c>
      <c r="O854" s="31" t="n"/>
      <c r="P854" s="59" t="n"/>
      <c r="Q854" s="59" t="n"/>
    </row>
    <row r="855">
      <c r="A855" s="31">
        <f>IF(Members!$A855="","",Members!$A855)</f>
        <v/>
      </c>
      <c r="B855" s="31" t="n"/>
      <c r="C855" s="31" t="n"/>
      <c r="D855" s="31" t="n"/>
      <c r="E855" s="31" t="n"/>
      <c r="F855" s="31" t="n"/>
      <c r="G855" s="31" t="n"/>
      <c r="H855" s="31" t="n"/>
      <c r="I855" s="31" t="n"/>
      <c r="J855" s="31" t="n"/>
      <c r="K855" s="31">
        <f>IF(COUNTA($D855:$J855)&lt;7,"",ROUND(MIN(10000, MAX(0, ((((($D855*1.2)+($E855*1.2)+($F855*1.1)+($G855*1.0)+($H855*1.0)+($I855*1.1)+($J855*0.9))/7.5)-1)/4*8000 + MIN($B855*20,1000) + MIN($C855*100,1000))),0))</f>
        <v/>
      </c>
      <c r="L855" s="31">
        <f>IF($K855="","",MIN(100,INT(SQRT($K855))))</f>
        <v/>
      </c>
      <c r="M855" s="31" t="n"/>
      <c r="N855" s="31">
        <f>IF($M855="Yes",$K855,"")</f>
        <v/>
      </c>
      <c r="O855" s="31" t="n"/>
      <c r="P855" s="59" t="n"/>
      <c r="Q855" s="59" t="n"/>
    </row>
    <row r="856">
      <c r="A856" s="31">
        <f>IF(Members!$A856="","",Members!$A856)</f>
        <v/>
      </c>
      <c r="B856" s="31" t="n"/>
      <c r="C856" s="31" t="n"/>
      <c r="D856" s="31" t="n"/>
      <c r="E856" s="31" t="n"/>
      <c r="F856" s="31" t="n"/>
      <c r="G856" s="31" t="n"/>
      <c r="H856" s="31" t="n"/>
      <c r="I856" s="31" t="n"/>
      <c r="J856" s="31" t="n"/>
      <c r="K856" s="31">
        <f>IF(COUNTA($D856:$J856)&lt;7,"",ROUND(MIN(10000, MAX(0, ((((($D856*1.2)+($E856*1.2)+($F856*1.1)+($G856*1.0)+($H856*1.0)+($I856*1.1)+($J856*0.9))/7.5)-1)/4*8000 + MIN($B856*20,1000) + MIN($C856*100,1000))),0))</f>
        <v/>
      </c>
      <c r="L856" s="31">
        <f>IF($K856="","",MIN(100,INT(SQRT($K856))))</f>
        <v/>
      </c>
      <c r="M856" s="31" t="n"/>
      <c r="N856" s="31">
        <f>IF($M856="Yes",$K856,"")</f>
        <v/>
      </c>
      <c r="O856" s="31" t="n"/>
      <c r="P856" s="59" t="n"/>
      <c r="Q856" s="59" t="n"/>
    </row>
    <row r="857">
      <c r="A857" s="31">
        <f>IF(Members!$A857="","",Members!$A857)</f>
        <v/>
      </c>
      <c r="B857" s="31" t="n"/>
      <c r="C857" s="31" t="n"/>
      <c r="D857" s="31" t="n"/>
      <c r="E857" s="31" t="n"/>
      <c r="F857" s="31" t="n"/>
      <c r="G857" s="31" t="n"/>
      <c r="H857" s="31" t="n"/>
      <c r="I857" s="31" t="n"/>
      <c r="J857" s="31" t="n"/>
      <c r="K857" s="31">
        <f>IF(COUNTA($D857:$J857)&lt;7,"",ROUND(MIN(10000, MAX(0, ((((($D857*1.2)+($E857*1.2)+($F857*1.1)+($G857*1.0)+($H857*1.0)+($I857*1.1)+($J857*0.9))/7.5)-1)/4*8000 + MIN($B857*20,1000) + MIN($C857*100,1000))),0))</f>
        <v/>
      </c>
      <c r="L857" s="31">
        <f>IF($K857="","",MIN(100,INT(SQRT($K857))))</f>
        <v/>
      </c>
      <c r="M857" s="31" t="n"/>
      <c r="N857" s="31">
        <f>IF($M857="Yes",$K857,"")</f>
        <v/>
      </c>
      <c r="O857" s="31" t="n"/>
      <c r="P857" s="59" t="n"/>
      <c r="Q857" s="59" t="n"/>
    </row>
    <row r="858">
      <c r="A858" s="31">
        <f>IF(Members!$A858="","",Members!$A858)</f>
        <v/>
      </c>
      <c r="B858" s="31" t="n"/>
      <c r="C858" s="31" t="n"/>
      <c r="D858" s="31" t="n"/>
      <c r="E858" s="31" t="n"/>
      <c r="F858" s="31" t="n"/>
      <c r="G858" s="31" t="n"/>
      <c r="H858" s="31" t="n"/>
      <c r="I858" s="31" t="n"/>
      <c r="J858" s="31" t="n"/>
      <c r="K858" s="31">
        <f>IF(COUNTA($D858:$J858)&lt;7,"",ROUND(MIN(10000, MAX(0, ((((($D858*1.2)+($E858*1.2)+($F858*1.1)+($G858*1.0)+($H858*1.0)+($I858*1.1)+($J858*0.9))/7.5)-1)/4*8000 + MIN($B858*20,1000) + MIN($C858*100,1000))),0))</f>
        <v/>
      </c>
      <c r="L858" s="31">
        <f>IF($K858="","",MIN(100,INT(SQRT($K858))))</f>
        <v/>
      </c>
      <c r="M858" s="31" t="n"/>
      <c r="N858" s="31">
        <f>IF($M858="Yes",$K858,"")</f>
        <v/>
      </c>
      <c r="O858" s="31" t="n"/>
      <c r="P858" s="59" t="n"/>
      <c r="Q858" s="59" t="n"/>
    </row>
    <row r="859">
      <c r="A859" s="31">
        <f>IF(Members!$A859="","",Members!$A859)</f>
        <v/>
      </c>
      <c r="B859" s="31" t="n"/>
      <c r="C859" s="31" t="n"/>
      <c r="D859" s="31" t="n"/>
      <c r="E859" s="31" t="n"/>
      <c r="F859" s="31" t="n"/>
      <c r="G859" s="31" t="n"/>
      <c r="H859" s="31" t="n"/>
      <c r="I859" s="31" t="n"/>
      <c r="J859" s="31" t="n"/>
      <c r="K859" s="31">
        <f>IF(COUNTA($D859:$J859)&lt;7,"",ROUND(MIN(10000, MAX(0, ((((($D859*1.2)+($E859*1.2)+($F859*1.1)+($G859*1.0)+($H859*1.0)+($I859*1.1)+($J859*0.9))/7.5)-1)/4*8000 + MIN($B859*20,1000) + MIN($C859*100,1000))),0))</f>
        <v/>
      </c>
      <c r="L859" s="31">
        <f>IF($K859="","",MIN(100,INT(SQRT($K859))))</f>
        <v/>
      </c>
      <c r="M859" s="31" t="n"/>
      <c r="N859" s="31">
        <f>IF($M859="Yes",$K859,"")</f>
        <v/>
      </c>
      <c r="O859" s="31" t="n"/>
      <c r="P859" s="59" t="n"/>
      <c r="Q859" s="59" t="n"/>
    </row>
    <row r="860">
      <c r="A860" s="31">
        <f>IF(Members!$A860="","",Members!$A860)</f>
        <v/>
      </c>
      <c r="B860" s="31" t="n"/>
      <c r="C860" s="31" t="n"/>
      <c r="D860" s="31" t="n"/>
      <c r="E860" s="31" t="n"/>
      <c r="F860" s="31" t="n"/>
      <c r="G860" s="31" t="n"/>
      <c r="H860" s="31" t="n"/>
      <c r="I860" s="31" t="n"/>
      <c r="J860" s="31" t="n"/>
      <c r="K860" s="31">
        <f>IF(COUNTA($D860:$J860)&lt;7,"",ROUND(MIN(10000, MAX(0, ((((($D860*1.2)+($E860*1.2)+($F860*1.1)+($G860*1.0)+($H860*1.0)+($I860*1.1)+($J860*0.9))/7.5)-1)/4*8000 + MIN($B860*20,1000) + MIN($C860*100,1000))),0))</f>
        <v/>
      </c>
      <c r="L860" s="31">
        <f>IF($K860="","",MIN(100,INT(SQRT($K860))))</f>
        <v/>
      </c>
      <c r="M860" s="31" t="n"/>
      <c r="N860" s="31">
        <f>IF($M860="Yes",$K860,"")</f>
        <v/>
      </c>
      <c r="O860" s="31" t="n"/>
      <c r="P860" s="59" t="n"/>
      <c r="Q860" s="59" t="n"/>
    </row>
    <row r="861">
      <c r="A861" s="31">
        <f>IF(Members!$A861="","",Members!$A861)</f>
        <v/>
      </c>
      <c r="B861" s="31" t="n"/>
      <c r="C861" s="31" t="n"/>
      <c r="D861" s="31" t="n"/>
      <c r="E861" s="31" t="n"/>
      <c r="F861" s="31" t="n"/>
      <c r="G861" s="31" t="n"/>
      <c r="H861" s="31" t="n"/>
      <c r="I861" s="31" t="n"/>
      <c r="J861" s="31" t="n"/>
      <c r="K861" s="31">
        <f>IF(COUNTA($D861:$J861)&lt;7,"",ROUND(MIN(10000, MAX(0, ((((($D861*1.2)+($E861*1.2)+($F861*1.1)+($G861*1.0)+($H861*1.0)+($I861*1.1)+($J861*0.9))/7.5)-1)/4*8000 + MIN($B861*20,1000) + MIN($C861*100,1000))),0))</f>
        <v/>
      </c>
      <c r="L861" s="31">
        <f>IF($K861="","",MIN(100,INT(SQRT($K861))))</f>
        <v/>
      </c>
      <c r="M861" s="31" t="n"/>
      <c r="N861" s="31">
        <f>IF($M861="Yes",$K861,"")</f>
        <v/>
      </c>
      <c r="O861" s="31" t="n"/>
      <c r="P861" s="59" t="n"/>
      <c r="Q861" s="59" t="n"/>
    </row>
    <row r="862">
      <c r="A862" s="31">
        <f>IF(Members!$A862="","",Members!$A862)</f>
        <v/>
      </c>
      <c r="B862" s="31" t="n"/>
      <c r="C862" s="31" t="n"/>
      <c r="D862" s="31" t="n"/>
      <c r="E862" s="31" t="n"/>
      <c r="F862" s="31" t="n"/>
      <c r="G862" s="31" t="n"/>
      <c r="H862" s="31" t="n"/>
      <c r="I862" s="31" t="n"/>
      <c r="J862" s="31" t="n"/>
      <c r="K862" s="31">
        <f>IF(COUNTA($D862:$J862)&lt;7,"",ROUND(MIN(10000, MAX(0, ((((($D862*1.2)+($E862*1.2)+($F862*1.1)+($G862*1.0)+($H862*1.0)+($I862*1.1)+($J862*0.9))/7.5)-1)/4*8000 + MIN($B862*20,1000) + MIN($C862*100,1000))),0))</f>
        <v/>
      </c>
      <c r="L862" s="31">
        <f>IF($K862="","",MIN(100,INT(SQRT($K862))))</f>
        <v/>
      </c>
      <c r="M862" s="31" t="n"/>
      <c r="N862" s="31">
        <f>IF($M862="Yes",$K862,"")</f>
        <v/>
      </c>
      <c r="O862" s="31" t="n"/>
      <c r="P862" s="59" t="n"/>
      <c r="Q862" s="59" t="n"/>
    </row>
    <row r="863">
      <c r="A863" s="31">
        <f>IF(Members!$A863="","",Members!$A863)</f>
        <v/>
      </c>
      <c r="B863" s="31" t="n"/>
      <c r="C863" s="31" t="n"/>
      <c r="D863" s="31" t="n"/>
      <c r="E863" s="31" t="n"/>
      <c r="F863" s="31" t="n"/>
      <c r="G863" s="31" t="n"/>
      <c r="H863" s="31" t="n"/>
      <c r="I863" s="31" t="n"/>
      <c r="J863" s="31" t="n"/>
      <c r="K863" s="31">
        <f>IF(COUNTA($D863:$J863)&lt;7,"",ROUND(MIN(10000, MAX(0, ((((($D863*1.2)+($E863*1.2)+($F863*1.1)+($G863*1.0)+($H863*1.0)+($I863*1.1)+($J863*0.9))/7.5)-1)/4*8000 + MIN($B863*20,1000) + MIN($C863*100,1000))),0))</f>
        <v/>
      </c>
      <c r="L863" s="31">
        <f>IF($K863="","",MIN(100,INT(SQRT($K863))))</f>
        <v/>
      </c>
      <c r="M863" s="31" t="n"/>
      <c r="N863" s="31">
        <f>IF($M863="Yes",$K863,"")</f>
        <v/>
      </c>
      <c r="O863" s="31" t="n"/>
      <c r="P863" s="59" t="n"/>
      <c r="Q863" s="59" t="n"/>
    </row>
    <row r="864">
      <c r="A864" s="31">
        <f>IF(Members!$A864="","",Members!$A864)</f>
        <v/>
      </c>
      <c r="B864" s="31" t="n"/>
      <c r="C864" s="31" t="n"/>
      <c r="D864" s="31" t="n"/>
      <c r="E864" s="31" t="n"/>
      <c r="F864" s="31" t="n"/>
      <c r="G864" s="31" t="n"/>
      <c r="H864" s="31" t="n"/>
      <c r="I864" s="31" t="n"/>
      <c r="J864" s="31" t="n"/>
      <c r="K864" s="31">
        <f>IF(COUNTA($D864:$J864)&lt;7,"",ROUND(MIN(10000, MAX(0, ((((($D864*1.2)+($E864*1.2)+($F864*1.1)+($G864*1.0)+($H864*1.0)+($I864*1.1)+($J864*0.9))/7.5)-1)/4*8000 + MIN($B864*20,1000) + MIN($C864*100,1000))),0))</f>
        <v/>
      </c>
      <c r="L864" s="31">
        <f>IF($K864="","",MIN(100,INT(SQRT($K864))))</f>
        <v/>
      </c>
      <c r="M864" s="31" t="n"/>
      <c r="N864" s="31">
        <f>IF($M864="Yes",$K864,"")</f>
        <v/>
      </c>
      <c r="O864" s="31" t="n"/>
      <c r="P864" s="59" t="n"/>
      <c r="Q864" s="59" t="n"/>
    </row>
    <row r="865">
      <c r="A865" s="31">
        <f>IF(Members!$A865="","",Members!$A865)</f>
        <v/>
      </c>
      <c r="B865" s="31" t="n"/>
      <c r="C865" s="31" t="n"/>
      <c r="D865" s="31" t="n"/>
      <c r="E865" s="31" t="n"/>
      <c r="F865" s="31" t="n"/>
      <c r="G865" s="31" t="n"/>
      <c r="H865" s="31" t="n"/>
      <c r="I865" s="31" t="n"/>
      <c r="J865" s="31" t="n"/>
      <c r="K865" s="31">
        <f>IF(COUNTA($D865:$J865)&lt;7,"",ROUND(MIN(10000, MAX(0, ((((($D865*1.2)+($E865*1.2)+($F865*1.1)+($G865*1.0)+($H865*1.0)+($I865*1.1)+($J865*0.9))/7.5)-1)/4*8000 + MIN($B865*20,1000) + MIN($C865*100,1000))),0))</f>
        <v/>
      </c>
      <c r="L865" s="31">
        <f>IF($K865="","",MIN(100,INT(SQRT($K865))))</f>
        <v/>
      </c>
      <c r="M865" s="31" t="n"/>
      <c r="N865" s="31">
        <f>IF($M865="Yes",$K865,"")</f>
        <v/>
      </c>
      <c r="O865" s="31" t="n"/>
      <c r="P865" s="59" t="n"/>
      <c r="Q865" s="59" t="n"/>
    </row>
    <row r="866">
      <c r="A866" s="31">
        <f>IF(Members!$A866="","",Members!$A866)</f>
        <v/>
      </c>
      <c r="B866" s="31" t="n"/>
      <c r="C866" s="31" t="n"/>
      <c r="D866" s="31" t="n"/>
      <c r="E866" s="31" t="n"/>
      <c r="F866" s="31" t="n"/>
      <c r="G866" s="31" t="n"/>
      <c r="H866" s="31" t="n"/>
      <c r="I866" s="31" t="n"/>
      <c r="J866" s="31" t="n"/>
      <c r="K866" s="31">
        <f>IF(COUNTA($D866:$J866)&lt;7,"",ROUND(MIN(10000, MAX(0, ((((($D866*1.2)+($E866*1.2)+($F866*1.1)+($G866*1.0)+($H866*1.0)+($I866*1.1)+($J866*0.9))/7.5)-1)/4*8000 + MIN($B866*20,1000) + MIN($C866*100,1000))),0))</f>
        <v/>
      </c>
      <c r="L866" s="31">
        <f>IF($K866="","",MIN(100,INT(SQRT($K866))))</f>
        <v/>
      </c>
      <c r="M866" s="31" t="n"/>
      <c r="N866" s="31">
        <f>IF($M866="Yes",$K866,"")</f>
        <v/>
      </c>
      <c r="O866" s="31" t="n"/>
      <c r="P866" s="59" t="n"/>
      <c r="Q866" s="59" t="n"/>
    </row>
    <row r="867">
      <c r="A867" s="31">
        <f>IF(Members!$A867="","",Members!$A867)</f>
        <v/>
      </c>
      <c r="B867" s="31" t="n"/>
      <c r="C867" s="31" t="n"/>
      <c r="D867" s="31" t="n"/>
      <c r="E867" s="31" t="n"/>
      <c r="F867" s="31" t="n"/>
      <c r="G867" s="31" t="n"/>
      <c r="H867" s="31" t="n"/>
      <c r="I867" s="31" t="n"/>
      <c r="J867" s="31" t="n"/>
      <c r="K867" s="31">
        <f>IF(COUNTA($D867:$J867)&lt;7,"",ROUND(MIN(10000, MAX(0, ((((($D867*1.2)+($E867*1.2)+($F867*1.1)+($G867*1.0)+($H867*1.0)+($I867*1.1)+($J867*0.9))/7.5)-1)/4*8000 + MIN($B867*20,1000) + MIN($C867*100,1000))),0))</f>
        <v/>
      </c>
      <c r="L867" s="31">
        <f>IF($K867="","",MIN(100,INT(SQRT($K867))))</f>
        <v/>
      </c>
      <c r="M867" s="31" t="n"/>
      <c r="N867" s="31">
        <f>IF($M867="Yes",$K867,"")</f>
        <v/>
      </c>
      <c r="O867" s="31" t="n"/>
      <c r="P867" s="59" t="n"/>
      <c r="Q867" s="59" t="n"/>
    </row>
    <row r="868">
      <c r="A868" s="31">
        <f>IF(Members!$A868="","",Members!$A868)</f>
        <v/>
      </c>
      <c r="B868" s="31" t="n"/>
      <c r="C868" s="31" t="n"/>
      <c r="D868" s="31" t="n"/>
      <c r="E868" s="31" t="n"/>
      <c r="F868" s="31" t="n"/>
      <c r="G868" s="31" t="n"/>
      <c r="H868" s="31" t="n"/>
      <c r="I868" s="31" t="n"/>
      <c r="J868" s="31" t="n"/>
      <c r="K868" s="31">
        <f>IF(COUNTA($D868:$J868)&lt;7,"",ROUND(MIN(10000, MAX(0, ((((($D868*1.2)+($E868*1.2)+($F868*1.1)+($G868*1.0)+($H868*1.0)+($I868*1.1)+($J868*0.9))/7.5)-1)/4*8000 + MIN($B868*20,1000) + MIN($C868*100,1000))),0))</f>
        <v/>
      </c>
      <c r="L868" s="31">
        <f>IF($K868="","",MIN(100,INT(SQRT($K868))))</f>
        <v/>
      </c>
      <c r="M868" s="31" t="n"/>
      <c r="N868" s="31">
        <f>IF($M868="Yes",$K868,"")</f>
        <v/>
      </c>
      <c r="O868" s="31" t="n"/>
      <c r="P868" s="59" t="n"/>
      <c r="Q868" s="59" t="n"/>
    </row>
    <row r="869">
      <c r="A869" s="31">
        <f>IF(Members!$A869="","",Members!$A869)</f>
        <v/>
      </c>
      <c r="B869" s="31" t="n"/>
      <c r="C869" s="31" t="n"/>
      <c r="D869" s="31" t="n"/>
      <c r="E869" s="31" t="n"/>
      <c r="F869" s="31" t="n"/>
      <c r="G869" s="31" t="n"/>
      <c r="H869" s="31" t="n"/>
      <c r="I869" s="31" t="n"/>
      <c r="J869" s="31" t="n"/>
      <c r="K869" s="31">
        <f>IF(COUNTA($D869:$J869)&lt;7,"",ROUND(MIN(10000, MAX(0, ((((($D869*1.2)+($E869*1.2)+($F869*1.1)+($G869*1.0)+($H869*1.0)+($I869*1.1)+($J869*0.9))/7.5)-1)/4*8000 + MIN($B869*20,1000) + MIN($C869*100,1000))),0))</f>
        <v/>
      </c>
      <c r="L869" s="31">
        <f>IF($K869="","",MIN(100,INT(SQRT($K869))))</f>
        <v/>
      </c>
      <c r="M869" s="31" t="n"/>
      <c r="N869" s="31">
        <f>IF($M869="Yes",$K869,"")</f>
        <v/>
      </c>
      <c r="O869" s="31" t="n"/>
      <c r="P869" s="59" t="n"/>
      <c r="Q869" s="59" t="n"/>
    </row>
    <row r="870">
      <c r="A870" s="31">
        <f>IF(Members!$A870="","",Members!$A870)</f>
        <v/>
      </c>
      <c r="B870" s="31" t="n"/>
      <c r="C870" s="31" t="n"/>
      <c r="D870" s="31" t="n"/>
      <c r="E870" s="31" t="n"/>
      <c r="F870" s="31" t="n"/>
      <c r="G870" s="31" t="n"/>
      <c r="H870" s="31" t="n"/>
      <c r="I870" s="31" t="n"/>
      <c r="J870" s="31" t="n"/>
      <c r="K870" s="31">
        <f>IF(COUNTA($D870:$J870)&lt;7,"",ROUND(MIN(10000, MAX(0, ((((($D870*1.2)+($E870*1.2)+($F870*1.1)+($G870*1.0)+($H870*1.0)+($I870*1.1)+($J870*0.9))/7.5)-1)/4*8000 + MIN($B870*20,1000) + MIN($C870*100,1000))),0))</f>
        <v/>
      </c>
      <c r="L870" s="31">
        <f>IF($K870="","",MIN(100,INT(SQRT($K870))))</f>
        <v/>
      </c>
      <c r="M870" s="31" t="n"/>
      <c r="N870" s="31">
        <f>IF($M870="Yes",$K870,"")</f>
        <v/>
      </c>
      <c r="O870" s="31" t="n"/>
      <c r="P870" s="59" t="n"/>
      <c r="Q870" s="59" t="n"/>
    </row>
    <row r="871">
      <c r="A871" s="31">
        <f>IF(Members!$A871="","",Members!$A871)</f>
        <v/>
      </c>
      <c r="B871" s="31" t="n"/>
      <c r="C871" s="31" t="n"/>
      <c r="D871" s="31" t="n"/>
      <c r="E871" s="31" t="n"/>
      <c r="F871" s="31" t="n"/>
      <c r="G871" s="31" t="n"/>
      <c r="H871" s="31" t="n"/>
      <c r="I871" s="31" t="n"/>
      <c r="J871" s="31" t="n"/>
      <c r="K871" s="31">
        <f>IF(COUNTA($D871:$J871)&lt;7,"",ROUND(MIN(10000, MAX(0, ((((($D871*1.2)+($E871*1.2)+($F871*1.1)+($G871*1.0)+($H871*1.0)+($I871*1.1)+($J871*0.9))/7.5)-1)/4*8000 + MIN($B871*20,1000) + MIN($C871*100,1000))),0))</f>
        <v/>
      </c>
      <c r="L871" s="31">
        <f>IF($K871="","",MIN(100,INT(SQRT($K871))))</f>
        <v/>
      </c>
      <c r="M871" s="31" t="n"/>
      <c r="N871" s="31">
        <f>IF($M871="Yes",$K871,"")</f>
        <v/>
      </c>
      <c r="O871" s="31" t="n"/>
      <c r="P871" s="59" t="n"/>
      <c r="Q871" s="59" t="n"/>
    </row>
    <row r="872">
      <c r="A872" s="31">
        <f>IF(Members!$A872="","",Members!$A872)</f>
        <v/>
      </c>
      <c r="B872" s="31" t="n"/>
      <c r="C872" s="31" t="n"/>
      <c r="D872" s="31" t="n"/>
      <c r="E872" s="31" t="n"/>
      <c r="F872" s="31" t="n"/>
      <c r="G872" s="31" t="n"/>
      <c r="H872" s="31" t="n"/>
      <c r="I872" s="31" t="n"/>
      <c r="J872" s="31" t="n"/>
      <c r="K872" s="31">
        <f>IF(COUNTA($D872:$J872)&lt;7,"",ROUND(MIN(10000, MAX(0, ((((($D872*1.2)+($E872*1.2)+($F872*1.1)+($G872*1.0)+($H872*1.0)+($I872*1.1)+($J872*0.9))/7.5)-1)/4*8000 + MIN($B872*20,1000) + MIN($C872*100,1000))),0))</f>
        <v/>
      </c>
      <c r="L872" s="31">
        <f>IF($K872="","",MIN(100,INT(SQRT($K872))))</f>
        <v/>
      </c>
      <c r="M872" s="31" t="n"/>
      <c r="N872" s="31">
        <f>IF($M872="Yes",$K872,"")</f>
        <v/>
      </c>
      <c r="O872" s="31" t="n"/>
      <c r="P872" s="59" t="n"/>
      <c r="Q872" s="59" t="n"/>
    </row>
    <row r="873">
      <c r="A873" s="31">
        <f>IF(Members!$A873="","",Members!$A873)</f>
        <v/>
      </c>
      <c r="B873" s="31" t="n"/>
      <c r="C873" s="31" t="n"/>
      <c r="D873" s="31" t="n"/>
      <c r="E873" s="31" t="n"/>
      <c r="F873" s="31" t="n"/>
      <c r="G873" s="31" t="n"/>
      <c r="H873" s="31" t="n"/>
      <c r="I873" s="31" t="n"/>
      <c r="J873" s="31" t="n"/>
      <c r="K873" s="31">
        <f>IF(COUNTA($D873:$J873)&lt;7,"",ROUND(MIN(10000, MAX(0, ((((($D873*1.2)+($E873*1.2)+($F873*1.1)+($G873*1.0)+($H873*1.0)+($I873*1.1)+($J873*0.9))/7.5)-1)/4*8000 + MIN($B873*20,1000) + MIN($C873*100,1000))),0))</f>
        <v/>
      </c>
      <c r="L873" s="31">
        <f>IF($K873="","",MIN(100,INT(SQRT($K873))))</f>
        <v/>
      </c>
      <c r="M873" s="31" t="n"/>
      <c r="N873" s="31">
        <f>IF($M873="Yes",$K873,"")</f>
        <v/>
      </c>
      <c r="O873" s="31" t="n"/>
      <c r="P873" s="59" t="n"/>
      <c r="Q873" s="59" t="n"/>
    </row>
    <row r="874">
      <c r="A874" s="31">
        <f>IF(Members!$A874="","",Members!$A874)</f>
        <v/>
      </c>
      <c r="B874" s="31" t="n"/>
      <c r="C874" s="31" t="n"/>
      <c r="D874" s="31" t="n"/>
      <c r="E874" s="31" t="n"/>
      <c r="F874" s="31" t="n"/>
      <c r="G874" s="31" t="n"/>
      <c r="H874" s="31" t="n"/>
      <c r="I874" s="31" t="n"/>
      <c r="J874" s="31" t="n"/>
      <c r="K874" s="31">
        <f>IF(COUNTA($D874:$J874)&lt;7,"",ROUND(MIN(10000, MAX(0, ((((($D874*1.2)+($E874*1.2)+($F874*1.1)+($G874*1.0)+($H874*1.0)+($I874*1.1)+($J874*0.9))/7.5)-1)/4*8000 + MIN($B874*20,1000) + MIN($C874*100,1000))),0))</f>
        <v/>
      </c>
      <c r="L874" s="31">
        <f>IF($K874="","",MIN(100,INT(SQRT($K874))))</f>
        <v/>
      </c>
      <c r="M874" s="31" t="n"/>
      <c r="N874" s="31">
        <f>IF($M874="Yes",$K874,"")</f>
        <v/>
      </c>
      <c r="O874" s="31" t="n"/>
      <c r="P874" s="59" t="n"/>
      <c r="Q874" s="59" t="n"/>
    </row>
    <row r="875">
      <c r="A875" s="31">
        <f>IF(Members!$A875="","",Members!$A875)</f>
        <v/>
      </c>
      <c r="B875" s="31" t="n"/>
      <c r="C875" s="31" t="n"/>
      <c r="D875" s="31" t="n"/>
      <c r="E875" s="31" t="n"/>
      <c r="F875" s="31" t="n"/>
      <c r="G875" s="31" t="n"/>
      <c r="H875" s="31" t="n"/>
      <c r="I875" s="31" t="n"/>
      <c r="J875" s="31" t="n"/>
      <c r="K875" s="31">
        <f>IF(COUNTA($D875:$J875)&lt;7,"",ROUND(MIN(10000, MAX(0, ((((($D875*1.2)+($E875*1.2)+($F875*1.1)+($G875*1.0)+($H875*1.0)+($I875*1.1)+($J875*0.9))/7.5)-1)/4*8000 + MIN($B875*20,1000) + MIN($C875*100,1000))),0))</f>
        <v/>
      </c>
      <c r="L875" s="31">
        <f>IF($K875="","",MIN(100,INT(SQRT($K875))))</f>
        <v/>
      </c>
      <c r="M875" s="31" t="n"/>
      <c r="N875" s="31">
        <f>IF($M875="Yes",$K875,"")</f>
        <v/>
      </c>
      <c r="O875" s="31" t="n"/>
      <c r="P875" s="59" t="n"/>
      <c r="Q875" s="59" t="n"/>
    </row>
    <row r="876">
      <c r="A876" s="31">
        <f>IF(Members!$A876="","",Members!$A876)</f>
        <v/>
      </c>
      <c r="B876" s="31" t="n"/>
      <c r="C876" s="31" t="n"/>
      <c r="D876" s="31" t="n"/>
      <c r="E876" s="31" t="n"/>
      <c r="F876" s="31" t="n"/>
      <c r="G876" s="31" t="n"/>
      <c r="H876" s="31" t="n"/>
      <c r="I876" s="31" t="n"/>
      <c r="J876" s="31" t="n"/>
      <c r="K876" s="31">
        <f>IF(COUNTA($D876:$J876)&lt;7,"",ROUND(MIN(10000, MAX(0, ((((($D876*1.2)+($E876*1.2)+($F876*1.1)+($G876*1.0)+($H876*1.0)+($I876*1.1)+($J876*0.9))/7.5)-1)/4*8000 + MIN($B876*20,1000) + MIN($C876*100,1000))),0))</f>
        <v/>
      </c>
      <c r="L876" s="31">
        <f>IF($K876="","",MIN(100,INT(SQRT($K876))))</f>
        <v/>
      </c>
      <c r="M876" s="31" t="n"/>
      <c r="N876" s="31">
        <f>IF($M876="Yes",$K876,"")</f>
        <v/>
      </c>
      <c r="O876" s="31" t="n"/>
      <c r="P876" s="59" t="n"/>
      <c r="Q876" s="59" t="n"/>
    </row>
    <row r="877">
      <c r="A877" s="31">
        <f>IF(Members!$A877="","",Members!$A877)</f>
        <v/>
      </c>
      <c r="B877" s="31" t="n"/>
      <c r="C877" s="31" t="n"/>
      <c r="D877" s="31" t="n"/>
      <c r="E877" s="31" t="n"/>
      <c r="F877" s="31" t="n"/>
      <c r="G877" s="31" t="n"/>
      <c r="H877" s="31" t="n"/>
      <c r="I877" s="31" t="n"/>
      <c r="J877" s="31" t="n"/>
      <c r="K877" s="31">
        <f>IF(COUNTA($D877:$J877)&lt;7,"",ROUND(MIN(10000, MAX(0, ((((($D877*1.2)+($E877*1.2)+($F877*1.1)+($G877*1.0)+($H877*1.0)+($I877*1.1)+($J877*0.9))/7.5)-1)/4*8000 + MIN($B877*20,1000) + MIN($C877*100,1000))),0))</f>
        <v/>
      </c>
      <c r="L877" s="31">
        <f>IF($K877="","",MIN(100,INT(SQRT($K877))))</f>
        <v/>
      </c>
      <c r="M877" s="31" t="n"/>
      <c r="N877" s="31">
        <f>IF($M877="Yes",$K877,"")</f>
        <v/>
      </c>
      <c r="O877" s="31" t="n"/>
      <c r="P877" s="59" t="n"/>
      <c r="Q877" s="59" t="n"/>
    </row>
    <row r="878">
      <c r="A878" s="31">
        <f>IF(Members!$A878="","",Members!$A878)</f>
        <v/>
      </c>
      <c r="B878" s="31" t="n"/>
      <c r="C878" s="31" t="n"/>
      <c r="D878" s="31" t="n"/>
      <c r="E878" s="31" t="n"/>
      <c r="F878" s="31" t="n"/>
      <c r="G878" s="31" t="n"/>
      <c r="H878" s="31" t="n"/>
      <c r="I878" s="31" t="n"/>
      <c r="J878" s="31" t="n"/>
      <c r="K878" s="31">
        <f>IF(COUNTA($D878:$J878)&lt;7,"",ROUND(MIN(10000, MAX(0, ((((($D878*1.2)+($E878*1.2)+($F878*1.1)+($G878*1.0)+($H878*1.0)+($I878*1.1)+($J878*0.9))/7.5)-1)/4*8000 + MIN($B878*20,1000) + MIN($C878*100,1000))),0))</f>
        <v/>
      </c>
      <c r="L878" s="31">
        <f>IF($K878="","",MIN(100,INT(SQRT($K878))))</f>
        <v/>
      </c>
      <c r="M878" s="31" t="n"/>
      <c r="N878" s="31">
        <f>IF($M878="Yes",$K878,"")</f>
        <v/>
      </c>
      <c r="O878" s="31" t="n"/>
      <c r="P878" s="59" t="n"/>
      <c r="Q878" s="59" t="n"/>
    </row>
    <row r="879">
      <c r="A879" s="31">
        <f>IF(Members!$A879="","",Members!$A879)</f>
        <v/>
      </c>
      <c r="B879" s="31" t="n"/>
      <c r="C879" s="31" t="n"/>
      <c r="D879" s="31" t="n"/>
      <c r="E879" s="31" t="n"/>
      <c r="F879" s="31" t="n"/>
      <c r="G879" s="31" t="n"/>
      <c r="H879" s="31" t="n"/>
      <c r="I879" s="31" t="n"/>
      <c r="J879" s="31" t="n"/>
      <c r="K879" s="31">
        <f>IF(COUNTA($D879:$J879)&lt;7,"",ROUND(MIN(10000, MAX(0, ((((($D879*1.2)+($E879*1.2)+($F879*1.1)+($G879*1.0)+($H879*1.0)+($I879*1.1)+($J879*0.9))/7.5)-1)/4*8000 + MIN($B879*20,1000) + MIN($C879*100,1000))),0))</f>
        <v/>
      </c>
      <c r="L879" s="31">
        <f>IF($K879="","",MIN(100,INT(SQRT($K879))))</f>
        <v/>
      </c>
      <c r="M879" s="31" t="n"/>
      <c r="N879" s="31">
        <f>IF($M879="Yes",$K879,"")</f>
        <v/>
      </c>
      <c r="O879" s="31" t="n"/>
      <c r="P879" s="59" t="n"/>
      <c r="Q879" s="59" t="n"/>
    </row>
    <row r="880">
      <c r="A880" s="31">
        <f>IF(Members!$A880="","",Members!$A880)</f>
        <v/>
      </c>
      <c r="B880" s="31" t="n"/>
      <c r="C880" s="31" t="n"/>
      <c r="D880" s="31" t="n"/>
      <c r="E880" s="31" t="n"/>
      <c r="F880" s="31" t="n"/>
      <c r="G880" s="31" t="n"/>
      <c r="H880" s="31" t="n"/>
      <c r="I880" s="31" t="n"/>
      <c r="J880" s="31" t="n"/>
      <c r="K880" s="31">
        <f>IF(COUNTA($D880:$J880)&lt;7,"",ROUND(MIN(10000, MAX(0, ((((($D880*1.2)+($E880*1.2)+($F880*1.1)+($G880*1.0)+($H880*1.0)+($I880*1.1)+($J880*0.9))/7.5)-1)/4*8000 + MIN($B880*20,1000) + MIN($C880*100,1000))),0))</f>
        <v/>
      </c>
      <c r="L880" s="31">
        <f>IF($K880="","",MIN(100,INT(SQRT($K880))))</f>
        <v/>
      </c>
      <c r="M880" s="31" t="n"/>
      <c r="N880" s="31">
        <f>IF($M880="Yes",$K880,"")</f>
        <v/>
      </c>
      <c r="O880" s="31" t="n"/>
      <c r="P880" s="59" t="n"/>
      <c r="Q880" s="59" t="n"/>
    </row>
    <row r="881">
      <c r="A881" s="31">
        <f>IF(Members!$A881="","",Members!$A881)</f>
        <v/>
      </c>
      <c r="B881" s="31" t="n"/>
      <c r="C881" s="31" t="n"/>
      <c r="D881" s="31" t="n"/>
      <c r="E881" s="31" t="n"/>
      <c r="F881" s="31" t="n"/>
      <c r="G881" s="31" t="n"/>
      <c r="H881" s="31" t="n"/>
      <c r="I881" s="31" t="n"/>
      <c r="J881" s="31" t="n"/>
      <c r="K881" s="31">
        <f>IF(COUNTA($D881:$J881)&lt;7,"",ROUND(MIN(10000, MAX(0, ((((($D881*1.2)+($E881*1.2)+($F881*1.1)+($G881*1.0)+($H881*1.0)+($I881*1.1)+($J881*0.9))/7.5)-1)/4*8000 + MIN($B881*20,1000) + MIN($C881*100,1000))),0))</f>
        <v/>
      </c>
      <c r="L881" s="31">
        <f>IF($K881="","",MIN(100,INT(SQRT($K881))))</f>
        <v/>
      </c>
      <c r="M881" s="31" t="n"/>
      <c r="N881" s="31">
        <f>IF($M881="Yes",$K881,"")</f>
        <v/>
      </c>
      <c r="O881" s="31" t="n"/>
      <c r="P881" s="59" t="n"/>
      <c r="Q881" s="59" t="n"/>
    </row>
    <row r="882">
      <c r="A882" s="31">
        <f>IF(Members!$A882="","",Members!$A882)</f>
        <v/>
      </c>
      <c r="B882" s="31" t="n"/>
      <c r="C882" s="31" t="n"/>
      <c r="D882" s="31" t="n"/>
      <c r="E882" s="31" t="n"/>
      <c r="F882" s="31" t="n"/>
      <c r="G882" s="31" t="n"/>
      <c r="H882" s="31" t="n"/>
      <c r="I882" s="31" t="n"/>
      <c r="J882" s="31" t="n"/>
      <c r="K882" s="31">
        <f>IF(COUNTA($D882:$J882)&lt;7,"",ROUND(MIN(10000, MAX(0, ((((($D882*1.2)+($E882*1.2)+($F882*1.1)+($G882*1.0)+($H882*1.0)+($I882*1.1)+($J882*0.9))/7.5)-1)/4*8000 + MIN($B882*20,1000) + MIN($C882*100,1000))),0))</f>
        <v/>
      </c>
      <c r="L882" s="31">
        <f>IF($K882="","",MIN(100,INT(SQRT($K882))))</f>
        <v/>
      </c>
      <c r="M882" s="31" t="n"/>
      <c r="N882" s="31">
        <f>IF($M882="Yes",$K882,"")</f>
        <v/>
      </c>
      <c r="O882" s="31" t="n"/>
      <c r="P882" s="59" t="n"/>
      <c r="Q882" s="59" t="n"/>
    </row>
    <row r="883">
      <c r="A883" s="31">
        <f>IF(Members!$A883="","",Members!$A883)</f>
        <v/>
      </c>
      <c r="B883" s="31" t="n"/>
      <c r="C883" s="31" t="n"/>
      <c r="D883" s="31" t="n"/>
      <c r="E883" s="31" t="n"/>
      <c r="F883" s="31" t="n"/>
      <c r="G883" s="31" t="n"/>
      <c r="H883" s="31" t="n"/>
      <c r="I883" s="31" t="n"/>
      <c r="J883" s="31" t="n"/>
      <c r="K883" s="31">
        <f>IF(COUNTA($D883:$J883)&lt;7,"",ROUND(MIN(10000, MAX(0, ((((($D883*1.2)+($E883*1.2)+($F883*1.1)+($G883*1.0)+($H883*1.0)+($I883*1.1)+($J883*0.9))/7.5)-1)/4*8000 + MIN($B883*20,1000) + MIN($C883*100,1000))),0))</f>
        <v/>
      </c>
      <c r="L883" s="31">
        <f>IF($K883="","",MIN(100,INT(SQRT($K883))))</f>
        <v/>
      </c>
      <c r="M883" s="31" t="n"/>
      <c r="N883" s="31">
        <f>IF($M883="Yes",$K883,"")</f>
        <v/>
      </c>
      <c r="O883" s="31" t="n"/>
      <c r="P883" s="59" t="n"/>
      <c r="Q883" s="59" t="n"/>
    </row>
    <row r="884">
      <c r="A884" s="31">
        <f>IF(Members!$A884="","",Members!$A884)</f>
        <v/>
      </c>
      <c r="B884" s="31" t="n"/>
      <c r="C884" s="31" t="n"/>
      <c r="D884" s="31" t="n"/>
      <c r="E884" s="31" t="n"/>
      <c r="F884" s="31" t="n"/>
      <c r="G884" s="31" t="n"/>
      <c r="H884" s="31" t="n"/>
      <c r="I884" s="31" t="n"/>
      <c r="J884" s="31" t="n"/>
      <c r="K884" s="31">
        <f>IF(COUNTA($D884:$J884)&lt;7,"",ROUND(MIN(10000, MAX(0, ((((($D884*1.2)+($E884*1.2)+($F884*1.1)+($G884*1.0)+($H884*1.0)+($I884*1.1)+($J884*0.9))/7.5)-1)/4*8000 + MIN($B884*20,1000) + MIN($C884*100,1000))),0))</f>
        <v/>
      </c>
      <c r="L884" s="31">
        <f>IF($K884="","",MIN(100,INT(SQRT($K884))))</f>
        <v/>
      </c>
      <c r="M884" s="31" t="n"/>
      <c r="N884" s="31">
        <f>IF($M884="Yes",$K884,"")</f>
        <v/>
      </c>
      <c r="O884" s="31" t="n"/>
      <c r="P884" s="59" t="n"/>
      <c r="Q884" s="59" t="n"/>
    </row>
    <row r="885">
      <c r="A885" s="31">
        <f>IF(Members!$A885="","",Members!$A885)</f>
        <v/>
      </c>
      <c r="B885" s="31" t="n"/>
      <c r="C885" s="31" t="n"/>
      <c r="D885" s="31" t="n"/>
      <c r="E885" s="31" t="n"/>
      <c r="F885" s="31" t="n"/>
      <c r="G885" s="31" t="n"/>
      <c r="H885" s="31" t="n"/>
      <c r="I885" s="31" t="n"/>
      <c r="J885" s="31" t="n"/>
      <c r="K885" s="31">
        <f>IF(COUNTA($D885:$J885)&lt;7,"",ROUND(MIN(10000, MAX(0, ((((($D885*1.2)+($E885*1.2)+($F885*1.1)+($G885*1.0)+($H885*1.0)+($I885*1.1)+($J885*0.9))/7.5)-1)/4*8000 + MIN($B885*20,1000) + MIN($C885*100,1000))),0))</f>
        <v/>
      </c>
      <c r="L885" s="31">
        <f>IF($K885="","",MIN(100,INT(SQRT($K885))))</f>
        <v/>
      </c>
      <c r="M885" s="31" t="n"/>
      <c r="N885" s="31">
        <f>IF($M885="Yes",$K885,"")</f>
        <v/>
      </c>
      <c r="O885" s="31" t="n"/>
      <c r="P885" s="59" t="n"/>
      <c r="Q885" s="59" t="n"/>
    </row>
    <row r="886">
      <c r="A886" s="31">
        <f>IF(Members!$A886="","",Members!$A886)</f>
        <v/>
      </c>
      <c r="B886" s="31" t="n"/>
      <c r="C886" s="31" t="n"/>
      <c r="D886" s="31" t="n"/>
      <c r="E886" s="31" t="n"/>
      <c r="F886" s="31" t="n"/>
      <c r="G886" s="31" t="n"/>
      <c r="H886" s="31" t="n"/>
      <c r="I886" s="31" t="n"/>
      <c r="J886" s="31" t="n"/>
      <c r="K886" s="31">
        <f>IF(COUNTA($D886:$J886)&lt;7,"",ROUND(MIN(10000, MAX(0, ((((($D886*1.2)+($E886*1.2)+($F886*1.1)+($G886*1.0)+($H886*1.0)+($I886*1.1)+($J886*0.9))/7.5)-1)/4*8000 + MIN($B886*20,1000) + MIN($C886*100,1000))),0))</f>
        <v/>
      </c>
      <c r="L886" s="31">
        <f>IF($K886="","",MIN(100,INT(SQRT($K886))))</f>
        <v/>
      </c>
      <c r="M886" s="31" t="n"/>
      <c r="N886" s="31">
        <f>IF($M886="Yes",$K886,"")</f>
        <v/>
      </c>
      <c r="O886" s="31" t="n"/>
      <c r="P886" s="59" t="n"/>
      <c r="Q886" s="59" t="n"/>
    </row>
    <row r="887">
      <c r="A887" s="31">
        <f>IF(Members!$A887="","",Members!$A887)</f>
        <v/>
      </c>
      <c r="B887" s="31" t="n"/>
      <c r="C887" s="31" t="n"/>
      <c r="D887" s="31" t="n"/>
      <c r="E887" s="31" t="n"/>
      <c r="F887" s="31" t="n"/>
      <c r="G887" s="31" t="n"/>
      <c r="H887" s="31" t="n"/>
      <c r="I887" s="31" t="n"/>
      <c r="J887" s="31" t="n"/>
      <c r="K887" s="31">
        <f>IF(COUNTA($D887:$J887)&lt;7,"",ROUND(MIN(10000, MAX(0, ((((($D887*1.2)+($E887*1.2)+($F887*1.1)+($G887*1.0)+($H887*1.0)+($I887*1.1)+($J887*0.9))/7.5)-1)/4*8000 + MIN($B887*20,1000) + MIN($C887*100,1000))),0))</f>
        <v/>
      </c>
      <c r="L887" s="31">
        <f>IF($K887="","",MIN(100,INT(SQRT($K887))))</f>
        <v/>
      </c>
      <c r="M887" s="31" t="n"/>
      <c r="N887" s="31">
        <f>IF($M887="Yes",$K887,"")</f>
        <v/>
      </c>
      <c r="O887" s="31" t="n"/>
      <c r="P887" s="59" t="n"/>
      <c r="Q887" s="59" t="n"/>
    </row>
    <row r="888">
      <c r="A888" s="31">
        <f>IF(Members!$A888="","",Members!$A888)</f>
        <v/>
      </c>
      <c r="B888" s="31" t="n"/>
      <c r="C888" s="31" t="n"/>
      <c r="D888" s="31" t="n"/>
      <c r="E888" s="31" t="n"/>
      <c r="F888" s="31" t="n"/>
      <c r="G888" s="31" t="n"/>
      <c r="H888" s="31" t="n"/>
      <c r="I888" s="31" t="n"/>
      <c r="J888" s="31" t="n"/>
      <c r="K888" s="31">
        <f>IF(COUNTA($D888:$J888)&lt;7,"",ROUND(MIN(10000, MAX(0, ((((($D888*1.2)+($E888*1.2)+($F888*1.1)+($G888*1.0)+($H888*1.0)+($I888*1.1)+($J888*0.9))/7.5)-1)/4*8000 + MIN($B888*20,1000) + MIN($C888*100,1000))),0))</f>
        <v/>
      </c>
      <c r="L888" s="31">
        <f>IF($K888="","",MIN(100,INT(SQRT($K888))))</f>
        <v/>
      </c>
      <c r="M888" s="31" t="n"/>
      <c r="N888" s="31">
        <f>IF($M888="Yes",$K888,"")</f>
        <v/>
      </c>
      <c r="O888" s="31" t="n"/>
      <c r="P888" s="59" t="n"/>
      <c r="Q888" s="59" t="n"/>
    </row>
    <row r="889">
      <c r="A889" s="31">
        <f>IF(Members!$A889="","",Members!$A889)</f>
        <v/>
      </c>
      <c r="B889" s="31" t="n"/>
      <c r="C889" s="31" t="n"/>
      <c r="D889" s="31" t="n"/>
      <c r="E889" s="31" t="n"/>
      <c r="F889" s="31" t="n"/>
      <c r="G889" s="31" t="n"/>
      <c r="H889" s="31" t="n"/>
      <c r="I889" s="31" t="n"/>
      <c r="J889" s="31" t="n"/>
      <c r="K889" s="31">
        <f>IF(COUNTA($D889:$J889)&lt;7,"",ROUND(MIN(10000, MAX(0, ((((($D889*1.2)+($E889*1.2)+($F889*1.1)+($G889*1.0)+($H889*1.0)+($I889*1.1)+($J889*0.9))/7.5)-1)/4*8000 + MIN($B889*20,1000) + MIN($C889*100,1000))),0))</f>
        <v/>
      </c>
      <c r="L889" s="31">
        <f>IF($K889="","",MIN(100,INT(SQRT($K889))))</f>
        <v/>
      </c>
      <c r="M889" s="31" t="n"/>
      <c r="N889" s="31">
        <f>IF($M889="Yes",$K889,"")</f>
        <v/>
      </c>
      <c r="O889" s="31" t="n"/>
      <c r="P889" s="59" t="n"/>
      <c r="Q889" s="59" t="n"/>
    </row>
    <row r="890">
      <c r="A890" s="31">
        <f>IF(Members!$A890="","",Members!$A890)</f>
        <v/>
      </c>
      <c r="B890" s="31" t="n"/>
      <c r="C890" s="31" t="n"/>
      <c r="D890" s="31" t="n"/>
      <c r="E890" s="31" t="n"/>
      <c r="F890" s="31" t="n"/>
      <c r="G890" s="31" t="n"/>
      <c r="H890" s="31" t="n"/>
      <c r="I890" s="31" t="n"/>
      <c r="J890" s="31" t="n"/>
      <c r="K890" s="31">
        <f>IF(COUNTA($D890:$J890)&lt;7,"",ROUND(MIN(10000, MAX(0, ((((($D890*1.2)+($E890*1.2)+($F890*1.1)+($G890*1.0)+($H890*1.0)+($I890*1.1)+($J890*0.9))/7.5)-1)/4*8000 + MIN($B890*20,1000) + MIN($C890*100,1000))),0))</f>
        <v/>
      </c>
      <c r="L890" s="31">
        <f>IF($K890="","",MIN(100,INT(SQRT($K890))))</f>
        <v/>
      </c>
      <c r="M890" s="31" t="n"/>
      <c r="N890" s="31">
        <f>IF($M890="Yes",$K890,"")</f>
        <v/>
      </c>
      <c r="O890" s="31" t="n"/>
      <c r="P890" s="59" t="n"/>
      <c r="Q890" s="59" t="n"/>
    </row>
    <row r="891">
      <c r="A891" s="31">
        <f>IF(Members!$A891="","",Members!$A891)</f>
        <v/>
      </c>
      <c r="B891" s="31" t="n"/>
      <c r="C891" s="31" t="n"/>
      <c r="D891" s="31" t="n"/>
      <c r="E891" s="31" t="n"/>
      <c r="F891" s="31" t="n"/>
      <c r="G891" s="31" t="n"/>
      <c r="H891" s="31" t="n"/>
      <c r="I891" s="31" t="n"/>
      <c r="J891" s="31" t="n"/>
      <c r="K891" s="31">
        <f>IF(COUNTA($D891:$J891)&lt;7,"",ROUND(MIN(10000, MAX(0, ((((($D891*1.2)+($E891*1.2)+($F891*1.1)+($G891*1.0)+($H891*1.0)+($I891*1.1)+($J891*0.9))/7.5)-1)/4*8000 + MIN($B891*20,1000) + MIN($C891*100,1000))),0))</f>
        <v/>
      </c>
      <c r="L891" s="31">
        <f>IF($K891="","",MIN(100,INT(SQRT($K891))))</f>
        <v/>
      </c>
      <c r="M891" s="31" t="n"/>
      <c r="N891" s="31">
        <f>IF($M891="Yes",$K891,"")</f>
        <v/>
      </c>
      <c r="O891" s="31" t="n"/>
      <c r="P891" s="59" t="n"/>
      <c r="Q891" s="59" t="n"/>
    </row>
    <row r="892">
      <c r="A892" s="31">
        <f>IF(Members!$A892="","",Members!$A892)</f>
        <v/>
      </c>
      <c r="B892" s="31" t="n"/>
      <c r="C892" s="31" t="n"/>
      <c r="D892" s="31" t="n"/>
      <c r="E892" s="31" t="n"/>
      <c r="F892" s="31" t="n"/>
      <c r="G892" s="31" t="n"/>
      <c r="H892" s="31" t="n"/>
      <c r="I892" s="31" t="n"/>
      <c r="J892" s="31" t="n"/>
      <c r="K892" s="31">
        <f>IF(COUNTA($D892:$J892)&lt;7,"",ROUND(MIN(10000, MAX(0, ((((($D892*1.2)+($E892*1.2)+($F892*1.1)+($G892*1.0)+($H892*1.0)+($I892*1.1)+($J892*0.9))/7.5)-1)/4*8000 + MIN($B892*20,1000) + MIN($C892*100,1000))),0))</f>
        <v/>
      </c>
      <c r="L892" s="31">
        <f>IF($K892="","",MIN(100,INT(SQRT($K892))))</f>
        <v/>
      </c>
      <c r="M892" s="31" t="n"/>
      <c r="N892" s="31">
        <f>IF($M892="Yes",$K892,"")</f>
        <v/>
      </c>
      <c r="O892" s="31" t="n"/>
      <c r="P892" s="59" t="n"/>
      <c r="Q892" s="59" t="n"/>
    </row>
    <row r="893">
      <c r="A893" s="31">
        <f>IF(Members!$A893="","",Members!$A893)</f>
        <v/>
      </c>
      <c r="B893" s="31" t="n"/>
      <c r="C893" s="31" t="n"/>
      <c r="D893" s="31" t="n"/>
      <c r="E893" s="31" t="n"/>
      <c r="F893" s="31" t="n"/>
      <c r="G893" s="31" t="n"/>
      <c r="H893" s="31" t="n"/>
      <c r="I893" s="31" t="n"/>
      <c r="J893" s="31" t="n"/>
      <c r="K893" s="31">
        <f>IF(COUNTA($D893:$J893)&lt;7,"",ROUND(MIN(10000, MAX(0, ((((($D893*1.2)+($E893*1.2)+($F893*1.1)+($G893*1.0)+($H893*1.0)+($I893*1.1)+($J893*0.9))/7.5)-1)/4*8000 + MIN($B893*20,1000) + MIN($C893*100,1000))),0))</f>
        <v/>
      </c>
      <c r="L893" s="31">
        <f>IF($K893="","",MIN(100,INT(SQRT($K893))))</f>
        <v/>
      </c>
      <c r="M893" s="31" t="n"/>
      <c r="N893" s="31">
        <f>IF($M893="Yes",$K893,"")</f>
        <v/>
      </c>
      <c r="O893" s="31" t="n"/>
      <c r="P893" s="59" t="n"/>
      <c r="Q893" s="59" t="n"/>
    </row>
    <row r="894">
      <c r="A894" s="31">
        <f>IF(Members!$A894="","",Members!$A894)</f>
        <v/>
      </c>
      <c r="B894" s="31" t="n"/>
      <c r="C894" s="31" t="n"/>
      <c r="D894" s="31" t="n"/>
      <c r="E894" s="31" t="n"/>
      <c r="F894" s="31" t="n"/>
      <c r="G894" s="31" t="n"/>
      <c r="H894" s="31" t="n"/>
      <c r="I894" s="31" t="n"/>
      <c r="J894" s="31" t="n"/>
      <c r="K894" s="31">
        <f>IF(COUNTA($D894:$J894)&lt;7,"",ROUND(MIN(10000, MAX(0, ((((($D894*1.2)+($E894*1.2)+($F894*1.1)+($G894*1.0)+($H894*1.0)+($I894*1.1)+($J894*0.9))/7.5)-1)/4*8000 + MIN($B894*20,1000) + MIN($C894*100,1000))),0))</f>
        <v/>
      </c>
      <c r="L894" s="31">
        <f>IF($K894="","",MIN(100,INT(SQRT($K894))))</f>
        <v/>
      </c>
      <c r="M894" s="31" t="n"/>
      <c r="N894" s="31">
        <f>IF($M894="Yes",$K894,"")</f>
        <v/>
      </c>
      <c r="O894" s="31" t="n"/>
      <c r="P894" s="59" t="n"/>
      <c r="Q894" s="59" t="n"/>
    </row>
    <row r="895">
      <c r="A895" s="31">
        <f>IF(Members!$A895="","",Members!$A895)</f>
        <v/>
      </c>
      <c r="B895" s="31" t="n"/>
      <c r="C895" s="31" t="n"/>
      <c r="D895" s="31" t="n"/>
      <c r="E895" s="31" t="n"/>
      <c r="F895" s="31" t="n"/>
      <c r="G895" s="31" t="n"/>
      <c r="H895" s="31" t="n"/>
      <c r="I895" s="31" t="n"/>
      <c r="J895" s="31" t="n"/>
      <c r="K895" s="31">
        <f>IF(COUNTA($D895:$J895)&lt;7,"",ROUND(MIN(10000, MAX(0, ((((($D895*1.2)+($E895*1.2)+($F895*1.1)+($G895*1.0)+($H895*1.0)+($I895*1.1)+($J895*0.9))/7.5)-1)/4*8000 + MIN($B895*20,1000) + MIN($C895*100,1000))),0))</f>
        <v/>
      </c>
      <c r="L895" s="31">
        <f>IF($K895="","",MIN(100,INT(SQRT($K895))))</f>
        <v/>
      </c>
      <c r="M895" s="31" t="n"/>
      <c r="N895" s="31">
        <f>IF($M895="Yes",$K895,"")</f>
        <v/>
      </c>
      <c r="O895" s="31" t="n"/>
      <c r="P895" s="59" t="n"/>
      <c r="Q895" s="59" t="n"/>
    </row>
    <row r="896">
      <c r="A896" s="31">
        <f>IF(Members!$A896="","",Members!$A896)</f>
        <v/>
      </c>
      <c r="B896" s="31" t="n"/>
      <c r="C896" s="31" t="n"/>
      <c r="D896" s="31" t="n"/>
      <c r="E896" s="31" t="n"/>
      <c r="F896" s="31" t="n"/>
      <c r="G896" s="31" t="n"/>
      <c r="H896" s="31" t="n"/>
      <c r="I896" s="31" t="n"/>
      <c r="J896" s="31" t="n"/>
      <c r="K896" s="31">
        <f>IF(COUNTA($D896:$J896)&lt;7,"",ROUND(MIN(10000, MAX(0, ((((($D896*1.2)+($E896*1.2)+($F896*1.1)+($G896*1.0)+($H896*1.0)+($I896*1.1)+($J896*0.9))/7.5)-1)/4*8000 + MIN($B896*20,1000) + MIN($C896*100,1000))),0))</f>
        <v/>
      </c>
      <c r="L896" s="31">
        <f>IF($K896="","",MIN(100,INT(SQRT($K896))))</f>
        <v/>
      </c>
      <c r="M896" s="31" t="n"/>
      <c r="N896" s="31">
        <f>IF($M896="Yes",$K896,"")</f>
        <v/>
      </c>
      <c r="O896" s="31" t="n"/>
      <c r="P896" s="59" t="n"/>
      <c r="Q896" s="59" t="n"/>
    </row>
    <row r="897">
      <c r="A897" s="31">
        <f>IF(Members!$A897="","",Members!$A897)</f>
        <v/>
      </c>
      <c r="B897" s="31" t="n"/>
      <c r="C897" s="31" t="n"/>
      <c r="D897" s="31" t="n"/>
      <c r="E897" s="31" t="n"/>
      <c r="F897" s="31" t="n"/>
      <c r="G897" s="31" t="n"/>
      <c r="H897" s="31" t="n"/>
      <c r="I897" s="31" t="n"/>
      <c r="J897" s="31" t="n"/>
      <c r="K897" s="31">
        <f>IF(COUNTA($D897:$J897)&lt;7,"",ROUND(MIN(10000, MAX(0, ((((($D897*1.2)+($E897*1.2)+($F897*1.1)+($G897*1.0)+($H897*1.0)+($I897*1.1)+($J897*0.9))/7.5)-1)/4*8000 + MIN($B897*20,1000) + MIN($C897*100,1000))),0))</f>
        <v/>
      </c>
      <c r="L897" s="31">
        <f>IF($K897="","",MIN(100,INT(SQRT($K897))))</f>
        <v/>
      </c>
      <c r="M897" s="31" t="n"/>
      <c r="N897" s="31">
        <f>IF($M897="Yes",$K897,"")</f>
        <v/>
      </c>
      <c r="O897" s="31" t="n"/>
      <c r="P897" s="59" t="n"/>
      <c r="Q897" s="59" t="n"/>
    </row>
    <row r="898">
      <c r="A898" s="31">
        <f>IF(Members!$A898="","",Members!$A898)</f>
        <v/>
      </c>
      <c r="B898" s="31" t="n"/>
      <c r="C898" s="31" t="n"/>
      <c r="D898" s="31" t="n"/>
      <c r="E898" s="31" t="n"/>
      <c r="F898" s="31" t="n"/>
      <c r="G898" s="31" t="n"/>
      <c r="H898" s="31" t="n"/>
      <c r="I898" s="31" t="n"/>
      <c r="J898" s="31" t="n"/>
      <c r="K898" s="31">
        <f>IF(COUNTA($D898:$J898)&lt;7,"",ROUND(MIN(10000, MAX(0, ((((($D898*1.2)+($E898*1.2)+($F898*1.1)+($G898*1.0)+($H898*1.0)+($I898*1.1)+($J898*0.9))/7.5)-1)/4*8000 + MIN($B898*20,1000) + MIN($C898*100,1000))),0))</f>
        <v/>
      </c>
      <c r="L898" s="31">
        <f>IF($K898="","",MIN(100,INT(SQRT($K898))))</f>
        <v/>
      </c>
      <c r="M898" s="31" t="n"/>
      <c r="N898" s="31">
        <f>IF($M898="Yes",$K898,"")</f>
        <v/>
      </c>
      <c r="O898" s="31" t="n"/>
      <c r="P898" s="59" t="n"/>
      <c r="Q898" s="59" t="n"/>
    </row>
    <row r="899">
      <c r="A899" s="31">
        <f>IF(Members!$A899="","",Members!$A899)</f>
        <v/>
      </c>
      <c r="B899" s="31" t="n"/>
      <c r="C899" s="31" t="n"/>
      <c r="D899" s="31" t="n"/>
      <c r="E899" s="31" t="n"/>
      <c r="F899" s="31" t="n"/>
      <c r="G899" s="31" t="n"/>
      <c r="H899" s="31" t="n"/>
      <c r="I899" s="31" t="n"/>
      <c r="J899" s="31" t="n"/>
      <c r="K899" s="31">
        <f>IF(COUNTA($D899:$J899)&lt;7,"",ROUND(MIN(10000, MAX(0, ((((($D899*1.2)+($E899*1.2)+($F899*1.1)+($G899*1.0)+($H899*1.0)+($I899*1.1)+($J899*0.9))/7.5)-1)/4*8000 + MIN($B899*20,1000) + MIN($C899*100,1000))),0))</f>
        <v/>
      </c>
      <c r="L899" s="31">
        <f>IF($K899="","",MIN(100,INT(SQRT($K899))))</f>
        <v/>
      </c>
      <c r="M899" s="31" t="n"/>
      <c r="N899" s="31">
        <f>IF($M899="Yes",$K899,"")</f>
        <v/>
      </c>
      <c r="O899" s="31" t="n"/>
      <c r="P899" s="59" t="n"/>
      <c r="Q899" s="59" t="n"/>
    </row>
    <row r="900">
      <c r="A900" s="31">
        <f>IF(Members!$A900="","",Members!$A900)</f>
        <v/>
      </c>
      <c r="B900" s="31" t="n"/>
      <c r="C900" s="31" t="n"/>
      <c r="D900" s="31" t="n"/>
      <c r="E900" s="31" t="n"/>
      <c r="F900" s="31" t="n"/>
      <c r="G900" s="31" t="n"/>
      <c r="H900" s="31" t="n"/>
      <c r="I900" s="31" t="n"/>
      <c r="J900" s="31" t="n"/>
      <c r="K900" s="31">
        <f>IF(COUNTA($D900:$J900)&lt;7,"",ROUND(MIN(10000, MAX(0, ((((($D900*1.2)+($E900*1.2)+($F900*1.1)+($G900*1.0)+($H900*1.0)+($I900*1.1)+($J900*0.9))/7.5)-1)/4*8000 + MIN($B900*20,1000) + MIN($C900*100,1000))),0))</f>
        <v/>
      </c>
      <c r="L900" s="31">
        <f>IF($K900="","",MIN(100,INT(SQRT($K900))))</f>
        <v/>
      </c>
      <c r="M900" s="31" t="n"/>
      <c r="N900" s="31">
        <f>IF($M900="Yes",$K900,"")</f>
        <v/>
      </c>
      <c r="O900" s="31" t="n"/>
      <c r="P900" s="59" t="n"/>
      <c r="Q900" s="59" t="n"/>
    </row>
    <row r="901">
      <c r="A901" s="31">
        <f>IF(Members!$A901="","",Members!$A901)</f>
        <v/>
      </c>
      <c r="B901" s="31" t="n"/>
      <c r="C901" s="31" t="n"/>
      <c r="D901" s="31" t="n"/>
      <c r="E901" s="31" t="n"/>
      <c r="F901" s="31" t="n"/>
      <c r="G901" s="31" t="n"/>
      <c r="H901" s="31" t="n"/>
      <c r="I901" s="31" t="n"/>
      <c r="J901" s="31" t="n"/>
      <c r="K901" s="31">
        <f>IF(COUNTA($D901:$J901)&lt;7,"",ROUND(MIN(10000, MAX(0, ((((($D901*1.2)+($E901*1.2)+($F901*1.1)+($G901*1.0)+($H901*1.0)+($I901*1.1)+($J901*0.9))/7.5)-1)/4*8000 + MIN($B901*20,1000) + MIN($C901*100,1000))),0))</f>
        <v/>
      </c>
      <c r="L901" s="31">
        <f>IF($K901="","",MIN(100,INT(SQRT($K901))))</f>
        <v/>
      </c>
      <c r="M901" s="31" t="n"/>
      <c r="N901" s="31">
        <f>IF($M901="Yes",$K901,"")</f>
        <v/>
      </c>
      <c r="O901" s="31" t="n"/>
      <c r="P901" s="59" t="n"/>
      <c r="Q901" s="59" t="n"/>
    </row>
    <row r="902">
      <c r="A902" s="31">
        <f>IF(Members!$A902="","",Members!$A902)</f>
        <v/>
      </c>
      <c r="B902" s="31" t="n"/>
      <c r="C902" s="31" t="n"/>
      <c r="D902" s="31" t="n"/>
      <c r="E902" s="31" t="n"/>
      <c r="F902" s="31" t="n"/>
      <c r="G902" s="31" t="n"/>
      <c r="H902" s="31" t="n"/>
      <c r="I902" s="31" t="n"/>
      <c r="J902" s="31" t="n"/>
      <c r="K902" s="31">
        <f>IF(COUNTA($D902:$J902)&lt;7,"",ROUND(MIN(10000, MAX(0, ((((($D902*1.2)+($E902*1.2)+($F902*1.1)+($G902*1.0)+($H902*1.0)+($I902*1.1)+($J902*0.9))/7.5)-1)/4*8000 + MIN($B902*20,1000) + MIN($C902*100,1000))),0))</f>
        <v/>
      </c>
      <c r="L902" s="31">
        <f>IF($K902="","",MIN(100,INT(SQRT($K902))))</f>
        <v/>
      </c>
      <c r="M902" s="31" t="n"/>
      <c r="N902" s="31">
        <f>IF($M902="Yes",$K902,"")</f>
        <v/>
      </c>
      <c r="O902" s="31" t="n"/>
      <c r="P902" s="59" t="n"/>
      <c r="Q902" s="59" t="n"/>
    </row>
    <row r="903">
      <c r="A903" s="31">
        <f>IF(Members!$A903="","",Members!$A903)</f>
        <v/>
      </c>
      <c r="B903" s="31" t="n"/>
      <c r="C903" s="31" t="n"/>
      <c r="D903" s="31" t="n"/>
      <c r="E903" s="31" t="n"/>
      <c r="F903" s="31" t="n"/>
      <c r="G903" s="31" t="n"/>
      <c r="H903" s="31" t="n"/>
      <c r="I903" s="31" t="n"/>
      <c r="J903" s="31" t="n"/>
      <c r="K903" s="31">
        <f>IF(COUNTA($D903:$J903)&lt;7,"",ROUND(MIN(10000, MAX(0, ((((($D903*1.2)+($E903*1.2)+($F903*1.1)+($G903*1.0)+($H903*1.0)+($I903*1.1)+($J903*0.9))/7.5)-1)/4*8000 + MIN($B903*20,1000) + MIN($C903*100,1000))),0))</f>
        <v/>
      </c>
      <c r="L903" s="31">
        <f>IF($K903="","",MIN(100,INT(SQRT($K903))))</f>
        <v/>
      </c>
      <c r="M903" s="31" t="n"/>
      <c r="N903" s="31">
        <f>IF($M903="Yes",$K903,"")</f>
        <v/>
      </c>
      <c r="O903" s="31" t="n"/>
      <c r="P903" s="59" t="n"/>
      <c r="Q903" s="59" t="n"/>
    </row>
    <row r="904">
      <c r="A904" s="31">
        <f>IF(Members!$A904="","",Members!$A904)</f>
        <v/>
      </c>
      <c r="B904" s="31" t="n"/>
      <c r="C904" s="31" t="n"/>
      <c r="D904" s="31" t="n"/>
      <c r="E904" s="31" t="n"/>
      <c r="F904" s="31" t="n"/>
      <c r="G904" s="31" t="n"/>
      <c r="H904" s="31" t="n"/>
      <c r="I904" s="31" t="n"/>
      <c r="J904" s="31" t="n"/>
      <c r="K904" s="31">
        <f>IF(COUNTA($D904:$J904)&lt;7,"",ROUND(MIN(10000, MAX(0, ((((($D904*1.2)+($E904*1.2)+($F904*1.1)+($G904*1.0)+($H904*1.0)+($I904*1.1)+($J904*0.9))/7.5)-1)/4*8000 + MIN($B904*20,1000) + MIN($C904*100,1000))),0))</f>
        <v/>
      </c>
      <c r="L904" s="31">
        <f>IF($K904="","",MIN(100,INT(SQRT($K904))))</f>
        <v/>
      </c>
      <c r="M904" s="31" t="n"/>
      <c r="N904" s="31">
        <f>IF($M904="Yes",$K904,"")</f>
        <v/>
      </c>
      <c r="O904" s="31" t="n"/>
      <c r="P904" s="59" t="n"/>
      <c r="Q904" s="59" t="n"/>
    </row>
    <row r="905">
      <c r="A905" s="31">
        <f>IF(Members!$A905="","",Members!$A905)</f>
        <v/>
      </c>
      <c r="B905" s="31" t="n"/>
      <c r="C905" s="31" t="n"/>
      <c r="D905" s="31" t="n"/>
      <c r="E905" s="31" t="n"/>
      <c r="F905" s="31" t="n"/>
      <c r="G905" s="31" t="n"/>
      <c r="H905" s="31" t="n"/>
      <c r="I905" s="31" t="n"/>
      <c r="J905" s="31" t="n"/>
      <c r="K905" s="31">
        <f>IF(COUNTA($D905:$J905)&lt;7,"",ROUND(MIN(10000, MAX(0, ((((($D905*1.2)+($E905*1.2)+($F905*1.1)+($G905*1.0)+($H905*1.0)+($I905*1.1)+($J905*0.9))/7.5)-1)/4*8000 + MIN($B905*20,1000) + MIN($C905*100,1000))),0))</f>
        <v/>
      </c>
      <c r="L905" s="31">
        <f>IF($K905="","",MIN(100,INT(SQRT($K905))))</f>
        <v/>
      </c>
      <c r="M905" s="31" t="n"/>
      <c r="N905" s="31">
        <f>IF($M905="Yes",$K905,"")</f>
        <v/>
      </c>
      <c r="O905" s="31" t="n"/>
      <c r="P905" s="59" t="n"/>
      <c r="Q905" s="59" t="n"/>
    </row>
    <row r="906">
      <c r="A906" s="31">
        <f>IF(Members!$A906="","",Members!$A906)</f>
        <v/>
      </c>
      <c r="B906" s="31" t="n"/>
      <c r="C906" s="31" t="n"/>
      <c r="D906" s="31" t="n"/>
      <c r="E906" s="31" t="n"/>
      <c r="F906" s="31" t="n"/>
      <c r="G906" s="31" t="n"/>
      <c r="H906" s="31" t="n"/>
      <c r="I906" s="31" t="n"/>
      <c r="J906" s="31" t="n"/>
      <c r="K906" s="31">
        <f>IF(COUNTA($D906:$J906)&lt;7,"",ROUND(MIN(10000, MAX(0, ((((($D906*1.2)+($E906*1.2)+($F906*1.1)+($G906*1.0)+($H906*1.0)+($I906*1.1)+($J906*0.9))/7.5)-1)/4*8000 + MIN($B906*20,1000) + MIN($C906*100,1000))),0))</f>
        <v/>
      </c>
      <c r="L906" s="31">
        <f>IF($K906="","",MIN(100,INT(SQRT($K906))))</f>
        <v/>
      </c>
      <c r="M906" s="31" t="n"/>
      <c r="N906" s="31">
        <f>IF($M906="Yes",$K906,"")</f>
        <v/>
      </c>
      <c r="O906" s="31" t="n"/>
      <c r="P906" s="59" t="n"/>
      <c r="Q906" s="59" t="n"/>
    </row>
    <row r="907">
      <c r="A907" s="31">
        <f>IF(Members!$A907="","",Members!$A907)</f>
        <v/>
      </c>
      <c r="B907" s="31" t="n"/>
      <c r="C907" s="31" t="n"/>
      <c r="D907" s="31" t="n"/>
      <c r="E907" s="31" t="n"/>
      <c r="F907" s="31" t="n"/>
      <c r="G907" s="31" t="n"/>
      <c r="H907" s="31" t="n"/>
      <c r="I907" s="31" t="n"/>
      <c r="J907" s="31" t="n"/>
      <c r="K907" s="31">
        <f>IF(COUNTA($D907:$J907)&lt;7,"",ROUND(MIN(10000, MAX(0, ((((($D907*1.2)+($E907*1.2)+($F907*1.1)+($G907*1.0)+($H907*1.0)+($I907*1.1)+($J907*0.9))/7.5)-1)/4*8000 + MIN($B907*20,1000) + MIN($C907*100,1000))),0))</f>
        <v/>
      </c>
      <c r="L907" s="31">
        <f>IF($K907="","",MIN(100,INT(SQRT($K907))))</f>
        <v/>
      </c>
      <c r="M907" s="31" t="n"/>
      <c r="N907" s="31">
        <f>IF($M907="Yes",$K907,"")</f>
        <v/>
      </c>
      <c r="O907" s="31" t="n"/>
      <c r="P907" s="59" t="n"/>
      <c r="Q907" s="59" t="n"/>
    </row>
    <row r="908">
      <c r="A908" s="31">
        <f>IF(Members!$A908="","",Members!$A908)</f>
        <v/>
      </c>
      <c r="B908" s="31" t="n"/>
      <c r="C908" s="31" t="n"/>
      <c r="D908" s="31" t="n"/>
      <c r="E908" s="31" t="n"/>
      <c r="F908" s="31" t="n"/>
      <c r="G908" s="31" t="n"/>
      <c r="H908" s="31" t="n"/>
      <c r="I908" s="31" t="n"/>
      <c r="J908" s="31" t="n"/>
      <c r="K908" s="31">
        <f>IF(COUNTA($D908:$J908)&lt;7,"",ROUND(MIN(10000, MAX(0, ((((($D908*1.2)+($E908*1.2)+($F908*1.1)+($G908*1.0)+($H908*1.0)+($I908*1.1)+($J908*0.9))/7.5)-1)/4*8000 + MIN($B908*20,1000) + MIN($C908*100,1000))),0))</f>
        <v/>
      </c>
      <c r="L908" s="31">
        <f>IF($K908="","",MIN(100,INT(SQRT($K908))))</f>
        <v/>
      </c>
      <c r="M908" s="31" t="n"/>
      <c r="N908" s="31">
        <f>IF($M908="Yes",$K908,"")</f>
        <v/>
      </c>
      <c r="O908" s="31" t="n"/>
      <c r="P908" s="59" t="n"/>
      <c r="Q908" s="59" t="n"/>
    </row>
    <row r="909">
      <c r="A909" s="31">
        <f>IF(Members!$A909="","",Members!$A909)</f>
        <v/>
      </c>
      <c r="B909" s="31" t="n"/>
      <c r="C909" s="31" t="n"/>
      <c r="D909" s="31" t="n"/>
      <c r="E909" s="31" t="n"/>
      <c r="F909" s="31" t="n"/>
      <c r="G909" s="31" t="n"/>
      <c r="H909" s="31" t="n"/>
      <c r="I909" s="31" t="n"/>
      <c r="J909" s="31" t="n"/>
      <c r="K909" s="31">
        <f>IF(COUNTA($D909:$J909)&lt;7,"",ROUND(MIN(10000, MAX(0, ((((($D909*1.2)+($E909*1.2)+($F909*1.1)+($G909*1.0)+($H909*1.0)+($I909*1.1)+($J909*0.9))/7.5)-1)/4*8000 + MIN($B909*20,1000) + MIN($C909*100,1000))),0))</f>
        <v/>
      </c>
      <c r="L909" s="31">
        <f>IF($K909="","",MIN(100,INT(SQRT($K909))))</f>
        <v/>
      </c>
      <c r="M909" s="31" t="n"/>
      <c r="N909" s="31">
        <f>IF($M909="Yes",$K909,"")</f>
        <v/>
      </c>
      <c r="O909" s="31" t="n"/>
      <c r="P909" s="59" t="n"/>
      <c r="Q909" s="59" t="n"/>
    </row>
    <row r="910">
      <c r="A910" s="31">
        <f>IF(Members!$A910="","",Members!$A910)</f>
        <v/>
      </c>
      <c r="B910" s="31" t="n"/>
      <c r="C910" s="31" t="n"/>
      <c r="D910" s="31" t="n"/>
      <c r="E910" s="31" t="n"/>
      <c r="F910" s="31" t="n"/>
      <c r="G910" s="31" t="n"/>
      <c r="H910" s="31" t="n"/>
      <c r="I910" s="31" t="n"/>
      <c r="J910" s="31" t="n"/>
      <c r="K910" s="31">
        <f>IF(COUNTA($D910:$J910)&lt;7,"",ROUND(MIN(10000, MAX(0, ((((($D910*1.2)+($E910*1.2)+($F910*1.1)+($G910*1.0)+($H910*1.0)+($I910*1.1)+($J910*0.9))/7.5)-1)/4*8000 + MIN($B910*20,1000) + MIN($C910*100,1000))),0))</f>
        <v/>
      </c>
      <c r="L910" s="31">
        <f>IF($K910="","",MIN(100,INT(SQRT($K910))))</f>
        <v/>
      </c>
      <c r="M910" s="31" t="n"/>
      <c r="N910" s="31">
        <f>IF($M910="Yes",$K910,"")</f>
        <v/>
      </c>
      <c r="O910" s="31" t="n"/>
      <c r="P910" s="59" t="n"/>
      <c r="Q910" s="59" t="n"/>
    </row>
    <row r="911">
      <c r="A911" s="31">
        <f>IF(Members!$A911="","",Members!$A911)</f>
        <v/>
      </c>
      <c r="B911" s="31" t="n"/>
      <c r="C911" s="31" t="n"/>
      <c r="D911" s="31" t="n"/>
      <c r="E911" s="31" t="n"/>
      <c r="F911" s="31" t="n"/>
      <c r="G911" s="31" t="n"/>
      <c r="H911" s="31" t="n"/>
      <c r="I911" s="31" t="n"/>
      <c r="J911" s="31" t="n"/>
      <c r="K911" s="31">
        <f>IF(COUNTA($D911:$J911)&lt;7,"",ROUND(MIN(10000, MAX(0, ((((($D911*1.2)+($E911*1.2)+($F911*1.1)+($G911*1.0)+($H911*1.0)+($I911*1.1)+($J911*0.9))/7.5)-1)/4*8000 + MIN($B911*20,1000) + MIN($C911*100,1000))),0))</f>
        <v/>
      </c>
      <c r="L911" s="31">
        <f>IF($K911="","",MIN(100,INT(SQRT($K911))))</f>
        <v/>
      </c>
      <c r="M911" s="31" t="n"/>
      <c r="N911" s="31">
        <f>IF($M911="Yes",$K911,"")</f>
        <v/>
      </c>
      <c r="O911" s="31" t="n"/>
      <c r="P911" s="59" t="n"/>
      <c r="Q911" s="59" t="n"/>
    </row>
    <row r="912">
      <c r="A912" s="31">
        <f>IF(Members!$A912="","",Members!$A912)</f>
        <v/>
      </c>
      <c r="B912" s="31" t="n"/>
      <c r="C912" s="31" t="n"/>
      <c r="D912" s="31" t="n"/>
      <c r="E912" s="31" t="n"/>
      <c r="F912" s="31" t="n"/>
      <c r="G912" s="31" t="n"/>
      <c r="H912" s="31" t="n"/>
      <c r="I912" s="31" t="n"/>
      <c r="J912" s="31" t="n"/>
      <c r="K912" s="31">
        <f>IF(COUNTA($D912:$J912)&lt;7,"",ROUND(MIN(10000, MAX(0, ((((($D912*1.2)+($E912*1.2)+($F912*1.1)+($G912*1.0)+($H912*1.0)+($I912*1.1)+($J912*0.9))/7.5)-1)/4*8000 + MIN($B912*20,1000) + MIN($C912*100,1000))),0))</f>
        <v/>
      </c>
      <c r="L912" s="31">
        <f>IF($K912="","",MIN(100,INT(SQRT($K912))))</f>
        <v/>
      </c>
      <c r="M912" s="31" t="n"/>
      <c r="N912" s="31">
        <f>IF($M912="Yes",$K912,"")</f>
        <v/>
      </c>
      <c r="O912" s="31" t="n"/>
      <c r="P912" s="59" t="n"/>
      <c r="Q912" s="59" t="n"/>
    </row>
    <row r="913">
      <c r="A913" s="31">
        <f>IF(Members!$A913="","",Members!$A913)</f>
        <v/>
      </c>
      <c r="B913" s="31" t="n"/>
      <c r="C913" s="31" t="n"/>
      <c r="D913" s="31" t="n"/>
      <c r="E913" s="31" t="n"/>
      <c r="F913" s="31" t="n"/>
      <c r="G913" s="31" t="n"/>
      <c r="H913" s="31" t="n"/>
      <c r="I913" s="31" t="n"/>
      <c r="J913" s="31" t="n"/>
      <c r="K913" s="31">
        <f>IF(COUNTA($D913:$J913)&lt;7,"",ROUND(MIN(10000, MAX(0, ((((($D913*1.2)+($E913*1.2)+($F913*1.1)+($G913*1.0)+($H913*1.0)+($I913*1.1)+($J913*0.9))/7.5)-1)/4*8000 + MIN($B913*20,1000) + MIN($C913*100,1000))),0))</f>
        <v/>
      </c>
      <c r="L913" s="31">
        <f>IF($K913="","",MIN(100,INT(SQRT($K913))))</f>
        <v/>
      </c>
      <c r="M913" s="31" t="n"/>
      <c r="N913" s="31">
        <f>IF($M913="Yes",$K913,"")</f>
        <v/>
      </c>
      <c r="O913" s="31" t="n"/>
      <c r="P913" s="59" t="n"/>
      <c r="Q913" s="59" t="n"/>
    </row>
    <row r="914">
      <c r="A914" s="31">
        <f>IF(Members!$A914="","",Members!$A914)</f>
        <v/>
      </c>
      <c r="B914" s="31" t="n"/>
      <c r="C914" s="31" t="n"/>
      <c r="D914" s="31" t="n"/>
      <c r="E914" s="31" t="n"/>
      <c r="F914" s="31" t="n"/>
      <c r="G914" s="31" t="n"/>
      <c r="H914" s="31" t="n"/>
      <c r="I914" s="31" t="n"/>
      <c r="J914" s="31" t="n"/>
      <c r="K914" s="31">
        <f>IF(COUNTA($D914:$J914)&lt;7,"",ROUND(MIN(10000, MAX(0, ((((($D914*1.2)+($E914*1.2)+($F914*1.1)+($G914*1.0)+($H914*1.0)+($I914*1.1)+($J914*0.9))/7.5)-1)/4*8000 + MIN($B914*20,1000) + MIN($C914*100,1000))),0))</f>
        <v/>
      </c>
      <c r="L914" s="31">
        <f>IF($K914="","",MIN(100,INT(SQRT($K914))))</f>
        <v/>
      </c>
      <c r="M914" s="31" t="n"/>
      <c r="N914" s="31">
        <f>IF($M914="Yes",$K914,"")</f>
        <v/>
      </c>
      <c r="O914" s="31" t="n"/>
      <c r="P914" s="59" t="n"/>
      <c r="Q914" s="59" t="n"/>
    </row>
    <row r="915">
      <c r="A915" s="31">
        <f>IF(Members!$A915="","",Members!$A915)</f>
        <v/>
      </c>
      <c r="B915" s="31" t="n"/>
      <c r="C915" s="31" t="n"/>
      <c r="D915" s="31" t="n"/>
      <c r="E915" s="31" t="n"/>
      <c r="F915" s="31" t="n"/>
      <c r="G915" s="31" t="n"/>
      <c r="H915" s="31" t="n"/>
      <c r="I915" s="31" t="n"/>
      <c r="J915" s="31" t="n"/>
      <c r="K915" s="31">
        <f>IF(COUNTA($D915:$J915)&lt;7,"",ROUND(MIN(10000, MAX(0, ((((($D915*1.2)+($E915*1.2)+($F915*1.1)+($G915*1.0)+($H915*1.0)+($I915*1.1)+($J915*0.9))/7.5)-1)/4*8000 + MIN($B915*20,1000) + MIN($C915*100,1000))),0))</f>
        <v/>
      </c>
      <c r="L915" s="31">
        <f>IF($K915="","",MIN(100,INT(SQRT($K915))))</f>
        <v/>
      </c>
      <c r="M915" s="31" t="n"/>
      <c r="N915" s="31">
        <f>IF($M915="Yes",$K915,"")</f>
        <v/>
      </c>
      <c r="O915" s="31" t="n"/>
      <c r="P915" s="59" t="n"/>
      <c r="Q915" s="59" t="n"/>
    </row>
    <row r="916">
      <c r="A916" s="31">
        <f>IF(Members!$A916="","",Members!$A916)</f>
        <v/>
      </c>
      <c r="B916" s="31" t="n"/>
      <c r="C916" s="31" t="n"/>
      <c r="D916" s="31" t="n"/>
      <c r="E916" s="31" t="n"/>
      <c r="F916" s="31" t="n"/>
      <c r="G916" s="31" t="n"/>
      <c r="H916" s="31" t="n"/>
      <c r="I916" s="31" t="n"/>
      <c r="J916" s="31" t="n"/>
      <c r="K916" s="31">
        <f>IF(COUNTA($D916:$J916)&lt;7,"",ROUND(MIN(10000, MAX(0, ((((($D916*1.2)+($E916*1.2)+($F916*1.1)+($G916*1.0)+($H916*1.0)+($I916*1.1)+($J916*0.9))/7.5)-1)/4*8000 + MIN($B916*20,1000) + MIN($C916*100,1000))),0))</f>
        <v/>
      </c>
      <c r="L916" s="31">
        <f>IF($K916="","",MIN(100,INT(SQRT($K916))))</f>
        <v/>
      </c>
      <c r="M916" s="31" t="n"/>
      <c r="N916" s="31">
        <f>IF($M916="Yes",$K916,"")</f>
        <v/>
      </c>
      <c r="O916" s="31" t="n"/>
      <c r="P916" s="59" t="n"/>
      <c r="Q916" s="59" t="n"/>
    </row>
    <row r="917">
      <c r="A917" s="31">
        <f>IF(Members!$A917="","",Members!$A917)</f>
        <v/>
      </c>
      <c r="B917" s="31" t="n"/>
      <c r="C917" s="31" t="n"/>
      <c r="D917" s="31" t="n"/>
      <c r="E917" s="31" t="n"/>
      <c r="F917" s="31" t="n"/>
      <c r="G917" s="31" t="n"/>
      <c r="H917" s="31" t="n"/>
      <c r="I917" s="31" t="n"/>
      <c r="J917" s="31" t="n"/>
      <c r="K917" s="31">
        <f>IF(COUNTA($D917:$J917)&lt;7,"",ROUND(MIN(10000, MAX(0, ((((($D917*1.2)+($E917*1.2)+($F917*1.1)+($G917*1.0)+($H917*1.0)+($I917*1.1)+($J917*0.9))/7.5)-1)/4*8000 + MIN($B917*20,1000) + MIN($C917*100,1000))),0))</f>
        <v/>
      </c>
      <c r="L917" s="31">
        <f>IF($K917="","",MIN(100,INT(SQRT($K917))))</f>
        <v/>
      </c>
      <c r="M917" s="31" t="n"/>
      <c r="N917" s="31">
        <f>IF($M917="Yes",$K917,"")</f>
        <v/>
      </c>
      <c r="O917" s="31" t="n"/>
      <c r="P917" s="59" t="n"/>
      <c r="Q917" s="59" t="n"/>
    </row>
    <row r="918">
      <c r="A918" s="31">
        <f>IF(Members!$A918="","",Members!$A918)</f>
        <v/>
      </c>
      <c r="B918" s="31" t="n"/>
      <c r="C918" s="31" t="n"/>
      <c r="D918" s="31" t="n"/>
      <c r="E918" s="31" t="n"/>
      <c r="F918" s="31" t="n"/>
      <c r="G918" s="31" t="n"/>
      <c r="H918" s="31" t="n"/>
      <c r="I918" s="31" t="n"/>
      <c r="J918" s="31" t="n"/>
      <c r="K918" s="31">
        <f>IF(COUNTA($D918:$J918)&lt;7,"",ROUND(MIN(10000, MAX(0, ((((($D918*1.2)+($E918*1.2)+($F918*1.1)+($G918*1.0)+($H918*1.0)+($I918*1.1)+($J918*0.9))/7.5)-1)/4*8000 + MIN($B918*20,1000) + MIN($C918*100,1000))),0))</f>
        <v/>
      </c>
      <c r="L918" s="31">
        <f>IF($K918="","",MIN(100,INT(SQRT($K918))))</f>
        <v/>
      </c>
      <c r="M918" s="31" t="n"/>
      <c r="N918" s="31">
        <f>IF($M918="Yes",$K918,"")</f>
        <v/>
      </c>
      <c r="O918" s="31" t="n"/>
      <c r="P918" s="59" t="n"/>
      <c r="Q918" s="59" t="n"/>
    </row>
    <row r="919">
      <c r="A919" s="31">
        <f>IF(Members!$A919="","",Members!$A919)</f>
        <v/>
      </c>
      <c r="B919" s="31" t="n"/>
      <c r="C919" s="31" t="n"/>
      <c r="D919" s="31" t="n"/>
      <c r="E919" s="31" t="n"/>
      <c r="F919" s="31" t="n"/>
      <c r="G919" s="31" t="n"/>
      <c r="H919" s="31" t="n"/>
      <c r="I919" s="31" t="n"/>
      <c r="J919" s="31" t="n"/>
      <c r="K919" s="31">
        <f>IF(COUNTA($D919:$J919)&lt;7,"",ROUND(MIN(10000, MAX(0, ((((($D919*1.2)+($E919*1.2)+($F919*1.1)+($G919*1.0)+($H919*1.0)+($I919*1.1)+($J919*0.9))/7.5)-1)/4*8000 + MIN($B919*20,1000) + MIN($C919*100,1000))),0))</f>
        <v/>
      </c>
      <c r="L919" s="31">
        <f>IF($K919="","",MIN(100,INT(SQRT($K919))))</f>
        <v/>
      </c>
      <c r="M919" s="31" t="n"/>
      <c r="N919" s="31">
        <f>IF($M919="Yes",$K919,"")</f>
        <v/>
      </c>
      <c r="O919" s="31" t="n"/>
      <c r="P919" s="59" t="n"/>
      <c r="Q919" s="59" t="n"/>
    </row>
    <row r="920">
      <c r="A920" s="31">
        <f>IF(Members!$A920="","",Members!$A920)</f>
        <v/>
      </c>
      <c r="B920" s="31" t="n"/>
      <c r="C920" s="31" t="n"/>
      <c r="D920" s="31" t="n"/>
      <c r="E920" s="31" t="n"/>
      <c r="F920" s="31" t="n"/>
      <c r="G920" s="31" t="n"/>
      <c r="H920" s="31" t="n"/>
      <c r="I920" s="31" t="n"/>
      <c r="J920" s="31" t="n"/>
      <c r="K920" s="31">
        <f>IF(COUNTA($D920:$J920)&lt;7,"",ROUND(MIN(10000, MAX(0, ((((($D920*1.2)+($E920*1.2)+($F920*1.1)+($G920*1.0)+($H920*1.0)+($I920*1.1)+($J920*0.9))/7.5)-1)/4*8000 + MIN($B920*20,1000) + MIN($C920*100,1000))),0))</f>
        <v/>
      </c>
      <c r="L920" s="31">
        <f>IF($K920="","",MIN(100,INT(SQRT($K920))))</f>
        <v/>
      </c>
      <c r="M920" s="31" t="n"/>
      <c r="N920" s="31">
        <f>IF($M920="Yes",$K920,"")</f>
        <v/>
      </c>
      <c r="O920" s="31" t="n"/>
      <c r="P920" s="59" t="n"/>
      <c r="Q920" s="59" t="n"/>
    </row>
    <row r="921">
      <c r="A921" s="31">
        <f>IF(Members!$A921="","",Members!$A921)</f>
        <v/>
      </c>
      <c r="B921" s="31" t="n"/>
      <c r="C921" s="31" t="n"/>
      <c r="D921" s="31" t="n"/>
      <c r="E921" s="31" t="n"/>
      <c r="F921" s="31" t="n"/>
      <c r="G921" s="31" t="n"/>
      <c r="H921" s="31" t="n"/>
      <c r="I921" s="31" t="n"/>
      <c r="J921" s="31" t="n"/>
      <c r="K921" s="31">
        <f>IF(COUNTA($D921:$J921)&lt;7,"",ROUND(MIN(10000, MAX(0, ((((($D921*1.2)+($E921*1.2)+($F921*1.1)+($G921*1.0)+($H921*1.0)+($I921*1.1)+($J921*0.9))/7.5)-1)/4*8000 + MIN($B921*20,1000) + MIN($C921*100,1000))),0))</f>
        <v/>
      </c>
      <c r="L921" s="31">
        <f>IF($K921="","",MIN(100,INT(SQRT($K921))))</f>
        <v/>
      </c>
      <c r="M921" s="31" t="n"/>
      <c r="N921" s="31">
        <f>IF($M921="Yes",$K921,"")</f>
        <v/>
      </c>
      <c r="O921" s="31" t="n"/>
      <c r="P921" s="59" t="n"/>
      <c r="Q921" s="59" t="n"/>
    </row>
    <row r="922">
      <c r="A922" s="31">
        <f>IF(Members!$A922="","",Members!$A922)</f>
        <v/>
      </c>
      <c r="B922" s="31" t="n"/>
      <c r="C922" s="31" t="n"/>
      <c r="D922" s="31" t="n"/>
      <c r="E922" s="31" t="n"/>
      <c r="F922" s="31" t="n"/>
      <c r="G922" s="31" t="n"/>
      <c r="H922" s="31" t="n"/>
      <c r="I922" s="31" t="n"/>
      <c r="J922" s="31" t="n"/>
      <c r="K922" s="31">
        <f>IF(COUNTA($D922:$J922)&lt;7,"",ROUND(MIN(10000, MAX(0, ((((($D922*1.2)+($E922*1.2)+($F922*1.1)+($G922*1.0)+($H922*1.0)+($I922*1.1)+($J922*0.9))/7.5)-1)/4*8000 + MIN($B922*20,1000) + MIN($C922*100,1000))),0))</f>
        <v/>
      </c>
      <c r="L922" s="31">
        <f>IF($K922="","",MIN(100,INT(SQRT($K922))))</f>
        <v/>
      </c>
      <c r="M922" s="31" t="n"/>
      <c r="N922" s="31">
        <f>IF($M922="Yes",$K922,"")</f>
        <v/>
      </c>
      <c r="O922" s="31" t="n"/>
      <c r="P922" s="59" t="n"/>
      <c r="Q922" s="59" t="n"/>
    </row>
    <row r="923">
      <c r="A923" s="31">
        <f>IF(Members!$A923="","",Members!$A923)</f>
        <v/>
      </c>
      <c r="B923" s="31" t="n"/>
      <c r="C923" s="31" t="n"/>
      <c r="D923" s="31" t="n"/>
      <c r="E923" s="31" t="n"/>
      <c r="F923" s="31" t="n"/>
      <c r="G923" s="31" t="n"/>
      <c r="H923" s="31" t="n"/>
      <c r="I923" s="31" t="n"/>
      <c r="J923" s="31" t="n"/>
      <c r="K923" s="31">
        <f>IF(COUNTA($D923:$J923)&lt;7,"",ROUND(MIN(10000, MAX(0, ((((($D923*1.2)+($E923*1.2)+($F923*1.1)+($G923*1.0)+($H923*1.0)+($I923*1.1)+($J923*0.9))/7.5)-1)/4*8000 + MIN($B923*20,1000) + MIN($C923*100,1000))),0))</f>
        <v/>
      </c>
      <c r="L923" s="31">
        <f>IF($K923="","",MIN(100,INT(SQRT($K923))))</f>
        <v/>
      </c>
      <c r="M923" s="31" t="n"/>
      <c r="N923" s="31">
        <f>IF($M923="Yes",$K923,"")</f>
        <v/>
      </c>
      <c r="O923" s="31" t="n"/>
      <c r="P923" s="59" t="n"/>
      <c r="Q923" s="59" t="n"/>
    </row>
    <row r="924">
      <c r="A924" s="31">
        <f>IF(Members!$A924="","",Members!$A924)</f>
        <v/>
      </c>
      <c r="B924" s="31" t="n"/>
      <c r="C924" s="31" t="n"/>
      <c r="D924" s="31" t="n"/>
      <c r="E924" s="31" t="n"/>
      <c r="F924" s="31" t="n"/>
      <c r="G924" s="31" t="n"/>
      <c r="H924" s="31" t="n"/>
      <c r="I924" s="31" t="n"/>
      <c r="J924" s="31" t="n"/>
      <c r="K924" s="31">
        <f>IF(COUNTA($D924:$J924)&lt;7,"",ROUND(MIN(10000, MAX(0, ((((($D924*1.2)+($E924*1.2)+($F924*1.1)+($G924*1.0)+($H924*1.0)+($I924*1.1)+($J924*0.9))/7.5)-1)/4*8000 + MIN($B924*20,1000) + MIN($C924*100,1000))),0))</f>
        <v/>
      </c>
      <c r="L924" s="31">
        <f>IF($K924="","",MIN(100,INT(SQRT($K924))))</f>
        <v/>
      </c>
      <c r="M924" s="31" t="n"/>
      <c r="N924" s="31">
        <f>IF($M924="Yes",$K924,"")</f>
        <v/>
      </c>
      <c r="O924" s="31" t="n"/>
      <c r="P924" s="59" t="n"/>
      <c r="Q924" s="59" t="n"/>
    </row>
    <row r="925">
      <c r="A925" s="31">
        <f>IF(Members!$A925="","",Members!$A925)</f>
        <v/>
      </c>
      <c r="B925" s="31" t="n"/>
      <c r="C925" s="31" t="n"/>
      <c r="D925" s="31" t="n"/>
      <c r="E925" s="31" t="n"/>
      <c r="F925" s="31" t="n"/>
      <c r="G925" s="31" t="n"/>
      <c r="H925" s="31" t="n"/>
      <c r="I925" s="31" t="n"/>
      <c r="J925" s="31" t="n"/>
      <c r="K925" s="31">
        <f>IF(COUNTA($D925:$J925)&lt;7,"",ROUND(MIN(10000, MAX(0, ((((($D925*1.2)+($E925*1.2)+($F925*1.1)+($G925*1.0)+($H925*1.0)+($I925*1.1)+($J925*0.9))/7.5)-1)/4*8000 + MIN($B925*20,1000) + MIN($C925*100,1000))),0))</f>
        <v/>
      </c>
      <c r="L925" s="31">
        <f>IF($K925="","",MIN(100,INT(SQRT($K925))))</f>
        <v/>
      </c>
      <c r="M925" s="31" t="n"/>
      <c r="N925" s="31">
        <f>IF($M925="Yes",$K925,"")</f>
        <v/>
      </c>
      <c r="O925" s="31" t="n"/>
      <c r="P925" s="59" t="n"/>
      <c r="Q925" s="59" t="n"/>
    </row>
    <row r="926">
      <c r="A926" s="31">
        <f>IF(Members!$A926="","",Members!$A926)</f>
        <v/>
      </c>
      <c r="B926" s="31" t="n"/>
      <c r="C926" s="31" t="n"/>
      <c r="D926" s="31" t="n"/>
      <c r="E926" s="31" t="n"/>
      <c r="F926" s="31" t="n"/>
      <c r="G926" s="31" t="n"/>
      <c r="H926" s="31" t="n"/>
      <c r="I926" s="31" t="n"/>
      <c r="J926" s="31" t="n"/>
      <c r="K926" s="31">
        <f>IF(COUNTA($D926:$J926)&lt;7,"",ROUND(MIN(10000, MAX(0, ((((($D926*1.2)+($E926*1.2)+($F926*1.1)+($G926*1.0)+($H926*1.0)+($I926*1.1)+($J926*0.9))/7.5)-1)/4*8000 + MIN($B926*20,1000) + MIN($C926*100,1000))),0))</f>
        <v/>
      </c>
      <c r="L926" s="31">
        <f>IF($K926="","",MIN(100,INT(SQRT($K926))))</f>
        <v/>
      </c>
      <c r="M926" s="31" t="n"/>
      <c r="N926" s="31">
        <f>IF($M926="Yes",$K926,"")</f>
        <v/>
      </c>
      <c r="O926" s="31" t="n"/>
      <c r="P926" s="59" t="n"/>
      <c r="Q926" s="59" t="n"/>
    </row>
    <row r="927">
      <c r="A927" s="31">
        <f>IF(Members!$A927="","",Members!$A927)</f>
        <v/>
      </c>
      <c r="B927" s="31" t="n"/>
      <c r="C927" s="31" t="n"/>
      <c r="D927" s="31" t="n"/>
      <c r="E927" s="31" t="n"/>
      <c r="F927" s="31" t="n"/>
      <c r="G927" s="31" t="n"/>
      <c r="H927" s="31" t="n"/>
      <c r="I927" s="31" t="n"/>
      <c r="J927" s="31" t="n"/>
      <c r="K927" s="31">
        <f>IF(COUNTA($D927:$J927)&lt;7,"",ROUND(MIN(10000, MAX(0, ((((($D927*1.2)+($E927*1.2)+($F927*1.1)+($G927*1.0)+($H927*1.0)+($I927*1.1)+($J927*0.9))/7.5)-1)/4*8000 + MIN($B927*20,1000) + MIN($C927*100,1000))),0))</f>
        <v/>
      </c>
      <c r="L927" s="31">
        <f>IF($K927="","",MIN(100,INT(SQRT($K927))))</f>
        <v/>
      </c>
      <c r="M927" s="31" t="n"/>
      <c r="N927" s="31">
        <f>IF($M927="Yes",$K927,"")</f>
        <v/>
      </c>
      <c r="O927" s="31" t="n"/>
      <c r="P927" s="59" t="n"/>
      <c r="Q927" s="59" t="n"/>
    </row>
    <row r="928">
      <c r="A928" s="31">
        <f>IF(Members!$A928="","",Members!$A928)</f>
        <v/>
      </c>
      <c r="B928" s="31" t="n"/>
      <c r="C928" s="31" t="n"/>
      <c r="D928" s="31" t="n"/>
      <c r="E928" s="31" t="n"/>
      <c r="F928" s="31" t="n"/>
      <c r="G928" s="31" t="n"/>
      <c r="H928" s="31" t="n"/>
      <c r="I928" s="31" t="n"/>
      <c r="J928" s="31" t="n"/>
      <c r="K928" s="31">
        <f>IF(COUNTA($D928:$J928)&lt;7,"",ROUND(MIN(10000, MAX(0, ((((($D928*1.2)+($E928*1.2)+($F928*1.1)+($G928*1.0)+($H928*1.0)+($I928*1.1)+($J928*0.9))/7.5)-1)/4*8000 + MIN($B928*20,1000) + MIN($C928*100,1000))),0))</f>
        <v/>
      </c>
      <c r="L928" s="31">
        <f>IF($K928="","",MIN(100,INT(SQRT($K928))))</f>
        <v/>
      </c>
      <c r="M928" s="31" t="n"/>
      <c r="N928" s="31">
        <f>IF($M928="Yes",$K928,"")</f>
        <v/>
      </c>
      <c r="O928" s="31" t="n"/>
      <c r="P928" s="59" t="n"/>
      <c r="Q928" s="59" t="n"/>
    </row>
    <row r="929">
      <c r="A929" s="31">
        <f>IF(Members!$A929="","",Members!$A929)</f>
        <v/>
      </c>
      <c r="B929" s="31" t="n"/>
      <c r="C929" s="31" t="n"/>
      <c r="D929" s="31" t="n"/>
      <c r="E929" s="31" t="n"/>
      <c r="F929" s="31" t="n"/>
      <c r="G929" s="31" t="n"/>
      <c r="H929" s="31" t="n"/>
      <c r="I929" s="31" t="n"/>
      <c r="J929" s="31" t="n"/>
      <c r="K929" s="31">
        <f>IF(COUNTA($D929:$J929)&lt;7,"",ROUND(MIN(10000, MAX(0, ((((($D929*1.2)+($E929*1.2)+($F929*1.1)+($G929*1.0)+($H929*1.0)+($I929*1.1)+($J929*0.9))/7.5)-1)/4*8000 + MIN($B929*20,1000) + MIN($C929*100,1000))),0))</f>
        <v/>
      </c>
      <c r="L929" s="31">
        <f>IF($K929="","",MIN(100,INT(SQRT($K929))))</f>
        <v/>
      </c>
      <c r="M929" s="31" t="n"/>
      <c r="N929" s="31">
        <f>IF($M929="Yes",$K929,"")</f>
        <v/>
      </c>
      <c r="O929" s="31" t="n"/>
      <c r="P929" s="59" t="n"/>
      <c r="Q929" s="59" t="n"/>
    </row>
    <row r="930">
      <c r="A930" s="31">
        <f>IF(Members!$A930="","",Members!$A930)</f>
        <v/>
      </c>
      <c r="B930" s="31" t="n"/>
      <c r="C930" s="31" t="n"/>
      <c r="D930" s="31" t="n"/>
      <c r="E930" s="31" t="n"/>
      <c r="F930" s="31" t="n"/>
      <c r="G930" s="31" t="n"/>
      <c r="H930" s="31" t="n"/>
      <c r="I930" s="31" t="n"/>
      <c r="J930" s="31" t="n"/>
      <c r="K930" s="31">
        <f>IF(COUNTA($D930:$J930)&lt;7,"",ROUND(MIN(10000, MAX(0, ((((($D930*1.2)+($E930*1.2)+($F930*1.1)+($G930*1.0)+($H930*1.0)+($I930*1.1)+($J930*0.9))/7.5)-1)/4*8000 + MIN($B930*20,1000) + MIN($C930*100,1000))),0))</f>
        <v/>
      </c>
      <c r="L930" s="31">
        <f>IF($K930="","",MIN(100,INT(SQRT($K930))))</f>
        <v/>
      </c>
      <c r="M930" s="31" t="n"/>
      <c r="N930" s="31">
        <f>IF($M930="Yes",$K930,"")</f>
        <v/>
      </c>
      <c r="O930" s="31" t="n"/>
      <c r="P930" s="59" t="n"/>
      <c r="Q930" s="59" t="n"/>
    </row>
    <row r="931">
      <c r="A931" s="31">
        <f>IF(Members!$A931="","",Members!$A931)</f>
        <v/>
      </c>
      <c r="B931" s="31" t="n"/>
      <c r="C931" s="31" t="n"/>
      <c r="D931" s="31" t="n"/>
      <c r="E931" s="31" t="n"/>
      <c r="F931" s="31" t="n"/>
      <c r="G931" s="31" t="n"/>
      <c r="H931" s="31" t="n"/>
      <c r="I931" s="31" t="n"/>
      <c r="J931" s="31" t="n"/>
      <c r="K931" s="31">
        <f>IF(COUNTA($D931:$J931)&lt;7,"",ROUND(MIN(10000, MAX(0, ((((($D931*1.2)+($E931*1.2)+($F931*1.1)+($G931*1.0)+($H931*1.0)+($I931*1.1)+($J931*0.9))/7.5)-1)/4*8000 + MIN($B931*20,1000) + MIN($C931*100,1000))),0))</f>
        <v/>
      </c>
      <c r="L931" s="31">
        <f>IF($K931="","",MIN(100,INT(SQRT($K931))))</f>
        <v/>
      </c>
      <c r="M931" s="31" t="n"/>
      <c r="N931" s="31">
        <f>IF($M931="Yes",$K931,"")</f>
        <v/>
      </c>
      <c r="O931" s="31" t="n"/>
      <c r="P931" s="59" t="n"/>
      <c r="Q931" s="59" t="n"/>
    </row>
    <row r="932">
      <c r="A932" s="31">
        <f>IF(Members!$A932="","",Members!$A932)</f>
        <v/>
      </c>
      <c r="B932" s="31" t="n"/>
      <c r="C932" s="31" t="n"/>
      <c r="D932" s="31" t="n"/>
      <c r="E932" s="31" t="n"/>
      <c r="F932" s="31" t="n"/>
      <c r="G932" s="31" t="n"/>
      <c r="H932" s="31" t="n"/>
      <c r="I932" s="31" t="n"/>
      <c r="J932" s="31" t="n"/>
      <c r="K932" s="31">
        <f>IF(COUNTA($D932:$J932)&lt;7,"",ROUND(MIN(10000, MAX(0, ((((($D932*1.2)+($E932*1.2)+($F932*1.1)+($G932*1.0)+($H932*1.0)+($I932*1.1)+($J932*0.9))/7.5)-1)/4*8000 + MIN($B932*20,1000) + MIN($C932*100,1000))),0))</f>
        <v/>
      </c>
      <c r="L932" s="31">
        <f>IF($K932="","",MIN(100,INT(SQRT($K932))))</f>
        <v/>
      </c>
      <c r="M932" s="31" t="n"/>
      <c r="N932" s="31">
        <f>IF($M932="Yes",$K932,"")</f>
        <v/>
      </c>
      <c r="O932" s="31" t="n"/>
      <c r="P932" s="59" t="n"/>
      <c r="Q932" s="59" t="n"/>
    </row>
    <row r="933">
      <c r="A933" s="31">
        <f>IF(Members!$A933="","",Members!$A933)</f>
        <v/>
      </c>
      <c r="B933" s="31" t="n"/>
      <c r="C933" s="31" t="n"/>
      <c r="D933" s="31" t="n"/>
      <c r="E933" s="31" t="n"/>
      <c r="F933" s="31" t="n"/>
      <c r="G933" s="31" t="n"/>
      <c r="H933" s="31" t="n"/>
      <c r="I933" s="31" t="n"/>
      <c r="J933" s="31" t="n"/>
      <c r="K933" s="31">
        <f>IF(COUNTA($D933:$J933)&lt;7,"",ROUND(MIN(10000, MAX(0, ((((($D933*1.2)+($E933*1.2)+($F933*1.1)+($G933*1.0)+($H933*1.0)+($I933*1.1)+($J933*0.9))/7.5)-1)/4*8000 + MIN($B933*20,1000) + MIN($C933*100,1000))),0))</f>
        <v/>
      </c>
      <c r="L933" s="31">
        <f>IF($K933="","",MIN(100,INT(SQRT($K933))))</f>
        <v/>
      </c>
      <c r="M933" s="31" t="n"/>
      <c r="N933" s="31">
        <f>IF($M933="Yes",$K933,"")</f>
        <v/>
      </c>
      <c r="O933" s="31" t="n"/>
      <c r="P933" s="59" t="n"/>
      <c r="Q933" s="59" t="n"/>
    </row>
    <row r="934">
      <c r="A934" s="31">
        <f>IF(Members!$A934="","",Members!$A934)</f>
        <v/>
      </c>
      <c r="B934" s="31" t="n"/>
      <c r="C934" s="31" t="n"/>
      <c r="D934" s="31" t="n"/>
      <c r="E934" s="31" t="n"/>
      <c r="F934" s="31" t="n"/>
      <c r="G934" s="31" t="n"/>
      <c r="H934" s="31" t="n"/>
      <c r="I934" s="31" t="n"/>
      <c r="J934" s="31" t="n"/>
      <c r="K934" s="31">
        <f>IF(COUNTA($D934:$J934)&lt;7,"",ROUND(MIN(10000, MAX(0, ((((($D934*1.2)+($E934*1.2)+($F934*1.1)+($G934*1.0)+($H934*1.0)+($I934*1.1)+($J934*0.9))/7.5)-1)/4*8000 + MIN($B934*20,1000) + MIN($C934*100,1000))),0))</f>
        <v/>
      </c>
      <c r="L934" s="31">
        <f>IF($K934="","",MIN(100,INT(SQRT($K934))))</f>
        <v/>
      </c>
      <c r="M934" s="31" t="n"/>
      <c r="N934" s="31">
        <f>IF($M934="Yes",$K934,"")</f>
        <v/>
      </c>
      <c r="O934" s="31" t="n"/>
      <c r="P934" s="59" t="n"/>
      <c r="Q934" s="59" t="n"/>
    </row>
    <row r="935">
      <c r="A935" s="31">
        <f>IF(Members!$A935="","",Members!$A935)</f>
        <v/>
      </c>
      <c r="B935" s="31" t="n"/>
      <c r="C935" s="31" t="n"/>
      <c r="D935" s="31" t="n"/>
      <c r="E935" s="31" t="n"/>
      <c r="F935" s="31" t="n"/>
      <c r="G935" s="31" t="n"/>
      <c r="H935" s="31" t="n"/>
      <c r="I935" s="31" t="n"/>
      <c r="J935" s="31" t="n"/>
      <c r="K935" s="31">
        <f>IF(COUNTA($D935:$J935)&lt;7,"",ROUND(MIN(10000, MAX(0, ((((($D935*1.2)+($E935*1.2)+($F935*1.1)+($G935*1.0)+($H935*1.0)+($I935*1.1)+($J935*0.9))/7.5)-1)/4*8000 + MIN($B935*20,1000) + MIN($C935*100,1000))),0))</f>
        <v/>
      </c>
      <c r="L935" s="31">
        <f>IF($K935="","",MIN(100,INT(SQRT($K935))))</f>
        <v/>
      </c>
      <c r="M935" s="31" t="n"/>
      <c r="N935" s="31">
        <f>IF($M935="Yes",$K935,"")</f>
        <v/>
      </c>
      <c r="O935" s="31" t="n"/>
      <c r="P935" s="59" t="n"/>
      <c r="Q935" s="59" t="n"/>
    </row>
    <row r="936">
      <c r="A936" s="31">
        <f>IF(Members!$A936="","",Members!$A936)</f>
        <v/>
      </c>
      <c r="B936" s="31" t="n"/>
      <c r="C936" s="31" t="n"/>
      <c r="D936" s="31" t="n"/>
      <c r="E936" s="31" t="n"/>
      <c r="F936" s="31" t="n"/>
      <c r="G936" s="31" t="n"/>
      <c r="H936" s="31" t="n"/>
      <c r="I936" s="31" t="n"/>
      <c r="J936" s="31" t="n"/>
      <c r="K936" s="31">
        <f>IF(COUNTA($D936:$J936)&lt;7,"",ROUND(MIN(10000, MAX(0, ((((($D936*1.2)+($E936*1.2)+($F936*1.1)+($G936*1.0)+($H936*1.0)+($I936*1.1)+($J936*0.9))/7.5)-1)/4*8000 + MIN($B936*20,1000) + MIN($C936*100,1000))),0))</f>
        <v/>
      </c>
      <c r="L936" s="31">
        <f>IF($K936="","",MIN(100,INT(SQRT($K936))))</f>
        <v/>
      </c>
      <c r="M936" s="31" t="n"/>
      <c r="N936" s="31">
        <f>IF($M936="Yes",$K936,"")</f>
        <v/>
      </c>
      <c r="O936" s="31" t="n"/>
      <c r="P936" s="59" t="n"/>
      <c r="Q936" s="59" t="n"/>
    </row>
    <row r="937">
      <c r="A937" s="31">
        <f>IF(Members!$A937="","",Members!$A937)</f>
        <v/>
      </c>
      <c r="B937" s="31" t="n"/>
      <c r="C937" s="31" t="n"/>
      <c r="D937" s="31" t="n"/>
      <c r="E937" s="31" t="n"/>
      <c r="F937" s="31" t="n"/>
      <c r="G937" s="31" t="n"/>
      <c r="H937" s="31" t="n"/>
      <c r="I937" s="31" t="n"/>
      <c r="J937" s="31" t="n"/>
      <c r="K937" s="31">
        <f>IF(COUNTA($D937:$J937)&lt;7,"",ROUND(MIN(10000, MAX(0, ((((($D937*1.2)+($E937*1.2)+($F937*1.1)+($G937*1.0)+($H937*1.0)+($I937*1.1)+($J937*0.9))/7.5)-1)/4*8000 + MIN($B937*20,1000) + MIN($C937*100,1000))),0))</f>
        <v/>
      </c>
      <c r="L937" s="31">
        <f>IF($K937="","",MIN(100,INT(SQRT($K937))))</f>
        <v/>
      </c>
      <c r="M937" s="31" t="n"/>
      <c r="N937" s="31">
        <f>IF($M937="Yes",$K937,"")</f>
        <v/>
      </c>
      <c r="O937" s="31" t="n"/>
      <c r="P937" s="59" t="n"/>
      <c r="Q937" s="59" t="n"/>
    </row>
    <row r="938">
      <c r="A938" s="31">
        <f>IF(Members!$A938="","",Members!$A938)</f>
        <v/>
      </c>
      <c r="B938" s="31" t="n"/>
      <c r="C938" s="31" t="n"/>
      <c r="D938" s="31" t="n"/>
      <c r="E938" s="31" t="n"/>
      <c r="F938" s="31" t="n"/>
      <c r="G938" s="31" t="n"/>
      <c r="H938" s="31" t="n"/>
      <c r="I938" s="31" t="n"/>
      <c r="J938" s="31" t="n"/>
      <c r="K938" s="31">
        <f>IF(COUNTA($D938:$J938)&lt;7,"",ROUND(MIN(10000, MAX(0, ((((($D938*1.2)+($E938*1.2)+($F938*1.1)+($G938*1.0)+($H938*1.0)+($I938*1.1)+($J938*0.9))/7.5)-1)/4*8000 + MIN($B938*20,1000) + MIN($C938*100,1000))),0))</f>
        <v/>
      </c>
      <c r="L938" s="31">
        <f>IF($K938="","",MIN(100,INT(SQRT($K938))))</f>
        <v/>
      </c>
      <c r="M938" s="31" t="n"/>
      <c r="N938" s="31">
        <f>IF($M938="Yes",$K938,"")</f>
        <v/>
      </c>
      <c r="O938" s="31" t="n"/>
      <c r="P938" s="59" t="n"/>
      <c r="Q938" s="59" t="n"/>
    </row>
    <row r="939">
      <c r="A939" s="31">
        <f>IF(Members!$A939="","",Members!$A939)</f>
        <v/>
      </c>
      <c r="B939" s="31" t="n"/>
      <c r="C939" s="31" t="n"/>
      <c r="D939" s="31" t="n"/>
      <c r="E939" s="31" t="n"/>
      <c r="F939" s="31" t="n"/>
      <c r="G939" s="31" t="n"/>
      <c r="H939" s="31" t="n"/>
      <c r="I939" s="31" t="n"/>
      <c r="J939" s="31" t="n"/>
      <c r="K939" s="31">
        <f>IF(COUNTA($D939:$J939)&lt;7,"",ROUND(MIN(10000, MAX(0, ((((($D939*1.2)+($E939*1.2)+($F939*1.1)+($G939*1.0)+($H939*1.0)+($I939*1.1)+($J939*0.9))/7.5)-1)/4*8000 + MIN($B939*20,1000) + MIN($C939*100,1000))),0))</f>
        <v/>
      </c>
      <c r="L939" s="31">
        <f>IF($K939="","",MIN(100,INT(SQRT($K939))))</f>
        <v/>
      </c>
      <c r="M939" s="31" t="n"/>
      <c r="N939" s="31">
        <f>IF($M939="Yes",$K939,"")</f>
        <v/>
      </c>
      <c r="O939" s="31" t="n"/>
      <c r="P939" s="59" t="n"/>
      <c r="Q939" s="59" t="n"/>
    </row>
    <row r="940">
      <c r="A940" s="31">
        <f>IF(Members!$A940="","",Members!$A940)</f>
        <v/>
      </c>
      <c r="B940" s="31" t="n"/>
      <c r="C940" s="31" t="n"/>
      <c r="D940" s="31" t="n"/>
      <c r="E940" s="31" t="n"/>
      <c r="F940" s="31" t="n"/>
      <c r="G940" s="31" t="n"/>
      <c r="H940" s="31" t="n"/>
      <c r="I940" s="31" t="n"/>
      <c r="J940" s="31" t="n"/>
      <c r="K940" s="31">
        <f>IF(COUNTA($D940:$J940)&lt;7,"",ROUND(MIN(10000, MAX(0, ((((($D940*1.2)+($E940*1.2)+($F940*1.1)+($G940*1.0)+($H940*1.0)+($I940*1.1)+($J940*0.9))/7.5)-1)/4*8000 + MIN($B940*20,1000) + MIN($C940*100,1000))),0))</f>
        <v/>
      </c>
      <c r="L940" s="31">
        <f>IF($K940="","",MIN(100,INT(SQRT($K940))))</f>
        <v/>
      </c>
      <c r="M940" s="31" t="n"/>
      <c r="N940" s="31">
        <f>IF($M940="Yes",$K940,"")</f>
        <v/>
      </c>
      <c r="O940" s="31" t="n"/>
      <c r="P940" s="59" t="n"/>
      <c r="Q940" s="59" t="n"/>
    </row>
    <row r="941">
      <c r="A941" s="31">
        <f>IF(Members!$A941="","",Members!$A941)</f>
        <v/>
      </c>
      <c r="B941" s="31" t="n"/>
      <c r="C941" s="31" t="n"/>
      <c r="D941" s="31" t="n"/>
      <c r="E941" s="31" t="n"/>
      <c r="F941" s="31" t="n"/>
      <c r="G941" s="31" t="n"/>
      <c r="H941" s="31" t="n"/>
      <c r="I941" s="31" t="n"/>
      <c r="J941" s="31" t="n"/>
      <c r="K941" s="31">
        <f>IF(COUNTA($D941:$J941)&lt;7,"",ROUND(MIN(10000, MAX(0, ((((($D941*1.2)+($E941*1.2)+($F941*1.1)+($G941*1.0)+($H941*1.0)+($I941*1.1)+($J941*0.9))/7.5)-1)/4*8000 + MIN($B941*20,1000) + MIN($C941*100,1000))),0))</f>
        <v/>
      </c>
      <c r="L941" s="31">
        <f>IF($K941="","",MIN(100,INT(SQRT($K941))))</f>
        <v/>
      </c>
      <c r="M941" s="31" t="n"/>
      <c r="N941" s="31">
        <f>IF($M941="Yes",$K941,"")</f>
        <v/>
      </c>
      <c r="O941" s="31" t="n"/>
      <c r="P941" s="59" t="n"/>
      <c r="Q941" s="59" t="n"/>
    </row>
    <row r="942">
      <c r="A942" s="31">
        <f>IF(Members!$A942="","",Members!$A942)</f>
        <v/>
      </c>
      <c r="B942" s="31" t="n"/>
      <c r="C942" s="31" t="n"/>
      <c r="D942" s="31" t="n"/>
      <c r="E942" s="31" t="n"/>
      <c r="F942" s="31" t="n"/>
      <c r="G942" s="31" t="n"/>
      <c r="H942" s="31" t="n"/>
      <c r="I942" s="31" t="n"/>
      <c r="J942" s="31" t="n"/>
      <c r="K942" s="31">
        <f>IF(COUNTA($D942:$J942)&lt;7,"",ROUND(MIN(10000, MAX(0, ((((($D942*1.2)+($E942*1.2)+($F942*1.1)+($G942*1.0)+($H942*1.0)+($I942*1.1)+($J942*0.9))/7.5)-1)/4*8000 + MIN($B942*20,1000) + MIN($C942*100,1000))),0))</f>
        <v/>
      </c>
      <c r="L942" s="31">
        <f>IF($K942="","",MIN(100,INT(SQRT($K942))))</f>
        <v/>
      </c>
      <c r="M942" s="31" t="n"/>
      <c r="N942" s="31">
        <f>IF($M942="Yes",$K942,"")</f>
        <v/>
      </c>
      <c r="O942" s="31" t="n"/>
      <c r="P942" s="59" t="n"/>
      <c r="Q942" s="59" t="n"/>
    </row>
    <row r="943">
      <c r="A943" s="31">
        <f>IF(Members!$A943="","",Members!$A943)</f>
        <v/>
      </c>
      <c r="B943" s="31" t="n"/>
      <c r="C943" s="31" t="n"/>
      <c r="D943" s="31" t="n"/>
      <c r="E943" s="31" t="n"/>
      <c r="F943" s="31" t="n"/>
      <c r="G943" s="31" t="n"/>
      <c r="H943" s="31" t="n"/>
      <c r="I943" s="31" t="n"/>
      <c r="J943" s="31" t="n"/>
      <c r="K943" s="31">
        <f>IF(COUNTA($D943:$J943)&lt;7,"",ROUND(MIN(10000, MAX(0, ((((($D943*1.2)+($E943*1.2)+($F943*1.1)+($G943*1.0)+($H943*1.0)+($I943*1.1)+($J943*0.9))/7.5)-1)/4*8000 + MIN($B943*20,1000) + MIN($C943*100,1000))),0))</f>
        <v/>
      </c>
      <c r="L943" s="31">
        <f>IF($K943="","",MIN(100,INT(SQRT($K943))))</f>
        <v/>
      </c>
      <c r="M943" s="31" t="n"/>
      <c r="N943" s="31">
        <f>IF($M943="Yes",$K943,"")</f>
        <v/>
      </c>
      <c r="O943" s="31" t="n"/>
      <c r="P943" s="59" t="n"/>
      <c r="Q943" s="59" t="n"/>
    </row>
    <row r="944">
      <c r="A944" s="31">
        <f>IF(Members!$A944="","",Members!$A944)</f>
        <v/>
      </c>
      <c r="B944" s="31" t="n"/>
      <c r="C944" s="31" t="n"/>
      <c r="D944" s="31" t="n"/>
      <c r="E944" s="31" t="n"/>
      <c r="F944" s="31" t="n"/>
      <c r="G944" s="31" t="n"/>
      <c r="H944" s="31" t="n"/>
      <c r="I944" s="31" t="n"/>
      <c r="J944" s="31" t="n"/>
      <c r="K944" s="31">
        <f>IF(COUNTA($D944:$J944)&lt;7,"",ROUND(MIN(10000, MAX(0, ((((($D944*1.2)+($E944*1.2)+($F944*1.1)+($G944*1.0)+($H944*1.0)+($I944*1.1)+($J944*0.9))/7.5)-1)/4*8000 + MIN($B944*20,1000) + MIN($C944*100,1000))),0))</f>
        <v/>
      </c>
      <c r="L944" s="31">
        <f>IF($K944="","",MIN(100,INT(SQRT($K944))))</f>
        <v/>
      </c>
      <c r="M944" s="31" t="n"/>
      <c r="N944" s="31">
        <f>IF($M944="Yes",$K944,"")</f>
        <v/>
      </c>
      <c r="O944" s="31" t="n"/>
      <c r="P944" s="59" t="n"/>
      <c r="Q944" s="59" t="n"/>
    </row>
    <row r="945">
      <c r="A945" s="31">
        <f>IF(Members!$A945="","",Members!$A945)</f>
        <v/>
      </c>
      <c r="B945" s="31" t="n"/>
      <c r="C945" s="31" t="n"/>
      <c r="D945" s="31" t="n"/>
      <c r="E945" s="31" t="n"/>
      <c r="F945" s="31" t="n"/>
      <c r="G945" s="31" t="n"/>
      <c r="H945" s="31" t="n"/>
      <c r="I945" s="31" t="n"/>
      <c r="J945" s="31" t="n"/>
      <c r="K945" s="31">
        <f>IF(COUNTA($D945:$J945)&lt;7,"",ROUND(MIN(10000, MAX(0, ((((($D945*1.2)+($E945*1.2)+($F945*1.1)+($G945*1.0)+($H945*1.0)+($I945*1.1)+($J945*0.9))/7.5)-1)/4*8000 + MIN($B945*20,1000) + MIN($C945*100,1000))),0))</f>
        <v/>
      </c>
      <c r="L945" s="31">
        <f>IF($K945="","",MIN(100,INT(SQRT($K945))))</f>
        <v/>
      </c>
      <c r="M945" s="31" t="n"/>
      <c r="N945" s="31">
        <f>IF($M945="Yes",$K945,"")</f>
        <v/>
      </c>
      <c r="O945" s="31" t="n"/>
      <c r="P945" s="59" t="n"/>
      <c r="Q945" s="59" t="n"/>
    </row>
    <row r="946">
      <c r="A946" s="31">
        <f>IF(Members!$A946="","",Members!$A946)</f>
        <v/>
      </c>
      <c r="B946" s="31" t="n"/>
      <c r="C946" s="31" t="n"/>
      <c r="D946" s="31" t="n"/>
      <c r="E946" s="31" t="n"/>
      <c r="F946" s="31" t="n"/>
      <c r="G946" s="31" t="n"/>
      <c r="H946" s="31" t="n"/>
      <c r="I946" s="31" t="n"/>
      <c r="J946" s="31" t="n"/>
      <c r="K946" s="31">
        <f>IF(COUNTA($D946:$J946)&lt;7,"",ROUND(MIN(10000, MAX(0, ((((($D946*1.2)+($E946*1.2)+($F946*1.1)+($G946*1.0)+($H946*1.0)+($I946*1.1)+($J946*0.9))/7.5)-1)/4*8000 + MIN($B946*20,1000) + MIN($C946*100,1000))),0))</f>
        <v/>
      </c>
      <c r="L946" s="31">
        <f>IF($K946="","",MIN(100,INT(SQRT($K946))))</f>
        <v/>
      </c>
      <c r="M946" s="31" t="n"/>
      <c r="N946" s="31">
        <f>IF($M946="Yes",$K946,"")</f>
        <v/>
      </c>
      <c r="O946" s="31" t="n"/>
      <c r="P946" s="59" t="n"/>
      <c r="Q946" s="59" t="n"/>
    </row>
    <row r="947">
      <c r="A947" s="31">
        <f>IF(Members!$A947="","",Members!$A947)</f>
        <v/>
      </c>
      <c r="B947" s="31" t="n"/>
      <c r="C947" s="31" t="n"/>
      <c r="D947" s="31" t="n"/>
      <c r="E947" s="31" t="n"/>
      <c r="F947" s="31" t="n"/>
      <c r="G947" s="31" t="n"/>
      <c r="H947" s="31" t="n"/>
      <c r="I947" s="31" t="n"/>
      <c r="J947" s="31" t="n"/>
      <c r="K947" s="31">
        <f>IF(COUNTA($D947:$J947)&lt;7,"",ROUND(MIN(10000, MAX(0, ((((($D947*1.2)+($E947*1.2)+($F947*1.1)+($G947*1.0)+($H947*1.0)+($I947*1.1)+($J947*0.9))/7.5)-1)/4*8000 + MIN($B947*20,1000) + MIN($C947*100,1000))),0))</f>
        <v/>
      </c>
      <c r="L947" s="31">
        <f>IF($K947="","",MIN(100,INT(SQRT($K947))))</f>
        <v/>
      </c>
      <c r="M947" s="31" t="n"/>
      <c r="N947" s="31">
        <f>IF($M947="Yes",$K947,"")</f>
        <v/>
      </c>
      <c r="O947" s="31" t="n"/>
      <c r="P947" s="59" t="n"/>
      <c r="Q947" s="59" t="n"/>
    </row>
    <row r="948">
      <c r="A948" s="31">
        <f>IF(Members!$A948="","",Members!$A948)</f>
        <v/>
      </c>
      <c r="B948" s="31" t="n"/>
      <c r="C948" s="31" t="n"/>
      <c r="D948" s="31" t="n"/>
      <c r="E948" s="31" t="n"/>
      <c r="F948" s="31" t="n"/>
      <c r="G948" s="31" t="n"/>
      <c r="H948" s="31" t="n"/>
      <c r="I948" s="31" t="n"/>
      <c r="J948" s="31" t="n"/>
      <c r="K948" s="31">
        <f>IF(COUNTA($D948:$J948)&lt;7,"",ROUND(MIN(10000, MAX(0, ((((($D948*1.2)+($E948*1.2)+($F948*1.1)+($G948*1.0)+($H948*1.0)+($I948*1.1)+($J948*0.9))/7.5)-1)/4*8000 + MIN($B948*20,1000) + MIN($C948*100,1000))),0))</f>
        <v/>
      </c>
      <c r="L948" s="31">
        <f>IF($K948="","",MIN(100,INT(SQRT($K948))))</f>
        <v/>
      </c>
      <c r="M948" s="31" t="n"/>
      <c r="N948" s="31">
        <f>IF($M948="Yes",$K948,"")</f>
        <v/>
      </c>
      <c r="O948" s="31" t="n"/>
      <c r="P948" s="59" t="n"/>
      <c r="Q948" s="59" t="n"/>
    </row>
    <row r="949">
      <c r="A949" s="31">
        <f>IF(Members!$A949="","",Members!$A949)</f>
        <v/>
      </c>
      <c r="B949" s="31" t="n"/>
      <c r="C949" s="31" t="n"/>
      <c r="D949" s="31" t="n"/>
      <c r="E949" s="31" t="n"/>
      <c r="F949" s="31" t="n"/>
      <c r="G949" s="31" t="n"/>
      <c r="H949" s="31" t="n"/>
      <c r="I949" s="31" t="n"/>
      <c r="J949" s="31" t="n"/>
      <c r="K949" s="31">
        <f>IF(COUNTA($D949:$J949)&lt;7,"",ROUND(MIN(10000, MAX(0, ((((($D949*1.2)+($E949*1.2)+($F949*1.1)+($G949*1.0)+($H949*1.0)+($I949*1.1)+($J949*0.9))/7.5)-1)/4*8000 + MIN($B949*20,1000) + MIN($C949*100,1000))),0))</f>
        <v/>
      </c>
      <c r="L949" s="31">
        <f>IF($K949="","",MIN(100,INT(SQRT($K949))))</f>
        <v/>
      </c>
      <c r="M949" s="31" t="n"/>
      <c r="N949" s="31">
        <f>IF($M949="Yes",$K949,"")</f>
        <v/>
      </c>
      <c r="O949" s="31" t="n"/>
      <c r="P949" s="59" t="n"/>
      <c r="Q949" s="59" t="n"/>
    </row>
    <row r="950">
      <c r="A950" s="31">
        <f>IF(Members!$A950="","",Members!$A950)</f>
        <v/>
      </c>
      <c r="B950" s="31" t="n"/>
      <c r="C950" s="31" t="n"/>
      <c r="D950" s="31" t="n"/>
      <c r="E950" s="31" t="n"/>
      <c r="F950" s="31" t="n"/>
      <c r="G950" s="31" t="n"/>
      <c r="H950" s="31" t="n"/>
      <c r="I950" s="31" t="n"/>
      <c r="J950" s="31" t="n"/>
      <c r="K950" s="31">
        <f>IF(COUNTA($D950:$J950)&lt;7,"",ROUND(MIN(10000, MAX(0, ((((($D950*1.2)+($E950*1.2)+($F950*1.1)+($G950*1.0)+($H950*1.0)+($I950*1.1)+($J950*0.9))/7.5)-1)/4*8000 + MIN($B950*20,1000) + MIN($C950*100,1000))),0))</f>
        <v/>
      </c>
      <c r="L950" s="31">
        <f>IF($K950="","",MIN(100,INT(SQRT($K950))))</f>
        <v/>
      </c>
      <c r="M950" s="31" t="n"/>
      <c r="N950" s="31">
        <f>IF($M950="Yes",$K950,"")</f>
        <v/>
      </c>
      <c r="O950" s="31" t="n"/>
      <c r="P950" s="59" t="n"/>
      <c r="Q950" s="59" t="n"/>
    </row>
    <row r="951">
      <c r="A951" s="31">
        <f>IF(Members!$A951="","",Members!$A951)</f>
        <v/>
      </c>
      <c r="B951" s="31" t="n"/>
      <c r="C951" s="31" t="n"/>
      <c r="D951" s="31" t="n"/>
      <c r="E951" s="31" t="n"/>
      <c r="F951" s="31" t="n"/>
      <c r="G951" s="31" t="n"/>
      <c r="H951" s="31" t="n"/>
      <c r="I951" s="31" t="n"/>
      <c r="J951" s="31" t="n"/>
      <c r="K951" s="31">
        <f>IF(COUNTA($D951:$J951)&lt;7,"",ROUND(MIN(10000, MAX(0, ((((($D951*1.2)+($E951*1.2)+($F951*1.1)+($G951*1.0)+($H951*1.0)+($I951*1.1)+($J951*0.9))/7.5)-1)/4*8000 + MIN($B951*20,1000) + MIN($C951*100,1000))),0))</f>
        <v/>
      </c>
      <c r="L951" s="31">
        <f>IF($K951="","",MIN(100,INT(SQRT($K951))))</f>
        <v/>
      </c>
      <c r="M951" s="31" t="n"/>
      <c r="N951" s="31">
        <f>IF($M951="Yes",$K951,"")</f>
        <v/>
      </c>
      <c r="O951" s="31" t="n"/>
      <c r="P951" s="59" t="n"/>
      <c r="Q951" s="59" t="n"/>
    </row>
    <row r="952">
      <c r="A952" s="31">
        <f>IF(Members!$A952="","",Members!$A952)</f>
        <v/>
      </c>
      <c r="B952" s="31" t="n"/>
      <c r="C952" s="31" t="n"/>
      <c r="D952" s="31" t="n"/>
      <c r="E952" s="31" t="n"/>
      <c r="F952" s="31" t="n"/>
      <c r="G952" s="31" t="n"/>
      <c r="H952" s="31" t="n"/>
      <c r="I952" s="31" t="n"/>
      <c r="J952" s="31" t="n"/>
      <c r="K952" s="31">
        <f>IF(COUNTA($D952:$J952)&lt;7,"",ROUND(MIN(10000, MAX(0, ((((($D952*1.2)+($E952*1.2)+($F952*1.1)+($G952*1.0)+($H952*1.0)+($I952*1.1)+($J952*0.9))/7.5)-1)/4*8000 + MIN($B952*20,1000) + MIN($C952*100,1000))),0))</f>
        <v/>
      </c>
      <c r="L952" s="31">
        <f>IF($K952="","",MIN(100,INT(SQRT($K952))))</f>
        <v/>
      </c>
      <c r="M952" s="31" t="n"/>
      <c r="N952" s="31">
        <f>IF($M952="Yes",$K952,"")</f>
        <v/>
      </c>
      <c r="O952" s="31" t="n"/>
      <c r="P952" s="59" t="n"/>
      <c r="Q952" s="59" t="n"/>
    </row>
    <row r="953">
      <c r="A953" s="31">
        <f>IF(Members!$A953="","",Members!$A953)</f>
        <v/>
      </c>
      <c r="B953" s="31" t="n"/>
      <c r="C953" s="31" t="n"/>
      <c r="D953" s="31" t="n"/>
      <c r="E953" s="31" t="n"/>
      <c r="F953" s="31" t="n"/>
      <c r="G953" s="31" t="n"/>
      <c r="H953" s="31" t="n"/>
      <c r="I953" s="31" t="n"/>
      <c r="J953" s="31" t="n"/>
      <c r="K953" s="31">
        <f>IF(COUNTA($D953:$J953)&lt;7,"",ROUND(MIN(10000, MAX(0, ((((($D953*1.2)+($E953*1.2)+($F953*1.1)+($G953*1.0)+($H953*1.0)+($I953*1.1)+($J953*0.9))/7.5)-1)/4*8000 + MIN($B953*20,1000) + MIN($C953*100,1000))),0))</f>
        <v/>
      </c>
      <c r="L953" s="31">
        <f>IF($K953="","",MIN(100,INT(SQRT($K953))))</f>
        <v/>
      </c>
      <c r="M953" s="31" t="n"/>
      <c r="N953" s="31">
        <f>IF($M953="Yes",$K953,"")</f>
        <v/>
      </c>
      <c r="O953" s="31" t="n"/>
      <c r="P953" s="59" t="n"/>
      <c r="Q953" s="59" t="n"/>
    </row>
    <row r="954">
      <c r="A954" s="31">
        <f>IF(Members!$A954="","",Members!$A954)</f>
        <v/>
      </c>
      <c r="B954" s="31" t="n"/>
      <c r="C954" s="31" t="n"/>
      <c r="D954" s="31" t="n"/>
      <c r="E954" s="31" t="n"/>
      <c r="F954" s="31" t="n"/>
      <c r="G954" s="31" t="n"/>
      <c r="H954" s="31" t="n"/>
      <c r="I954" s="31" t="n"/>
      <c r="J954" s="31" t="n"/>
      <c r="K954" s="31">
        <f>IF(COUNTA($D954:$J954)&lt;7,"",ROUND(MIN(10000, MAX(0, ((((($D954*1.2)+($E954*1.2)+($F954*1.1)+($G954*1.0)+($H954*1.0)+($I954*1.1)+($J954*0.9))/7.5)-1)/4*8000 + MIN($B954*20,1000) + MIN($C954*100,1000))),0))</f>
        <v/>
      </c>
      <c r="L954" s="31">
        <f>IF($K954="","",MIN(100,INT(SQRT($K954))))</f>
        <v/>
      </c>
      <c r="M954" s="31" t="n"/>
      <c r="N954" s="31">
        <f>IF($M954="Yes",$K954,"")</f>
        <v/>
      </c>
      <c r="O954" s="31" t="n"/>
      <c r="P954" s="59" t="n"/>
      <c r="Q954" s="59" t="n"/>
    </row>
    <row r="955">
      <c r="A955" s="31">
        <f>IF(Members!$A955="","",Members!$A955)</f>
        <v/>
      </c>
      <c r="B955" s="31" t="n"/>
      <c r="C955" s="31" t="n"/>
      <c r="D955" s="31" t="n"/>
      <c r="E955" s="31" t="n"/>
      <c r="F955" s="31" t="n"/>
      <c r="G955" s="31" t="n"/>
      <c r="H955" s="31" t="n"/>
      <c r="I955" s="31" t="n"/>
      <c r="J955" s="31" t="n"/>
      <c r="K955" s="31">
        <f>IF(COUNTA($D955:$J955)&lt;7,"",ROUND(MIN(10000, MAX(0, ((((($D955*1.2)+($E955*1.2)+($F955*1.1)+($G955*1.0)+($H955*1.0)+($I955*1.1)+($J955*0.9))/7.5)-1)/4*8000 + MIN($B955*20,1000) + MIN($C955*100,1000))),0))</f>
        <v/>
      </c>
      <c r="L955" s="31">
        <f>IF($K955="","",MIN(100,INT(SQRT($K955))))</f>
        <v/>
      </c>
      <c r="M955" s="31" t="n"/>
      <c r="N955" s="31">
        <f>IF($M955="Yes",$K955,"")</f>
        <v/>
      </c>
      <c r="O955" s="31" t="n"/>
      <c r="P955" s="59" t="n"/>
      <c r="Q955" s="59" t="n"/>
    </row>
    <row r="956">
      <c r="A956" s="31">
        <f>IF(Members!$A956="","",Members!$A956)</f>
        <v/>
      </c>
      <c r="B956" s="31" t="n"/>
      <c r="C956" s="31" t="n"/>
      <c r="D956" s="31" t="n"/>
      <c r="E956" s="31" t="n"/>
      <c r="F956" s="31" t="n"/>
      <c r="G956" s="31" t="n"/>
      <c r="H956" s="31" t="n"/>
      <c r="I956" s="31" t="n"/>
      <c r="J956" s="31" t="n"/>
      <c r="K956" s="31">
        <f>IF(COUNTA($D956:$J956)&lt;7,"",ROUND(MIN(10000, MAX(0, ((((($D956*1.2)+($E956*1.2)+($F956*1.1)+($G956*1.0)+($H956*1.0)+($I956*1.1)+($J956*0.9))/7.5)-1)/4*8000 + MIN($B956*20,1000) + MIN($C956*100,1000))),0))</f>
        <v/>
      </c>
      <c r="L956" s="31">
        <f>IF($K956="","",MIN(100,INT(SQRT($K956))))</f>
        <v/>
      </c>
      <c r="M956" s="31" t="n"/>
      <c r="N956" s="31">
        <f>IF($M956="Yes",$K956,"")</f>
        <v/>
      </c>
      <c r="O956" s="31" t="n"/>
      <c r="P956" s="59" t="n"/>
      <c r="Q956" s="59" t="n"/>
    </row>
    <row r="957">
      <c r="A957" s="31">
        <f>IF(Members!$A957="","",Members!$A957)</f>
        <v/>
      </c>
      <c r="B957" s="31" t="n"/>
      <c r="C957" s="31" t="n"/>
      <c r="D957" s="31" t="n"/>
      <c r="E957" s="31" t="n"/>
      <c r="F957" s="31" t="n"/>
      <c r="G957" s="31" t="n"/>
      <c r="H957" s="31" t="n"/>
      <c r="I957" s="31" t="n"/>
      <c r="J957" s="31" t="n"/>
      <c r="K957" s="31">
        <f>IF(COUNTA($D957:$J957)&lt;7,"",ROUND(MIN(10000, MAX(0, ((((($D957*1.2)+($E957*1.2)+($F957*1.1)+($G957*1.0)+($H957*1.0)+($I957*1.1)+($J957*0.9))/7.5)-1)/4*8000 + MIN($B957*20,1000) + MIN($C957*100,1000))),0))</f>
        <v/>
      </c>
      <c r="L957" s="31">
        <f>IF($K957="","",MIN(100,INT(SQRT($K957))))</f>
        <v/>
      </c>
      <c r="M957" s="31" t="n"/>
      <c r="N957" s="31">
        <f>IF($M957="Yes",$K957,"")</f>
        <v/>
      </c>
      <c r="O957" s="31" t="n"/>
      <c r="P957" s="59" t="n"/>
      <c r="Q957" s="59" t="n"/>
    </row>
    <row r="958">
      <c r="A958" s="31">
        <f>IF(Members!$A958="","",Members!$A958)</f>
        <v/>
      </c>
      <c r="B958" s="31" t="n"/>
      <c r="C958" s="31" t="n"/>
      <c r="D958" s="31" t="n"/>
      <c r="E958" s="31" t="n"/>
      <c r="F958" s="31" t="n"/>
      <c r="G958" s="31" t="n"/>
      <c r="H958" s="31" t="n"/>
      <c r="I958" s="31" t="n"/>
      <c r="J958" s="31" t="n"/>
      <c r="K958" s="31">
        <f>IF(COUNTA($D958:$J958)&lt;7,"",ROUND(MIN(10000, MAX(0, ((((($D958*1.2)+($E958*1.2)+($F958*1.1)+($G958*1.0)+($H958*1.0)+($I958*1.1)+($J958*0.9))/7.5)-1)/4*8000 + MIN($B958*20,1000) + MIN($C958*100,1000))),0))</f>
        <v/>
      </c>
      <c r="L958" s="31">
        <f>IF($K958="","",MIN(100,INT(SQRT($K958))))</f>
        <v/>
      </c>
      <c r="M958" s="31" t="n"/>
      <c r="N958" s="31">
        <f>IF($M958="Yes",$K958,"")</f>
        <v/>
      </c>
      <c r="O958" s="31" t="n"/>
      <c r="P958" s="59" t="n"/>
      <c r="Q958" s="59" t="n"/>
    </row>
    <row r="959">
      <c r="A959" s="31">
        <f>IF(Members!$A959="","",Members!$A959)</f>
        <v/>
      </c>
      <c r="B959" s="31" t="n"/>
      <c r="C959" s="31" t="n"/>
      <c r="D959" s="31" t="n"/>
      <c r="E959" s="31" t="n"/>
      <c r="F959" s="31" t="n"/>
      <c r="G959" s="31" t="n"/>
      <c r="H959" s="31" t="n"/>
      <c r="I959" s="31" t="n"/>
      <c r="J959" s="31" t="n"/>
      <c r="K959" s="31">
        <f>IF(COUNTA($D959:$J959)&lt;7,"",ROUND(MIN(10000, MAX(0, ((((($D959*1.2)+($E959*1.2)+($F959*1.1)+($G959*1.0)+($H959*1.0)+($I959*1.1)+($J959*0.9))/7.5)-1)/4*8000 + MIN($B959*20,1000) + MIN($C959*100,1000))),0))</f>
        <v/>
      </c>
      <c r="L959" s="31">
        <f>IF($K959="","",MIN(100,INT(SQRT($K959))))</f>
        <v/>
      </c>
      <c r="M959" s="31" t="n"/>
      <c r="N959" s="31">
        <f>IF($M959="Yes",$K959,"")</f>
        <v/>
      </c>
      <c r="O959" s="31" t="n"/>
      <c r="P959" s="59" t="n"/>
      <c r="Q959" s="59" t="n"/>
    </row>
    <row r="960">
      <c r="A960" s="31">
        <f>IF(Members!$A960="","",Members!$A960)</f>
        <v/>
      </c>
      <c r="B960" s="31" t="n"/>
      <c r="C960" s="31" t="n"/>
      <c r="D960" s="31" t="n"/>
      <c r="E960" s="31" t="n"/>
      <c r="F960" s="31" t="n"/>
      <c r="G960" s="31" t="n"/>
      <c r="H960" s="31" t="n"/>
      <c r="I960" s="31" t="n"/>
      <c r="J960" s="31" t="n"/>
      <c r="K960" s="31">
        <f>IF(COUNTA($D960:$J960)&lt;7,"",ROUND(MIN(10000, MAX(0, ((((($D960*1.2)+($E960*1.2)+($F960*1.1)+($G960*1.0)+($H960*1.0)+($I960*1.1)+($J960*0.9))/7.5)-1)/4*8000 + MIN($B960*20,1000) + MIN($C960*100,1000))),0))</f>
        <v/>
      </c>
      <c r="L960" s="31">
        <f>IF($K960="","",MIN(100,INT(SQRT($K960))))</f>
        <v/>
      </c>
      <c r="M960" s="31" t="n"/>
      <c r="N960" s="31">
        <f>IF($M960="Yes",$K960,"")</f>
        <v/>
      </c>
      <c r="O960" s="31" t="n"/>
      <c r="P960" s="59" t="n"/>
      <c r="Q960" s="59" t="n"/>
    </row>
    <row r="961">
      <c r="A961" s="31">
        <f>IF(Members!$A961="","",Members!$A961)</f>
        <v/>
      </c>
      <c r="B961" s="31" t="n"/>
      <c r="C961" s="31" t="n"/>
      <c r="D961" s="31" t="n"/>
      <c r="E961" s="31" t="n"/>
      <c r="F961" s="31" t="n"/>
      <c r="G961" s="31" t="n"/>
      <c r="H961" s="31" t="n"/>
      <c r="I961" s="31" t="n"/>
      <c r="J961" s="31" t="n"/>
      <c r="K961" s="31">
        <f>IF(COUNTA($D961:$J961)&lt;7,"",ROUND(MIN(10000, MAX(0, ((((($D961*1.2)+($E961*1.2)+($F961*1.1)+($G961*1.0)+($H961*1.0)+($I961*1.1)+($J961*0.9))/7.5)-1)/4*8000 + MIN($B961*20,1000) + MIN($C961*100,1000))),0))</f>
        <v/>
      </c>
      <c r="L961" s="31">
        <f>IF($K961="","",MIN(100,INT(SQRT($K961))))</f>
        <v/>
      </c>
      <c r="M961" s="31" t="n"/>
      <c r="N961" s="31">
        <f>IF($M961="Yes",$K961,"")</f>
        <v/>
      </c>
      <c r="O961" s="31" t="n"/>
      <c r="P961" s="59" t="n"/>
      <c r="Q961" s="59" t="n"/>
    </row>
    <row r="962">
      <c r="A962" s="31">
        <f>IF(Members!$A962="","",Members!$A962)</f>
        <v/>
      </c>
      <c r="B962" s="31" t="n"/>
      <c r="C962" s="31" t="n"/>
      <c r="D962" s="31" t="n"/>
      <c r="E962" s="31" t="n"/>
      <c r="F962" s="31" t="n"/>
      <c r="G962" s="31" t="n"/>
      <c r="H962" s="31" t="n"/>
      <c r="I962" s="31" t="n"/>
      <c r="J962" s="31" t="n"/>
      <c r="K962" s="31">
        <f>IF(COUNTA($D962:$J962)&lt;7,"",ROUND(MIN(10000, MAX(0, ((((($D962*1.2)+($E962*1.2)+($F962*1.1)+($G962*1.0)+($H962*1.0)+($I962*1.1)+($J962*0.9))/7.5)-1)/4*8000 + MIN($B962*20,1000) + MIN($C962*100,1000))),0))</f>
        <v/>
      </c>
      <c r="L962" s="31">
        <f>IF($K962="","",MIN(100,INT(SQRT($K962))))</f>
        <v/>
      </c>
      <c r="M962" s="31" t="n"/>
      <c r="N962" s="31">
        <f>IF($M962="Yes",$K962,"")</f>
        <v/>
      </c>
      <c r="O962" s="31" t="n"/>
      <c r="P962" s="59" t="n"/>
      <c r="Q962" s="59" t="n"/>
    </row>
    <row r="963">
      <c r="A963" s="31">
        <f>IF(Members!$A963="","",Members!$A963)</f>
        <v/>
      </c>
      <c r="B963" s="31" t="n"/>
      <c r="C963" s="31" t="n"/>
      <c r="D963" s="31" t="n"/>
      <c r="E963" s="31" t="n"/>
      <c r="F963" s="31" t="n"/>
      <c r="G963" s="31" t="n"/>
      <c r="H963" s="31" t="n"/>
      <c r="I963" s="31" t="n"/>
      <c r="J963" s="31" t="n"/>
      <c r="K963" s="31">
        <f>IF(COUNTA($D963:$J963)&lt;7,"",ROUND(MIN(10000, MAX(0, ((((($D963*1.2)+($E963*1.2)+($F963*1.1)+($G963*1.0)+($H963*1.0)+($I963*1.1)+($J963*0.9))/7.5)-1)/4*8000 + MIN($B963*20,1000) + MIN($C963*100,1000))),0))</f>
        <v/>
      </c>
      <c r="L963" s="31">
        <f>IF($K963="","",MIN(100,INT(SQRT($K963))))</f>
        <v/>
      </c>
      <c r="M963" s="31" t="n"/>
      <c r="N963" s="31">
        <f>IF($M963="Yes",$K963,"")</f>
        <v/>
      </c>
      <c r="O963" s="31" t="n"/>
      <c r="P963" s="59" t="n"/>
      <c r="Q963" s="59" t="n"/>
    </row>
    <row r="964">
      <c r="A964" s="31">
        <f>IF(Members!$A964="","",Members!$A964)</f>
        <v/>
      </c>
      <c r="B964" s="31" t="n"/>
      <c r="C964" s="31" t="n"/>
      <c r="D964" s="31" t="n"/>
      <c r="E964" s="31" t="n"/>
      <c r="F964" s="31" t="n"/>
      <c r="G964" s="31" t="n"/>
      <c r="H964" s="31" t="n"/>
      <c r="I964" s="31" t="n"/>
      <c r="J964" s="31" t="n"/>
      <c r="K964" s="31">
        <f>IF(COUNTA($D964:$J964)&lt;7,"",ROUND(MIN(10000, MAX(0, ((((($D964*1.2)+($E964*1.2)+($F964*1.1)+($G964*1.0)+($H964*1.0)+($I964*1.1)+($J964*0.9))/7.5)-1)/4*8000 + MIN($B964*20,1000) + MIN($C964*100,1000))),0))</f>
        <v/>
      </c>
      <c r="L964" s="31">
        <f>IF($K964="","",MIN(100,INT(SQRT($K964))))</f>
        <v/>
      </c>
      <c r="M964" s="31" t="n"/>
      <c r="N964" s="31">
        <f>IF($M964="Yes",$K964,"")</f>
        <v/>
      </c>
      <c r="O964" s="31" t="n"/>
      <c r="P964" s="59" t="n"/>
      <c r="Q964" s="59" t="n"/>
    </row>
    <row r="965">
      <c r="A965" s="31">
        <f>IF(Members!$A965="","",Members!$A965)</f>
        <v/>
      </c>
      <c r="B965" s="31" t="n"/>
      <c r="C965" s="31" t="n"/>
      <c r="D965" s="31" t="n"/>
      <c r="E965" s="31" t="n"/>
      <c r="F965" s="31" t="n"/>
      <c r="G965" s="31" t="n"/>
      <c r="H965" s="31" t="n"/>
      <c r="I965" s="31" t="n"/>
      <c r="J965" s="31" t="n"/>
      <c r="K965" s="31">
        <f>IF(COUNTA($D965:$J965)&lt;7,"",ROUND(MIN(10000, MAX(0, ((((($D965*1.2)+($E965*1.2)+($F965*1.1)+($G965*1.0)+($H965*1.0)+($I965*1.1)+($J965*0.9))/7.5)-1)/4*8000 + MIN($B965*20,1000) + MIN($C965*100,1000))),0))</f>
        <v/>
      </c>
      <c r="L965" s="31">
        <f>IF($K965="","",MIN(100,INT(SQRT($K965))))</f>
        <v/>
      </c>
      <c r="M965" s="31" t="n"/>
      <c r="N965" s="31">
        <f>IF($M965="Yes",$K965,"")</f>
        <v/>
      </c>
      <c r="O965" s="31" t="n"/>
      <c r="P965" s="59" t="n"/>
      <c r="Q965" s="59" t="n"/>
    </row>
    <row r="966">
      <c r="A966" s="31">
        <f>IF(Members!$A966="","",Members!$A966)</f>
        <v/>
      </c>
      <c r="B966" s="31" t="n"/>
      <c r="C966" s="31" t="n"/>
      <c r="D966" s="31" t="n"/>
      <c r="E966" s="31" t="n"/>
      <c r="F966" s="31" t="n"/>
      <c r="G966" s="31" t="n"/>
      <c r="H966" s="31" t="n"/>
      <c r="I966" s="31" t="n"/>
      <c r="J966" s="31" t="n"/>
      <c r="K966" s="31">
        <f>IF(COUNTA($D966:$J966)&lt;7,"",ROUND(MIN(10000, MAX(0, ((((($D966*1.2)+($E966*1.2)+($F966*1.1)+($G966*1.0)+($H966*1.0)+($I966*1.1)+($J966*0.9))/7.5)-1)/4*8000 + MIN($B966*20,1000) + MIN($C966*100,1000))),0))</f>
        <v/>
      </c>
      <c r="L966" s="31">
        <f>IF($K966="","",MIN(100,INT(SQRT($K966))))</f>
        <v/>
      </c>
      <c r="M966" s="31" t="n"/>
      <c r="N966" s="31">
        <f>IF($M966="Yes",$K966,"")</f>
        <v/>
      </c>
      <c r="O966" s="31" t="n"/>
      <c r="P966" s="59" t="n"/>
      <c r="Q966" s="59" t="n"/>
    </row>
    <row r="967">
      <c r="A967" s="31">
        <f>IF(Members!$A967="","",Members!$A967)</f>
        <v/>
      </c>
      <c r="B967" s="31" t="n"/>
      <c r="C967" s="31" t="n"/>
      <c r="D967" s="31" t="n"/>
      <c r="E967" s="31" t="n"/>
      <c r="F967" s="31" t="n"/>
      <c r="G967" s="31" t="n"/>
      <c r="H967" s="31" t="n"/>
      <c r="I967" s="31" t="n"/>
      <c r="J967" s="31" t="n"/>
      <c r="K967" s="31">
        <f>IF(COUNTA($D967:$J967)&lt;7,"",ROUND(MIN(10000, MAX(0, ((((($D967*1.2)+($E967*1.2)+($F967*1.1)+($G967*1.0)+($H967*1.0)+($I967*1.1)+($J967*0.9))/7.5)-1)/4*8000 + MIN($B967*20,1000) + MIN($C967*100,1000))),0))</f>
        <v/>
      </c>
      <c r="L967" s="31">
        <f>IF($K967="","",MIN(100,INT(SQRT($K967))))</f>
        <v/>
      </c>
      <c r="M967" s="31" t="n"/>
      <c r="N967" s="31">
        <f>IF($M967="Yes",$K967,"")</f>
        <v/>
      </c>
      <c r="O967" s="31" t="n"/>
      <c r="P967" s="59" t="n"/>
      <c r="Q967" s="59" t="n"/>
    </row>
    <row r="968">
      <c r="A968" s="31">
        <f>IF(Members!$A968="","",Members!$A968)</f>
        <v/>
      </c>
      <c r="B968" s="31" t="n"/>
      <c r="C968" s="31" t="n"/>
      <c r="D968" s="31" t="n"/>
      <c r="E968" s="31" t="n"/>
      <c r="F968" s="31" t="n"/>
      <c r="G968" s="31" t="n"/>
      <c r="H968" s="31" t="n"/>
      <c r="I968" s="31" t="n"/>
      <c r="J968" s="31" t="n"/>
      <c r="K968" s="31">
        <f>IF(COUNTA($D968:$J968)&lt;7,"",ROUND(MIN(10000, MAX(0, ((((($D968*1.2)+($E968*1.2)+($F968*1.1)+($G968*1.0)+($H968*1.0)+($I968*1.1)+($J968*0.9))/7.5)-1)/4*8000 + MIN($B968*20,1000) + MIN($C968*100,1000))),0))</f>
        <v/>
      </c>
      <c r="L968" s="31">
        <f>IF($K968="","",MIN(100,INT(SQRT($K968))))</f>
        <v/>
      </c>
      <c r="M968" s="31" t="n"/>
      <c r="N968" s="31">
        <f>IF($M968="Yes",$K968,"")</f>
        <v/>
      </c>
      <c r="O968" s="31" t="n"/>
      <c r="P968" s="59" t="n"/>
      <c r="Q968" s="59" t="n"/>
    </row>
    <row r="969">
      <c r="A969" s="31">
        <f>IF(Members!$A969="","",Members!$A969)</f>
        <v/>
      </c>
      <c r="B969" s="31" t="n"/>
      <c r="C969" s="31" t="n"/>
      <c r="D969" s="31" t="n"/>
      <c r="E969" s="31" t="n"/>
      <c r="F969" s="31" t="n"/>
      <c r="G969" s="31" t="n"/>
      <c r="H969" s="31" t="n"/>
      <c r="I969" s="31" t="n"/>
      <c r="J969" s="31" t="n"/>
      <c r="K969" s="31">
        <f>IF(COUNTA($D969:$J969)&lt;7,"",ROUND(MIN(10000, MAX(0, ((((($D969*1.2)+($E969*1.2)+($F969*1.1)+($G969*1.0)+($H969*1.0)+($I969*1.1)+($J969*0.9))/7.5)-1)/4*8000 + MIN($B969*20,1000) + MIN($C969*100,1000))),0))</f>
        <v/>
      </c>
      <c r="L969" s="31">
        <f>IF($K969="","",MIN(100,INT(SQRT($K969))))</f>
        <v/>
      </c>
      <c r="M969" s="31" t="n"/>
      <c r="N969" s="31">
        <f>IF($M969="Yes",$K969,"")</f>
        <v/>
      </c>
      <c r="O969" s="31" t="n"/>
      <c r="P969" s="59" t="n"/>
      <c r="Q969" s="59" t="n"/>
    </row>
    <row r="970">
      <c r="A970" s="31">
        <f>IF(Members!$A970="","",Members!$A970)</f>
        <v/>
      </c>
      <c r="B970" s="31" t="n"/>
      <c r="C970" s="31" t="n"/>
      <c r="D970" s="31" t="n"/>
      <c r="E970" s="31" t="n"/>
      <c r="F970" s="31" t="n"/>
      <c r="G970" s="31" t="n"/>
      <c r="H970" s="31" t="n"/>
      <c r="I970" s="31" t="n"/>
      <c r="J970" s="31" t="n"/>
      <c r="K970" s="31">
        <f>IF(COUNTA($D970:$J970)&lt;7,"",ROUND(MIN(10000, MAX(0, ((((($D970*1.2)+($E970*1.2)+($F970*1.1)+($G970*1.0)+($H970*1.0)+($I970*1.1)+($J970*0.9))/7.5)-1)/4*8000 + MIN($B970*20,1000) + MIN($C970*100,1000))),0))</f>
        <v/>
      </c>
      <c r="L970" s="31">
        <f>IF($K970="","",MIN(100,INT(SQRT($K970))))</f>
        <v/>
      </c>
      <c r="M970" s="31" t="n"/>
      <c r="N970" s="31">
        <f>IF($M970="Yes",$K970,"")</f>
        <v/>
      </c>
      <c r="O970" s="31" t="n"/>
      <c r="P970" s="59" t="n"/>
      <c r="Q970" s="59" t="n"/>
    </row>
    <row r="971">
      <c r="A971" s="31">
        <f>IF(Members!$A971="","",Members!$A971)</f>
        <v/>
      </c>
      <c r="B971" s="31" t="n"/>
      <c r="C971" s="31" t="n"/>
      <c r="D971" s="31" t="n"/>
      <c r="E971" s="31" t="n"/>
      <c r="F971" s="31" t="n"/>
      <c r="G971" s="31" t="n"/>
      <c r="H971" s="31" t="n"/>
      <c r="I971" s="31" t="n"/>
      <c r="J971" s="31" t="n"/>
      <c r="K971" s="31">
        <f>IF(COUNTA($D971:$J971)&lt;7,"",ROUND(MIN(10000, MAX(0, ((((($D971*1.2)+($E971*1.2)+($F971*1.1)+($G971*1.0)+($H971*1.0)+($I971*1.1)+($J971*0.9))/7.5)-1)/4*8000 + MIN($B971*20,1000) + MIN($C971*100,1000))),0))</f>
        <v/>
      </c>
      <c r="L971" s="31">
        <f>IF($K971="","",MIN(100,INT(SQRT($K971))))</f>
        <v/>
      </c>
      <c r="M971" s="31" t="n"/>
      <c r="N971" s="31">
        <f>IF($M971="Yes",$K971,"")</f>
        <v/>
      </c>
      <c r="O971" s="31" t="n"/>
      <c r="P971" s="59" t="n"/>
      <c r="Q971" s="59" t="n"/>
    </row>
    <row r="972">
      <c r="A972" s="31">
        <f>IF(Members!$A972="","",Members!$A972)</f>
        <v/>
      </c>
      <c r="B972" s="31" t="n"/>
      <c r="C972" s="31" t="n"/>
      <c r="D972" s="31" t="n"/>
      <c r="E972" s="31" t="n"/>
      <c r="F972" s="31" t="n"/>
      <c r="G972" s="31" t="n"/>
      <c r="H972" s="31" t="n"/>
      <c r="I972" s="31" t="n"/>
      <c r="J972" s="31" t="n"/>
      <c r="K972" s="31">
        <f>IF(COUNTA($D972:$J972)&lt;7,"",ROUND(MIN(10000, MAX(0, ((((($D972*1.2)+($E972*1.2)+($F972*1.1)+($G972*1.0)+($H972*1.0)+($I972*1.1)+($J972*0.9))/7.5)-1)/4*8000 + MIN($B972*20,1000) + MIN($C972*100,1000))),0))</f>
        <v/>
      </c>
      <c r="L972" s="31">
        <f>IF($K972="","",MIN(100,INT(SQRT($K972))))</f>
        <v/>
      </c>
      <c r="M972" s="31" t="n"/>
      <c r="N972" s="31">
        <f>IF($M972="Yes",$K972,"")</f>
        <v/>
      </c>
      <c r="O972" s="31" t="n"/>
      <c r="P972" s="59" t="n"/>
      <c r="Q972" s="59" t="n"/>
    </row>
    <row r="973">
      <c r="A973" s="31">
        <f>IF(Members!$A973="","",Members!$A973)</f>
        <v/>
      </c>
      <c r="B973" s="31" t="n"/>
      <c r="C973" s="31" t="n"/>
      <c r="D973" s="31" t="n"/>
      <c r="E973" s="31" t="n"/>
      <c r="F973" s="31" t="n"/>
      <c r="G973" s="31" t="n"/>
      <c r="H973" s="31" t="n"/>
      <c r="I973" s="31" t="n"/>
      <c r="J973" s="31" t="n"/>
      <c r="K973" s="31">
        <f>IF(COUNTA($D973:$J973)&lt;7,"",ROUND(MIN(10000, MAX(0, ((((($D973*1.2)+($E973*1.2)+($F973*1.1)+($G973*1.0)+($H973*1.0)+($I973*1.1)+($J973*0.9))/7.5)-1)/4*8000 + MIN($B973*20,1000) + MIN($C973*100,1000))),0))</f>
        <v/>
      </c>
      <c r="L973" s="31">
        <f>IF($K973="","",MIN(100,INT(SQRT($K973))))</f>
        <v/>
      </c>
      <c r="M973" s="31" t="n"/>
      <c r="N973" s="31">
        <f>IF($M973="Yes",$K973,"")</f>
        <v/>
      </c>
      <c r="O973" s="31" t="n"/>
      <c r="P973" s="59" t="n"/>
      <c r="Q973" s="59" t="n"/>
    </row>
    <row r="974">
      <c r="A974" s="31">
        <f>IF(Members!$A974="","",Members!$A974)</f>
        <v/>
      </c>
      <c r="B974" s="31" t="n"/>
      <c r="C974" s="31" t="n"/>
      <c r="D974" s="31" t="n"/>
      <c r="E974" s="31" t="n"/>
      <c r="F974" s="31" t="n"/>
      <c r="G974" s="31" t="n"/>
      <c r="H974" s="31" t="n"/>
      <c r="I974" s="31" t="n"/>
      <c r="J974" s="31" t="n"/>
      <c r="K974" s="31">
        <f>IF(COUNTA($D974:$J974)&lt;7,"",ROUND(MIN(10000, MAX(0, ((((($D974*1.2)+($E974*1.2)+($F974*1.1)+($G974*1.0)+($H974*1.0)+($I974*1.1)+($J974*0.9))/7.5)-1)/4*8000 + MIN($B974*20,1000) + MIN($C974*100,1000))),0))</f>
        <v/>
      </c>
      <c r="L974" s="31">
        <f>IF($K974="","",MIN(100,INT(SQRT($K974))))</f>
        <v/>
      </c>
      <c r="M974" s="31" t="n"/>
      <c r="N974" s="31">
        <f>IF($M974="Yes",$K974,"")</f>
        <v/>
      </c>
      <c r="O974" s="31" t="n"/>
      <c r="P974" s="59" t="n"/>
      <c r="Q974" s="59" t="n"/>
    </row>
    <row r="975">
      <c r="A975" s="31">
        <f>IF(Members!$A975="","",Members!$A975)</f>
        <v/>
      </c>
      <c r="B975" s="31" t="n"/>
      <c r="C975" s="31" t="n"/>
      <c r="D975" s="31" t="n"/>
      <c r="E975" s="31" t="n"/>
      <c r="F975" s="31" t="n"/>
      <c r="G975" s="31" t="n"/>
      <c r="H975" s="31" t="n"/>
      <c r="I975" s="31" t="n"/>
      <c r="J975" s="31" t="n"/>
      <c r="K975" s="31">
        <f>IF(COUNTA($D975:$J975)&lt;7,"",ROUND(MIN(10000, MAX(0, ((((($D975*1.2)+($E975*1.2)+($F975*1.1)+($G975*1.0)+($H975*1.0)+($I975*1.1)+($J975*0.9))/7.5)-1)/4*8000 + MIN($B975*20,1000) + MIN($C975*100,1000))),0))</f>
        <v/>
      </c>
      <c r="L975" s="31">
        <f>IF($K975="","",MIN(100,INT(SQRT($K975))))</f>
        <v/>
      </c>
      <c r="M975" s="31" t="n"/>
      <c r="N975" s="31">
        <f>IF($M975="Yes",$K975,"")</f>
        <v/>
      </c>
      <c r="O975" s="31" t="n"/>
      <c r="P975" s="59" t="n"/>
      <c r="Q975" s="59" t="n"/>
    </row>
    <row r="976">
      <c r="A976" s="31">
        <f>IF(Members!$A976="","",Members!$A976)</f>
        <v/>
      </c>
      <c r="B976" s="31" t="n"/>
      <c r="C976" s="31" t="n"/>
      <c r="D976" s="31" t="n"/>
      <c r="E976" s="31" t="n"/>
      <c r="F976" s="31" t="n"/>
      <c r="G976" s="31" t="n"/>
      <c r="H976" s="31" t="n"/>
      <c r="I976" s="31" t="n"/>
      <c r="J976" s="31" t="n"/>
      <c r="K976" s="31">
        <f>IF(COUNTA($D976:$J976)&lt;7,"",ROUND(MIN(10000, MAX(0, ((((($D976*1.2)+($E976*1.2)+($F976*1.1)+($G976*1.0)+($H976*1.0)+($I976*1.1)+($J976*0.9))/7.5)-1)/4*8000 + MIN($B976*20,1000) + MIN($C976*100,1000))),0))</f>
        <v/>
      </c>
      <c r="L976" s="31">
        <f>IF($K976="","",MIN(100,INT(SQRT($K976))))</f>
        <v/>
      </c>
      <c r="M976" s="31" t="n"/>
      <c r="N976" s="31">
        <f>IF($M976="Yes",$K976,"")</f>
        <v/>
      </c>
      <c r="O976" s="31" t="n"/>
      <c r="P976" s="59" t="n"/>
      <c r="Q976" s="59" t="n"/>
    </row>
    <row r="977">
      <c r="A977" s="31">
        <f>IF(Members!$A977="","",Members!$A977)</f>
        <v/>
      </c>
      <c r="B977" s="31" t="n"/>
      <c r="C977" s="31" t="n"/>
      <c r="D977" s="31" t="n"/>
      <c r="E977" s="31" t="n"/>
      <c r="F977" s="31" t="n"/>
      <c r="G977" s="31" t="n"/>
      <c r="H977" s="31" t="n"/>
      <c r="I977" s="31" t="n"/>
      <c r="J977" s="31" t="n"/>
      <c r="K977" s="31">
        <f>IF(COUNTA($D977:$J977)&lt;7,"",ROUND(MIN(10000, MAX(0, ((((($D977*1.2)+($E977*1.2)+($F977*1.1)+($G977*1.0)+($H977*1.0)+($I977*1.1)+($J977*0.9))/7.5)-1)/4*8000 + MIN($B977*20,1000) + MIN($C977*100,1000))),0))</f>
        <v/>
      </c>
      <c r="L977" s="31">
        <f>IF($K977="","",MIN(100,INT(SQRT($K977))))</f>
        <v/>
      </c>
      <c r="M977" s="31" t="n"/>
      <c r="N977" s="31">
        <f>IF($M977="Yes",$K977,"")</f>
        <v/>
      </c>
      <c r="O977" s="31" t="n"/>
      <c r="P977" s="59" t="n"/>
      <c r="Q977" s="59" t="n"/>
    </row>
    <row r="978">
      <c r="A978" s="31">
        <f>IF(Members!$A978="","",Members!$A978)</f>
        <v/>
      </c>
      <c r="B978" s="31" t="n"/>
      <c r="C978" s="31" t="n"/>
      <c r="D978" s="31" t="n"/>
      <c r="E978" s="31" t="n"/>
      <c r="F978" s="31" t="n"/>
      <c r="G978" s="31" t="n"/>
      <c r="H978" s="31" t="n"/>
      <c r="I978" s="31" t="n"/>
      <c r="J978" s="31" t="n"/>
      <c r="K978" s="31">
        <f>IF(COUNTA($D978:$J978)&lt;7,"",ROUND(MIN(10000, MAX(0, ((((($D978*1.2)+($E978*1.2)+($F978*1.1)+($G978*1.0)+($H978*1.0)+($I978*1.1)+($J978*0.9))/7.5)-1)/4*8000 + MIN($B978*20,1000) + MIN($C978*100,1000))),0))</f>
        <v/>
      </c>
      <c r="L978" s="31">
        <f>IF($K978="","",MIN(100,INT(SQRT($K978))))</f>
        <v/>
      </c>
      <c r="M978" s="31" t="n"/>
      <c r="N978" s="31">
        <f>IF($M978="Yes",$K978,"")</f>
        <v/>
      </c>
      <c r="O978" s="31" t="n"/>
      <c r="P978" s="59" t="n"/>
      <c r="Q978" s="59" t="n"/>
    </row>
    <row r="979">
      <c r="A979" s="31">
        <f>IF(Members!$A979="","",Members!$A979)</f>
        <v/>
      </c>
      <c r="B979" s="31" t="n"/>
      <c r="C979" s="31" t="n"/>
      <c r="D979" s="31" t="n"/>
      <c r="E979" s="31" t="n"/>
      <c r="F979" s="31" t="n"/>
      <c r="G979" s="31" t="n"/>
      <c r="H979" s="31" t="n"/>
      <c r="I979" s="31" t="n"/>
      <c r="J979" s="31" t="n"/>
      <c r="K979" s="31">
        <f>IF(COUNTA($D979:$J979)&lt;7,"",ROUND(MIN(10000, MAX(0, ((((($D979*1.2)+($E979*1.2)+($F979*1.1)+($G979*1.0)+($H979*1.0)+($I979*1.1)+($J979*0.9))/7.5)-1)/4*8000 + MIN($B979*20,1000) + MIN($C979*100,1000))),0))</f>
        <v/>
      </c>
      <c r="L979" s="31">
        <f>IF($K979="","",MIN(100,INT(SQRT($K979))))</f>
        <v/>
      </c>
      <c r="M979" s="31" t="n"/>
      <c r="N979" s="31">
        <f>IF($M979="Yes",$K979,"")</f>
        <v/>
      </c>
      <c r="O979" s="31" t="n"/>
      <c r="P979" s="59" t="n"/>
      <c r="Q979" s="59" t="n"/>
    </row>
    <row r="980">
      <c r="A980" s="31">
        <f>IF(Members!$A980="","",Members!$A980)</f>
        <v/>
      </c>
      <c r="B980" s="31" t="n"/>
      <c r="C980" s="31" t="n"/>
      <c r="D980" s="31" t="n"/>
      <c r="E980" s="31" t="n"/>
      <c r="F980" s="31" t="n"/>
      <c r="G980" s="31" t="n"/>
      <c r="H980" s="31" t="n"/>
      <c r="I980" s="31" t="n"/>
      <c r="J980" s="31" t="n"/>
      <c r="K980" s="31">
        <f>IF(COUNTA($D980:$J980)&lt;7,"",ROUND(MIN(10000, MAX(0, ((((($D980*1.2)+($E980*1.2)+($F980*1.1)+($G980*1.0)+($H980*1.0)+($I980*1.1)+($J980*0.9))/7.5)-1)/4*8000 + MIN($B980*20,1000) + MIN($C980*100,1000))),0))</f>
        <v/>
      </c>
      <c r="L980" s="31">
        <f>IF($K980="","",MIN(100,INT(SQRT($K980))))</f>
        <v/>
      </c>
      <c r="M980" s="31" t="n"/>
      <c r="N980" s="31">
        <f>IF($M980="Yes",$K980,"")</f>
        <v/>
      </c>
      <c r="O980" s="31" t="n"/>
      <c r="P980" s="59" t="n"/>
      <c r="Q980" s="59" t="n"/>
    </row>
    <row r="981">
      <c r="A981" s="31">
        <f>IF(Members!$A981="","",Members!$A981)</f>
        <v/>
      </c>
      <c r="B981" s="31" t="n"/>
      <c r="C981" s="31" t="n"/>
      <c r="D981" s="31" t="n"/>
      <c r="E981" s="31" t="n"/>
      <c r="F981" s="31" t="n"/>
      <c r="G981" s="31" t="n"/>
      <c r="H981" s="31" t="n"/>
      <c r="I981" s="31" t="n"/>
      <c r="J981" s="31" t="n"/>
      <c r="K981" s="31">
        <f>IF(COUNTA($D981:$J981)&lt;7,"",ROUND(MIN(10000, MAX(0, ((((($D981*1.2)+($E981*1.2)+($F981*1.1)+($G981*1.0)+($H981*1.0)+($I981*1.1)+($J981*0.9))/7.5)-1)/4*8000 + MIN($B981*20,1000) + MIN($C981*100,1000))),0))</f>
        <v/>
      </c>
      <c r="L981" s="31">
        <f>IF($K981="","",MIN(100,INT(SQRT($K981))))</f>
        <v/>
      </c>
      <c r="M981" s="31" t="n"/>
      <c r="N981" s="31">
        <f>IF($M981="Yes",$K981,"")</f>
        <v/>
      </c>
      <c r="O981" s="31" t="n"/>
      <c r="P981" s="59" t="n"/>
      <c r="Q981" s="59" t="n"/>
    </row>
    <row r="982">
      <c r="A982" s="31">
        <f>IF(Members!$A982="","",Members!$A982)</f>
        <v/>
      </c>
      <c r="B982" s="31" t="n"/>
      <c r="C982" s="31" t="n"/>
      <c r="D982" s="31" t="n"/>
      <c r="E982" s="31" t="n"/>
      <c r="F982" s="31" t="n"/>
      <c r="G982" s="31" t="n"/>
      <c r="H982" s="31" t="n"/>
      <c r="I982" s="31" t="n"/>
      <c r="J982" s="31" t="n"/>
      <c r="K982" s="31">
        <f>IF(COUNTA($D982:$J982)&lt;7,"",ROUND(MIN(10000, MAX(0, ((((($D982*1.2)+($E982*1.2)+($F982*1.1)+($G982*1.0)+($H982*1.0)+($I982*1.1)+($J982*0.9))/7.5)-1)/4*8000 + MIN($B982*20,1000) + MIN($C982*100,1000))),0))</f>
        <v/>
      </c>
      <c r="L982" s="31">
        <f>IF($K982="","",MIN(100,INT(SQRT($K982))))</f>
        <v/>
      </c>
      <c r="M982" s="31" t="n"/>
      <c r="N982" s="31">
        <f>IF($M982="Yes",$K982,"")</f>
        <v/>
      </c>
      <c r="O982" s="31" t="n"/>
      <c r="P982" s="59" t="n"/>
      <c r="Q982" s="59" t="n"/>
    </row>
    <row r="983">
      <c r="A983" s="31">
        <f>IF(Members!$A983="","",Members!$A983)</f>
        <v/>
      </c>
      <c r="B983" s="31" t="n"/>
      <c r="C983" s="31" t="n"/>
      <c r="D983" s="31" t="n"/>
      <c r="E983" s="31" t="n"/>
      <c r="F983" s="31" t="n"/>
      <c r="G983" s="31" t="n"/>
      <c r="H983" s="31" t="n"/>
      <c r="I983" s="31" t="n"/>
      <c r="J983" s="31" t="n"/>
      <c r="K983" s="31">
        <f>IF(COUNTA($D983:$J983)&lt;7,"",ROUND(MIN(10000, MAX(0, ((((($D983*1.2)+($E983*1.2)+($F983*1.1)+($G983*1.0)+($H983*1.0)+($I983*1.1)+($J983*0.9))/7.5)-1)/4*8000 + MIN($B983*20,1000) + MIN($C983*100,1000))),0))</f>
        <v/>
      </c>
      <c r="L983" s="31">
        <f>IF($K983="","",MIN(100,INT(SQRT($K983))))</f>
        <v/>
      </c>
      <c r="M983" s="31" t="n"/>
      <c r="N983" s="31">
        <f>IF($M983="Yes",$K983,"")</f>
        <v/>
      </c>
      <c r="O983" s="31" t="n"/>
      <c r="P983" s="59" t="n"/>
      <c r="Q983" s="59" t="n"/>
    </row>
    <row r="984">
      <c r="A984" s="31">
        <f>IF(Members!$A984="","",Members!$A984)</f>
        <v/>
      </c>
      <c r="B984" s="31" t="n"/>
      <c r="C984" s="31" t="n"/>
      <c r="D984" s="31" t="n"/>
      <c r="E984" s="31" t="n"/>
      <c r="F984" s="31" t="n"/>
      <c r="G984" s="31" t="n"/>
      <c r="H984" s="31" t="n"/>
      <c r="I984" s="31" t="n"/>
      <c r="J984" s="31" t="n"/>
      <c r="K984" s="31">
        <f>IF(COUNTA($D984:$J984)&lt;7,"",ROUND(MIN(10000, MAX(0, ((((($D984*1.2)+($E984*1.2)+($F984*1.1)+($G984*1.0)+($H984*1.0)+($I984*1.1)+($J984*0.9))/7.5)-1)/4*8000 + MIN($B984*20,1000) + MIN($C984*100,1000))),0))</f>
        <v/>
      </c>
      <c r="L984" s="31">
        <f>IF($K984="","",MIN(100,INT(SQRT($K984))))</f>
        <v/>
      </c>
      <c r="M984" s="31" t="n"/>
      <c r="N984" s="31">
        <f>IF($M984="Yes",$K984,"")</f>
        <v/>
      </c>
      <c r="O984" s="31" t="n"/>
      <c r="P984" s="59" t="n"/>
      <c r="Q984" s="59" t="n"/>
    </row>
    <row r="985">
      <c r="A985" s="31">
        <f>IF(Members!$A985="","",Members!$A985)</f>
        <v/>
      </c>
      <c r="B985" s="31" t="n"/>
      <c r="C985" s="31" t="n"/>
      <c r="D985" s="31" t="n"/>
      <c r="E985" s="31" t="n"/>
      <c r="F985" s="31" t="n"/>
      <c r="G985" s="31" t="n"/>
      <c r="H985" s="31" t="n"/>
      <c r="I985" s="31" t="n"/>
      <c r="J985" s="31" t="n"/>
      <c r="K985" s="31">
        <f>IF(COUNTA($D985:$J985)&lt;7,"",ROUND(MIN(10000, MAX(0, ((((($D985*1.2)+($E985*1.2)+($F985*1.1)+($G985*1.0)+($H985*1.0)+($I985*1.1)+($J985*0.9))/7.5)-1)/4*8000 + MIN($B985*20,1000) + MIN($C985*100,1000))),0))</f>
        <v/>
      </c>
      <c r="L985" s="31">
        <f>IF($K985="","",MIN(100,INT(SQRT($K985))))</f>
        <v/>
      </c>
      <c r="M985" s="31" t="n"/>
      <c r="N985" s="31">
        <f>IF($M985="Yes",$K985,"")</f>
        <v/>
      </c>
      <c r="O985" s="31" t="n"/>
      <c r="P985" s="59" t="n"/>
      <c r="Q985" s="59" t="n"/>
    </row>
    <row r="986">
      <c r="A986" s="31">
        <f>IF(Members!$A986="","",Members!$A986)</f>
        <v/>
      </c>
      <c r="B986" s="31" t="n"/>
      <c r="C986" s="31" t="n"/>
      <c r="D986" s="31" t="n"/>
      <c r="E986" s="31" t="n"/>
      <c r="F986" s="31" t="n"/>
      <c r="G986" s="31" t="n"/>
      <c r="H986" s="31" t="n"/>
      <c r="I986" s="31" t="n"/>
      <c r="J986" s="31" t="n"/>
      <c r="K986" s="31">
        <f>IF(COUNTA($D986:$J986)&lt;7,"",ROUND(MIN(10000, MAX(0, ((((($D986*1.2)+($E986*1.2)+($F986*1.1)+($G986*1.0)+($H986*1.0)+($I986*1.1)+($J986*0.9))/7.5)-1)/4*8000 + MIN($B986*20,1000) + MIN($C986*100,1000))),0))</f>
        <v/>
      </c>
      <c r="L986" s="31">
        <f>IF($K986="","",MIN(100,INT(SQRT($K986))))</f>
        <v/>
      </c>
      <c r="M986" s="31" t="n"/>
      <c r="N986" s="31">
        <f>IF($M986="Yes",$K986,"")</f>
        <v/>
      </c>
      <c r="O986" s="31" t="n"/>
      <c r="P986" s="59" t="n"/>
      <c r="Q986" s="59" t="n"/>
    </row>
    <row r="987">
      <c r="A987" s="31">
        <f>IF(Members!$A987="","",Members!$A987)</f>
        <v/>
      </c>
      <c r="B987" s="31" t="n"/>
      <c r="C987" s="31" t="n"/>
      <c r="D987" s="31" t="n"/>
      <c r="E987" s="31" t="n"/>
      <c r="F987" s="31" t="n"/>
      <c r="G987" s="31" t="n"/>
      <c r="H987" s="31" t="n"/>
      <c r="I987" s="31" t="n"/>
      <c r="J987" s="31" t="n"/>
      <c r="K987" s="31">
        <f>IF(COUNTA($D987:$J987)&lt;7,"",ROUND(MIN(10000, MAX(0, ((((($D987*1.2)+($E987*1.2)+($F987*1.1)+($G987*1.0)+($H987*1.0)+($I987*1.1)+($J987*0.9))/7.5)-1)/4*8000 + MIN($B987*20,1000) + MIN($C987*100,1000))),0))</f>
        <v/>
      </c>
      <c r="L987" s="31">
        <f>IF($K987="","",MIN(100,INT(SQRT($K987))))</f>
        <v/>
      </c>
      <c r="M987" s="31" t="n"/>
      <c r="N987" s="31">
        <f>IF($M987="Yes",$K987,"")</f>
        <v/>
      </c>
      <c r="O987" s="31" t="n"/>
      <c r="P987" s="59" t="n"/>
      <c r="Q987" s="59" t="n"/>
    </row>
    <row r="988">
      <c r="A988" s="31">
        <f>IF(Members!$A988="","",Members!$A988)</f>
        <v/>
      </c>
      <c r="B988" s="31" t="n"/>
      <c r="C988" s="31" t="n"/>
      <c r="D988" s="31" t="n"/>
      <c r="E988" s="31" t="n"/>
      <c r="F988" s="31" t="n"/>
      <c r="G988" s="31" t="n"/>
      <c r="H988" s="31" t="n"/>
      <c r="I988" s="31" t="n"/>
      <c r="J988" s="31" t="n"/>
      <c r="K988" s="31">
        <f>IF(COUNTA($D988:$J988)&lt;7,"",ROUND(MIN(10000, MAX(0, ((((($D988*1.2)+($E988*1.2)+($F988*1.1)+($G988*1.0)+($H988*1.0)+($I988*1.1)+($J988*0.9))/7.5)-1)/4*8000 + MIN($B988*20,1000) + MIN($C988*100,1000))),0))</f>
        <v/>
      </c>
      <c r="L988" s="31">
        <f>IF($K988="","",MIN(100,INT(SQRT($K988))))</f>
        <v/>
      </c>
      <c r="M988" s="31" t="n"/>
      <c r="N988" s="31">
        <f>IF($M988="Yes",$K988,"")</f>
        <v/>
      </c>
      <c r="O988" s="31" t="n"/>
      <c r="P988" s="59" t="n"/>
      <c r="Q988" s="59" t="n"/>
    </row>
    <row r="989">
      <c r="A989" s="31">
        <f>IF(Members!$A989="","",Members!$A989)</f>
        <v/>
      </c>
      <c r="B989" s="31" t="n"/>
      <c r="C989" s="31" t="n"/>
      <c r="D989" s="31" t="n"/>
      <c r="E989" s="31" t="n"/>
      <c r="F989" s="31" t="n"/>
      <c r="G989" s="31" t="n"/>
      <c r="H989" s="31" t="n"/>
      <c r="I989" s="31" t="n"/>
      <c r="J989" s="31" t="n"/>
      <c r="K989" s="31">
        <f>IF(COUNTA($D989:$J989)&lt;7,"",ROUND(MIN(10000, MAX(0, ((((($D989*1.2)+($E989*1.2)+($F989*1.1)+($G989*1.0)+($H989*1.0)+($I989*1.1)+($J989*0.9))/7.5)-1)/4*8000 + MIN($B989*20,1000) + MIN($C989*100,1000))),0))</f>
        <v/>
      </c>
      <c r="L989" s="31">
        <f>IF($K989="","",MIN(100,INT(SQRT($K989))))</f>
        <v/>
      </c>
      <c r="M989" s="31" t="n"/>
      <c r="N989" s="31">
        <f>IF($M989="Yes",$K989,"")</f>
        <v/>
      </c>
      <c r="O989" s="31" t="n"/>
      <c r="P989" s="59" t="n"/>
      <c r="Q989" s="59" t="n"/>
    </row>
    <row r="990">
      <c r="A990" s="31">
        <f>IF(Members!$A990="","",Members!$A990)</f>
        <v/>
      </c>
      <c r="B990" s="31" t="n"/>
      <c r="C990" s="31" t="n"/>
      <c r="D990" s="31" t="n"/>
      <c r="E990" s="31" t="n"/>
      <c r="F990" s="31" t="n"/>
      <c r="G990" s="31" t="n"/>
      <c r="H990" s="31" t="n"/>
      <c r="I990" s="31" t="n"/>
      <c r="J990" s="31" t="n"/>
      <c r="K990" s="31">
        <f>IF(COUNTA($D990:$J990)&lt;7,"",ROUND(MIN(10000, MAX(0, ((((($D990*1.2)+($E990*1.2)+($F990*1.1)+($G990*1.0)+($H990*1.0)+($I990*1.1)+($J990*0.9))/7.5)-1)/4*8000 + MIN($B990*20,1000) + MIN($C990*100,1000))),0))</f>
        <v/>
      </c>
      <c r="L990" s="31">
        <f>IF($K990="","",MIN(100,INT(SQRT($K990))))</f>
        <v/>
      </c>
      <c r="M990" s="31" t="n"/>
      <c r="N990" s="31">
        <f>IF($M990="Yes",$K990,"")</f>
        <v/>
      </c>
      <c r="O990" s="31" t="n"/>
      <c r="P990" s="59" t="n"/>
      <c r="Q990" s="59" t="n"/>
    </row>
    <row r="991">
      <c r="A991" s="31">
        <f>IF(Members!$A991="","",Members!$A991)</f>
        <v/>
      </c>
      <c r="B991" s="31" t="n"/>
      <c r="C991" s="31" t="n"/>
      <c r="D991" s="31" t="n"/>
      <c r="E991" s="31" t="n"/>
      <c r="F991" s="31" t="n"/>
      <c r="G991" s="31" t="n"/>
      <c r="H991" s="31" t="n"/>
      <c r="I991" s="31" t="n"/>
      <c r="J991" s="31" t="n"/>
      <c r="K991" s="31">
        <f>IF(COUNTA($D991:$J991)&lt;7,"",ROUND(MIN(10000, MAX(0, ((((($D991*1.2)+($E991*1.2)+($F991*1.1)+($G991*1.0)+($H991*1.0)+($I991*1.1)+($J991*0.9))/7.5)-1)/4*8000 + MIN($B991*20,1000) + MIN($C991*100,1000))),0))</f>
        <v/>
      </c>
      <c r="L991" s="31">
        <f>IF($K991="","",MIN(100,INT(SQRT($K991))))</f>
        <v/>
      </c>
      <c r="M991" s="31" t="n"/>
      <c r="N991" s="31">
        <f>IF($M991="Yes",$K991,"")</f>
        <v/>
      </c>
      <c r="O991" s="31" t="n"/>
      <c r="P991" s="59" t="n"/>
      <c r="Q991" s="59" t="n"/>
    </row>
    <row r="992">
      <c r="A992" s="31">
        <f>IF(Members!$A992="","",Members!$A992)</f>
        <v/>
      </c>
      <c r="B992" s="31" t="n"/>
      <c r="C992" s="31" t="n"/>
      <c r="D992" s="31" t="n"/>
      <c r="E992" s="31" t="n"/>
      <c r="F992" s="31" t="n"/>
      <c r="G992" s="31" t="n"/>
      <c r="H992" s="31" t="n"/>
      <c r="I992" s="31" t="n"/>
      <c r="J992" s="31" t="n"/>
      <c r="K992" s="31">
        <f>IF(COUNTA($D992:$J992)&lt;7,"",ROUND(MIN(10000, MAX(0, ((((($D992*1.2)+($E992*1.2)+($F992*1.1)+($G992*1.0)+($H992*1.0)+($I992*1.1)+($J992*0.9))/7.5)-1)/4*8000 + MIN($B992*20,1000) + MIN($C992*100,1000))),0))</f>
        <v/>
      </c>
      <c r="L992" s="31">
        <f>IF($K992="","",MIN(100,INT(SQRT($K992))))</f>
        <v/>
      </c>
      <c r="M992" s="31" t="n"/>
      <c r="N992" s="31">
        <f>IF($M992="Yes",$K992,"")</f>
        <v/>
      </c>
      <c r="O992" s="31" t="n"/>
      <c r="P992" s="59" t="n"/>
      <c r="Q992" s="59" t="n"/>
    </row>
    <row r="993">
      <c r="A993" s="31">
        <f>IF(Members!$A993="","",Members!$A993)</f>
        <v/>
      </c>
      <c r="B993" s="31" t="n"/>
      <c r="C993" s="31" t="n"/>
      <c r="D993" s="31" t="n"/>
      <c r="E993" s="31" t="n"/>
      <c r="F993" s="31" t="n"/>
      <c r="G993" s="31" t="n"/>
      <c r="H993" s="31" t="n"/>
      <c r="I993" s="31" t="n"/>
      <c r="J993" s="31" t="n"/>
      <c r="K993" s="31">
        <f>IF(COUNTA($D993:$J993)&lt;7,"",ROUND(MIN(10000, MAX(0, ((((($D993*1.2)+($E993*1.2)+($F993*1.1)+($G993*1.0)+($H993*1.0)+($I993*1.1)+($J993*0.9))/7.5)-1)/4*8000 + MIN($B993*20,1000) + MIN($C993*100,1000))),0))</f>
        <v/>
      </c>
      <c r="L993" s="31">
        <f>IF($K993="","",MIN(100,INT(SQRT($K993))))</f>
        <v/>
      </c>
      <c r="M993" s="31" t="n"/>
      <c r="N993" s="31">
        <f>IF($M993="Yes",$K993,"")</f>
        <v/>
      </c>
      <c r="O993" s="31" t="n"/>
      <c r="P993" s="59" t="n"/>
      <c r="Q993" s="59" t="n"/>
    </row>
    <row r="994">
      <c r="A994" s="31">
        <f>IF(Members!$A994="","",Members!$A994)</f>
        <v/>
      </c>
      <c r="B994" s="31" t="n"/>
      <c r="C994" s="31" t="n"/>
      <c r="D994" s="31" t="n"/>
      <c r="E994" s="31" t="n"/>
      <c r="F994" s="31" t="n"/>
      <c r="G994" s="31" t="n"/>
      <c r="H994" s="31" t="n"/>
      <c r="I994" s="31" t="n"/>
      <c r="J994" s="31" t="n"/>
      <c r="K994" s="31">
        <f>IF(COUNTA($D994:$J994)&lt;7,"",ROUND(MIN(10000, MAX(0, ((((($D994*1.2)+($E994*1.2)+($F994*1.1)+($G994*1.0)+($H994*1.0)+($I994*1.1)+($J994*0.9))/7.5)-1)/4*8000 + MIN($B994*20,1000) + MIN($C994*100,1000))),0))</f>
        <v/>
      </c>
      <c r="L994" s="31">
        <f>IF($K994="","",MIN(100,INT(SQRT($K994))))</f>
        <v/>
      </c>
      <c r="M994" s="31" t="n"/>
      <c r="N994" s="31">
        <f>IF($M994="Yes",$K994,"")</f>
        <v/>
      </c>
      <c r="O994" s="31" t="n"/>
      <c r="P994" s="59" t="n"/>
      <c r="Q994" s="59" t="n"/>
    </row>
    <row r="995">
      <c r="A995" s="31">
        <f>IF(Members!$A995="","",Members!$A995)</f>
        <v/>
      </c>
      <c r="B995" s="31" t="n"/>
      <c r="C995" s="31" t="n"/>
      <c r="D995" s="31" t="n"/>
      <c r="E995" s="31" t="n"/>
      <c r="F995" s="31" t="n"/>
      <c r="G995" s="31" t="n"/>
      <c r="H995" s="31" t="n"/>
      <c r="I995" s="31" t="n"/>
      <c r="J995" s="31" t="n"/>
      <c r="K995" s="31">
        <f>IF(COUNTA($D995:$J995)&lt;7,"",ROUND(MIN(10000, MAX(0, ((((($D995*1.2)+($E995*1.2)+($F995*1.1)+($G995*1.0)+($H995*1.0)+($I995*1.1)+($J995*0.9))/7.5)-1)/4*8000 + MIN($B995*20,1000) + MIN($C995*100,1000))),0))</f>
        <v/>
      </c>
      <c r="L995" s="31">
        <f>IF($K995="","",MIN(100,INT(SQRT($K995))))</f>
        <v/>
      </c>
      <c r="M995" s="31" t="n"/>
      <c r="N995" s="31">
        <f>IF($M995="Yes",$K995,"")</f>
        <v/>
      </c>
      <c r="O995" s="31" t="n"/>
      <c r="P995" s="59" t="n"/>
      <c r="Q995" s="59" t="n"/>
    </row>
    <row r="996">
      <c r="A996" s="31">
        <f>IF(Members!$A996="","",Members!$A996)</f>
        <v/>
      </c>
      <c r="B996" s="31" t="n"/>
      <c r="C996" s="31" t="n"/>
      <c r="D996" s="31" t="n"/>
      <c r="E996" s="31" t="n"/>
      <c r="F996" s="31" t="n"/>
      <c r="G996" s="31" t="n"/>
      <c r="H996" s="31" t="n"/>
      <c r="I996" s="31" t="n"/>
      <c r="J996" s="31" t="n"/>
      <c r="K996" s="31">
        <f>IF(COUNTA($D996:$J996)&lt;7,"",ROUND(MIN(10000, MAX(0, ((((($D996*1.2)+($E996*1.2)+($F996*1.1)+($G996*1.0)+($H996*1.0)+($I996*1.1)+($J996*0.9))/7.5)-1)/4*8000 + MIN($B996*20,1000) + MIN($C996*100,1000))),0))</f>
        <v/>
      </c>
      <c r="L996" s="31">
        <f>IF($K996="","",MIN(100,INT(SQRT($K996))))</f>
        <v/>
      </c>
      <c r="M996" s="31" t="n"/>
      <c r="N996" s="31">
        <f>IF($M996="Yes",$K996,"")</f>
        <v/>
      </c>
      <c r="O996" s="31" t="n"/>
      <c r="P996" s="59" t="n"/>
      <c r="Q996" s="59" t="n"/>
    </row>
    <row r="997">
      <c r="A997" s="31">
        <f>IF(Members!$A997="","",Members!$A997)</f>
        <v/>
      </c>
      <c r="B997" s="31" t="n"/>
      <c r="C997" s="31" t="n"/>
      <c r="D997" s="31" t="n"/>
      <c r="E997" s="31" t="n"/>
      <c r="F997" s="31" t="n"/>
      <c r="G997" s="31" t="n"/>
      <c r="H997" s="31" t="n"/>
      <c r="I997" s="31" t="n"/>
      <c r="J997" s="31" t="n"/>
      <c r="K997" s="31">
        <f>IF(COUNTA($D997:$J997)&lt;7,"",ROUND(MIN(10000, MAX(0, ((((($D997*1.2)+($E997*1.2)+($F997*1.1)+($G997*1.0)+($H997*1.0)+($I997*1.1)+($J997*0.9))/7.5)-1)/4*8000 + MIN($B997*20,1000) + MIN($C997*100,1000))),0))</f>
        <v/>
      </c>
      <c r="L997" s="31">
        <f>IF($K997="","",MIN(100,INT(SQRT($K997))))</f>
        <v/>
      </c>
      <c r="M997" s="31" t="n"/>
      <c r="N997" s="31">
        <f>IF($M997="Yes",$K997,"")</f>
        <v/>
      </c>
      <c r="O997" s="31" t="n"/>
      <c r="P997" s="59" t="n"/>
      <c r="Q997" s="59" t="n"/>
    </row>
    <row r="998">
      <c r="A998" s="31">
        <f>IF(Members!$A998="","",Members!$A998)</f>
        <v/>
      </c>
      <c r="B998" s="31" t="n"/>
      <c r="C998" s="31" t="n"/>
      <c r="D998" s="31" t="n"/>
      <c r="E998" s="31" t="n"/>
      <c r="F998" s="31" t="n"/>
      <c r="G998" s="31" t="n"/>
      <c r="H998" s="31" t="n"/>
      <c r="I998" s="31" t="n"/>
      <c r="J998" s="31" t="n"/>
      <c r="K998" s="31">
        <f>IF(COUNTA($D998:$J998)&lt;7,"",ROUND(MIN(10000, MAX(0, ((((($D998*1.2)+($E998*1.2)+($F998*1.1)+($G998*1.0)+($H998*1.0)+($I998*1.1)+($J998*0.9))/7.5)-1)/4*8000 + MIN($B998*20,1000) + MIN($C998*100,1000))),0))</f>
        <v/>
      </c>
      <c r="L998" s="31">
        <f>IF($K998="","",MIN(100,INT(SQRT($K998))))</f>
        <v/>
      </c>
      <c r="M998" s="31" t="n"/>
      <c r="N998" s="31">
        <f>IF($M998="Yes",$K998,"")</f>
        <v/>
      </c>
      <c r="O998" s="31" t="n"/>
      <c r="P998" s="59" t="n"/>
      <c r="Q998" s="59" t="n"/>
    </row>
    <row r="999">
      <c r="A999" s="31">
        <f>IF(Members!$A999="","",Members!$A999)</f>
        <v/>
      </c>
      <c r="B999" s="31" t="n"/>
      <c r="C999" s="31" t="n"/>
      <c r="D999" s="31" t="n"/>
      <c r="E999" s="31" t="n"/>
      <c r="F999" s="31" t="n"/>
      <c r="G999" s="31" t="n"/>
      <c r="H999" s="31" t="n"/>
      <c r="I999" s="31" t="n"/>
      <c r="J999" s="31" t="n"/>
      <c r="K999" s="31">
        <f>IF(COUNTA($D999:$J999)&lt;7,"",ROUND(MIN(10000, MAX(0, ((((($D999*1.2)+($E999*1.2)+($F999*1.1)+($G999*1.0)+($H999*1.0)+($I999*1.1)+($J999*0.9))/7.5)-1)/4*8000 + MIN($B999*20,1000) + MIN($C999*100,1000))),0))</f>
        <v/>
      </c>
      <c r="L999" s="31">
        <f>IF($K999="","",MIN(100,INT(SQRT($K999))))</f>
        <v/>
      </c>
      <c r="M999" s="31" t="n"/>
      <c r="N999" s="31">
        <f>IF($M999="Yes",$K999,"")</f>
        <v/>
      </c>
      <c r="O999" s="31" t="n"/>
      <c r="P999" s="59" t="n"/>
      <c r="Q999" s="59" t="n"/>
    </row>
    <row r="1000">
      <c r="A1000" s="47">
        <f>IF(Members!$A1000="","",Members!$A1000)</f>
        <v/>
      </c>
      <c r="B1000" s="47" t="n"/>
      <c r="C1000" s="47" t="n"/>
      <c r="D1000" s="47" t="n"/>
      <c r="E1000" s="47" t="n"/>
      <c r="F1000" s="47" t="n"/>
      <c r="G1000" s="47" t="n"/>
      <c r="H1000" s="47" t="n"/>
      <c r="I1000" s="47" t="n"/>
      <c r="J1000" s="47" t="n"/>
      <c r="K1000" s="47">
        <f>IF(COUNTA($D1000:$J1000)&lt;7,"",ROUND(MIN(10000, MAX(0, ((((($D1000*1.2)+($E1000*1.2)+($F1000*1.1)+($G1000*1.0)+($H1000*1.0)+($I1000*1.1)+($J1000*0.9))/7.5)-1)/4*8000 + MIN($B1000*20,1000) + MIN($C1000*100,1000))),0))</f>
        <v/>
      </c>
      <c r="L1000" s="47">
        <f>IF($K1000="","",MIN(100,INT(SQRT($K1000))))</f>
        <v/>
      </c>
      <c r="M1000" s="47" t="n"/>
      <c r="N1000" s="47">
        <f>IF($M1000="Yes",$K1000,"")</f>
        <v/>
      </c>
      <c r="O1000" s="47" t="n"/>
      <c r="P1000" s="59" t="n"/>
      <c r="Q1000" s="59" t="n"/>
    </row>
  </sheetData>
  <dataValidations count="3">
    <dataValidation sqref="D2:J1000" showDropDown="0" showInputMessage="0" showErrorMessage="0" allowBlank="1" type="list">
      <formula1>"1,2,3,4,5"</formula1>
    </dataValidation>
    <dataValidation sqref="C2:C1000" showDropDown="0" showInputMessage="0" showErrorMessage="0" allowBlank="1" type="list">
      <formula1>"1,2,3,4,5,6,7"</formula1>
    </dataValidation>
    <dataValidation sqref="M2:M1000" showDropDown="0" showInputMessage="0" showErrorMessage="0" allowBlank="1" type="list">
      <formula1>"Yes,No"</formula1>
    </dataValidation>
  </dataValidation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tabColor rgb="FFFF0000"/>
    <outlinePr summaryBelow="0" summaryRight="0"/>
    <pageSetUpPr/>
  </sheetPr>
  <dimension ref="A1:T107"/>
  <sheetViews>
    <sheetView workbookViewId="0">
      <pane ySplit="1" topLeftCell="A2" activePane="bottomLeft" state="frozen"/>
      <selection pane="bottomLeft" activeCell="A1" sqref="A1"/>
    </sheetView>
  </sheetViews>
  <sheetFormatPr baseColWidth="8" defaultColWidth="12.63" defaultRowHeight="15.75" customHeight="1"/>
  <cols>
    <col width="42.13" customWidth="1" style="64" min="1" max="1"/>
  </cols>
  <sheetData>
    <row r="1">
      <c r="A1" s="56" t="inlineStr">
        <is>
          <t>Display Name (Coach sees)</t>
        </is>
      </c>
      <c r="B1" s="56" t="inlineStr">
        <is>
          <t>ActionID</t>
        </is>
      </c>
      <c r="C1" s="56" t="inlineStr">
        <is>
          <t>XP</t>
        </is>
      </c>
      <c r="D1" s="56" t="inlineStr">
        <is>
          <t>Coins</t>
        </is>
      </c>
      <c r="E1" s="56" t="inlineStr">
        <is>
          <t>Type</t>
        </is>
      </c>
      <c r="F1" s="56" t="n"/>
      <c r="G1" s="56" t="n"/>
      <c r="H1" s="56" t="n"/>
      <c r="I1" s="56" t="n"/>
      <c r="J1" s="56" t="n"/>
      <c r="K1" s="56" t="n"/>
      <c r="L1" s="56" t="n"/>
      <c r="M1" s="56" t="n"/>
      <c r="N1" s="56" t="n"/>
      <c r="O1" s="56" t="n"/>
      <c r="P1" s="56" t="n"/>
      <c r="Q1" s="56" t="n"/>
      <c r="R1" s="56" t="n"/>
      <c r="S1" s="56" t="n"/>
      <c r="T1" s="56" t="n"/>
    </row>
    <row r="2">
      <c r="A2" s="60" t="inlineStr">
        <is>
          <t>Onboarding – Account Created</t>
        </is>
      </c>
      <c r="B2" s="60" t="inlineStr">
        <is>
          <t>ONB-ACCT</t>
        </is>
      </c>
      <c r="C2" s="60" t="n">
        <v>10</v>
      </c>
      <c r="D2" s="60" t="n">
        <v>1</v>
      </c>
      <c r="E2" s="60" t="inlineStr">
        <is>
          <t>Onboarding</t>
        </is>
      </c>
    </row>
    <row r="3">
      <c r="A3" s="60" t="inlineStr">
        <is>
          <t>Client ParQ/Waiver - Completed</t>
        </is>
      </c>
      <c r="B3" s="60" t="inlineStr">
        <is>
          <t>ONB-SAFE</t>
        </is>
      </c>
      <c r="C3" s="60" t="n">
        <v>10</v>
      </c>
      <c r="D3" s="60" t="n">
        <v>1</v>
      </c>
      <c r="E3" s="60" t="inlineStr">
        <is>
          <t>Onboarding</t>
        </is>
      </c>
    </row>
    <row r="4">
      <c r="A4" s="60" t="inlineStr">
        <is>
          <t>Onboarding – Consultation Complete</t>
        </is>
      </c>
      <c r="B4" s="60" t="inlineStr">
        <is>
          <t>ONB-CONS</t>
        </is>
      </c>
      <c r="C4" s="60" t="n">
        <v>20</v>
      </c>
      <c r="D4" s="60" t="n">
        <v>2</v>
      </c>
      <c r="E4" s="60" t="inlineStr">
        <is>
          <t>Onboarding</t>
        </is>
      </c>
    </row>
    <row r="5">
      <c r="A5" s="60" t="inlineStr">
        <is>
          <t>Wearable Declared / Connected</t>
        </is>
      </c>
      <c r="B5" s="60" t="inlineStr">
        <is>
          <t>ONB-WEAR</t>
        </is>
      </c>
      <c r="C5" s="60" t="n">
        <v>20</v>
      </c>
      <c r="D5" s="60" t="n">
        <v>2</v>
      </c>
      <c r="E5" s="60" t="inlineStr">
        <is>
          <t>Onboarding</t>
        </is>
      </c>
    </row>
    <row r="6">
      <c r="A6" s="60" t="inlineStr">
        <is>
          <t>Profile Completed (Availability, Injuries, Preferences)</t>
        </is>
      </c>
      <c r="B6" s="60" t="inlineStr">
        <is>
          <t>ONB-PROF</t>
        </is>
      </c>
      <c r="C6" s="60" t="n">
        <v>15</v>
      </c>
      <c r="D6" s="60" t="n">
        <v>2</v>
      </c>
      <c r="E6" s="60" t="inlineStr">
        <is>
          <t>Onboarding</t>
        </is>
      </c>
    </row>
    <row r="7">
      <c r="A7" s="60" t="inlineStr">
        <is>
          <t>First Coached Session Completed</t>
        </is>
      </c>
      <c r="B7" s="60" t="inlineStr">
        <is>
          <t>TRN-FIRST</t>
        </is>
      </c>
      <c r="C7" s="60" t="n">
        <v>20</v>
      </c>
      <c r="D7" s="60" t="n">
        <v>2</v>
      </c>
      <c r="E7" s="60" t="inlineStr">
        <is>
          <t>Training</t>
        </is>
      </c>
    </row>
    <row r="8">
      <c r="A8" s="60" t="inlineStr">
        <is>
          <t>Safety briefing (video + quiz)</t>
        </is>
      </c>
      <c r="B8" s="60" t="inlineStr">
        <is>
          <t>EDU-SAFE</t>
        </is>
      </c>
      <c r="C8" s="60" t="n">
        <v>20</v>
      </c>
      <c r="D8" s="60" t="n">
        <v>2</v>
      </c>
      <c r="E8" s="60" t="inlineStr">
        <is>
          <t>Education</t>
        </is>
      </c>
    </row>
    <row r="9">
      <c r="A9" s="60" t="inlineStr">
        <is>
          <t>Consult Quiz (Theory Half) – Passed/Completed</t>
        </is>
      </c>
      <c r="B9" s="60" t="inlineStr">
        <is>
          <t>EDU-CONSQUIZ</t>
        </is>
      </c>
      <c r="C9" s="60" t="n">
        <v>50</v>
      </c>
      <c r="D9" s="60" t="n">
        <v>5</v>
      </c>
      <c r="E9" s="60" t="inlineStr">
        <is>
          <t>Education</t>
        </is>
      </c>
    </row>
    <row r="10">
      <c r="A10" s="60" t="inlineStr">
        <is>
          <t>Movement Screen (Practical Half) – Passed/Completed</t>
        </is>
      </c>
      <c r="B10" s="60" t="inlineStr">
        <is>
          <t>TRN-MOVSCR</t>
        </is>
      </c>
      <c r="C10" s="60" t="n">
        <v>50</v>
      </c>
      <c r="D10" s="60" t="n">
        <v>5</v>
      </c>
      <c r="E10" s="60" t="inlineStr">
        <is>
          <t>Training</t>
        </is>
      </c>
    </row>
    <row r="11">
      <c r="A11" s="60" t="inlineStr">
        <is>
          <t>Quest Mode Selected</t>
        </is>
      </c>
      <c r="B11" s="60" t="inlineStr">
        <is>
          <t>QST-START</t>
        </is>
      </c>
      <c r="C11" s="60" t="n">
        <v>10</v>
      </c>
      <c r="D11" s="60" t="n">
        <v>1</v>
      </c>
      <c r="E11" s="60" t="inlineStr">
        <is>
          <t>Mode</t>
        </is>
      </c>
    </row>
    <row r="12">
      <c r="A12" s="60" t="inlineStr">
        <is>
          <t>Classic Goal Defined</t>
        </is>
      </c>
      <c r="B12" s="60" t="inlineStr">
        <is>
          <t>CLS-START</t>
        </is>
      </c>
      <c r="C12" s="60" t="n">
        <v>10</v>
      </c>
      <c r="D12" s="60" t="n">
        <v>1</v>
      </c>
      <c r="E12" s="60" t="inlineStr">
        <is>
          <t>Mode</t>
        </is>
      </c>
    </row>
    <row r="13">
      <c r="A13" s="60" t="inlineStr">
        <is>
          <t>Coached Strength Session</t>
        </is>
      </c>
      <c r="B13" s="60" t="inlineStr">
        <is>
          <t>TRN-SESS</t>
        </is>
      </c>
      <c r="C13" s="60" t="n">
        <v>10</v>
      </c>
      <c r="D13" s="60" t="n">
        <v>1</v>
      </c>
      <c r="E13" s="60" t="inlineStr">
        <is>
          <t>Training</t>
        </is>
      </c>
    </row>
    <row r="14">
      <c r="A14" s="60" t="inlineStr">
        <is>
          <t>Session Attended (Showed Up On Time)</t>
        </is>
      </c>
      <c r="B14" s="60" t="inlineStr">
        <is>
          <t>TRN-ATT</t>
        </is>
      </c>
      <c r="C14" s="60" t="n">
        <v>10</v>
      </c>
      <c r="D14" s="60" t="n">
        <v>1</v>
      </c>
      <c r="E14" s="60" t="inlineStr">
        <is>
          <t>Training</t>
        </is>
      </c>
    </row>
    <row r="15">
      <c r="A15" s="60" t="inlineStr">
        <is>
          <t>Technique Video Reviewed</t>
        </is>
      </c>
      <c r="B15" s="60" t="inlineStr">
        <is>
          <t>TRN-RPEV</t>
        </is>
      </c>
      <c r="C15" s="60" t="n">
        <v>5</v>
      </c>
      <c r="D15" s="60" t="n">
        <v>0</v>
      </c>
      <c r="E15" s="60" t="inlineStr">
        <is>
          <t>Training</t>
        </is>
      </c>
    </row>
    <row r="16">
      <c r="A16" s="60" t="inlineStr">
        <is>
          <t>Tempo-Controlled Session Completed</t>
        </is>
      </c>
      <c r="B16" s="60" t="inlineStr">
        <is>
          <t>TRN-TEMP</t>
        </is>
      </c>
      <c r="C16" s="60" t="n">
        <v>6</v>
      </c>
      <c r="D16" s="60" t="n">
        <v>1</v>
      </c>
      <c r="E16" s="60" t="inlineStr">
        <is>
          <t>Training</t>
        </is>
      </c>
    </row>
    <row r="17">
      <c r="A17" s="60" t="inlineStr">
        <is>
          <t>Personal Record Achieved</t>
        </is>
      </c>
      <c r="B17" s="60" t="inlineStr">
        <is>
          <t>TRN-PR</t>
        </is>
      </c>
      <c r="C17" s="60" t="n">
        <v>8</v>
      </c>
      <c r="D17" s="60" t="n">
        <v>1</v>
      </c>
      <c r="E17" s="60" t="inlineStr">
        <is>
          <t>Training</t>
        </is>
      </c>
    </row>
    <row r="18">
      <c r="A18" s="60" t="inlineStr">
        <is>
          <t>Movement Badge Earned</t>
        </is>
      </c>
      <c r="B18" s="60" t="inlineStr">
        <is>
          <t>TRN-BADG</t>
        </is>
      </c>
      <c r="C18" s="60" t="n">
        <v>20</v>
      </c>
      <c r="D18" s="60" t="n">
        <v>2</v>
      </c>
      <c r="E18" s="60" t="inlineStr">
        <is>
          <t>Training</t>
        </is>
      </c>
    </row>
    <row r="19">
      <c r="A19" s="60" t="inlineStr">
        <is>
          <t>Perfect Form Top Set (Coach Approved)</t>
        </is>
      </c>
      <c r="B19" s="60" t="inlineStr">
        <is>
          <t>TRN-FORM</t>
        </is>
      </c>
      <c r="C19" s="60" t="n">
        <v>25</v>
      </c>
      <c r="D19" s="60" t="n">
        <v>3</v>
      </c>
      <c r="E19" s="60" t="inlineStr">
        <is>
          <t>Training</t>
        </is>
      </c>
    </row>
    <row r="20">
      <c r="A20" s="60" t="inlineStr">
        <is>
          <t>Zone 2 Cardio (40–60 min)</t>
        </is>
      </c>
      <c r="B20" s="60" t="inlineStr">
        <is>
          <t>ENG-Z2</t>
        </is>
      </c>
      <c r="C20" s="60" t="n">
        <v>20</v>
      </c>
      <c r="D20" s="60" t="n">
        <v>2</v>
      </c>
      <c r="E20" s="60" t="inlineStr">
        <is>
          <t>Conditioning</t>
        </is>
      </c>
    </row>
    <row r="21">
      <c r="A21" s="60" t="inlineStr">
        <is>
          <t>HIIT / Intervals</t>
        </is>
      </c>
      <c r="B21" s="60" t="inlineStr">
        <is>
          <t>ENG-HIIT</t>
        </is>
      </c>
      <c r="C21" s="60" t="n">
        <v>20</v>
      </c>
      <c r="D21" s="60" t="n">
        <v>2</v>
      </c>
      <c r="E21" s="60" t="inlineStr">
        <is>
          <t>Conditioning</t>
        </is>
      </c>
    </row>
    <row r="22">
      <c r="A22" s="60" t="inlineStr">
        <is>
          <t>Threshold Run/Ride/Row (20–40 min)</t>
        </is>
      </c>
      <c r="B22" s="60" t="inlineStr">
        <is>
          <t>ENG-THR</t>
        </is>
      </c>
      <c r="C22" s="60" t="n">
        <v>20</v>
      </c>
      <c r="D22" s="60" t="n">
        <v>2</v>
      </c>
      <c r="E22" s="60" t="inlineStr">
        <is>
          <t>Conditioning</t>
        </is>
      </c>
    </row>
    <row r="23">
      <c r="A23" s="60" t="inlineStr">
        <is>
          <t>Outdoor Cardio (No GPS)</t>
        </is>
      </c>
      <c r="B23" s="60" t="inlineStr">
        <is>
          <t>ENG-OUT</t>
        </is>
      </c>
      <c r="C23" s="60" t="n">
        <v>20</v>
      </c>
      <c r="D23" s="60" t="n">
        <v>2</v>
      </c>
      <c r="E23" s="60" t="inlineStr">
        <is>
          <t>Conditioning</t>
        </is>
      </c>
    </row>
    <row r="24">
      <c r="A24" s="60" t="inlineStr">
        <is>
          <t>8,000 Steps</t>
        </is>
      </c>
      <c r="B24" s="60" t="inlineStr">
        <is>
          <t>NEAT-8K</t>
        </is>
      </c>
      <c r="C24" s="60" t="n">
        <v>10</v>
      </c>
      <c r="D24" s="60" t="n">
        <v>1</v>
      </c>
      <c r="E24" s="60" t="inlineStr">
        <is>
          <t>NEAT</t>
        </is>
      </c>
    </row>
    <row r="25">
      <c r="A25" s="60" t="inlineStr">
        <is>
          <t>12,000 Steps</t>
        </is>
      </c>
      <c r="B25" s="60" t="inlineStr">
        <is>
          <t>NEAT-12K</t>
        </is>
      </c>
      <c r="C25" s="60" t="n">
        <v>12</v>
      </c>
      <c r="D25" s="60" t="n">
        <v>1</v>
      </c>
      <c r="E25" s="60" t="inlineStr">
        <is>
          <t>NEAT</t>
        </is>
      </c>
    </row>
    <row r="26">
      <c r="A26" s="60" t="inlineStr">
        <is>
          <t>Active Commute (Walk/Cycle ≥15 min)</t>
        </is>
      </c>
      <c r="B26" s="60" t="inlineStr">
        <is>
          <t>NEAT-COMM</t>
        </is>
      </c>
      <c r="C26" s="60" t="n">
        <v>5</v>
      </c>
      <c r="D26" s="60" t="n">
        <v>0</v>
      </c>
      <c r="E26" s="60" t="inlineStr">
        <is>
          <t>NEAT</t>
        </is>
      </c>
    </row>
    <row r="27">
      <c r="A27" s="60" t="inlineStr">
        <is>
          <t>“Stairs Not Lift” Streak – 7 Days</t>
        </is>
      </c>
      <c r="B27" s="60" t="inlineStr">
        <is>
          <t>NEAT-STAIR7</t>
        </is>
      </c>
      <c r="C27" s="60" t="n">
        <v>10</v>
      </c>
      <c r="D27" s="60" t="n">
        <v>1</v>
      </c>
      <c r="E27" s="60" t="inlineStr">
        <is>
          <t>NEAT</t>
        </is>
      </c>
    </row>
    <row r="28">
      <c r="A28" s="60" t="inlineStr">
        <is>
          <t>Meal Prep Completed</t>
        </is>
      </c>
      <c r="B28" s="60" t="inlineStr">
        <is>
          <t>NUT-MEAL</t>
        </is>
      </c>
      <c r="C28" s="60" t="n">
        <v>15</v>
      </c>
      <c r="D28" s="60" t="n">
        <v>2</v>
      </c>
      <c r="E28" s="60" t="inlineStr">
        <is>
          <t>Nutrition</t>
        </is>
      </c>
    </row>
    <row r="29">
      <c r="A29" s="60" t="inlineStr">
        <is>
          <t>Protein Target Hit</t>
        </is>
      </c>
      <c r="B29" s="60" t="inlineStr">
        <is>
          <t>NUT-PROT</t>
        </is>
      </c>
      <c r="C29" s="60" t="n">
        <v>25</v>
      </c>
      <c r="D29" s="60" t="n">
        <v>3</v>
      </c>
      <c r="E29" s="60" t="inlineStr">
        <is>
          <t>Nutrition</t>
        </is>
      </c>
    </row>
    <row r="30">
      <c r="A30" s="60" t="inlineStr">
        <is>
          <t>2L Water Intake</t>
        </is>
      </c>
      <c r="B30" s="60" t="inlineStr">
        <is>
          <t>NUT-H2O</t>
        </is>
      </c>
      <c r="C30" s="60" t="n">
        <v>10</v>
      </c>
      <c r="D30" s="60" t="n">
        <v>1</v>
      </c>
      <c r="E30" s="60" t="inlineStr">
        <is>
          <t>Nutrition</t>
        </is>
      </c>
    </row>
    <row r="31">
      <c r="A31" s="60" t="inlineStr">
        <is>
          <t>Consistent Protein – 7 Days</t>
        </is>
      </c>
      <c r="B31" s="60" t="inlineStr">
        <is>
          <t>NUT-PROT-7</t>
        </is>
      </c>
      <c r="C31" s="60" t="n">
        <v>70</v>
      </c>
      <c r="D31" s="60" t="n">
        <v>7</v>
      </c>
      <c r="E31" s="60" t="inlineStr">
        <is>
          <t>Nutrition</t>
        </is>
      </c>
    </row>
    <row r="32">
      <c r="A32" s="60" t="inlineStr">
        <is>
          <t>Consistent Protein – 30 Days</t>
        </is>
      </c>
      <c r="B32" s="60" t="inlineStr">
        <is>
          <t>NUT-PROT-30</t>
        </is>
      </c>
      <c r="C32" s="60" t="n">
        <v>300</v>
      </c>
      <c r="D32" s="60" t="n">
        <v>30</v>
      </c>
      <c r="E32" s="60" t="inlineStr">
        <is>
          <t>Nutrition</t>
        </is>
      </c>
    </row>
    <row r="33">
      <c r="A33" s="60" t="inlineStr">
        <is>
          <t>3+ Balanced Meals Logged (Daily)</t>
        </is>
      </c>
      <c r="B33" s="60" t="inlineStr">
        <is>
          <t>NUT-BAL3</t>
        </is>
      </c>
      <c r="C33" s="60" t="n">
        <v>10</v>
      </c>
      <c r="D33" s="60" t="n">
        <v>1</v>
      </c>
      <c r="E33" s="60" t="inlineStr">
        <is>
          <t>Nutrition</t>
        </is>
      </c>
    </row>
    <row r="34">
      <c r="A34" s="60" t="inlineStr">
        <is>
          <t>No Liquid Calories – 7 Days</t>
        </is>
      </c>
      <c r="B34" s="60" t="inlineStr">
        <is>
          <t>NUT-NLC7</t>
        </is>
      </c>
      <c r="C34" s="60" t="n">
        <v>10</v>
      </c>
      <c r="D34" s="60" t="n">
        <v>1</v>
      </c>
      <c r="E34" s="60" t="inlineStr">
        <is>
          <t>Nutrition</t>
        </is>
      </c>
    </row>
    <row r="35">
      <c r="A35" s="60" t="inlineStr">
        <is>
          <t>Reduce Sugar Intake – 7 Days</t>
        </is>
      </c>
      <c r="B35" s="60" t="inlineStr">
        <is>
          <t>NUT-SF7</t>
        </is>
      </c>
      <c r="C35" s="60" t="n">
        <v>10</v>
      </c>
      <c r="D35" s="60" t="n">
        <v>1</v>
      </c>
      <c r="E35" s="60" t="inlineStr">
        <is>
          <t>Nutrition</t>
        </is>
      </c>
    </row>
    <row r="36">
      <c r="A36" s="60" t="inlineStr">
        <is>
          <t>7–9h Sleep</t>
        </is>
      </c>
      <c r="B36" s="60" t="inlineStr">
        <is>
          <t>REC-SLEEP</t>
        </is>
      </c>
      <c r="C36" s="60" t="n">
        <v>20</v>
      </c>
      <c r="D36" s="60" t="n">
        <v>2</v>
      </c>
      <c r="E36" s="60" t="inlineStr">
        <is>
          <t>Recovery</t>
        </is>
      </c>
    </row>
    <row r="37">
      <c r="A37" s="60" t="inlineStr">
        <is>
          <t>Sleep Before Midnight</t>
        </is>
      </c>
      <c r="B37" s="60" t="inlineStr">
        <is>
          <t>REC-MID</t>
        </is>
      </c>
      <c r="C37" s="60" t="n">
        <v>10</v>
      </c>
      <c r="D37" s="60" t="n">
        <v>1</v>
      </c>
      <c r="E37" s="60" t="inlineStr">
        <is>
          <t>Recovery</t>
        </is>
      </c>
    </row>
    <row r="38">
      <c r="A38" s="60" t="inlineStr">
        <is>
          <t>Breathwork / Meditation</t>
        </is>
      </c>
      <c r="B38" s="60" t="inlineStr">
        <is>
          <t>REC-BRE</t>
        </is>
      </c>
      <c r="C38" s="60" t="n">
        <v>5</v>
      </c>
      <c r="D38" s="60" t="n">
        <v>0</v>
      </c>
      <c r="E38" s="60" t="inlineStr">
        <is>
          <t>Recovery</t>
        </is>
      </c>
    </row>
    <row r="39">
      <c r="A39" s="60" t="inlineStr">
        <is>
          <t>Morning Sunlight (5–10 min)</t>
        </is>
      </c>
      <c r="B39" s="60" t="inlineStr">
        <is>
          <t>REC-SUN</t>
        </is>
      </c>
      <c r="C39" s="60" t="n">
        <v>2</v>
      </c>
      <c r="D39" s="60" t="n">
        <v>0</v>
      </c>
      <c r="E39" s="60" t="inlineStr">
        <is>
          <t>Recovery</t>
        </is>
      </c>
    </row>
    <row r="40">
      <c r="A40" s="60" t="inlineStr">
        <is>
          <t>Deload Week Completed</t>
        </is>
      </c>
      <c r="B40" s="60" t="inlineStr">
        <is>
          <t>REC-DELD</t>
        </is>
      </c>
      <c r="C40" s="60" t="n">
        <v>10</v>
      </c>
      <c r="D40" s="60" t="n">
        <v>1</v>
      </c>
      <c r="E40" s="60" t="inlineStr">
        <is>
          <t>Recovery</t>
        </is>
      </c>
    </row>
    <row r="41">
      <c r="A41" s="60" t="inlineStr">
        <is>
          <t>Injury-Free Training – 8 Weeks</t>
        </is>
      </c>
      <c r="B41" s="60" t="inlineStr">
        <is>
          <t>REC-INJ-8</t>
        </is>
      </c>
      <c r="C41" s="60" t="n">
        <v>20</v>
      </c>
      <c r="D41" s="60" t="n">
        <v>2</v>
      </c>
      <c r="E41" s="60" t="inlineStr">
        <is>
          <t>Recovery</t>
        </is>
      </c>
    </row>
    <row r="42">
      <c r="A42" s="60" t="inlineStr">
        <is>
          <t>Injury-Free Training – 24 Weeks</t>
        </is>
      </c>
      <c r="B42" s="60" t="inlineStr">
        <is>
          <t>REC-INJ-24</t>
        </is>
      </c>
      <c r="C42" s="60" t="n">
        <v>60</v>
      </c>
      <c r="D42" s="60" t="n">
        <v>6</v>
      </c>
      <c r="E42" s="60" t="inlineStr">
        <is>
          <t>Recovery</t>
        </is>
      </c>
    </row>
    <row r="43">
      <c r="A43" s="60" t="inlineStr">
        <is>
          <t>Education Video Watched</t>
        </is>
      </c>
      <c r="B43" s="60" t="inlineStr">
        <is>
          <t>EDU-MICRO</t>
        </is>
      </c>
      <c r="C43" s="60" t="n">
        <v>3</v>
      </c>
      <c r="D43" s="60" t="n">
        <v>0</v>
      </c>
      <c r="E43" s="60" t="inlineStr">
        <is>
          <t>Education</t>
        </is>
      </c>
    </row>
    <row r="44">
      <c r="A44" s="60" t="inlineStr">
        <is>
          <t>Quiz Passed</t>
        </is>
      </c>
      <c r="B44" s="60" t="inlineStr">
        <is>
          <t>EDU-QUIZ</t>
        </is>
      </c>
      <c r="C44" s="60" t="n">
        <v>5</v>
      </c>
      <c r="D44" s="60" t="n">
        <v>0</v>
      </c>
      <c r="E44" s="60" t="inlineStr">
        <is>
          <t>Education</t>
        </is>
      </c>
    </row>
    <row r="45">
      <c r="A45" s="60" t="inlineStr">
        <is>
          <t>Completed Nutrition Module</t>
        </is>
      </c>
      <c r="B45" s="60" t="inlineStr">
        <is>
          <t>EDU-NUTMOD</t>
        </is>
      </c>
      <c r="C45" s="60" t="n">
        <v>20</v>
      </c>
      <c r="D45" s="60" t="n">
        <v>2</v>
      </c>
      <c r="E45" s="60" t="inlineStr">
        <is>
          <t>Education</t>
        </is>
      </c>
    </row>
    <row r="46">
      <c r="A46" s="60" t="inlineStr">
        <is>
          <t>Completed Training Basics Module</t>
        </is>
      </c>
      <c r="B46" s="60" t="inlineStr">
        <is>
          <t>EDU-TRNMOD</t>
        </is>
      </c>
      <c r="C46" s="60" t="n">
        <v>20</v>
      </c>
      <c r="D46" s="60" t="n">
        <v>2</v>
      </c>
      <c r="E46" s="60" t="inlineStr">
        <is>
          <t>Education</t>
        </is>
      </c>
    </row>
    <row r="47">
      <c r="A47" s="60" t="inlineStr">
        <is>
          <t>Completed Course (60–90 min)</t>
        </is>
      </c>
      <c r="B47" s="60" t="inlineStr">
        <is>
          <t>EDU-COURSE</t>
        </is>
      </c>
      <c r="C47" s="60" t="n">
        <v>60</v>
      </c>
      <c r="D47" s="60" t="n">
        <v>6</v>
      </c>
      <c r="E47" s="60" t="inlineStr">
        <is>
          <t>Education</t>
        </is>
      </c>
    </row>
    <row r="48">
      <c r="A48" s="60" t="inlineStr">
        <is>
          <t>Gym Check-In</t>
        </is>
      </c>
      <c r="B48" s="60" t="inlineStr">
        <is>
          <t>SOC-CI</t>
        </is>
      </c>
      <c r="C48" s="60" t="n">
        <v>5</v>
      </c>
      <c r="D48" s="60" t="n">
        <v>0</v>
      </c>
      <c r="E48" s="60" t="inlineStr">
        <is>
          <t>Community</t>
        </is>
      </c>
    </row>
    <row r="49">
      <c r="A49" s="60" t="inlineStr">
        <is>
          <t>Weekly Social Post</t>
        </is>
      </c>
      <c r="B49" s="60" t="inlineStr">
        <is>
          <t>SOC-REC</t>
        </is>
      </c>
      <c r="C49" s="60" t="n">
        <v>10</v>
      </c>
      <c r="D49" s="60" t="n">
        <v>1</v>
      </c>
      <c r="E49" s="60" t="inlineStr">
        <is>
          <t>Community</t>
        </is>
      </c>
    </row>
    <row r="50">
      <c r="A50" s="60" t="inlineStr">
        <is>
          <t>Community Support Shown (Coach Nominated)</t>
        </is>
      </c>
      <c r="B50" s="60" t="inlineStr">
        <is>
          <t>SOC-SUPP</t>
        </is>
      </c>
      <c r="C50" s="60" t="n">
        <v>30</v>
      </c>
      <c r="D50" s="60" t="n">
        <v>3</v>
      </c>
      <c r="E50" s="60" t="inlineStr">
        <is>
          <t>Community</t>
        </is>
      </c>
    </row>
    <row r="51">
      <c r="A51" s="60" t="inlineStr">
        <is>
          <t>Friend Attended Consult</t>
        </is>
      </c>
      <c r="B51" s="60" t="inlineStr">
        <is>
          <t>SOC-REFC</t>
        </is>
      </c>
      <c r="C51" s="60" t="n">
        <v>20</v>
      </c>
      <c r="D51" s="60" t="n">
        <v>2</v>
      </c>
      <c r="E51" s="60" t="inlineStr">
        <is>
          <t>Community</t>
        </is>
      </c>
    </row>
    <row r="52">
      <c r="A52" s="60" t="inlineStr">
        <is>
          <t>Referral Joined</t>
        </is>
      </c>
      <c r="B52" s="60" t="inlineStr">
        <is>
          <t>SOC-REFJ</t>
        </is>
      </c>
      <c r="C52" s="60" t="n">
        <v>80</v>
      </c>
      <c r="D52" s="60" t="n">
        <v>8</v>
      </c>
      <c r="E52" s="60" t="inlineStr">
        <is>
          <t>Community</t>
        </is>
      </c>
    </row>
    <row r="53">
      <c r="A53" s="60" t="inlineStr">
        <is>
          <t>BP Improved</t>
        </is>
      </c>
      <c r="B53" s="60" t="inlineStr">
        <is>
          <t>HLT-BP</t>
        </is>
      </c>
      <c r="C53" s="60" t="n">
        <v>20</v>
      </c>
      <c r="D53" s="60" t="n">
        <v>2</v>
      </c>
      <c r="E53" s="60" t="inlineStr">
        <is>
          <t>Health</t>
        </is>
      </c>
    </row>
    <row r="54">
      <c r="A54" s="60" t="inlineStr">
        <is>
          <t>Resting HR Improved</t>
        </is>
      </c>
      <c r="B54" s="60" t="inlineStr">
        <is>
          <t>HLT-RHR</t>
        </is>
      </c>
      <c r="C54" s="60" t="n">
        <v>20</v>
      </c>
      <c r="D54" s="60" t="n">
        <v>2</v>
      </c>
      <c r="E54" s="60" t="inlineStr">
        <is>
          <t>Health</t>
        </is>
      </c>
    </row>
    <row r="55">
      <c r="A55" s="60" t="inlineStr">
        <is>
          <t>NSCA Push-Up Test – Pass</t>
        </is>
      </c>
      <c r="B55" s="60" t="inlineStr">
        <is>
          <t>HLT-PUSH</t>
        </is>
      </c>
      <c r="C55" s="60" t="n">
        <v>30</v>
      </c>
      <c r="D55" s="60" t="n">
        <v>3</v>
      </c>
      <c r="E55" s="60" t="inlineStr">
        <is>
          <t>Health</t>
        </is>
      </c>
    </row>
    <row r="56">
      <c r="A56" s="60" t="inlineStr">
        <is>
          <t>NSCA Plank Test – Pass</t>
        </is>
      </c>
      <c r="B56" s="60" t="inlineStr">
        <is>
          <t>HLT-PLANK</t>
        </is>
      </c>
      <c r="C56" s="60" t="n">
        <v>30</v>
      </c>
      <c r="D56" s="60" t="n">
        <v>3</v>
      </c>
      <c r="E56" s="60" t="inlineStr">
        <is>
          <t>Health</t>
        </is>
      </c>
    </row>
    <row r="57">
      <c r="A57" s="60" t="inlineStr">
        <is>
          <t>NSCA VO2 / Submax Test – Pass</t>
        </is>
      </c>
      <c r="B57" s="60" t="inlineStr">
        <is>
          <t>HLT-VO2</t>
        </is>
      </c>
      <c r="C57" s="60" t="n">
        <v>100</v>
      </c>
      <c r="D57" s="60" t="n">
        <v>10</v>
      </c>
      <c r="E57" s="60" t="inlineStr">
        <is>
          <t>Health</t>
        </is>
      </c>
    </row>
    <row r="58">
      <c r="A58" s="60" t="inlineStr">
        <is>
          <t>Physio Screen for Pain Management</t>
        </is>
      </c>
      <c r="B58" s="60" t="inlineStr">
        <is>
          <t>HLT-PHYS</t>
        </is>
      </c>
      <c r="C58" s="60" t="n">
        <v>10</v>
      </c>
      <c r="D58" s="60" t="n">
        <v>1</v>
      </c>
      <c r="E58" s="60" t="inlineStr">
        <is>
          <t>Health</t>
        </is>
      </c>
    </row>
    <row r="59">
      <c r="A59" s="60" t="inlineStr">
        <is>
          <t>Dental Check</t>
        </is>
      </c>
      <c r="B59" s="60" t="inlineStr">
        <is>
          <t>HLT-DENT</t>
        </is>
      </c>
      <c r="C59" s="60" t="n">
        <v>10</v>
      </c>
      <c r="D59" s="60" t="n">
        <v>1</v>
      </c>
      <c r="E59" s="60" t="inlineStr">
        <is>
          <t>Health</t>
        </is>
      </c>
    </row>
    <row r="60">
      <c r="A60" s="60" t="inlineStr">
        <is>
          <t>Annual Medical Check</t>
        </is>
      </c>
      <c r="B60" s="60" t="inlineStr">
        <is>
          <t>HLT-ANNU</t>
        </is>
      </c>
      <c r="C60" s="60" t="n">
        <v>50</v>
      </c>
      <c r="D60" s="60" t="n">
        <v>5</v>
      </c>
      <c r="E60" s="60" t="inlineStr">
        <is>
          <t>Health</t>
        </is>
      </c>
    </row>
    <row r="61">
      <c r="A61" s="60" t="inlineStr">
        <is>
          <t>Weekly Check-In Submitted</t>
        </is>
      </c>
      <c r="B61" s="60" t="inlineStr">
        <is>
          <t>TRN-WKCI</t>
        </is>
      </c>
      <c r="C61" s="60" t="n">
        <v>10</v>
      </c>
      <c r="D61" s="60" t="n">
        <v>1</v>
      </c>
      <c r="E61" s="60" t="inlineStr">
        <is>
          <t>Compliance</t>
        </is>
      </c>
    </row>
    <row r="62">
      <c r="A62" s="60" t="inlineStr">
        <is>
          <t>100% Attendance for Booked Sessions (Weekly)</t>
        </is>
      </c>
      <c r="B62" s="60" t="inlineStr">
        <is>
          <t>CMP-ATT-100W</t>
        </is>
      </c>
      <c r="C62" s="60" t="n">
        <v>10</v>
      </c>
      <c r="D62" s="60" t="n">
        <v>1</v>
      </c>
      <c r="E62" s="60" t="inlineStr">
        <is>
          <t>Compliance</t>
        </is>
      </c>
    </row>
    <row r="63">
      <c r="A63" s="60" t="inlineStr">
        <is>
          <t>0 Late Cancels/No-Shows (Monthly)</t>
        </is>
      </c>
      <c r="B63" s="60" t="inlineStr">
        <is>
          <t>CMP-NOSHOW-0M</t>
        </is>
      </c>
      <c r="C63" s="60" t="n">
        <v>20</v>
      </c>
      <c r="D63" s="60" t="n">
        <v>2</v>
      </c>
      <c r="E63" s="60" t="inlineStr">
        <is>
          <t>Compliance</t>
        </is>
      </c>
    </row>
    <row r="64">
      <c r="A64" s="60" t="inlineStr">
        <is>
          <t>On-time Auto-Debit Success – 3 Months</t>
        </is>
      </c>
      <c r="B64" s="60" t="inlineStr">
        <is>
          <t>BNG-AUTODEB-3M</t>
        </is>
      </c>
      <c r="C64" s="60" t="n">
        <v>15</v>
      </c>
      <c r="D64" s="60" t="n">
        <v>2</v>
      </c>
      <c r="E64" s="60" t="inlineStr">
        <is>
          <t>Compliance</t>
        </is>
      </c>
    </row>
    <row r="65">
      <c r="A65" s="60" t="inlineStr">
        <is>
          <t>Submit Monthly Feedback (NPS + Comments)</t>
        </is>
      </c>
      <c r="B65" s="60" t="inlineStr">
        <is>
          <t>CMP-FBK-M</t>
        </is>
      </c>
      <c r="C65" s="60" t="n">
        <v>10</v>
      </c>
      <c r="D65" s="60" t="n">
        <v>1</v>
      </c>
      <c r="E65" s="60" t="inlineStr">
        <is>
          <t>Compliance</t>
        </is>
      </c>
    </row>
    <row r="66">
      <c r="A66" s="60" t="inlineStr">
        <is>
          <t>No Missed Sessions – 4 Weeks</t>
        </is>
      </c>
      <c r="B66" s="60" t="inlineStr">
        <is>
          <t>TRN-NOMISS-4</t>
        </is>
      </c>
      <c r="C66" s="60" t="n">
        <v>40</v>
      </c>
      <c r="D66" s="60" t="n">
        <v>4</v>
      </c>
      <c r="E66" s="60" t="inlineStr">
        <is>
          <t>Streaks</t>
        </is>
      </c>
    </row>
    <row r="67">
      <c r="A67" s="60" t="inlineStr">
        <is>
          <t>No Missed Sessions – 8 Weeks</t>
        </is>
      </c>
      <c r="B67" s="60" t="inlineStr">
        <is>
          <t>TRN-NOMISS-8</t>
        </is>
      </c>
      <c r="C67" s="60" t="n">
        <v>80</v>
      </c>
      <c r="D67" s="60" t="n">
        <v>8</v>
      </c>
      <c r="E67" s="60" t="inlineStr">
        <is>
          <t>Streaks</t>
        </is>
      </c>
    </row>
    <row r="68">
      <c r="A68" s="60" t="inlineStr">
        <is>
          <t>No Missed Sessions – 12 Weeks</t>
        </is>
      </c>
      <c r="B68" s="60" t="inlineStr">
        <is>
          <t>TRN-NOMISS-12</t>
        </is>
      </c>
      <c r="C68" s="60" t="n">
        <v>120</v>
      </c>
      <c r="D68" s="60" t="n">
        <v>12</v>
      </c>
      <c r="E68" s="60" t="inlineStr">
        <is>
          <t>Streaks</t>
        </is>
      </c>
    </row>
    <row r="69">
      <c r="A69" s="60" t="inlineStr">
        <is>
          <t>No Missed Sessions – 24 Weeks</t>
        </is>
      </c>
      <c r="B69" s="60" t="inlineStr">
        <is>
          <t>TRN-NOMISS-24</t>
        </is>
      </c>
      <c r="C69" s="60" t="n">
        <v>240</v>
      </c>
      <c r="D69" s="60" t="n">
        <v>24</v>
      </c>
      <c r="E69" s="60" t="inlineStr">
        <is>
          <t>Streaks</t>
        </is>
      </c>
    </row>
    <row r="70">
      <c r="A70" s="60" t="inlineStr">
        <is>
          <t>No Missed Sessions – 52 Weeks</t>
        </is>
      </c>
      <c r="B70" s="60" t="inlineStr">
        <is>
          <t>TRN-NOMISS-52</t>
        </is>
      </c>
      <c r="C70" s="60" t="n">
        <v>520</v>
      </c>
      <c r="D70" s="60" t="n">
        <v>52</v>
      </c>
      <c r="E70" s="60" t="inlineStr">
        <is>
          <t>Streaks</t>
        </is>
      </c>
    </row>
    <row r="71">
      <c r="A71" s="60" t="inlineStr">
        <is>
          <t>Average 10k Steps – 4 Weeks</t>
        </is>
      </c>
      <c r="B71" s="60" t="inlineStr">
        <is>
          <t>NEAT-AVG-4</t>
        </is>
      </c>
      <c r="C71" s="60" t="n">
        <v>40</v>
      </c>
      <c r="D71" s="60" t="n">
        <v>4</v>
      </c>
      <c r="E71" s="60" t="inlineStr">
        <is>
          <t>Streaks</t>
        </is>
      </c>
    </row>
    <row r="72">
      <c r="A72" s="60" t="inlineStr">
        <is>
          <t>Average 10k Steps – 12 Weeks</t>
        </is>
      </c>
      <c r="B72" s="60" t="inlineStr">
        <is>
          <t>NEAT-AVG-12</t>
        </is>
      </c>
      <c r="C72" s="60" t="n">
        <v>120</v>
      </c>
      <c r="D72" s="60" t="n">
        <v>12</v>
      </c>
      <c r="E72" s="60" t="inlineStr">
        <is>
          <t>Streaks</t>
        </is>
      </c>
    </row>
    <row r="73">
      <c r="A73" s="60" t="inlineStr">
        <is>
          <t>“30 Gym-Mirror Selfies” Achievement</t>
        </is>
      </c>
      <c r="B73" s="60" t="inlineStr">
        <is>
          <t>SOC-30SELF</t>
        </is>
      </c>
      <c r="C73" s="60" t="n">
        <v>40</v>
      </c>
      <c r="D73" s="60" t="n">
        <v>4</v>
      </c>
      <c r="E73" s="60" t="inlineStr">
        <is>
          <t>Achievement</t>
        </is>
      </c>
    </row>
    <row r="74">
      <c r="A74" s="60" t="inlineStr">
        <is>
          <t>100 Sessions Attended (Annual)</t>
        </is>
      </c>
      <c r="B74" s="60" t="inlineStr">
        <is>
          <t>ACH-100SESS</t>
        </is>
      </c>
      <c r="C74" s="60" t="n">
        <v>300</v>
      </c>
      <c r="D74" s="60" t="n">
        <v>30</v>
      </c>
      <c r="E74" s="60" t="inlineStr">
        <is>
          <t>Achievement</t>
        </is>
      </c>
    </row>
    <row r="75">
      <c r="A75" s="60" t="inlineStr">
        <is>
          <t>150 Sessions Attended (Annual)</t>
        </is>
      </c>
      <c r="B75" s="60" t="inlineStr">
        <is>
          <t>ACH-150SESS</t>
        </is>
      </c>
      <c r="C75" s="60" t="n">
        <v>450</v>
      </c>
      <c r="D75" s="60" t="n">
        <v>45</v>
      </c>
      <c r="E75" s="60" t="inlineStr">
        <is>
          <t>Achievement</t>
        </is>
      </c>
    </row>
    <row r="76">
      <c r="A76" s="60" t="inlineStr">
        <is>
          <t>200 Sessions Attended (Annual)</t>
        </is>
      </c>
      <c r="B76" s="60" t="inlineStr">
        <is>
          <t>ACH-200SESS</t>
        </is>
      </c>
      <c r="C76" s="60" t="n">
        <v>600</v>
      </c>
      <c r="D76" s="60" t="n">
        <v>60</v>
      </c>
      <c r="E76" s="60" t="inlineStr">
        <is>
          <t>Achievement</t>
        </is>
      </c>
    </row>
    <row r="77">
      <c r="A77" s="60" t="inlineStr">
        <is>
          <t>Male Squat 1.5× BW Achieved</t>
        </is>
      </c>
      <c r="B77" s="60" t="inlineStr">
        <is>
          <t>ACH-MSQ-15</t>
        </is>
      </c>
      <c r="C77" s="60" t="n">
        <v>80</v>
      </c>
      <c r="D77" s="60" t="n">
        <v>8</v>
      </c>
      <c r="E77" s="60" t="inlineStr">
        <is>
          <t>Achievement</t>
        </is>
      </c>
    </row>
    <row r="78">
      <c r="A78" s="60" t="inlineStr">
        <is>
          <t>Male Squat 2.0× BW Achieved</t>
        </is>
      </c>
      <c r="B78" s="60" t="inlineStr">
        <is>
          <t>ACH-MSQ-20</t>
        </is>
      </c>
      <c r="C78" s="60" t="n">
        <v>140</v>
      </c>
      <c r="D78" s="60" t="n">
        <v>14</v>
      </c>
      <c r="E78" s="60" t="inlineStr">
        <is>
          <t>Achievement</t>
        </is>
      </c>
    </row>
    <row r="79">
      <c r="A79" s="60" t="inlineStr">
        <is>
          <t>Female Squat 1.25× BW Achieved</t>
        </is>
      </c>
      <c r="B79" s="60" t="inlineStr">
        <is>
          <t>ACH-FSQ-125</t>
        </is>
      </c>
      <c r="C79" s="60" t="n">
        <v>80</v>
      </c>
      <c r="D79" s="60" t="n">
        <v>8</v>
      </c>
      <c r="E79" s="60" t="inlineStr">
        <is>
          <t>Achievement</t>
        </is>
      </c>
    </row>
    <row r="80">
      <c r="A80" s="60" t="inlineStr">
        <is>
          <t>Female Squat 1.75× BW Achieved</t>
        </is>
      </c>
      <c r="B80" s="60" t="inlineStr">
        <is>
          <t>ACH-FSQ-175</t>
        </is>
      </c>
      <c r="C80" s="60" t="n">
        <v>140</v>
      </c>
      <c r="D80" s="60" t="n">
        <v>14</v>
      </c>
      <c r="E80" s="60" t="inlineStr">
        <is>
          <t>Achievement</t>
        </is>
      </c>
    </row>
    <row r="81">
      <c r="A81" s="60" t="inlineStr">
        <is>
          <t>Male Bench 1.25× BW Achieved</t>
        </is>
      </c>
      <c r="B81" s="60" t="inlineStr">
        <is>
          <t>ACH-MBP-125</t>
        </is>
      </c>
      <c r="C81" s="60" t="n">
        <v>70</v>
      </c>
      <c r="D81" s="60" t="n">
        <v>7</v>
      </c>
      <c r="E81" s="60" t="inlineStr">
        <is>
          <t>Achievement</t>
        </is>
      </c>
    </row>
    <row r="82">
      <c r="A82" s="60" t="inlineStr">
        <is>
          <t>Male Bench 1.5× BW Achieved</t>
        </is>
      </c>
      <c r="B82" s="60" t="inlineStr">
        <is>
          <t>ACH-MBP-15</t>
        </is>
      </c>
      <c r="C82" s="60" t="n">
        <v>120</v>
      </c>
      <c r="D82" s="60" t="n">
        <v>12</v>
      </c>
      <c r="E82" s="60" t="inlineStr">
        <is>
          <t>Achievement</t>
        </is>
      </c>
    </row>
    <row r="83">
      <c r="A83" s="60" t="inlineStr">
        <is>
          <t>Female Bench 0.75× BW Achieved</t>
        </is>
      </c>
      <c r="B83" s="60" t="inlineStr">
        <is>
          <t>ACH-FBP-75</t>
        </is>
      </c>
      <c r="C83" s="60" t="n">
        <v>70</v>
      </c>
      <c r="D83" s="60" t="n">
        <v>7</v>
      </c>
      <c r="E83" s="60" t="inlineStr">
        <is>
          <t>Achievement</t>
        </is>
      </c>
    </row>
    <row r="84">
      <c r="A84" s="60" t="inlineStr">
        <is>
          <t>Female Bench 1.0× BW Achieved</t>
        </is>
      </c>
      <c r="B84" s="60" t="inlineStr">
        <is>
          <t>ACH-FBP-10</t>
        </is>
      </c>
      <c r="C84" s="60" t="n">
        <v>120</v>
      </c>
      <c r="D84" s="60" t="n">
        <v>12</v>
      </c>
      <c r="E84" s="60" t="inlineStr">
        <is>
          <t>Achievement</t>
        </is>
      </c>
    </row>
    <row r="85">
      <c r="A85" s="60" t="inlineStr">
        <is>
          <t>Male Deadlift 2.0× BW Achieved</t>
        </is>
      </c>
      <c r="B85" s="60" t="inlineStr">
        <is>
          <t>ACH-MDL-20</t>
        </is>
      </c>
      <c r="C85" s="60" t="n">
        <v>100</v>
      </c>
      <c r="D85" s="60" t="n">
        <v>10</v>
      </c>
      <c r="E85" s="60" t="inlineStr">
        <is>
          <t>Achievement</t>
        </is>
      </c>
    </row>
    <row r="86">
      <c r="A86" s="60" t="inlineStr">
        <is>
          <t>Male Deadlift 2.5× BW Achieved</t>
        </is>
      </c>
      <c r="B86" s="60" t="inlineStr">
        <is>
          <t>ACH-MDL-25</t>
        </is>
      </c>
      <c r="C86" s="60" t="n">
        <v>170</v>
      </c>
      <c r="D86" s="60" t="n">
        <v>17</v>
      </c>
      <c r="E86" s="60" t="inlineStr">
        <is>
          <t>Achievement</t>
        </is>
      </c>
    </row>
    <row r="87">
      <c r="A87" s="60" t="inlineStr">
        <is>
          <t>Female Deadlift 1.75× BW Achieved</t>
        </is>
      </c>
      <c r="B87" s="60" t="inlineStr">
        <is>
          <t>ACH-FDL-175</t>
        </is>
      </c>
      <c r="C87" s="60" t="n">
        <v>100</v>
      </c>
      <c r="D87" s="60" t="n">
        <v>10</v>
      </c>
      <c r="E87" s="60" t="inlineStr">
        <is>
          <t>Achievement</t>
        </is>
      </c>
    </row>
    <row r="88">
      <c r="A88" s="60" t="inlineStr">
        <is>
          <t>Female Deadlift 2.25× BW Achieved</t>
        </is>
      </c>
      <c r="B88" s="60" t="inlineStr">
        <is>
          <t>ACH-FDL-225</t>
        </is>
      </c>
      <c r="C88" s="60" t="n">
        <v>170</v>
      </c>
      <c r="D88" s="60" t="n">
        <v>17</v>
      </c>
      <c r="E88" s="60" t="inlineStr">
        <is>
          <t>Achievement</t>
        </is>
      </c>
    </row>
    <row r="89">
      <c r="A89" s="60" t="inlineStr">
        <is>
          <t>100 Coached Hours (Milestone)</t>
        </is>
      </c>
      <c r="B89" s="60" t="inlineStr">
        <is>
          <t>MIL-CH100</t>
        </is>
      </c>
      <c r="C89" s="60" t="n">
        <v>75</v>
      </c>
      <c r="D89" s="60" t="n">
        <v>8</v>
      </c>
      <c r="E89" s="60" t="inlineStr">
        <is>
          <t>Milestone</t>
        </is>
      </c>
    </row>
    <row r="90">
      <c r="A90" s="60" t="inlineStr">
        <is>
          <t>300 Coached Hours (Milestone)</t>
        </is>
      </c>
      <c r="B90" s="60" t="inlineStr">
        <is>
          <t>MIL-CH300</t>
        </is>
      </c>
      <c r="C90" s="60" t="n">
        <v>200</v>
      </c>
      <c r="D90" s="60" t="n">
        <v>20</v>
      </c>
      <c r="E90" s="60" t="inlineStr">
        <is>
          <t>Milestone</t>
        </is>
      </c>
    </row>
    <row r="91">
      <c r="A91" s="60" t="inlineStr">
        <is>
          <t>500 Coached Hours (Milestone)</t>
        </is>
      </c>
      <c r="B91" s="60" t="inlineStr">
        <is>
          <t>MIL-CH500</t>
        </is>
      </c>
      <c r="C91" s="60" t="n">
        <v>350</v>
      </c>
      <c r="D91" s="60" t="n">
        <v>35</v>
      </c>
      <c r="E91" s="60" t="inlineStr">
        <is>
          <t>Milestone</t>
        </is>
      </c>
    </row>
    <row r="92">
      <c r="A92" s="60" t="inlineStr">
        <is>
          <t>1,000 Coached Hours (Milestone)</t>
        </is>
      </c>
      <c r="B92" s="60" t="inlineStr">
        <is>
          <t>MIL-CH1000</t>
        </is>
      </c>
      <c r="C92" s="60" t="n">
        <v>800</v>
      </c>
      <c r="D92" s="60" t="n">
        <v>80</v>
      </c>
      <c r="E92" s="60" t="inlineStr">
        <is>
          <t>Milestone</t>
        </is>
      </c>
    </row>
    <row r="93">
      <c r="A93" s="60" t="inlineStr">
        <is>
          <t>2-Year Membership (Tenure)</t>
        </is>
      </c>
      <c r="B93" s="60" t="inlineStr">
        <is>
          <t>MIL-MEM-2Y</t>
        </is>
      </c>
      <c r="C93" s="60" t="n">
        <v>150</v>
      </c>
      <c r="D93" s="60" t="n">
        <v>15</v>
      </c>
      <c r="E93" s="60" t="inlineStr">
        <is>
          <t>Milestone</t>
        </is>
      </c>
    </row>
    <row r="94">
      <c r="A94" s="60" t="inlineStr">
        <is>
          <t>3-Year Membership (Tenure)</t>
        </is>
      </c>
      <c r="B94" s="60" t="inlineStr">
        <is>
          <t>MIL-MEM-3Y</t>
        </is>
      </c>
      <c r="C94" s="60" t="n">
        <v>250</v>
      </c>
      <c r="D94" s="60" t="n">
        <v>25</v>
      </c>
      <c r="E94" s="60" t="inlineStr">
        <is>
          <t>Milestone</t>
        </is>
      </c>
    </row>
    <row r="95">
      <c r="A95" s="60" t="inlineStr">
        <is>
          <t>Quest Chapter I Completed</t>
        </is>
      </c>
      <c r="B95" s="60" t="inlineStr">
        <is>
          <t>QST-CH1</t>
        </is>
      </c>
      <c r="C95" s="60" t="n">
        <v>30</v>
      </c>
      <c r="D95" s="60" t="n">
        <v>3</v>
      </c>
      <c r="E95" s="60" t="inlineStr">
        <is>
          <t>Mode</t>
        </is>
      </c>
    </row>
    <row r="96">
      <c r="A96" s="60" t="inlineStr">
        <is>
          <t>Quest Chapter II Completed</t>
        </is>
      </c>
      <c r="B96" s="60" t="inlineStr">
        <is>
          <t>QST-CH2</t>
        </is>
      </c>
      <c r="C96" s="60" t="n">
        <v>60</v>
      </c>
      <c r="D96" s="60" t="n">
        <v>6</v>
      </c>
      <c r="E96" s="60" t="inlineStr">
        <is>
          <t>Mode</t>
        </is>
      </c>
    </row>
    <row r="97">
      <c r="A97" s="60" t="inlineStr">
        <is>
          <t>Quest Chapter III Completed</t>
        </is>
      </c>
      <c r="B97" s="60" t="inlineStr">
        <is>
          <t>QST-CH3</t>
        </is>
      </c>
      <c r="C97" s="60" t="n">
        <v>100</v>
      </c>
      <c r="D97" s="60" t="n">
        <v>10</v>
      </c>
      <c r="E97" s="60" t="inlineStr">
        <is>
          <t>Mode</t>
        </is>
      </c>
    </row>
    <row r="98">
      <c r="A98" s="60" t="inlineStr">
        <is>
          <t>Questline Completed</t>
        </is>
      </c>
      <c r="B98" s="60" t="inlineStr">
        <is>
          <t>QST-COMP</t>
        </is>
      </c>
      <c r="C98" s="60" t="n">
        <v>200</v>
      </c>
      <c r="D98" s="60" t="n">
        <v>20</v>
      </c>
      <c r="E98" s="60" t="inlineStr">
        <is>
          <t>Mode</t>
        </is>
      </c>
    </row>
    <row r="99">
      <c r="A99" s="60" t="inlineStr">
        <is>
          <t>Classic Checkpoint Achieved</t>
        </is>
      </c>
      <c r="B99" s="60" t="inlineStr">
        <is>
          <t>CLS-CHK</t>
        </is>
      </c>
      <c r="C99" s="60" t="n">
        <v>30</v>
      </c>
      <c r="D99" s="60" t="n">
        <v>3</v>
      </c>
      <c r="E99" s="60" t="inlineStr">
        <is>
          <t>Mode</t>
        </is>
      </c>
    </row>
    <row r="100">
      <c r="A100" s="60" t="inlineStr">
        <is>
          <t>Classic Comeback (Returned After Lapse)</t>
        </is>
      </c>
      <c r="B100" s="60" t="inlineStr">
        <is>
          <t>CLS-COMB</t>
        </is>
      </c>
      <c r="C100" s="60" t="n">
        <v>40</v>
      </c>
      <c r="D100" s="60" t="n">
        <v>4</v>
      </c>
      <c r="E100" s="60" t="inlineStr">
        <is>
          <t>Mode</t>
        </is>
      </c>
    </row>
    <row r="101">
      <c r="A101" s="60" t="inlineStr">
        <is>
          <t>Classic Goal Achieved</t>
        </is>
      </c>
      <c r="B101" s="60" t="inlineStr">
        <is>
          <t>CLS-GOAL</t>
        </is>
      </c>
      <c r="C101" s="60" t="n">
        <v>150</v>
      </c>
      <c r="D101" s="60" t="n">
        <v>15</v>
      </c>
      <c r="E101" s="60" t="inlineStr">
        <is>
          <t>Mode</t>
        </is>
      </c>
    </row>
    <row r="102">
      <c r="A102" s="60" t="inlineStr">
        <is>
          <t>Boss Gate Cleared – Level 10</t>
        </is>
      </c>
      <c r="B102" s="60" t="inlineStr">
        <is>
          <t>BOSS-CLR-10</t>
        </is>
      </c>
      <c r="C102" s="60" t="n">
        <v>50</v>
      </c>
      <c r="D102" s="60" t="n">
        <v>5</v>
      </c>
      <c r="E102" s="60" t="inlineStr">
        <is>
          <t>Boss</t>
        </is>
      </c>
    </row>
    <row r="103">
      <c r="A103" s="60" t="inlineStr">
        <is>
          <t>Boss Gate Cleared – Level 25</t>
        </is>
      </c>
      <c r="B103" s="60" t="inlineStr">
        <is>
          <t>BOSS-CLR-25</t>
        </is>
      </c>
      <c r="C103" s="60" t="n">
        <v>100</v>
      </c>
      <c r="D103" s="60" t="n">
        <v>10</v>
      </c>
      <c r="E103" s="60" t="inlineStr">
        <is>
          <t>Boss</t>
        </is>
      </c>
    </row>
    <row r="104">
      <c r="A104" s="60" t="inlineStr">
        <is>
          <t>Boss Gate Cleared – Level 40</t>
        </is>
      </c>
      <c r="B104" s="60" t="inlineStr">
        <is>
          <t>BOSS-CLR-40</t>
        </is>
      </c>
      <c r="C104" s="60" t="n">
        <v>150</v>
      </c>
      <c r="D104" s="60" t="n">
        <v>15</v>
      </c>
      <c r="E104" s="60" t="inlineStr">
        <is>
          <t>Boss</t>
        </is>
      </c>
    </row>
    <row r="105">
      <c r="A105" s="60" t="inlineStr">
        <is>
          <t>Boss Gate Cleared – Level 60</t>
        </is>
      </c>
      <c r="B105" s="60" t="inlineStr">
        <is>
          <t>BOSS-CLR-60</t>
        </is>
      </c>
      <c r="C105" s="60" t="n">
        <v>250</v>
      </c>
      <c r="D105" s="60" t="n">
        <v>25</v>
      </c>
      <c r="E105" s="60" t="inlineStr">
        <is>
          <t>Boss</t>
        </is>
      </c>
    </row>
    <row r="106">
      <c r="A106" s="60" t="inlineStr">
        <is>
          <t>Boss Gate Cleared – Level 80</t>
        </is>
      </c>
      <c r="B106" s="60" t="inlineStr">
        <is>
          <t>BOSS-CLR-80</t>
        </is>
      </c>
      <c r="C106" s="60" t="n">
        <v>350</v>
      </c>
      <c r="D106" s="60" t="n">
        <v>35</v>
      </c>
      <c r="E106" s="60" t="inlineStr">
        <is>
          <t>Boss</t>
        </is>
      </c>
    </row>
    <row r="107">
      <c r="A107" s="60" t="inlineStr">
        <is>
          <t>Boss Gate Cleared – Level 100</t>
        </is>
      </c>
      <c r="B107" s="60" t="inlineStr">
        <is>
          <t>BOSS-CLR-100</t>
        </is>
      </c>
      <c r="C107" s="60" t="n">
        <v>500</v>
      </c>
      <c r="D107" s="60" t="n">
        <v>50</v>
      </c>
      <c r="E107" s="60" t="inlineStr">
        <is>
          <t>Boss</t>
        </is>
      </c>
    </row>
  </sheetData>
  <pageMargins left="0.75" right="0.75" top="1" bottom="1" header="0.5" footer="0.5"/>
</worksheet>
</file>

<file path=xl/worksheets/sheet8.xml><?xml version="1.0" encoding="utf-8"?>
<worksheet xmlns="http://schemas.openxmlformats.org/spreadsheetml/2006/main">
  <sheetPr>
    <tabColor rgb="FFFF0000"/>
    <outlinePr summaryBelow="0" summaryRight="0"/>
    <pageSetUpPr/>
  </sheetPr>
  <dimension ref="A1:Z1000"/>
  <sheetViews>
    <sheetView workbookViewId="0">
      <pane ySplit="1" topLeftCell="A2" activePane="bottomLeft" state="frozen"/>
      <selection pane="bottomLeft" activeCell="A1" sqref="A1"/>
    </sheetView>
  </sheetViews>
  <sheetFormatPr baseColWidth="8" defaultColWidth="12.63" defaultRowHeight="15.75" customHeight="1"/>
  <cols>
    <col width="42.13" customWidth="1" style="64" min="1" max="1"/>
    <col width="15" customWidth="1" style="64" min="2" max="2"/>
    <col width="4" customWidth="1" style="64" min="3" max="3"/>
    <col width="10.13" customWidth="1" style="64" min="4" max="4"/>
  </cols>
  <sheetData>
    <row r="1">
      <c r="A1" s="43" t="inlineStr">
        <is>
          <t>ActionID</t>
        </is>
      </c>
      <c r="B1" s="43" t="inlineStr">
        <is>
          <t>Type</t>
        </is>
      </c>
      <c r="C1" s="43" t="inlineStr">
        <is>
          <t>XP</t>
        </is>
      </c>
      <c r="D1" s="43" t="inlineStr">
        <is>
          <t>CoinsPer</t>
        </is>
      </c>
      <c r="E1" s="56" t="inlineStr">
        <is>
          <t>Display Name</t>
        </is>
      </c>
      <c r="F1" s="56" t="inlineStr">
        <is>
          <t>Category</t>
        </is>
      </c>
      <c r="G1" s="56" t="n"/>
      <c r="H1" s="56" t="n"/>
      <c r="I1" s="56" t="n"/>
      <c r="J1" s="56" t="n"/>
      <c r="K1" s="56" t="n"/>
      <c r="L1" s="56" t="n"/>
      <c r="M1" s="56" t="n"/>
      <c r="N1" s="56" t="n"/>
      <c r="O1" s="56" t="n"/>
      <c r="P1" s="56" t="n"/>
      <c r="Q1" s="56" t="n"/>
      <c r="R1" s="56" t="n"/>
      <c r="S1" s="56" t="n"/>
      <c r="T1" s="56" t="n"/>
      <c r="U1" s="56" t="n"/>
      <c r="V1" s="56" t="n"/>
      <c r="W1" s="56" t="n"/>
      <c r="X1" s="56" t="n"/>
      <c r="Y1" s="56" t="n"/>
      <c r="Z1" s="56" t="n"/>
    </row>
    <row r="2">
      <c r="A2" s="60" t="inlineStr">
        <is>
          <t>ONB-ACCT</t>
        </is>
      </c>
      <c r="B2" s="60" t="inlineStr">
        <is>
          <t>Milestone</t>
        </is>
      </c>
      <c r="C2" s="61" t="n">
        <v>10</v>
      </c>
      <c r="D2" s="59" t="n">
        <v>1</v>
      </c>
      <c r="E2" s="0" t="inlineStr">
        <is>
          <t>Onboarding – Account Created</t>
        </is>
      </c>
      <c r="F2" s="60" t="inlineStr">
        <is>
          <t>Onboarding</t>
        </is>
      </c>
    </row>
    <row r="3">
      <c r="A3" s="60" t="inlineStr">
        <is>
          <t>ONB-SAFE</t>
        </is>
      </c>
      <c r="B3" s="60" t="inlineStr">
        <is>
          <t>Milestone</t>
        </is>
      </c>
      <c r="C3" s="61" t="n">
        <v>10</v>
      </c>
      <c r="D3" s="59" t="n">
        <v>1</v>
      </c>
      <c r="E3" s="0" t="inlineStr">
        <is>
          <t>Client ParQ/Waiver - Completed</t>
        </is>
      </c>
      <c r="F3" s="0" t="inlineStr">
        <is>
          <t>Onboarding</t>
        </is>
      </c>
    </row>
    <row r="4">
      <c r="A4" s="60" t="inlineStr">
        <is>
          <t>ONB-CONS</t>
        </is>
      </c>
      <c r="B4" s="60" t="inlineStr">
        <is>
          <t>Milestone</t>
        </is>
      </c>
      <c r="C4" s="61" t="n">
        <v>20</v>
      </c>
      <c r="D4" s="59" t="n">
        <v>2</v>
      </c>
      <c r="E4" s="0" t="inlineStr">
        <is>
          <t>Onboarding – Consultation Complete</t>
        </is>
      </c>
      <c r="F4" s="0" t="inlineStr">
        <is>
          <t>Onboarding</t>
        </is>
      </c>
    </row>
    <row r="5">
      <c r="A5" s="60" t="inlineStr">
        <is>
          <t>ONB-WEAR</t>
        </is>
      </c>
      <c r="B5" s="60" t="inlineStr">
        <is>
          <t>Milestone</t>
        </is>
      </c>
      <c r="C5" s="61" t="n">
        <v>20</v>
      </c>
      <c r="D5" s="59" t="n">
        <v>2</v>
      </c>
      <c r="E5" s="0" t="inlineStr">
        <is>
          <t>Wearable Declared / Connected</t>
        </is>
      </c>
      <c r="F5" s="0" t="inlineStr">
        <is>
          <t>Onboarding</t>
        </is>
      </c>
    </row>
    <row r="6">
      <c r="A6" s="60" t="inlineStr">
        <is>
          <t>ONB-PROF</t>
        </is>
      </c>
      <c r="B6" s="60" t="inlineStr">
        <is>
          <t>Milestone</t>
        </is>
      </c>
      <c r="C6" s="61" t="n">
        <v>15</v>
      </c>
      <c r="D6" s="59" t="n">
        <v>2</v>
      </c>
      <c r="E6" s="0" t="inlineStr">
        <is>
          <t>Profile Completed (Availability, Injuries, Preferences)</t>
        </is>
      </c>
      <c r="F6" s="0" t="inlineStr">
        <is>
          <t>Onboarding</t>
        </is>
      </c>
    </row>
    <row r="7">
      <c r="A7" s="60" t="inlineStr">
        <is>
          <t>TRN-FIRST</t>
        </is>
      </c>
      <c r="B7" s="60" t="inlineStr">
        <is>
          <t>Milestone</t>
        </is>
      </c>
      <c r="C7" s="61" t="n">
        <v>20</v>
      </c>
      <c r="D7" s="59" t="n">
        <v>2</v>
      </c>
      <c r="E7" s="0" t="inlineStr">
        <is>
          <t>First Coached Session Completed</t>
        </is>
      </c>
      <c r="F7" s="0" t="inlineStr">
        <is>
          <t>Training</t>
        </is>
      </c>
    </row>
    <row r="8">
      <c r="A8" s="60" t="inlineStr">
        <is>
          <t>EDU-SAFE</t>
        </is>
      </c>
      <c r="B8" s="60" t="inlineStr">
        <is>
          <t>Routine</t>
        </is>
      </c>
      <c r="C8" s="61" t="n">
        <v>20</v>
      </c>
      <c r="D8" s="59" t="n">
        <v>2</v>
      </c>
      <c r="E8" s="0" t="inlineStr">
        <is>
          <t>Safety briefing (video + quiz)</t>
        </is>
      </c>
      <c r="F8" s="0" t="inlineStr">
        <is>
          <t>Education</t>
        </is>
      </c>
    </row>
    <row r="9">
      <c r="A9" s="60" t="inlineStr">
        <is>
          <t>EDU-CONSQUIZ</t>
        </is>
      </c>
      <c r="B9" s="60" t="inlineStr">
        <is>
          <t>Routine</t>
        </is>
      </c>
      <c r="C9" s="61" t="n">
        <v>50</v>
      </c>
      <c r="D9" s="59" t="n">
        <v>5</v>
      </c>
      <c r="E9" s="0" t="inlineStr">
        <is>
          <t>Consult Quiz (Theory Half) – Passed/Completed</t>
        </is>
      </c>
      <c r="F9" s="0" t="inlineStr">
        <is>
          <t>Education</t>
        </is>
      </c>
    </row>
    <row r="10">
      <c r="A10" s="60" t="inlineStr">
        <is>
          <t>TRN-MOVSCR</t>
        </is>
      </c>
      <c r="B10" s="60" t="inlineStr">
        <is>
          <t>Routine</t>
        </is>
      </c>
      <c r="C10" s="61" t="n">
        <v>50</v>
      </c>
      <c r="D10" s="59" t="n">
        <v>5</v>
      </c>
      <c r="E10" s="0" t="inlineStr">
        <is>
          <t>Movement Screen (Practical Half) – Passed/Completed</t>
        </is>
      </c>
      <c r="F10" s="0" t="inlineStr">
        <is>
          <t>Training</t>
        </is>
      </c>
    </row>
    <row r="11">
      <c r="A11" s="60" t="inlineStr">
        <is>
          <t>QST-START</t>
        </is>
      </c>
      <c r="B11" s="60" t="inlineStr">
        <is>
          <t>Milestone</t>
        </is>
      </c>
      <c r="C11" s="61" t="n">
        <v>10</v>
      </c>
      <c r="D11" s="59" t="n">
        <v>1</v>
      </c>
      <c r="E11" s="0" t="inlineStr">
        <is>
          <t>Quest Mode Selected</t>
        </is>
      </c>
      <c r="F11" s="0" t="inlineStr">
        <is>
          <t>Mode</t>
        </is>
      </c>
    </row>
    <row r="12">
      <c r="A12" s="60" t="inlineStr">
        <is>
          <t>CLS-START</t>
        </is>
      </c>
      <c r="B12" s="60" t="inlineStr">
        <is>
          <t>Milestone</t>
        </is>
      </c>
      <c r="C12" s="61" t="n">
        <v>10</v>
      </c>
      <c r="D12" s="59" t="n">
        <v>1</v>
      </c>
      <c r="E12" s="0" t="inlineStr">
        <is>
          <t>Classic Goal Defined</t>
        </is>
      </c>
      <c r="F12" s="0" t="inlineStr">
        <is>
          <t>Mode</t>
        </is>
      </c>
    </row>
    <row r="13">
      <c r="A13" s="60" t="inlineStr">
        <is>
          <t>TRN-SESS</t>
        </is>
      </c>
      <c r="B13" s="60" t="inlineStr">
        <is>
          <t>Routine</t>
        </is>
      </c>
      <c r="C13" s="61" t="n">
        <v>10</v>
      </c>
      <c r="D13" s="59" t="n">
        <v>1</v>
      </c>
      <c r="E13" s="0" t="inlineStr">
        <is>
          <t>Coached Strength Session</t>
        </is>
      </c>
      <c r="F13" s="0" t="inlineStr">
        <is>
          <t>Training</t>
        </is>
      </c>
    </row>
    <row r="14">
      <c r="A14" s="60" t="inlineStr">
        <is>
          <t>TRN-ATT</t>
        </is>
      </c>
      <c r="B14" s="60" t="inlineStr">
        <is>
          <t>Routine</t>
        </is>
      </c>
      <c r="C14" s="61" t="n">
        <v>10</v>
      </c>
      <c r="D14" s="59" t="n">
        <v>1</v>
      </c>
      <c r="E14" s="0" t="inlineStr">
        <is>
          <t>Session Attended (Showed Up On Time)</t>
        </is>
      </c>
      <c r="F14" s="0" t="inlineStr">
        <is>
          <t>Training</t>
        </is>
      </c>
    </row>
    <row r="15">
      <c r="A15" s="60" t="inlineStr">
        <is>
          <t>TRN-RPEV</t>
        </is>
      </c>
      <c r="B15" s="60" t="inlineStr">
        <is>
          <t>Routine</t>
        </is>
      </c>
      <c r="C15" s="61" t="n">
        <v>5</v>
      </c>
      <c r="D15" s="59" t="n">
        <v>0</v>
      </c>
      <c r="E15" s="0" t="inlineStr">
        <is>
          <t>Technique Video Reviewed</t>
        </is>
      </c>
      <c r="F15" s="0" t="inlineStr">
        <is>
          <t>Training</t>
        </is>
      </c>
    </row>
    <row r="16">
      <c r="A16" s="60" t="inlineStr">
        <is>
          <t>TRN-TEMP</t>
        </is>
      </c>
      <c r="B16" s="60" t="inlineStr">
        <is>
          <t>Routine</t>
        </is>
      </c>
      <c r="C16" s="61" t="n">
        <v>6</v>
      </c>
      <c r="D16" s="59" t="n">
        <v>1</v>
      </c>
      <c r="E16" s="0" t="inlineStr">
        <is>
          <t>Tempo-Controlled Session Completed</t>
        </is>
      </c>
      <c r="F16" s="0" t="inlineStr">
        <is>
          <t>Training</t>
        </is>
      </c>
    </row>
    <row r="17">
      <c r="A17" s="60" t="inlineStr">
        <is>
          <t>TRN-PR</t>
        </is>
      </c>
      <c r="B17" s="60" t="inlineStr">
        <is>
          <t>Routine</t>
        </is>
      </c>
      <c r="C17" s="61" t="n">
        <v>8</v>
      </c>
      <c r="D17" s="59" t="n">
        <v>1</v>
      </c>
      <c r="E17" s="0" t="inlineStr">
        <is>
          <t>Personal Record Achieved</t>
        </is>
      </c>
      <c r="F17" s="0" t="inlineStr">
        <is>
          <t>Training</t>
        </is>
      </c>
    </row>
    <row r="18">
      <c r="A18" s="60" t="inlineStr">
        <is>
          <t>TRN-BADG</t>
        </is>
      </c>
      <c r="B18" s="60" t="inlineStr">
        <is>
          <t>Milestone</t>
        </is>
      </c>
      <c r="C18" s="61" t="n">
        <v>20</v>
      </c>
      <c r="D18" s="59" t="n">
        <v>2</v>
      </c>
      <c r="E18" s="0" t="inlineStr">
        <is>
          <t>Movement Badge Earned</t>
        </is>
      </c>
      <c r="F18" s="0" t="inlineStr">
        <is>
          <t>Training</t>
        </is>
      </c>
    </row>
    <row r="19">
      <c r="A19" s="60" t="inlineStr">
        <is>
          <t>TRN-FORM</t>
        </is>
      </c>
      <c r="B19" s="60" t="inlineStr">
        <is>
          <t>Milestone</t>
        </is>
      </c>
      <c r="C19" s="61" t="n">
        <v>25</v>
      </c>
      <c r="D19" s="59" t="n">
        <v>3</v>
      </c>
      <c r="E19" s="0" t="inlineStr">
        <is>
          <t>Perfect Form Top Set (Coach Approved)</t>
        </is>
      </c>
      <c r="F19" s="0" t="inlineStr">
        <is>
          <t>Training</t>
        </is>
      </c>
    </row>
    <row r="20">
      <c r="A20" s="60" t="inlineStr">
        <is>
          <t>ENG-Z2</t>
        </is>
      </c>
      <c r="B20" s="60" t="inlineStr">
        <is>
          <t>Routine</t>
        </is>
      </c>
      <c r="C20" s="61" t="n">
        <v>20</v>
      </c>
      <c r="D20" s="59" t="n">
        <v>2</v>
      </c>
      <c r="E20" s="0" t="inlineStr">
        <is>
          <t>Zone 2 Cardio (40–60 min)</t>
        </is>
      </c>
      <c r="F20" s="0" t="inlineStr">
        <is>
          <t>Conditioning</t>
        </is>
      </c>
    </row>
    <row r="21">
      <c r="A21" s="60" t="inlineStr">
        <is>
          <t>ENG-HIIT</t>
        </is>
      </c>
      <c r="B21" s="60" t="inlineStr">
        <is>
          <t>Routine</t>
        </is>
      </c>
      <c r="C21" s="61" t="n">
        <v>20</v>
      </c>
      <c r="D21" s="59" t="n">
        <v>2</v>
      </c>
      <c r="E21" s="0" t="inlineStr">
        <is>
          <t>HIIT / Intervals</t>
        </is>
      </c>
      <c r="F21" s="0" t="inlineStr">
        <is>
          <t>Conditioning</t>
        </is>
      </c>
    </row>
    <row r="22">
      <c r="A22" s="60" t="inlineStr">
        <is>
          <t>ENG-THR</t>
        </is>
      </c>
      <c r="B22" s="60" t="inlineStr">
        <is>
          <t>Routine</t>
        </is>
      </c>
      <c r="C22" s="61" t="n">
        <v>20</v>
      </c>
      <c r="D22" s="59" t="n">
        <v>2</v>
      </c>
      <c r="E22" s="0" t="inlineStr">
        <is>
          <t>Threshold Run/Ride/Row (20–40 min)</t>
        </is>
      </c>
      <c r="F22" s="0" t="inlineStr">
        <is>
          <t>Conditioning</t>
        </is>
      </c>
    </row>
    <row r="23">
      <c r="A23" s="60" t="inlineStr">
        <is>
          <t>ENG-OUT</t>
        </is>
      </c>
      <c r="B23" s="60" t="inlineStr">
        <is>
          <t>Routine</t>
        </is>
      </c>
      <c r="C23" s="61" t="n">
        <v>20</v>
      </c>
      <c r="D23" s="59" t="n">
        <v>2</v>
      </c>
      <c r="E23" s="0" t="inlineStr">
        <is>
          <t>Outdoor Cardio (No GPS)</t>
        </is>
      </c>
      <c r="F23" s="0" t="inlineStr">
        <is>
          <t>Conditioning</t>
        </is>
      </c>
    </row>
    <row r="24">
      <c r="A24" s="60" t="inlineStr">
        <is>
          <t>NEAT-8K</t>
        </is>
      </c>
      <c r="B24" s="60" t="inlineStr">
        <is>
          <t>Routine</t>
        </is>
      </c>
      <c r="C24" s="61" t="n">
        <v>10</v>
      </c>
      <c r="D24" s="59" t="n">
        <v>1</v>
      </c>
      <c r="E24" s="0" t="inlineStr">
        <is>
          <t>8,000 Steps</t>
        </is>
      </c>
      <c r="F24" s="0" t="inlineStr">
        <is>
          <t>NEAT</t>
        </is>
      </c>
    </row>
    <row r="25">
      <c r="A25" s="60" t="inlineStr">
        <is>
          <t>NEAT-12K</t>
        </is>
      </c>
      <c r="B25" s="60" t="inlineStr">
        <is>
          <t>Routine</t>
        </is>
      </c>
      <c r="C25" s="61" t="n">
        <v>12</v>
      </c>
      <c r="D25" s="59" t="n">
        <v>1</v>
      </c>
      <c r="E25" s="0" t="inlineStr">
        <is>
          <t>12,000 Steps</t>
        </is>
      </c>
      <c r="F25" s="0" t="inlineStr">
        <is>
          <t>NEAT</t>
        </is>
      </c>
    </row>
    <row r="26">
      <c r="A26" s="60" t="inlineStr">
        <is>
          <t>NEAT-COMM</t>
        </is>
      </c>
      <c r="B26" s="60" t="inlineStr">
        <is>
          <t>Routine</t>
        </is>
      </c>
      <c r="C26" s="61" t="n">
        <v>5</v>
      </c>
      <c r="D26" s="59" t="n">
        <v>0</v>
      </c>
      <c r="E26" s="0" t="inlineStr">
        <is>
          <t>Active Commute (Walk/Cycle ≥15 min)</t>
        </is>
      </c>
      <c r="F26" s="0" t="inlineStr">
        <is>
          <t>NEAT</t>
        </is>
      </c>
    </row>
    <row r="27">
      <c r="A27" s="60" t="inlineStr">
        <is>
          <t>NEAT-STAIR7</t>
        </is>
      </c>
      <c r="B27" s="60" t="inlineStr">
        <is>
          <t>Routine</t>
        </is>
      </c>
      <c r="C27" s="61" t="n">
        <v>10</v>
      </c>
      <c r="D27" s="59" t="n">
        <v>1</v>
      </c>
      <c r="E27" s="0" t="inlineStr">
        <is>
          <t>“Stairs Not Lift” Streak – 7 Days</t>
        </is>
      </c>
      <c r="F27" s="0" t="inlineStr">
        <is>
          <t>NEAT</t>
        </is>
      </c>
    </row>
    <row r="28">
      <c r="A28" s="60" t="inlineStr">
        <is>
          <t>NUT-MEAL</t>
        </is>
      </c>
      <c r="B28" s="60" t="inlineStr">
        <is>
          <t>Routine</t>
        </is>
      </c>
      <c r="C28" s="61" t="n">
        <v>15</v>
      </c>
      <c r="D28" s="59" t="n">
        <v>2</v>
      </c>
      <c r="E28" s="0" t="inlineStr">
        <is>
          <t>Meal Prep Completed</t>
        </is>
      </c>
      <c r="F28" s="0" t="inlineStr">
        <is>
          <t>Nutrition</t>
        </is>
      </c>
    </row>
    <row r="29">
      <c r="A29" s="60" t="inlineStr">
        <is>
          <t>NUT-PROT</t>
        </is>
      </c>
      <c r="B29" s="60" t="inlineStr">
        <is>
          <t>Routine</t>
        </is>
      </c>
      <c r="C29" s="61" t="n">
        <v>25</v>
      </c>
      <c r="D29" s="59" t="n">
        <v>3</v>
      </c>
      <c r="E29" s="0" t="inlineStr">
        <is>
          <t>Protein Target Hit</t>
        </is>
      </c>
      <c r="F29" s="0" t="inlineStr">
        <is>
          <t>Nutrition</t>
        </is>
      </c>
    </row>
    <row r="30">
      <c r="A30" s="60" t="inlineStr">
        <is>
          <t>NUT-H2O</t>
        </is>
      </c>
      <c r="B30" s="60" t="inlineStr">
        <is>
          <t>Routine</t>
        </is>
      </c>
      <c r="C30" s="61" t="n">
        <v>10</v>
      </c>
      <c r="D30" s="59" t="n">
        <v>1</v>
      </c>
      <c r="E30" s="0" t="inlineStr">
        <is>
          <t>2L Water Intake</t>
        </is>
      </c>
      <c r="F30" s="0" t="inlineStr">
        <is>
          <t>Nutrition</t>
        </is>
      </c>
    </row>
    <row r="31">
      <c r="A31" s="60" t="inlineStr">
        <is>
          <t>NUT-PROT-7</t>
        </is>
      </c>
      <c r="B31" s="60" t="inlineStr">
        <is>
          <t>Milestone</t>
        </is>
      </c>
      <c r="C31" s="61" t="n">
        <v>70</v>
      </c>
      <c r="D31" s="59" t="n">
        <v>7</v>
      </c>
      <c r="E31" s="0" t="inlineStr">
        <is>
          <t>Consistent Protein – 7 Days</t>
        </is>
      </c>
      <c r="F31" s="0" t="inlineStr">
        <is>
          <t>Nutrition</t>
        </is>
      </c>
    </row>
    <row r="32">
      <c r="A32" s="60" t="inlineStr">
        <is>
          <t>NUT-PROT-30</t>
        </is>
      </c>
      <c r="B32" s="60" t="inlineStr">
        <is>
          <t>Achievement</t>
        </is>
      </c>
      <c r="C32" s="61" t="n">
        <v>300</v>
      </c>
      <c r="D32" s="59" t="n">
        <v>30</v>
      </c>
      <c r="E32" s="0" t="inlineStr">
        <is>
          <t>Consistent Protein – 30 Days</t>
        </is>
      </c>
      <c r="F32" s="0" t="inlineStr">
        <is>
          <t>Nutrition</t>
        </is>
      </c>
    </row>
    <row r="33">
      <c r="A33" s="60" t="inlineStr">
        <is>
          <t>NUT-BAL3</t>
        </is>
      </c>
      <c r="B33" s="60" t="inlineStr">
        <is>
          <t>Routine</t>
        </is>
      </c>
      <c r="C33" s="61" t="n">
        <v>10</v>
      </c>
      <c r="D33" s="59" t="n">
        <v>1</v>
      </c>
      <c r="E33" s="0" t="inlineStr">
        <is>
          <t>3+ Balanced Meals Logged (Daily)</t>
        </is>
      </c>
      <c r="F33" s="0" t="inlineStr">
        <is>
          <t>Nutrition</t>
        </is>
      </c>
    </row>
    <row r="34">
      <c r="A34" s="60" t="inlineStr">
        <is>
          <t>NUT-NLC7</t>
        </is>
      </c>
      <c r="B34" s="60" t="inlineStr">
        <is>
          <t>Routine</t>
        </is>
      </c>
      <c r="C34" s="61" t="n">
        <v>10</v>
      </c>
      <c r="D34" s="59" t="n">
        <v>1</v>
      </c>
      <c r="E34" s="0" t="inlineStr">
        <is>
          <t>No Liquid Calories – 7 Days</t>
        </is>
      </c>
      <c r="F34" s="0" t="inlineStr">
        <is>
          <t>Nutrition</t>
        </is>
      </c>
    </row>
    <row r="35">
      <c r="A35" s="60" t="inlineStr">
        <is>
          <t>NUT-SF7</t>
        </is>
      </c>
      <c r="B35" s="60" t="inlineStr">
        <is>
          <t>Routine</t>
        </is>
      </c>
      <c r="C35" s="61" t="n">
        <v>10</v>
      </c>
      <c r="D35" s="59" t="n">
        <v>1</v>
      </c>
      <c r="E35" s="0" t="inlineStr">
        <is>
          <t>Reduce Sugar Intake – 7 Days</t>
        </is>
      </c>
      <c r="F35" s="0" t="inlineStr">
        <is>
          <t>Nutrition</t>
        </is>
      </c>
    </row>
    <row r="36">
      <c r="A36" s="60" t="inlineStr">
        <is>
          <t>REC-SLEEP</t>
        </is>
      </c>
      <c r="B36" s="60" t="inlineStr">
        <is>
          <t>Routine</t>
        </is>
      </c>
      <c r="C36" s="61" t="n">
        <v>20</v>
      </c>
      <c r="D36" s="59" t="n">
        <v>2</v>
      </c>
      <c r="E36" s="0" t="inlineStr">
        <is>
          <t>7–9h Sleep</t>
        </is>
      </c>
      <c r="F36" s="0" t="inlineStr">
        <is>
          <t>Recovery</t>
        </is>
      </c>
    </row>
    <row r="37">
      <c r="A37" s="60" t="inlineStr">
        <is>
          <t>REC-MID</t>
        </is>
      </c>
      <c r="B37" s="60" t="inlineStr">
        <is>
          <t>Routine</t>
        </is>
      </c>
      <c r="C37" s="61" t="n">
        <v>10</v>
      </c>
      <c r="D37" s="59" t="n">
        <v>1</v>
      </c>
      <c r="E37" s="0" t="inlineStr">
        <is>
          <t>Sleep Before Midnight</t>
        </is>
      </c>
      <c r="F37" s="0" t="inlineStr">
        <is>
          <t>Recovery</t>
        </is>
      </c>
    </row>
    <row r="38">
      <c r="A38" s="60" t="inlineStr">
        <is>
          <t>REC-BRE</t>
        </is>
      </c>
      <c r="B38" s="60" t="inlineStr">
        <is>
          <t>Routine</t>
        </is>
      </c>
      <c r="C38" s="61" t="n">
        <v>5</v>
      </c>
      <c r="D38" s="59" t="n">
        <v>0</v>
      </c>
      <c r="E38" s="0" t="inlineStr">
        <is>
          <t>Breathwork / Meditation</t>
        </is>
      </c>
      <c r="F38" s="0" t="inlineStr">
        <is>
          <t>Recovery</t>
        </is>
      </c>
    </row>
    <row r="39">
      <c r="A39" s="60" t="inlineStr">
        <is>
          <t>REC-SUN</t>
        </is>
      </c>
      <c r="B39" s="60" t="inlineStr">
        <is>
          <t>Routine</t>
        </is>
      </c>
      <c r="C39" s="61" t="n">
        <v>2</v>
      </c>
      <c r="D39" s="59" t="n">
        <v>0</v>
      </c>
      <c r="E39" s="0" t="inlineStr">
        <is>
          <t>Morning Sunlight (5–10 min)</t>
        </is>
      </c>
      <c r="F39" s="0" t="inlineStr">
        <is>
          <t>Recovery</t>
        </is>
      </c>
    </row>
    <row r="40">
      <c r="A40" s="60" t="inlineStr">
        <is>
          <t>REC-DELD</t>
        </is>
      </c>
      <c r="B40" s="60" t="inlineStr">
        <is>
          <t>Milestone</t>
        </is>
      </c>
      <c r="C40" s="61" t="n">
        <v>10</v>
      </c>
      <c r="D40" s="59" t="n">
        <v>1</v>
      </c>
      <c r="E40" s="0" t="inlineStr">
        <is>
          <t>Deload Week Completed</t>
        </is>
      </c>
      <c r="F40" s="0" t="inlineStr">
        <is>
          <t>Recovery</t>
        </is>
      </c>
    </row>
    <row r="41">
      <c r="A41" s="60" t="inlineStr">
        <is>
          <t>REC-INJ-8</t>
        </is>
      </c>
      <c r="B41" s="60" t="inlineStr">
        <is>
          <t>Milestone</t>
        </is>
      </c>
      <c r="C41" s="61" t="n">
        <v>20</v>
      </c>
      <c r="D41" s="59" t="n">
        <v>2</v>
      </c>
      <c r="E41" s="0" t="inlineStr">
        <is>
          <t>Injury-Free Training – 8 Weeks</t>
        </is>
      </c>
      <c r="F41" s="0" t="inlineStr">
        <is>
          <t>Recovery</t>
        </is>
      </c>
    </row>
    <row r="42">
      <c r="A42" s="60" t="inlineStr">
        <is>
          <t>REC-INJ-24</t>
        </is>
      </c>
      <c r="B42" s="60" t="inlineStr">
        <is>
          <t>Milestone</t>
        </is>
      </c>
      <c r="C42" s="61" t="n">
        <v>60</v>
      </c>
      <c r="D42" s="59" t="n">
        <v>6</v>
      </c>
      <c r="E42" s="0" t="inlineStr">
        <is>
          <t>Injury-Free Training – 24 Weeks</t>
        </is>
      </c>
      <c r="F42" s="0" t="inlineStr">
        <is>
          <t>Recovery</t>
        </is>
      </c>
    </row>
    <row r="43">
      <c r="A43" s="60" t="inlineStr">
        <is>
          <t>EDU-MICRO</t>
        </is>
      </c>
      <c r="B43" s="60" t="inlineStr">
        <is>
          <t>Routine</t>
        </is>
      </c>
      <c r="C43" s="61" t="n">
        <v>3</v>
      </c>
      <c r="D43" s="59" t="n">
        <v>0</v>
      </c>
      <c r="E43" s="0" t="inlineStr">
        <is>
          <t>Education Video Watched</t>
        </is>
      </c>
      <c r="F43" s="0" t="inlineStr">
        <is>
          <t>Education</t>
        </is>
      </c>
    </row>
    <row r="44">
      <c r="A44" s="60" t="inlineStr">
        <is>
          <t>EDU-QUIZ</t>
        </is>
      </c>
      <c r="B44" s="60" t="inlineStr">
        <is>
          <t>Routine</t>
        </is>
      </c>
      <c r="C44" s="61" t="n">
        <v>5</v>
      </c>
      <c r="D44" s="59" t="n">
        <v>0</v>
      </c>
      <c r="E44" s="0" t="inlineStr">
        <is>
          <t>Quiz Passed</t>
        </is>
      </c>
      <c r="F44" s="0" t="inlineStr">
        <is>
          <t>Education</t>
        </is>
      </c>
    </row>
    <row r="45">
      <c r="A45" s="60" t="inlineStr">
        <is>
          <t>EDU-NUTMOD</t>
        </is>
      </c>
      <c r="B45" s="60" t="inlineStr">
        <is>
          <t>Milestone</t>
        </is>
      </c>
      <c r="C45" s="61" t="n">
        <v>20</v>
      </c>
      <c r="D45" s="59" t="n">
        <v>2</v>
      </c>
      <c r="E45" s="0" t="inlineStr">
        <is>
          <t>Completed Nutrition Module</t>
        </is>
      </c>
      <c r="F45" s="0" t="inlineStr">
        <is>
          <t>Education</t>
        </is>
      </c>
    </row>
    <row r="46">
      <c r="A46" s="60" t="inlineStr">
        <is>
          <t>EDU-TRNMOD</t>
        </is>
      </c>
      <c r="B46" s="60" t="inlineStr">
        <is>
          <t>Milestone</t>
        </is>
      </c>
      <c r="C46" s="61" t="n">
        <v>20</v>
      </c>
      <c r="D46" s="59" t="n">
        <v>2</v>
      </c>
      <c r="E46" s="0" t="inlineStr">
        <is>
          <t>Completed Training Basics Module</t>
        </is>
      </c>
      <c r="F46" s="0" t="inlineStr">
        <is>
          <t>Education</t>
        </is>
      </c>
    </row>
    <row r="47">
      <c r="A47" s="60" t="inlineStr">
        <is>
          <t>EDU-COURSE</t>
        </is>
      </c>
      <c r="B47" s="60" t="inlineStr">
        <is>
          <t>Routine</t>
        </is>
      </c>
      <c r="C47" s="61" t="n">
        <v>60</v>
      </c>
      <c r="D47" s="59" t="n">
        <v>6</v>
      </c>
      <c r="E47" s="0" t="inlineStr">
        <is>
          <t>Completed Course (60–90 min)</t>
        </is>
      </c>
      <c r="F47" s="0" t="inlineStr">
        <is>
          <t>Education</t>
        </is>
      </c>
    </row>
    <row r="48">
      <c r="A48" s="60" t="inlineStr">
        <is>
          <t>SOC-CI</t>
        </is>
      </c>
      <c r="B48" s="60" t="inlineStr">
        <is>
          <t>Routine</t>
        </is>
      </c>
      <c r="C48" s="61" t="n">
        <v>5</v>
      </c>
      <c r="D48" s="59" t="n">
        <v>0</v>
      </c>
      <c r="E48" s="0" t="inlineStr">
        <is>
          <t>Gym Check-In</t>
        </is>
      </c>
      <c r="F48" s="0" t="inlineStr">
        <is>
          <t>Community</t>
        </is>
      </c>
    </row>
    <row r="49">
      <c r="A49" s="60" t="inlineStr">
        <is>
          <t>SOC-REC</t>
        </is>
      </c>
      <c r="B49" s="60" t="inlineStr">
        <is>
          <t>Routine</t>
        </is>
      </c>
      <c r="C49" s="61" t="n">
        <v>10</v>
      </c>
      <c r="D49" s="59" t="n">
        <v>1</v>
      </c>
      <c r="E49" s="0" t="inlineStr">
        <is>
          <t>Weekly Social Post</t>
        </is>
      </c>
      <c r="F49" s="0" t="inlineStr">
        <is>
          <t>Community</t>
        </is>
      </c>
    </row>
    <row r="50">
      <c r="A50" s="60" t="inlineStr">
        <is>
          <t>SOC-SUPP</t>
        </is>
      </c>
      <c r="B50" s="60" t="inlineStr">
        <is>
          <t>Milestone</t>
        </is>
      </c>
      <c r="C50" s="61" t="n">
        <v>30</v>
      </c>
      <c r="D50" s="59" t="n">
        <v>3</v>
      </c>
      <c r="E50" s="0" t="inlineStr">
        <is>
          <t>Community Support Shown (Coach Nominated)</t>
        </is>
      </c>
      <c r="F50" s="0" t="inlineStr">
        <is>
          <t>Community</t>
        </is>
      </c>
    </row>
    <row r="51">
      <c r="A51" s="60" t="inlineStr">
        <is>
          <t>SOC-REFC</t>
        </is>
      </c>
      <c r="B51" s="60" t="inlineStr">
        <is>
          <t>Milestone</t>
        </is>
      </c>
      <c r="C51" s="61" t="n">
        <v>20</v>
      </c>
      <c r="D51" s="59" t="n">
        <v>2</v>
      </c>
      <c r="E51" s="0" t="inlineStr">
        <is>
          <t>Friend Attended Consult</t>
        </is>
      </c>
      <c r="F51" s="0" t="inlineStr">
        <is>
          <t>Community</t>
        </is>
      </c>
    </row>
    <row r="52">
      <c r="A52" s="60" t="inlineStr">
        <is>
          <t>SOC-REFJ</t>
        </is>
      </c>
      <c r="B52" s="60" t="inlineStr">
        <is>
          <t>Milestone</t>
        </is>
      </c>
      <c r="C52" s="61" t="n">
        <v>80</v>
      </c>
      <c r="D52" s="59" t="n">
        <v>8</v>
      </c>
      <c r="E52" s="0" t="inlineStr">
        <is>
          <t>Referral Joined</t>
        </is>
      </c>
      <c r="F52" s="0" t="inlineStr">
        <is>
          <t>Community</t>
        </is>
      </c>
    </row>
    <row r="53">
      <c r="A53" s="60" t="inlineStr">
        <is>
          <t>HLT-BP</t>
        </is>
      </c>
      <c r="B53" s="60" t="inlineStr">
        <is>
          <t>Milestone</t>
        </is>
      </c>
      <c r="C53" s="61" t="n">
        <v>20</v>
      </c>
      <c r="D53" s="59" t="n">
        <v>2</v>
      </c>
      <c r="E53" s="0" t="inlineStr">
        <is>
          <t>BP Improved</t>
        </is>
      </c>
      <c r="F53" s="0" t="inlineStr">
        <is>
          <t>Health</t>
        </is>
      </c>
    </row>
    <row r="54">
      <c r="A54" s="60" t="inlineStr">
        <is>
          <t>HLT-RHR</t>
        </is>
      </c>
      <c r="B54" s="60" t="inlineStr">
        <is>
          <t>Milestone</t>
        </is>
      </c>
      <c r="C54" s="61" t="n">
        <v>20</v>
      </c>
      <c r="D54" s="59" t="n">
        <v>2</v>
      </c>
      <c r="E54" s="0" t="inlineStr">
        <is>
          <t>Resting HR Improved</t>
        </is>
      </c>
      <c r="F54" s="0" t="inlineStr">
        <is>
          <t>Health</t>
        </is>
      </c>
    </row>
    <row r="55">
      <c r="A55" s="60" t="inlineStr">
        <is>
          <t>HLT-PUSH</t>
        </is>
      </c>
      <c r="B55" s="60" t="inlineStr">
        <is>
          <t>Milestone</t>
        </is>
      </c>
      <c r="C55" s="61" t="n">
        <v>30</v>
      </c>
      <c r="D55" s="59" t="n">
        <v>3</v>
      </c>
      <c r="E55" s="0" t="inlineStr">
        <is>
          <t>NSCA Push-Up Test – Pass</t>
        </is>
      </c>
      <c r="F55" s="0" t="inlineStr">
        <is>
          <t>Health</t>
        </is>
      </c>
    </row>
    <row r="56">
      <c r="A56" s="60" t="inlineStr">
        <is>
          <t>HLT-PLANK</t>
        </is>
      </c>
      <c r="B56" s="60" t="inlineStr">
        <is>
          <t>Milestone</t>
        </is>
      </c>
      <c r="C56" s="61" t="n">
        <v>30</v>
      </c>
      <c r="D56" s="59" t="n">
        <v>3</v>
      </c>
      <c r="E56" s="0" t="inlineStr">
        <is>
          <t>NSCA Plank Test – Pass</t>
        </is>
      </c>
      <c r="F56" s="0" t="inlineStr">
        <is>
          <t>Health</t>
        </is>
      </c>
    </row>
    <row r="57">
      <c r="A57" s="60" t="inlineStr">
        <is>
          <t>HLT-VO2</t>
        </is>
      </c>
      <c r="B57" s="60" t="inlineStr">
        <is>
          <t>Milestone</t>
        </is>
      </c>
      <c r="C57" s="61" t="n">
        <v>100</v>
      </c>
      <c r="D57" s="59" t="n">
        <v>10</v>
      </c>
      <c r="E57" s="0" t="inlineStr">
        <is>
          <t>NSCA VO2 / Submax Test – Pass</t>
        </is>
      </c>
      <c r="F57" s="0" t="inlineStr">
        <is>
          <t>Health</t>
        </is>
      </c>
    </row>
    <row r="58">
      <c r="A58" s="60" t="inlineStr">
        <is>
          <t>HLT-PHYS</t>
        </is>
      </c>
      <c r="B58" s="60" t="inlineStr">
        <is>
          <t>Routine</t>
        </is>
      </c>
      <c r="C58" s="61" t="n">
        <v>10</v>
      </c>
      <c r="D58" s="59" t="n">
        <v>1</v>
      </c>
      <c r="E58" s="0" t="inlineStr">
        <is>
          <t>Physio Screen for Pain Management</t>
        </is>
      </c>
      <c r="F58" s="0" t="inlineStr">
        <is>
          <t>Health</t>
        </is>
      </c>
    </row>
    <row r="59">
      <c r="A59" s="60" t="inlineStr">
        <is>
          <t>HLT-DENT</t>
        </is>
      </c>
      <c r="B59" s="60" t="inlineStr">
        <is>
          <t>Milestone</t>
        </is>
      </c>
      <c r="C59" s="61" t="n">
        <v>10</v>
      </c>
      <c r="D59" s="59" t="n">
        <v>1</v>
      </c>
      <c r="E59" s="0" t="inlineStr">
        <is>
          <t>Dental Check</t>
        </is>
      </c>
      <c r="F59" s="0" t="inlineStr">
        <is>
          <t>Health</t>
        </is>
      </c>
    </row>
    <row r="60">
      <c r="A60" s="60" t="inlineStr">
        <is>
          <t>HLT-ANNU</t>
        </is>
      </c>
      <c r="B60" s="60" t="inlineStr">
        <is>
          <t>Achievement</t>
        </is>
      </c>
      <c r="C60" s="61" t="n">
        <v>50</v>
      </c>
      <c r="D60" s="59" t="n">
        <v>5</v>
      </c>
      <c r="E60" s="0" t="inlineStr">
        <is>
          <t>Annual Medical Check</t>
        </is>
      </c>
      <c r="F60" s="0" t="inlineStr">
        <is>
          <t>Health</t>
        </is>
      </c>
    </row>
    <row r="61">
      <c r="A61" s="60" t="inlineStr">
        <is>
          <t>TRN-WKCI</t>
        </is>
      </c>
      <c r="B61" s="60" t="inlineStr">
        <is>
          <t>Routine</t>
        </is>
      </c>
      <c r="C61" s="61" t="n">
        <v>10</v>
      </c>
      <c r="D61" s="59" t="n">
        <v>1</v>
      </c>
      <c r="E61" s="0" t="inlineStr">
        <is>
          <t>Weekly Check-In Submitted</t>
        </is>
      </c>
      <c r="F61" s="0" t="inlineStr">
        <is>
          <t>Compliance</t>
        </is>
      </c>
    </row>
    <row r="62">
      <c r="A62" s="60" t="inlineStr">
        <is>
          <t>CMP-ATT-100W</t>
        </is>
      </c>
      <c r="B62" s="60" t="inlineStr">
        <is>
          <t>Routine</t>
        </is>
      </c>
      <c r="C62" s="61" t="n">
        <v>10</v>
      </c>
      <c r="D62" s="59" t="n">
        <v>1</v>
      </c>
      <c r="E62" s="0" t="inlineStr">
        <is>
          <t>100% Attendance for Booked Sessions (Weekly)</t>
        </is>
      </c>
      <c r="F62" s="0" t="inlineStr">
        <is>
          <t>Compliance</t>
        </is>
      </c>
    </row>
    <row r="63">
      <c r="A63" s="60" t="inlineStr">
        <is>
          <t>CMP-NOSHOW-0M</t>
        </is>
      </c>
      <c r="B63" s="60" t="inlineStr">
        <is>
          <t>Routine</t>
        </is>
      </c>
      <c r="C63" s="61" t="n">
        <v>20</v>
      </c>
      <c r="D63" s="59" t="n">
        <v>2</v>
      </c>
      <c r="E63" s="0" t="inlineStr">
        <is>
          <t>0 Late Cancels/No-Shows (Monthly)</t>
        </is>
      </c>
      <c r="F63" s="0" t="inlineStr">
        <is>
          <t>Compliance</t>
        </is>
      </c>
    </row>
    <row r="64">
      <c r="A64" s="60" t="inlineStr">
        <is>
          <t>BNG-AUTODEB-3M</t>
        </is>
      </c>
      <c r="B64" s="60" t="inlineStr">
        <is>
          <t>Routine</t>
        </is>
      </c>
      <c r="C64" s="61" t="n">
        <v>15</v>
      </c>
      <c r="D64" s="59" t="n">
        <v>2</v>
      </c>
      <c r="E64" s="0" t="inlineStr">
        <is>
          <t>On-time Auto-Debit Success – 3 Months</t>
        </is>
      </c>
      <c r="F64" s="0" t="inlineStr">
        <is>
          <t>Compliance</t>
        </is>
      </c>
    </row>
    <row r="65">
      <c r="A65" s="60" t="inlineStr">
        <is>
          <t>CMP-FBK-M</t>
        </is>
      </c>
      <c r="B65" s="60" t="inlineStr">
        <is>
          <t>Routine</t>
        </is>
      </c>
      <c r="C65" s="61" t="n">
        <v>10</v>
      </c>
      <c r="D65" s="59" t="n">
        <v>1</v>
      </c>
      <c r="E65" s="0" t="inlineStr">
        <is>
          <t>Submit Monthly Feedback (NPS + Comments)</t>
        </is>
      </c>
      <c r="F65" s="0" t="inlineStr">
        <is>
          <t>Compliance</t>
        </is>
      </c>
    </row>
    <row r="66">
      <c r="A66" s="60" t="inlineStr">
        <is>
          <t>TRN-NOMISS-4</t>
        </is>
      </c>
      <c r="B66" s="60" t="inlineStr">
        <is>
          <t>Achievement</t>
        </is>
      </c>
      <c r="C66" s="61" t="n">
        <v>40</v>
      </c>
      <c r="D66" s="59" t="n">
        <v>4</v>
      </c>
      <c r="E66" s="0" t="inlineStr">
        <is>
          <t>No Missed Sessions – 4 Weeks</t>
        </is>
      </c>
      <c r="F66" s="0" t="inlineStr">
        <is>
          <t>Streaks</t>
        </is>
      </c>
    </row>
    <row r="67">
      <c r="A67" s="60" t="inlineStr">
        <is>
          <t>TRN-NOMISS-8</t>
        </is>
      </c>
      <c r="B67" s="60" t="inlineStr">
        <is>
          <t>Achievement</t>
        </is>
      </c>
      <c r="C67" s="61" t="n">
        <v>80</v>
      </c>
      <c r="D67" s="59" t="n">
        <v>8</v>
      </c>
      <c r="E67" s="0" t="inlineStr">
        <is>
          <t>No Missed Sessions – 8 Weeks</t>
        </is>
      </c>
      <c r="F67" s="0" t="inlineStr">
        <is>
          <t>Streaks</t>
        </is>
      </c>
    </row>
    <row r="68">
      <c r="A68" s="60" t="inlineStr">
        <is>
          <t>TRN-NOMISS-12</t>
        </is>
      </c>
      <c r="B68" s="60" t="inlineStr">
        <is>
          <t>Achievement</t>
        </is>
      </c>
      <c r="C68" s="61" t="n">
        <v>120</v>
      </c>
      <c r="D68" s="59" t="n">
        <v>12</v>
      </c>
      <c r="E68" s="0" t="inlineStr">
        <is>
          <t>No Missed Sessions – 12 Weeks</t>
        </is>
      </c>
      <c r="F68" s="0" t="inlineStr">
        <is>
          <t>Streaks</t>
        </is>
      </c>
    </row>
    <row r="69">
      <c r="A69" s="60" t="inlineStr">
        <is>
          <t>TRN-NOMISS-24</t>
        </is>
      </c>
      <c r="B69" s="60" t="inlineStr">
        <is>
          <t>Achievement</t>
        </is>
      </c>
      <c r="C69" s="61" t="n">
        <v>240</v>
      </c>
      <c r="D69" s="59" t="n">
        <v>24</v>
      </c>
      <c r="E69" s="0" t="inlineStr">
        <is>
          <t>No Missed Sessions – 24 Weeks</t>
        </is>
      </c>
      <c r="F69" s="0" t="inlineStr">
        <is>
          <t>Streaks</t>
        </is>
      </c>
    </row>
    <row r="70">
      <c r="A70" s="60" t="inlineStr">
        <is>
          <t>TRN-NOMISS-52</t>
        </is>
      </c>
      <c r="B70" s="60" t="inlineStr">
        <is>
          <t>Achievement</t>
        </is>
      </c>
      <c r="C70" s="61" t="n">
        <v>520</v>
      </c>
      <c r="D70" s="59" t="n">
        <v>52</v>
      </c>
      <c r="E70" s="0" t="inlineStr">
        <is>
          <t>No Missed Sessions – 52 Weeks</t>
        </is>
      </c>
      <c r="F70" s="0" t="inlineStr">
        <is>
          <t>Streaks</t>
        </is>
      </c>
    </row>
    <row r="71">
      <c r="A71" s="60" t="inlineStr">
        <is>
          <t>NEAT-AVG-4</t>
        </is>
      </c>
      <c r="B71" s="60" t="inlineStr">
        <is>
          <t>Milestone</t>
        </is>
      </c>
      <c r="C71" s="61" t="n">
        <v>40</v>
      </c>
      <c r="D71" s="59" t="n">
        <v>4</v>
      </c>
      <c r="E71" s="0" t="inlineStr">
        <is>
          <t>Average 10k Steps – 4 Weeks</t>
        </is>
      </c>
      <c r="F71" s="0" t="inlineStr">
        <is>
          <t>Streaks</t>
        </is>
      </c>
    </row>
    <row r="72">
      <c r="A72" s="60" t="inlineStr">
        <is>
          <t>NEAT-AVG-12</t>
        </is>
      </c>
      <c r="B72" s="60" t="inlineStr">
        <is>
          <t>Achievement</t>
        </is>
      </c>
      <c r="C72" s="61" t="n">
        <v>120</v>
      </c>
      <c r="D72" s="59" t="n">
        <v>12</v>
      </c>
      <c r="E72" s="0" t="inlineStr">
        <is>
          <t>Average 10k Steps – 12 Weeks</t>
        </is>
      </c>
      <c r="F72" s="0" t="inlineStr">
        <is>
          <t>Streaks</t>
        </is>
      </c>
    </row>
    <row r="73">
      <c r="A73" s="60" t="inlineStr">
        <is>
          <t>SOC-30SELF</t>
        </is>
      </c>
      <c r="B73" s="60" t="inlineStr">
        <is>
          <t>Achievement</t>
        </is>
      </c>
      <c r="C73" s="61" t="n">
        <v>40</v>
      </c>
      <c r="D73" s="59" t="n">
        <v>4</v>
      </c>
      <c r="E73" s="0" t="inlineStr">
        <is>
          <t>“30 Gym-Mirror Selfies” Achievement</t>
        </is>
      </c>
      <c r="F73" s="0" t="inlineStr">
        <is>
          <t>Achievement</t>
        </is>
      </c>
    </row>
    <row r="74">
      <c r="A74" s="60" t="inlineStr">
        <is>
          <t>ACH-100SESS</t>
        </is>
      </c>
      <c r="B74" s="60" t="inlineStr">
        <is>
          <t>Achievement</t>
        </is>
      </c>
      <c r="C74" s="61" t="n">
        <v>300</v>
      </c>
      <c r="D74" s="59" t="n">
        <v>30</v>
      </c>
      <c r="E74" s="0" t="inlineStr">
        <is>
          <t>100 Sessions Attended (Annual)</t>
        </is>
      </c>
      <c r="F74" s="0" t="inlineStr">
        <is>
          <t>Achievement</t>
        </is>
      </c>
    </row>
    <row r="75">
      <c r="A75" s="60" t="inlineStr">
        <is>
          <t>ACH-150SESS</t>
        </is>
      </c>
      <c r="B75" s="60" t="inlineStr">
        <is>
          <t>Achievement</t>
        </is>
      </c>
      <c r="C75" s="61" t="n">
        <v>450</v>
      </c>
      <c r="D75" s="59" t="n">
        <v>45</v>
      </c>
      <c r="E75" s="0" t="inlineStr">
        <is>
          <t>150 Sessions Attended (Annual)</t>
        </is>
      </c>
      <c r="F75" s="0" t="inlineStr">
        <is>
          <t>Achievement</t>
        </is>
      </c>
    </row>
    <row r="76">
      <c r="A76" s="60" t="inlineStr">
        <is>
          <t>ACH-200SESS</t>
        </is>
      </c>
      <c r="B76" s="60" t="inlineStr">
        <is>
          <t>Achievement</t>
        </is>
      </c>
      <c r="C76" s="61" t="n">
        <v>600</v>
      </c>
      <c r="D76" s="59" t="n">
        <v>60</v>
      </c>
      <c r="E76" s="0" t="inlineStr">
        <is>
          <t>200 Sessions Attended (Annual)</t>
        </is>
      </c>
      <c r="F76" s="0" t="inlineStr">
        <is>
          <t>Achievement</t>
        </is>
      </c>
    </row>
    <row r="77">
      <c r="A77" s="60" t="inlineStr">
        <is>
          <t>ACH-MSQ-15</t>
        </is>
      </c>
      <c r="B77" s="60" t="inlineStr">
        <is>
          <t>Achievement</t>
        </is>
      </c>
      <c r="C77" s="61" t="n">
        <v>80</v>
      </c>
      <c r="D77" s="59" t="n">
        <v>8</v>
      </c>
      <c r="E77" s="0" t="inlineStr">
        <is>
          <t>Male Squat 1.5× BW Achieved</t>
        </is>
      </c>
      <c r="F77" s="0" t="inlineStr">
        <is>
          <t>Achievement</t>
        </is>
      </c>
    </row>
    <row r="78">
      <c r="A78" s="60" t="inlineStr">
        <is>
          <t>ACH-MSQ-20</t>
        </is>
      </c>
      <c r="B78" s="60" t="inlineStr">
        <is>
          <t>Achievement</t>
        </is>
      </c>
      <c r="C78" s="61" t="n">
        <v>140</v>
      </c>
      <c r="D78" s="59" t="n">
        <v>14</v>
      </c>
      <c r="E78" s="0" t="inlineStr">
        <is>
          <t>Male Squat 2.0× BW Achieved</t>
        </is>
      </c>
      <c r="F78" s="0" t="inlineStr">
        <is>
          <t>Achievement</t>
        </is>
      </c>
    </row>
    <row r="79">
      <c r="A79" s="60" t="inlineStr">
        <is>
          <t>ACH-FSQ-125</t>
        </is>
      </c>
      <c r="B79" s="60" t="inlineStr">
        <is>
          <t>Achievement</t>
        </is>
      </c>
      <c r="C79" s="61" t="n">
        <v>80</v>
      </c>
      <c r="D79" s="59" t="n">
        <v>8</v>
      </c>
      <c r="E79" s="0" t="inlineStr">
        <is>
          <t>Female Squat 1.25× BW Achieved</t>
        </is>
      </c>
      <c r="F79" s="0" t="inlineStr">
        <is>
          <t>Achievement</t>
        </is>
      </c>
    </row>
    <row r="80">
      <c r="A80" s="60" t="inlineStr">
        <is>
          <t>ACH-FSQ-175</t>
        </is>
      </c>
      <c r="B80" s="60" t="inlineStr">
        <is>
          <t>Achievement</t>
        </is>
      </c>
      <c r="C80" s="61" t="n">
        <v>140</v>
      </c>
      <c r="D80" s="59" t="n">
        <v>14</v>
      </c>
      <c r="E80" s="0" t="inlineStr">
        <is>
          <t>Female Squat 1.75× BW Achieved</t>
        </is>
      </c>
      <c r="F80" s="0" t="inlineStr">
        <is>
          <t>Achievement</t>
        </is>
      </c>
    </row>
    <row r="81">
      <c r="A81" s="60" t="inlineStr">
        <is>
          <t>ACH-MBP-125</t>
        </is>
      </c>
      <c r="B81" s="60" t="inlineStr">
        <is>
          <t>Achievement</t>
        </is>
      </c>
      <c r="C81" s="61" t="n">
        <v>70</v>
      </c>
      <c r="D81" s="59" t="n">
        <v>7</v>
      </c>
      <c r="E81" s="0" t="inlineStr">
        <is>
          <t>Male Bench 1.25× BW Achieved</t>
        </is>
      </c>
      <c r="F81" s="0" t="inlineStr">
        <is>
          <t>Achievement</t>
        </is>
      </c>
    </row>
    <row r="82">
      <c r="A82" s="60" t="inlineStr">
        <is>
          <t>ACH-MBP-15</t>
        </is>
      </c>
      <c r="B82" s="60" t="inlineStr">
        <is>
          <t>Achievement</t>
        </is>
      </c>
      <c r="C82" s="61" t="n">
        <v>120</v>
      </c>
      <c r="D82" s="59" t="n">
        <v>12</v>
      </c>
      <c r="E82" s="0" t="inlineStr">
        <is>
          <t>Male Bench 1.5× BW Achieved</t>
        </is>
      </c>
      <c r="F82" s="0" t="inlineStr">
        <is>
          <t>Achievement</t>
        </is>
      </c>
    </row>
    <row r="83">
      <c r="A83" s="60" t="inlineStr">
        <is>
          <t>ACH-FBP-75</t>
        </is>
      </c>
      <c r="B83" s="60" t="inlineStr">
        <is>
          <t>Achievement</t>
        </is>
      </c>
      <c r="C83" s="61" t="n">
        <v>70</v>
      </c>
      <c r="D83" s="59" t="n">
        <v>7</v>
      </c>
      <c r="E83" s="0" t="inlineStr">
        <is>
          <t>Female Bench 0.75× BW Achieved</t>
        </is>
      </c>
      <c r="F83" s="0" t="inlineStr">
        <is>
          <t>Achievement</t>
        </is>
      </c>
    </row>
    <row r="84">
      <c r="A84" s="60" t="inlineStr">
        <is>
          <t>ACH-FBP-10</t>
        </is>
      </c>
      <c r="B84" s="60" t="inlineStr">
        <is>
          <t>Achievement</t>
        </is>
      </c>
      <c r="C84" s="61" t="n">
        <v>120</v>
      </c>
      <c r="D84" s="59" t="n">
        <v>12</v>
      </c>
      <c r="E84" s="0" t="inlineStr">
        <is>
          <t>Female Bench 1.0× BW Achieved</t>
        </is>
      </c>
      <c r="F84" s="0" t="inlineStr">
        <is>
          <t>Achievement</t>
        </is>
      </c>
    </row>
    <row r="85">
      <c r="A85" s="60" t="inlineStr">
        <is>
          <t>ACH-MDL-20</t>
        </is>
      </c>
      <c r="B85" s="60" t="inlineStr">
        <is>
          <t>Achievement</t>
        </is>
      </c>
      <c r="C85" s="61" t="n">
        <v>100</v>
      </c>
      <c r="D85" s="59" t="n">
        <v>10</v>
      </c>
      <c r="E85" s="0" t="inlineStr">
        <is>
          <t>Male Deadlift 2.0× BW Achieved</t>
        </is>
      </c>
      <c r="F85" s="0" t="inlineStr">
        <is>
          <t>Achievement</t>
        </is>
      </c>
    </row>
    <row r="86">
      <c r="A86" s="60" t="inlineStr">
        <is>
          <t>ACH-MDL-25</t>
        </is>
      </c>
      <c r="B86" s="60" t="inlineStr">
        <is>
          <t>Achievement</t>
        </is>
      </c>
      <c r="C86" s="61" t="n">
        <v>170</v>
      </c>
      <c r="D86" s="59" t="n">
        <v>17</v>
      </c>
      <c r="E86" s="0" t="inlineStr">
        <is>
          <t>Male Deadlift 2.5× BW Achieved</t>
        </is>
      </c>
      <c r="F86" s="0" t="inlineStr">
        <is>
          <t>Achievement</t>
        </is>
      </c>
    </row>
    <row r="87">
      <c r="A87" s="60" t="inlineStr">
        <is>
          <t>ACH-FDL-175</t>
        </is>
      </c>
      <c r="B87" s="60" t="inlineStr">
        <is>
          <t>Achievement</t>
        </is>
      </c>
      <c r="C87" s="61" t="n">
        <v>100</v>
      </c>
      <c r="D87" s="59" t="n">
        <v>10</v>
      </c>
      <c r="E87" s="0" t="inlineStr">
        <is>
          <t>Female Deadlift 1.75× BW Achieved</t>
        </is>
      </c>
      <c r="F87" s="0" t="inlineStr">
        <is>
          <t>Achievement</t>
        </is>
      </c>
    </row>
    <row r="88">
      <c r="A88" s="60" t="inlineStr">
        <is>
          <t>ACH-FDL-225</t>
        </is>
      </c>
      <c r="B88" s="60" t="inlineStr">
        <is>
          <t>Achievement</t>
        </is>
      </c>
      <c r="C88" s="61" t="n">
        <v>170</v>
      </c>
      <c r="D88" s="59" t="n">
        <v>17</v>
      </c>
      <c r="E88" s="0" t="inlineStr">
        <is>
          <t>Female Deadlift 2.25× BW Achieved</t>
        </is>
      </c>
      <c r="F88" s="0" t="inlineStr">
        <is>
          <t>Achievement</t>
        </is>
      </c>
    </row>
    <row r="89">
      <c r="A89" s="60" t="inlineStr">
        <is>
          <t>MIL-CH100</t>
        </is>
      </c>
      <c r="B89" s="60" t="inlineStr">
        <is>
          <t>Achievement</t>
        </is>
      </c>
      <c r="C89" s="61" t="n">
        <v>75</v>
      </c>
      <c r="D89" s="59" t="n">
        <v>8</v>
      </c>
      <c r="E89" s="0" t="inlineStr">
        <is>
          <t>100 Coached Hours (Milestone)</t>
        </is>
      </c>
      <c r="F89" s="0" t="inlineStr">
        <is>
          <t>Milestone</t>
        </is>
      </c>
    </row>
    <row r="90">
      <c r="A90" s="60" t="inlineStr">
        <is>
          <t>MIL-CH300</t>
        </is>
      </c>
      <c r="B90" s="60" t="inlineStr">
        <is>
          <t>Achievement</t>
        </is>
      </c>
      <c r="C90" s="61" t="n">
        <v>200</v>
      </c>
      <c r="D90" s="59" t="n">
        <v>20</v>
      </c>
      <c r="E90" s="0" t="inlineStr">
        <is>
          <t>300 Coached Hours (Milestone)</t>
        </is>
      </c>
      <c r="F90" s="0" t="inlineStr">
        <is>
          <t>Milestone</t>
        </is>
      </c>
    </row>
    <row r="91">
      <c r="A91" s="60" t="inlineStr">
        <is>
          <t>MIL-CH500</t>
        </is>
      </c>
      <c r="B91" s="60" t="inlineStr">
        <is>
          <t>Achievement</t>
        </is>
      </c>
      <c r="C91" s="61" t="n">
        <v>350</v>
      </c>
      <c r="D91" s="59" t="n">
        <v>35</v>
      </c>
      <c r="E91" s="0" t="inlineStr">
        <is>
          <t>500 Coached Hours (Milestone)</t>
        </is>
      </c>
      <c r="F91" s="0" t="inlineStr">
        <is>
          <t>Milestone</t>
        </is>
      </c>
    </row>
    <row r="92">
      <c r="A92" s="60" t="inlineStr">
        <is>
          <t>MIL-CH1000</t>
        </is>
      </c>
      <c r="B92" s="60" t="inlineStr">
        <is>
          <t>Achievement</t>
        </is>
      </c>
      <c r="C92" s="61" t="n">
        <v>800</v>
      </c>
      <c r="D92" s="59" t="n">
        <v>80</v>
      </c>
      <c r="E92" s="0" t="inlineStr">
        <is>
          <t>1,000 Coached Hours (Milestone)</t>
        </is>
      </c>
      <c r="F92" s="0" t="inlineStr">
        <is>
          <t>Milestone</t>
        </is>
      </c>
    </row>
    <row r="93">
      <c r="A93" s="60" t="inlineStr">
        <is>
          <t>MIL-MEM-2Y</t>
        </is>
      </c>
      <c r="B93" s="60" t="inlineStr">
        <is>
          <t>Achievement</t>
        </is>
      </c>
      <c r="C93" s="61" t="n">
        <v>150</v>
      </c>
      <c r="D93" s="59" t="n">
        <v>15</v>
      </c>
      <c r="E93" s="0" t="inlineStr">
        <is>
          <t>2-Year Membership (Tenure)</t>
        </is>
      </c>
      <c r="F93" s="0" t="inlineStr">
        <is>
          <t>Milestone</t>
        </is>
      </c>
    </row>
    <row r="94">
      <c r="A94" s="60" t="inlineStr">
        <is>
          <t>MIL-MEM-3Y</t>
        </is>
      </c>
      <c r="B94" s="60" t="inlineStr">
        <is>
          <t>Achievement</t>
        </is>
      </c>
      <c r="C94" s="61" t="n">
        <v>250</v>
      </c>
      <c r="D94" s="59" t="n">
        <v>25</v>
      </c>
      <c r="E94" s="0" t="inlineStr">
        <is>
          <t>3-Year Membership (Tenure)</t>
        </is>
      </c>
      <c r="F94" s="0" t="inlineStr">
        <is>
          <t>Milestone</t>
        </is>
      </c>
    </row>
    <row r="95">
      <c r="A95" s="60" t="inlineStr">
        <is>
          <t>QST-CH1</t>
        </is>
      </c>
      <c r="B95" s="60" t="inlineStr">
        <is>
          <t>Milestone</t>
        </is>
      </c>
      <c r="C95" s="61" t="n">
        <v>30</v>
      </c>
      <c r="D95" s="59" t="n">
        <v>3</v>
      </c>
      <c r="E95" s="0" t="inlineStr">
        <is>
          <t>Quest Chapter I Completed</t>
        </is>
      </c>
      <c r="F95" s="0" t="inlineStr">
        <is>
          <t>Mode</t>
        </is>
      </c>
    </row>
    <row r="96">
      <c r="A96" s="60" t="inlineStr">
        <is>
          <t>QST-CH2</t>
        </is>
      </c>
      <c r="B96" s="60" t="inlineStr">
        <is>
          <t>Milestone</t>
        </is>
      </c>
      <c r="C96" s="61" t="n">
        <v>60</v>
      </c>
      <c r="D96" s="59" t="n">
        <v>6</v>
      </c>
      <c r="E96" s="0" t="inlineStr">
        <is>
          <t>Quest Chapter II Completed</t>
        </is>
      </c>
      <c r="F96" s="0" t="inlineStr">
        <is>
          <t>Mode</t>
        </is>
      </c>
    </row>
    <row r="97">
      <c r="A97" s="60" t="inlineStr">
        <is>
          <t>QST-CH3</t>
        </is>
      </c>
      <c r="B97" s="60" t="inlineStr">
        <is>
          <t>Milestone</t>
        </is>
      </c>
      <c r="C97" s="61" t="n">
        <v>100</v>
      </c>
      <c r="D97" s="59" t="n">
        <v>10</v>
      </c>
      <c r="E97" s="0" t="inlineStr">
        <is>
          <t>Quest Chapter III Completed</t>
        </is>
      </c>
      <c r="F97" s="0" t="inlineStr">
        <is>
          <t>Mode</t>
        </is>
      </c>
    </row>
    <row r="98">
      <c r="A98" s="60" t="inlineStr">
        <is>
          <t>QST-COMP</t>
        </is>
      </c>
      <c r="B98" s="60" t="inlineStr">
        <is>
          <t>Milestone</t>
        </is>
      </c>
      <c r="C98" s="61" t="n">
        <v>200</v>
      </c>
      <c r="D98" s="59" t="n">
        <v>20</v>
      </c>
      <c r="E98" s="0" t="inlineStr">
        <is>
          <t>Questline Completed</t>
        </is>
      </c>
      <c r="F98" s="0" t="inlineStr">
        <is>
          <t>Mode</t>
        </is>
      </c>
    </row>
    <row r="99">
      <c r="A99" s="60" t="inlineStr">
        <is>
          <t>CLS-CHK</t>
        </is>
      </c>
      <c r="B99" s="60" t="inlineStr">
        <is>
          <t>Milestone</t>
        </is>
      </c>
      <c r="C99" s="61" t="n">
        <v>30</v>
      </c>
      <c r="D99" s="59" t="n">
        <v>3</v>
      </c>
      <c r="E99" s="0" t="inlineStr">
        <is>
          <t>Classic Checkpoint Achieved</t>
        </is>
      </c>
      <c r="F99" s="0" t="inlineStr">
        <is>
          <t>Mode</t>
        </is>
      </c>
    </row>
    <row r="100">
      <c r="A100" s="60" t="inlineStr">
        <is>
          <t>CLS-COMB</t>
        </is>
      </c>
      <c r="B100" s="60" t="inlineStr">
        <is>
          <t>Milestone</t>
        </is>
      </c>
      <c r="C100" s="61" t="n">
        <v>40</v>
      </c>
      <c r="D100" s="59" t="n">
        <v>4</v>
      </c>
      <c r="E100" s="0" t="inlineStr">
        <is>
          <t>Classic Comeback (Returned After Lapse)</t>
        </is>
      </c>
      <c r="F100" s="0" t="inlineStr">
        <is>
          <t>Mode</t>
        </is>
      </c>
    </row>
    <row r="101">
      <c r="A101" s="60" t="inlineStr">
        <is>
          <t>CLS-GOAL</t>
        </is>
      </c>
      <c r="B101" s="60" t="inlineStr">
        <is>
          <t>Milestone</t>
        </is>
      </c>
      <c r="C101" s="61" t="n">
        <v>150</v>
      </c>
      <c r="D101" s="59" t="n">
        <v>15</v>
      </c>
      <c r="E101" s="0" t="inlineStr">
        <is>
          <t>Classic Goal Achieved</t>
        </is>
      </c>
      <c r="F101" s="0" t="inlineStr">
        <is>
          <t>Mode</t>
        </is>
      </c>
    </row>
    <row r="102">
      <c r="A102" s="60" t="inlineStr">
        <is>
          <t>BOSS-CLR-10</t>
        </is>
      </c>
      <c r="B102" s="60" t="inlineStr">
        <is>
          <t>Boss</t>
        </is>
      </c>
      <c r="C102" s="61" t="n">
        <v>50</v>
      </c>
      <c r="D102" s="59" t="n">
        <v>5</v>
      </c>
      <c r="E102" s="0" t="inlineStr">
        <is>
          <t>Boss Gate Cleared – Level 10</t>
        </is>
      </c>
      <c r="F102" s="0" t="inlineStr">
        <is>
          <t>Boss</t>
        </is>
      </c>
    </row>
    <row r="103">
      <c r="A103" s="60" t="inlineStr">
        <is>
          <t>BOSS-CLR-25</t>
        </is>
      </c>
      <c r="B103" s="60" t="inlineStr">
        <is>
          <t>Boss</t>
        </is>
      </c>
      <c r="C103" s="61" t="n">
        <v>100</v>
      </c>
      <c r="D103" s="59" t="n">
        <v>10</v>
      </c>
      <c r="E103" s="0" t="inlineStr">
        <is>
          <t>Boss Gate Cleared – Level 25</t>
        </is>
      </c>
      <c r="F103" s="0" t="inlineStr">
        <is>
          <t>Boss</t>
        </is>
      </c>
    </row>
    <row r="104">
      <c r="A104" s="60" t="inlineStr">
        <is>
          <t>BOSS-CLR-40</t>
        </is>
      </c>
      <c r="B104" s="60" t="inlineStr">
        <is>
          <t>Boss</t>
        </is>
      </c>
      <c r="C104" s="61" t="n">
        <v>150</v>
      </c>
      <c r="D104" s="59" t="n">
        <v>15</v>
      </c>
      <c r="E104" s="0" t="inlineStr">
        <is>
          <t>Boss Gate Cleared – Level 40</t>
        </is>
      </c>
      <c r="F104" s="0" t="inlineStr">
        <is>
          <t>Boss</t>
        </is>
      </c>
    </row>
    <row r="105">
      <c r="A105" s="60" t="inlineStr">
        <is>
          <t>BOSS-CLR-60</t>
        </is>
      </c>
      <c r="B105" s="60" t="inlineStr">
        <is>
          <t>Boss</t>
        </is>
      </c>
      <c r="C105" s="61" t="n">
        <v>250</v>
      </c>
      <c r="D105" s="59" t="n">
        <v>25</v>
      </c>
      <c r="E105" s="0" t="inlineStr">
        <is>
          <t>Boss Gate Cleared – Level 60</t>
        </is>
      </c>
      <c r="F105" s="0" t="inlineStr">
        <is>
          <t>Boss</t>
        </is>
      </c>
    </row>
    <row r="106">
      <c r="A106" s="60" t="inlineStr">
        <is>
          <t>BOSS-CLR-80</t>
        </is>
      </c>
      <c r="B106" s="60" t="inlineStr">
        <is>
          <t>Boss</t>
        </is>
      </c>
      <c r="C106" s="61" t="n">
        <v>350</v>
      </c>
      <c r="D106" s="59" t="n">
        <v>35</v>
      </c>
      <c r="E106" s="0" t="inlineStr">
        <is>
          <t>Boss Gate Cleared – Level 80</t>
        </is>
      </c>
      <c r="F106" s="0" t="inlineStr">
        <is>
          <t>Boss</t>
        </is>
      </c>
    </row>
    <row r="107">
      <c r="A107" s="60" t="inlineStr">
        <is>
          <t>BOSS-CLR-100</t>
        </is>
      </c>
      <c r="B107" s="60" t="inlineStr">
        <is>
          <t>Boss</t>
        </is>
      </c>
      <c r="C107" s="61" t="n">
        <v>500</v>
      </c>
      <c r="D107" s="59" t="n">
        <v>50</v>
      </c>
      <c r="E107" s="0" t="inlineStr">
        <is>
          <t>Boss Gate Cleared – Level 100</t>
        </is>
      </c>
      <c r="F107" s="0" t="inlineStr">
        <is>
          <t>Boss</t>
        </is>
      </c>
    </row>
    <row r="108">
      <c r="A108" s="61" t="n"/>
      <c r="B108" s="61" t="n"/>
      <c r="C108" s="61" t="n"/>
      <c r="D108" s="61" t="n"/>
    </row>
    <row r="109">
      <c r="A109" s="61" t="n"/>
      <c r="B109" s="61" t="n"/>
      <c r="C109" s="61" t="n"/>
      <c r="D109" s="61" t="n"/>
    </row>
    <row r="110">
      <c r="A110" s="61" t="n"/>
      <c r="B110" s="61" t="n"/>
      <c r="C110" s="61" t="n"/>
      <c r="D110" s="61" t="n"/>
    </row>
    <row r="111">
      <c r="A111" s="61" t="n"/>
      <c r="B111" s="61" t="n"/>
      <c r="C111" s="61" t="n"/>
      <c r="D111" s="61" t="n"/>
    </row>
    <row r="112">
      <c r="A112" s="61" t="n"/>
      <c r="B112" s="61" t="n"/>
      <c r="C112" s="61" t="n"/>
      <c r="D112" s="61" t="n"/>
    </row>
    <row r="113">
      <c r="A113" s="61" t="n"/>
      <c r="B113" s="61" t="n"/>
      <c r="C113" s="61" t="n"/>
      <c r="D113" s="61" t="n"/>
    </row>
    <row r="114">
      <c r="A114" s="61" t="n"/>
      <c r="B114" s="61" t="n"/>
      <c r="C114" s="61" t="n"/>
      <c r="D114" s="61" t="n"/>
    </row>
    <row r="115">
      <c r="A115" s="61" t="n"/>
      <c r="B115" s="61" t="n"/>
      <c r="C115" s="61" t="n"/>
      <c r="D115" s="61" t="n"/>
    </row>
    <row r="116">
      <c r="A116" s="61" t="n"/>
      <c r="B116" s="61" t="n"/>
      <c r="C116" s="61" t="n"/>
      <c r="D116" s="61" t="n"/>
    </row>
    <row r="117">
      <c r="A117" s="61" t="n"/>
      <c r="B117" s="61" t="n"/>
      <c r="C117" s="61" t="n"/>
      <c r="D117" s="61" t="n"/>
    </row>
    <row r="118">
      <c r="A118" s="61" t="n"/>
      <c r="B118" s="61" t="n"/>
      <c r="C118" s="61" t="n"/>
      <c r="D118" s="61" t="n"/>
    </row>
    <row r="119">
      <c r="A119" s="61" t="n"/>
      <c r="B119" s="61" t="n"/>
      <c r="C119" s="61" t="n"/>
      <c r="D119" s="61" t="n"/>
    </row>
    <row r="120">
      <c r="A120" s="61" t="n"/>
      <c r="B120" s="61" t="n"/>
      <c r="C120" s="61" t="n"/>
      <c r="D120" s="61" t="n"/>
    </row>
    <row r="121">
      <c r="A121" s="61" t="n"/>
      <c r="B121" s="61" t="n"/>
      <c r="C121" s="61" t="n"/>
      <c r="D121" s="61" t="n"/>
    </row>
    <row r="122">
      <c r="A122" s="61" t="n"/>
      <c r="B122" s="61" t="n"/>
      <c r="C122" s="61" t="n"/>
      <c r="D122" s="61" t="n"/>
    </row>
    <row r="123">
      <c r="A123" s="61" t="n"/>
      <c r="B123" s="61" t="n"/>
      <c r="C123" s="61" t="n"/>
      <c r="D123" s="61" t="n"/>
    </row>
    <row r="124">
      <c r="A124" s="61" t="n"/>
      <c r="B124" s="61" t="n"/>
      <c r="C124" s="61" t="n"/>
      <c r="D124" s="61" t="n"/>
    </row>
    <row r="125">
      <c r="A125" s="61" t="n"/>
      <c r="B125" s="61" t="n"/>
      <c r="C125" s="61" t="n"/>
      <c r="D125" s="61" t="n"/>
    </row>
    <row r="126">
      <c r="A126" s="61" t="n"/>
      <c r="B126" s="61" t="n"/>
      <c r="C126" s="61" t="n"/>
      <c r="D126" s="61" t="n"/>
    </row>
    <row r="127">
      <c r="A127" s="61" t="n"/>
      <c r="B127" s="61" t="n"/>
      <c r="C127" s="61" t="n"/>
      <c r="D127" s="61" t="n"/>
    </row>
    <row r="128">
      <c r="A128" s="61" t="n"/>
      <c r="B128" s="61" t="n"/>
      <c r="C128" s="61" t="n"/>
      <c r="D128" s="61" t="n"/>
    </row>
    <row r="129">
      <c r="A129" s="61" t="n"/>
      <c r="B129" s="61" t="n"/>
      <c r="C129" s="61" t="n"/>
      <c r="D129" s="61" t="n"/>
    </row>
    <row r="130">
      <c r="A130" s="61" t="n"/>
      <c r="B130" s="61" t="n"/>
      <c r="C130" s="61" t="n"/>
      <c r="D130" s="61" t="n"/>
    </row>
    <row r="131">
      <c r="A131" s="61" t="n"/>
      <c r="B131" s="61" t="n"/>
      <c r="C131" s="61" t="n"/>
      <c r="D131" s="61" t="n"/>
    </row>
    <row r="132">
      <c r="A132" s="61" t="n"/>
      <c r="B132" s="61" t="n"/>
      <c r="C132" s="61" t="n"/>
      <c r="D132" s="61" t="n"/>
    </row>
    <row r="133">
      <c r="A133" s="61" t="n"/>
      <c r="B133" s="61" t="n"/>
      <c r="C133" s="61" t="n"/>
      <c r="D133" s="61" t="n"/>
    </row>
    <row r="134">
      <c r="A134" s="61" t="n"/>
      <c r="B134" s="61" t="n"/>
      <c r="C134" s="61" t="n"/>
      <c r="D134" s="61" t="n"/>
    </row>
    <row r="135">
      <c r="A135" s="61" t="n"/>
      <c r="B135" s="61" t="n"/>
      <c r="C135" s="61" t="n"/>
      <c r="D135" s="61" t="n"/>
    </row>
    <row r="136">
      <c r="A136" s="61" t="n"/>
      <c r="B136" s="61" t="n"/>
      <c r="C136" s="61" t="n"/>
      <c r="D136" s="61" t="n"/>
    </row>
    <row r="137">
      <c r="A137" s="61" t="n"/>
      <c r="B137" s="61" t="n"/>
      <c r="C137" s="61" t="n"/>
      <c r="D137" s="61" t="n"/>
    </row>
    <row r="138">
      <c r="A138" s="61" t="n"/>
      <c r="B138" s="61" t="n"/>
      <c r="C138" s="61" t="n"/>
      <c r="D138" s="61" t="n"/>
    </row>
    <row r="139">
      <c r="A139" s="61" t="n"/>
      <c r="B139" s="61" t="n"/>
      <c r="C139" s="61" t="n"/>
      <c r="D139" s="61" t="n"/>
    </row>
    <row r="140">
      <c r="A140" s="61" t="n"/>
      <c r="B140" s="61" t="n"/>
      <c r="C140" s="61" t="n"/>
      <c r="D140" s="61" t="n"/>
    </row>
    <row r="141">
      <c r="A141" s="61" t="n"/>
      <c r="B141" s="61" t="n"/>
      <c r="C141" s="61" t="n"/>
      <c r="D141" s="61" t="n"/>
    </row>
    <row r="142">
      <c r="A142" s="61" t="n"/>
      <c r="B142" s="61" t="n"/>
      <c r="C142" s="61" t="n"/>
      <c r="D142" s="61" t="n"/>
    </row>
    <row r="143">
      <c r="A143" s="61" t="n"/>
      <c r="B143" s="61" t="n"/>
      <c r="C143" s="61" t="n"/>
      <c r="D143" s="61" t="n"/>
    </row>
    <row r="144">
      <c r="A144" s="61" t="n"/>
      <c r="B144" s="61" t="n"/>
      <c r="C144" s="61" t="n"/>
      <c r="D144" s="61" t="n"/>
    </row>
    <row r="145">
      <c r="A145" s="61" t="n"/>
      <c r="B145" s="61" t="n"/>
      <c r="C145" s="61" t="n"/>
      <c r="D145" s="61" t="n"/>
    </row>
    <row r="146">
      <c r="A146" s="61" t="n"/>
      <c r="B146" s="61" t="n"/>
      <c r="C146" s="61" t="n"/>
      <c r="D146" s="61" t="n"/>
    </row>
    <row r="147">
      <c r="A147" s="61" t="n"/>
      <c r="B147" s="61" t="n"/>
      <c r="C147" s="61" t="n"/>
      <c r="D147" s="61" t="n"/>
    </row>
    <row r="148">
      <c r="A148" s="61" t="n"/>
      <c r="B148" s="61" t="n"/>
      <c r="C148" s="61" t="n"/>
      <c r="D148" s="61" t="n"/>
    </row>
    <row r="149">
      <c r="A149" s="61" t="n"/>
      <c r="B149" s="61" t="n"/>
      <c r="C149" s="61" t="n"/>
      <c r="D149" s="61" t="n"/>
    </row>
    <row r="150">
      <c r="A150" s="61" t="n"/>
      <c r="B150" s="61" t="n"/>
      <c r="C150" s="61" t="n"/>
      <c r="D150" s="61" t="n"/>
    </row>
    <row r="151">
      <c r="A151" s="61" t="n"/>
      <c r="B151" s="61" t="n"/>
      <c r="C151" s="61" t="n"/>
      <c r="D151" s="61" t="n"/>
    </row>
    <row r="152">
      <c r="A152" s="61" t="n"/>
      <c r="B152" s="61" t="n"/>
      <c r="C152" s="61" t="n"/>
      <c r="D152" s="61" t="n"/>
    </row>
    <row r="153">
      <c r="A153" s="61" t="n"/>
      <c r="B153" s="61" t="n"/>
      <c r="C153" s="61" t="n"/>
      <c r="D153" s="61" t="n"/>
    </row>
    <row r="154">
      <c r="A154" s="61" t="n"/>
      <c r="B154" s="61" t="n"/>
      <c r="C154" s="61" t="n"/>
      <c r="D154" s="61" t="n"/>
    </row>
    <row r="155">
      <c r="A155" s="61" t="n"/>
      <c r="B155" s="61" t="n"/>
      <c r="C155" s="61" t="n"/>
      <c r="D155" s="61" t="n"/>
    </row>
    <row r="156">
      <c r="A156" s="61" t="n"/>
      <c r="B156" s="61" t="n"/>
      <c r="C156" s="61" t="n"/>
      <c r="D156" s="61" t="n"/>
    </row>
    <row r="157">
      <c r="A157" s="61" t="n"/>
      <c r="B157" s="61" t="n"/>
      <c r="C157" s="61" t="n"/>
      <c r="D157" s="61" t="n"/>
    </row>
    <row r="158">
      <c r="A158" s="61" t="n"/>
      <c r="B158" s="61" t="n"/>
      <c r="C158" s="61" t="n"/>
      <c r="D158" s="61" t="n"/>
    </row>
    <row r="159">
      <c r="A159" s="61" t="n"/>
      <c r="B159" s="61" t="n"/>
      <c r="C159" s="61" t="n"/>
      <c r="D159" s="61" t="n"/>
    </row>
    <row r="160">
      <c r="A160" s="61" t="n"/>
      <c r="B160" s="61" t="n"/>
      <c r="C160" s="61" t="n"/>
      <c r="D160" s="61" t="n"/>
    </row>
    <row r="161">
      <c r="A161" s="61" t="n"/>
      <c r="B161" s="61" t="n"/>
      <c r="C161" s="61" t="n"/>
      <c r="D161" s="61" t="n"/>
    </row>
    <row r="162">
      <c r="A162" s="61" t="n"/>
      <c r="B162" s="61" t="n"/>
      <c r="C162" s="61" t="n"/>
      <c r="D162" s="61" t="n"/>
    </row>
    <row r="163">
      <c r="A163" s="61" t="n"/>
      <c r="B163" s="61" t="n"/>
      <c r="C163" s="61" t="n"/>
      <c r="D163" s="61" t="n"/>
    </row>
    <row r="164">
      <c r="A164" s="61" t="n"/>
      <c r="B164" s="61" t="n"/>
      <c r="C164" s="61" t="n"/>
      <c r="D164" s="61" t="n"/>
    </row>
    <row r="165">
      <c r="A165" s="61" t="n"/>
      <c r="B165" s="61" t="n"/>
      <c r="C165" s="61" t="n"/>
      <c r="D165" s="61" t="n"/>
    </row>
    <row r="166">
      <c r="A166" s="61" t="n"/>
      <c r="B166" s="61" t="n"/>
      <c r="C166" s="61" t="n"/>
      <c r="D166" s="61" t="n"/>
    </row>
    <row r="167">
      <c r="A167" s="61" t="n"/>
      <c r="B167" s="61" t="n"/>
      <c r="C167" s="61" t="n"/>
      <c r="D167" s="61" t="n"/>
    </row>
    <row r="168">
      <c r="A168" s="61" t="n"/>
      <c r="B168" s="61" t="n"/>
      <c r="C168" s="61" t="n"/>
      <c r="D168" s="61" t="n"/>
    </row>
    <row r="169">
      <c r="A169" s="61" t="n"/>
      <c r="B169" s="61" t="n"/>
      <c r="C169" s="61" t="n"/>
      <c r="D169" s="61" t="n"/>
    </row>
    <row r="170">
      <c r="A170" s="61" t="n"/>
      <c r="B170" s="61" t="n"/>
      <c r="C170" s="61" t="n"/>
      <c r="D170" s="61" t="n"/>
    </row>
    <row r="171">
      <c r="A171" s="61" t="n"/>
      <c r="B171" s="61" t="n"/>
      <c r="C171" s="61" t="n"/>
      <c r="D171" s="61" t="n"/>
    </row>
    <row r="172">
      <c r="A172" s="61" t="n"/>
      <c r="B172" s="61" t="n"/>
      <c r="C172" s="61" t="n"/>
      <c r="D172" s="61" t="n"/>
    </row>
    <row r="173">
      <c r="A173" s="61" t="n"/>
      <c r="B173" s="61" t="n"/>
      <c r="C173" s="61" t="n"/>
      <c r="D173" s="61" t="n"/>
    </row>
    <row r="174">
      <c r="A174" s="61" t="n"/>
      <c r="B174" s="61" t="n"/>
      <c r="C174" s="61" t="n"/>
      <c r="D174" s="61" t="n"/>
    </row>
    <row r="175">
      <c r="A175" s="61" t="n"/>
      <c r="B175" s="61" t="n"/>
      <c r="C175" s="61" t="n"/>
      <c r="D175" s="61" t="n"/>
    </row>
    <row r="176">
      <c r="A176" s="61" t="n"/>
      <c r="B176" s="61" t="n"/>
      <c r="C176" s="61" t="n"/>
      <c r="D176" s="61" t="n"/>
    </row>
    <row r="177">
      <c r="A177" s="61" t="n"/>
      <c r="B177" s="61" t="n"/>
      <c r="C177" s="61" t="n"/>
      <c r="D177" s="61" t="n"/>
    </row>
    <row r="178">
      <c r="A178" s="61" t="n"/>
      <c r="B178" s="61" t="n"/>
      <c r="C178" s="61" t="n"/>
      <c r="D178" s="61" t="n"/>
    </row>
    <row r="179">
      <c r="A179" s="61" t="n"/>
      <c r="B179" s="61" t="n"/>
      <c r="C179" s="61" t="n"/>
      <c r="D179" s="61" t="n"/>
    </row>
    <row r="180">
      <c r="A180" s="61" t="n"/>
      <c r="B180" s="61" t="n"/>
      <c r="C180" s="61" t="n"/>
      <c r="D180" s="61" t="n"/>
    </row>
    <row r="181">
      <c r="A181" s="61" t="n"/>
      <c r="B181" s="61" t="n"/>
      <c r="C181" s="61" t="n"/>
      <c r="D181" s="61" t="n"/>
    </row>
    <row r="182">
      <c r="A182" s="61" t="n"/>
      <c r="B182" s="61" t="n"/>
      <c r="C182" s="61" t="n"/>
      <c r="D182" s="61" t="n"/>
    </row>
    <row r="183">
      <c r="A183" s="61" t="n"/>
      <c r="B183" s="61" t="n"/>
      <c r="C183" s="61" t="n"/>
      <c r="D183" s="61" t="n"/>
    </row>
    <row r="184">
      <c r="A184" s="61" t="n"/>
      <c r="B184" s="61" t="n"/>
      <c r="C184" s="61" t="n"/>
      <c r="D184" s="61" t="n"/>
    </row>
    <row r="185">
      <c r="A185" s="61" t="n"/>
      <c r="B185" s="61" t="n"/>
      <c r="C185" s="61" t="n"/>
      <c r="D185" s="61" t="n"/>
    </row>
    <row r="186">
      <c r="A186" s="61" t="n"/>
      <c r="B186" s="61" t="n"/>
      <c r="C186" s="61" t="n"/>
      <c r="D186" s="61" t="n"/>
    </row>
    <row r="187">
      <c r="A187" s="61" t="n"/>
      <c r="B187" s="61" t="n"/>
      <c r="C187" s="61" t="n"/>
      <c r="D187" s="61" t="n"/>
    </row>
    <row r="188">
      <c r="A188" s="61" t="n"/>
      <c r="B188" s="61" t="n"/>
      <c r="C188" s="61" t="n"/>
      <c r="D188" s="61" t="n"/>
    </row>
    <row r="189">
      <c r="A189" s="61" t="n"/>
      <c r="B189" s="61" t="n"/>
      <c r="C189" s="61" t="n"/>
      <c r="D189" s="61" t="n"/>
    </row>
    <row r="190">
      <c r="A190" s="61" t="n"/>
      <c r="B190" s="61" t="n"/>
      <c r="C190" s="61" t="n"/>
      <c r="D190" s="61" t="n"/>
    </row>
    <row r="191">
      <c r="A191" s="61" t="n"/>
      <c r="B191" s="61" t="n"/>
      <c r="C191" s="61" t="n"/>
      <c r="D191" s="61" t="n"/>
    </row>
    <row r="192">
      <c r="A192" s="61" t="n"/>
      <c r="B192" s="61" t="n"/>
      <c r="C192" s="61" t="n"/>
      <c r="D192" s="61" t="n"/>
    </row>
    <row r="193">
      <c r="A193" s="61" t="n"/>
      <c r="B193" s="61" t="n"/>
      <c r="C193" s="61" t="n"/>
      <c r="D193" s="61" t="n"/>
    </row>
    <row r="194">
      <c r="A194" s="61" t="n"/>
      <c r="B194" s="61" t="n"/>
      <c r="C194" s="61" t="n"/>
      <c r="D194" s="61" t="n"/>
    </row>
    <row r="195">
      <c r="A195" s="61" t="n"/>
      <c r="B195" s="61" t="n"/>
      <c r="C195" s="61" t="n"/>
      <c r="D195" s="61" t="n"/>
    </row>
    <row r="196">
      <c r="A196" s="61" t="n"/>
      <c r="B196" s="61" t="n"/>
      <c r="C196" s="61" t="n"/>
      <c r="D196" s="61" t="n"/>
    </row>
    <row r="197">
      <c r="A197" s="61" t="n"/>
      <c r="B197" s="61" t="n"/>
      <c r="C197" s="61" t="n"/>
      <c r="D197" s="61" t="n"/>
    </row>
    <row r="198">
      <c r="A198" s="61" t="n"/>
      <c r="B198" s="61" t="n"/>
      <c r="C198" s="61" t="n"/>
      <c r="D198" s="61" t="n"/>
    </row>
    <row r="199">
      <c r="A199" s="61" t="n"/>
      <c r="B199" s="61" t="n"/>
      <c r="C199" s="61" t="n"/>
      <c r="D199" s="61" t="n"/>
    </row>
    <row r="200">
      <c r="A200" s="61" t="n"/>
      <c r="B200" s="61" t="n"/>
      <c r="C200" s="61" t="n"/>
      <c r="D200" s="61" t="n"/>
    </row>
    <row r="201">
      <c r="A201" s="61" t="n"/>
      <c r="B201" s="61" t="n"/>
      <c r="C201" s="61" t="n"/>
      <c r="D201" s="61" t="n"/>
    </row>
    <row r="202">
      <c r="A202" s="61" t="n"/>
      <c r="B202" s="61" t="n"/>
      <c r="C202" s="61" t="n"/>
      <c r="D202" s="61" t="n"/>
    </row>
    <row r="203">
      <c r="A203" s="61" t="n"/>
      <c r="B203" s="61" t="n"/>
      <c r="C203" s="61" t="n"/>
      <c r="D203" s="61" t="n"/>
    </row>
    <row r="204">
      <c r="A204" s="61" t="n"/>
      <c r="B204" s="61" t="n"/>
      <c r="C204" s="61" t="n"/>
      <c r="D204" s="61" t="n"/>
    </row>
    <row r="205">
      <c r="A205" s="61" t="n"/>
      <c r="B205" s="61" t="n"/>
      <c r="C205" s="61" t="n"/>
      <c r="D205" s="61" t="n"/>
    </row>
    <row r="206">
      <c r="A206" s="61" t="n"/>
      <c r="B206" s="61" t="n"/>
      <c r="C206" s="61" t="n"/>
      <c r="D206" s="61" t="n"/>
    </row>
    <row r="207">
      <c r="A207" s="61" t="n"/>
      <c r="B207" s="61" t="n"/>
      <c r="C207" s="61" t="n"/>
      <c r="D207" s="61" t="n"/>
    </row>
    <row r="208">
      <c r="A208" s="61" t="n"/>
      <c r="B208" s="61" t="n"/>
      <c r="C208" s="61" t="n"/>
      <c r="D208" s="61" t="n"/>
    </row>
    <row r="209">
      <c r="A209" s="61" t="n"/>
      <c r="B209" s="61" t="n"/>
      <c r="C209" s="61" t="n"/>
      <c r="D209" s="61" t="n"/>
    </row>
    <row r="210">
      <c r="A210" s="61" t="n"/>
      <c r="B210" s="61" t="n"/>
      <c r="C210" s="61" t="n"/>
      <c r="D210" s="61" t="n"/>
    </row>
    <row r="211">
      <c r="A211" s="61" t="n"/>
      <c r="B211" s="61" t="n"/>
      <c r="C211" s="61" t="n"/>
      <c r="D211" s="61" t="n"/>
    </row>
    <row r="212">
      <c r="A212" s="61" t="n"/>
      <c r="B212" s="61" t="n"/>
      <c r="C212" s="61" t="n"/>
      <c r="D212" s="61" t="n"/>
    </row>
    <row r="213">
      <c r="A213" s="61" t="n"/>
      <c r="B213" s="61" t="n"/>
      <c r="C213" s="61" t="n"/>
      <c r="D213" s="61" t="n"/>
    </row>
    <row r="214">
      <c r="A214" s="61" t="n"/>
      <c r="B214" s="61" t="n"/>
      <c r="C214" s="61" t="n"/>
      <c r="D214" s="61" t="n"/>
    </row>
    <row r="215">
      <c r="A215" s="61" t="n"/>
      <c r="B215" s="61" t="n"/>
      <c r="C215" s="61" t="n"/>
      <c r="D215" s="61" t="n"/>
    </row>
    <row r="216">
      <c r="A216" s="61" t="n"/>
      <c r="B216" s="61" t="n"/>
      <c r="C216" s="61" t="n"/>
      <c r="D216" s="61" t="n"/>
    </row>
    <row r="217">
      <c r="A217" s="61" t="n"/>
      <c r="B217" s="61" t="n"/>
      <c r="C217" s="61" t="n"/>
      <c r="D217" s="61" t="n"/>
    </row>
    <row r="218">
      <c r="A218" s="61" t="n"/>
      <c r="B218" s="61" t="n"/>
      <c r="C218" s="61" t="n"/>
      <c r="D218" s="61" t="n"/>
    </row>
    <row r="219">
      <c r="A219" s="61" t="n"/>
      <c r="B219" s="61" t="n"/>
      <c r="C219" s="61" t="n"/>
      <c r="D219" s="61" t="n"/>
    </row>
    <row r="220">
      <c r="A220" s="61" t="n"/>
      <c r="B220" s="61" t="n"/>
      <c r="C220" s="61" t="n"/>
      <c r="D220" s="61" t="n"/>
    </row>
    <row r="221">
      <c r="A221" s="61" t="n"/>
      <c r="B221" s="61" t="n"/>
      <c r="C221" s="61" t="n"/>
      <c r="D221" s="61" t="n"/>
    </row>
    <row r="222">
      <c r="A222" s="61" t="n"/>
      <c r="B222" s="61" t="n"/>
      <c r="C222" s="61" t="n"/>
      <c r="D222" s="61" t="n"/>
    </row>
    <row r="223">
      <c r="A223" s="61" t="n"/>
      <c r="B223" s="61" t="n"/>
      <c r="C223" s="61" t="n"/>
      <c r="D223" s="61" t="n"/>
    </row>
    <row r="224">
      <c r="A224" s="61" t="n"/>
      <c r="B224" s="61" t="n"/>
      <c r="C224" s="61" t="n"/>
      <c r="D224" s="61" t="n"/>
    </row>
    <row r="225">
      <c r="A225" s="61" t="n"/>
      <c r="B225" s="61" t="n"/>
      <c r="C225" s="61" t="n"/>
      <c r="D225" s="61" t="n"/>
    </row>
    <row r="226">
      <c r="A226" s="61" t="n"/>
      <c r="B226" s="61" t="n"/>
      <c r="C226" s="61" t="n"/>
      <c r="D226" s="61" t="n"/>
    </row>
    <row r="227">
      <c r="A227" s="61" t="n"/>
      <c r="B227" s="61" t="n"/>
      <c r="C227" s="61" t="n"/>
      <c r="D227" s="61" t="n"/>
    </row>
    <row r="228">
      <c r="A228" s="61" t="n"/>
      <c r="B228" s="61" t="n"/>
      <c r="C228" s="61" t="n"/>
      <c r="D228" s="61" t="n"/>
    </row>
    <row r="229">
      <c r="A229" s="61" t="n"/>
      <c r="B229" s="61" t="n"/>
      <c r="C229" s="61" t="n"/>
      <c r="D229" s="61" t="n"/>
    </row>
    <row r="230">
      <c r="A230" s="61" t="n"/>
      <c r="B230" s="61" t="n"/>
      <c r="C230" s="61" t="n"/>
      <c r="D230" s="61" t="n"/>
    </row>
    <row r="231">
      <c r="A231" s="61" t="n"/>
      <c r="B231" s="61" t="n"/>
      <c r="C231" s="61" t="n"/>
      <c r="D231" s="61" t="n"/>
    </row>
    <row r="232">
      <c r="A232" s="61" t="n"/>
      <c r="B232" s="61" t="n"/>
      <c r="C232" s="61" t="n"/>
      <c r="D232" s="61" t="n"/>
    </row>
    <row r="233">
      <c r="A233" s="61" t="n"/>
      <c r="B233" s="61" t="n"/>
      <c r="C233" s="61" t="n"/>
      <c r="D233" s="61" t="n"/>
    </row>
    <row r="234">
      <c r="A234" s="61" t="n"/>
      <c r="B234" s="61" t="n"/>
      <c r="C234" s="61" t="n"/>
      <c r="D234" s="61" t="n"/>
    </row>
    <row r="235">
      <c r="A235" s="61" t="n"/>
      <c r="B235" s="61" t="n"/>
      <c r="C235" s="61" t="n"/>
      <c r="D235" s="61" t="n"/>
    </row>
    <row r="236">
      <c r="A236" s="61" t="n"/>
      <c r="B236" s="61" t="n"/>
      <c r="C236" s="61" t="n"/>
      <c r="D236" s="61" t="n"/>
    </row>
    <row r="237">
      <c r="A237" s="61" t="n"/>
      <c r="B237" s="61" t="n"/>
      <c r="C237" s="61" t="n"/>
      <c r="D237" s="61" t="n"/>
    </row>
    <row r="238">
      <c r="A238" s="61" t="n"/>
      <c r="B238" s="61" t="n"/>
      <c r="C238" s="61" t="n"/>
      <c r="D238" s="61" t="n"/>
    </row>
    <row r="239">
      <c r="A239" s="61" t="n"/>
      <c r="B239" s="61" t="n"/>
      <c r="C239" s="61" t="n"/>
      <c r="D239" s="61" t="n"/>
    </row>
    <row r="240">
      <c r="A240" s="61" t="n"/>
      <c r="B240" s="61" t="n"/>
      <c r="C240" s="61" t="n"/>
      <c r="D240" s="61" t="n"/>
    </row>
    <row r="241">
      <c r="A241" s="61" t="n"/>
      <c r="B241" s="61" t="n"/>
      <c r="C241" s="61" t="n"/>
      <c r="D241" s="61" t="n"/>
    </row>
    <row r="242">
      <c r="A242" s="61" t="n"/>
      <c r="B242" s="61" t="n"/>
      <c r="C242" s="61" t="n"/>
      <c r="D242" s="61" t="n"/>
    </row>
    <row r="243">
      <c r="A243" s="61" t="n"/>
      <c r="B243" s="61" t="n"/>
      <c r="C243" s="61" t="n"/>
      <c r="D243" s="61" t="n"/>
    </row>
    <row r="244">
      <c r="A244" s="61" t="n"/>
      <c r="B244" s="61" t="n"/>
      <c r="C244" s="61" t="n"/>
      <c r="D244" s="61" t="n"/>
    </row>
    <row r="245">
      <c r="A245" s="61" t="n"/>
      <c r="B245" s="61" t="n"/>
      <c r="C245" s="61" t="n"/>
      <c r="D245" s="61" t="n"/>
    </row>
    <row r="246">
      <c r="A246" s="61" t="n"/>
      <c r="B246" s="61" t="n"/>
      <c r="C246" s="61" t="n"/>
      <c r="D246" s="61" t="n"/>
    </row>
    <row r="247">
      <c r="A247" s="61" t="n"/>
      <c r="B247" s="61" t="n"/>
      <c r="C247" s="61" t="n"/>
      <c r="D247" s="61" t="n"/>
    </row>
    <row r="248">
      <c r="A248" s="61" t="n"/>
      <c r="B248" s="61" t="n"/>
      <c r="C248" s="61" t="n"/>
      <c r="D248" s="61" t="n"/>
    </row>
    <row r="249">
      <c r="A249" s="61" t="n"/>
      <c r="B249" s="61" t="n"/>
      <c r="C249" s="61" t="n"/>
      <c r="D249" s="61" t="n"/>
    </row>
    <row r="250">
      <c r="A250" s="61" t="n"/>
      <c r="B250" s="61" t="n"/>
      <c r="C250" s="61" t="n"/>
      <c r="D250" s="61" t="n"/>
    </row>
    <row r="251">
      <c r="A251" s="61" t="n"/>
      <c r="B251" s="61" t="n"/>
      <c r="C251" s="61" t="n"/>
      <c r="D251" s="61" t="n"/>
    </row>
    <row r="252">
      <c r="A252" s="61" t="n"/>
      <c r="B252" s="61" t="n"/>
      <c r="C252" s="61" t="n"/>
      <c r="D252" s="61" t="n"/>
    </row>
    <row r="253">
      <c r="A253" s="61" t="n"/>
      <c r="B253" s="61" t="n"/>
      <c r="C253" s="61" t="n"/>
      <c r="D253" s="61" t="n"/>
    </row>
    <row r="254">
      <c r="A254" s="61" t="n"/>
      <c r="B254" s="61" t="n"/>
      <c r="C254" s="61" t="n"/>
      <c r="D254" s="61" t="n"/>
    </row>
    <row r="255">
      <c r="A255" s="61" t="n"/>
      <c r="B255" s="61" t="n"/>
      <c r="C255" s="61" t="n"/>
      <c r="D255" s="61" t="n"/>
    </row>
    <row r="256">
      <c r="A256" s="61" t="n"/>
      <c r="B256" s="61" t="n"/>
      <c r="C256" s="61" t="n"/>
      <c r="D256" s="61" t="n"/>
    </row>
    <row r="257">
      <c r="A257" s="61" t="n"/>
      <c r="B257" s="61" t="n"/>
      <c r="C257" s="61" t="n"/>
      <c r="D257" s="61" t="n"/>
    </row>
    <row r="258">
      <c r="A258" s="61" t="n"/>
      <c r="B258" s="61" t="n"/>
      <c r="C258" s="61" t="n"/>
      <c r="D258" s="61" t="n"/>
    </row>
    <row r="259">
      <c r="A259" s="61" t="n"/>
      <c r="B259" s="61" t="n"/>
      <c r="C259" s="61" t="n"/>
      <c r="D259" s="61" t="n"/>
    </row>
    <row r="260">
      <c r="A260" s="61" t="n"/>
      <c r="B260" s="61" t="n"/>
      <c r="C260" s="61" t="n"/>
      <c r="D260" s="61" t="n"/>
    </row>
    <row r="261">
      <c r="A261" s="61" t="n"/>
      <c r="B261" s="61" t="n"/>
      <c r="C261" s="61" t="n"/>
      <c r="D261" s="61" t="n"/>
    </row>
    <row r="262">
      <c r="A262" s="61" t="n"/>
      <c r="B262" s="61" t="n"/>
      <c r="C262" s="61" t="n"/>
      <c r="D262" s="61" t="n"/>
    </row>
    <row r="263">
      <c r="A263" s="61" t="n"/>
      <c r="B263" s="61" t="n"/>
      <c r="C263" s="61" t="n"/>
      <c r="D263" s="61" t="n"/>
    </row>
    <row r="264">
      <c r="A264" s="61" t="n"/>
      <c r="B264" s="61" t="n"/>
      <c r="C264" s="61" t="n"/>
      <c r="D264" s="61" t="n"/>
    </row>
    <row r="265">
      <c r="A265" s="61" t="n"/>
      <c r="B265" s="61" t="n"/>
      <c r="C265" s="61" t="n"/>
      <c r="D265" s="61" t="n"/>
    </row>
    <row r="266">
      <c r="A266" s="61" t="n"/>
      <c r="B266" s="61" t="n"/>
      <c r="C266" s="61" t="n"/>
      <c r="D266" s="61" t="n"/>
    </row>
    <row r="267">
      <c r="A267" s="61" t="n"/>
      <c r="B267" s="61" t="n"/>
      <c r="C267" s="61" t="n"/>
      <c r="D267" s="61" t="n"/>
    </row>
    <row r="268">
      <c r="A268" s="61" t="n"/>
      <c r="B268" s="61" t="n"/>
      <c r="C268" s="61" t="n"/>
      <c r="D268" s="61" t="n"/>
    </row>
    <row r="269">
      <c r="A269" s="61" t="n"/>
      <c r="B269" s="61" t="n"/>
      <c r="C269" s="61" t="n"/>
      <c r="D269" s="61" t="n"/>
    </row>
    <row r="270">
      <c r="A270" s="61" t="n"/>
      <c r="B270" s="61" t="n"/>
      <c r="C270" s="61" t="n"/>
      <c r="D270" s="61" t="n"/>
    </row>
    <row r="271">
      <c r="A271" s="61" t="n"/>
      <c r="B271" s="61" t="n"/>
      <c r="C271" s="61" t="n"/>
      <c r="D271" s="61" t="n"/>
    </row>
    <row r="272">
      <c r="A272" s="61" t="n"/>
      <c r="B272" s="61" t="n"/>
      <c r="C272" s="61" t="n"/>
      <c r="D272" s="61" t="n"/>
    </row>
    <row r="273">
      <c r="A273" s="61" t="n"/>
      <c r="B273" s="61" t="n"/>
      <c r="C273" s="61" t="n"/>
      <c r="D273" s="61" t="n"/>
    </row>
    <row r="274">
      <c r="A274" s="61" t="n"/>
      <c r="B274" s="61" t="n"/>
      <c r="C274" s="61" t="n"/>
      <c r="D274" s="61" t="n"/>
    </row>
    <row r="275">
      <c r="A275" s="61" t="n"/>
      <c r="B275" s="61" t="n"/>
      <c r="C275" s="61" t="n"/>
      <c r="D275" s="61" t="n"/>
    </row>
    <row r="276">
      <c r="A276" s="61" t="n"/>
      <c r="B276" s="61" t="n"/>
      <c r="C276" s="61" t="n"/>
      <c r="D276" s="61" t="n"/>
    </row>
    <row r="277">
      <c r="A277" s="61" t="n"/>
      <c r="B277" s="61" t="n"/>
      <c r="C277" s="61" t="n"/>
      <c r="D277" s="61" t="n"/>
    </row>
    <row r="278">
      <c r="A278" s="61" t="n"/>
      <c r="B278" s="61" t="n"/>
      <c r="C278" s="61" t="n"/>
      <c r="D278" s="61" t="n"/>
    </row>
    <row r="279">
      <c r="A279" s="61" t="n"/>
      <c r="B279" s="61" t="n"/>
      <c r="C279" s="61" t="n"/>
      <c r="D279" s="61" t="n"/>
    </row>
    <row r="280">
      <c r="A280" s="61" t="n"/>
      <c r="B280" s="61" t="n"/>
      <c r="C280" s="61" t="n"/>
      <c r="D280" s="61" t="n"/>
    </row>
    <row r="281">
      <c r="A281" s="61" t="n"/>
      <c r="B281" s="61" t="n"/>
      <c r="C281" s="61" t="n"/>
      <c r="D281" s="61" t="n"/>
    </row>
    <row r="282">
      <c r="A282" s="61" t="n"/>
      <c r="B282" s="61" t="n"/>
      <c r="C282" s="61" t="n"/>
      <c r="D282" s="61" t="n"/>
    </row>
    <row r="283">
      <c r="A283" s="61" t="n"/>
      <c r="B283" s="61" t="n"/>
      <c r="C283" s="61" t="n"/>
      <c r="D283" s="61" t="n"/>
    </row>
    <row r="284">
      <c r="A284" s="61" t="n"/>
      <c r="B284" s="61" t="n"/>
      <c r="C284" s="61" t="n"/>
      <c r="D284" s="61" t="n"/>
    </row>
    <row r="285">
      <c r="A285" s="61" t="n"/>
      <c r="B285" s="61" t="n"/>
      <c r="C285" s="61" t="n"/>
      <c r="D285" s="61" t="n"/>
    </row>
    <row r="286">
      <c r="A286" s="61" t="n"/>
      <c r="B286" s="61" t="n"/>
      <c r="C286" s="61" t="n"/>
      <c r="D286" s="61" t="n"/>
    </row>
    <row r="287">
      <c r="A287" s="61" t="n"/>
      <c r="B287" s="61" t="n"/>
      <c r="C287" s="61" t="n"/>
      <c r="D287" s="61" t="n"/>
    </row>
    <row r="288">
      <c r="A288" s="61" t="n"/>
      <c r="B288" s="61" t="n"/>
      <c r="C288" s="61" t="n"/>
      <c r="D288" s="61" t="n"/>
    </row>
    <row r="289">
      <c r="A289" s="61" t="n"/>
      <c r="B289" s="61" t="n"/>
      <c r="C289" s="61" t="n"/>
      <c r="D289" s="61" t="n"/>
    </row>
    <row r="290">
      <c r="A290" s="61" t="n"/>
      <c r="B290" s="61" t="n"/>
      <c r="C290" s="61" t="n"/>
      <c r="D290" s="61" t="n"/>
    </row>
    <row r="291">
      <c r="A291" s="61" t="n"/>
      <c r="B291" s="61" t="n"/>
      <c r="C291" s="61" t="n"/>
      <c r="D291" s="61" t="n"/>
    </row>
    <row r="292">
      <c r="A292" s="61" t="n"/>
      <c r="B292" s="61" t="n"/>
      <c r="C292" s="61" t="n"/>
      <c r="D292" s="61" t="n"/>
    </row>
    <row r="293">
      <c r="A293" s="61" t="n"/>
      <c r="B293" s="61" t="n"/>
      <c r="C293" s="61" t="n"/>
      <c r="D293" s="61" t="n"/>
    </row>
    <row r="294">
      <c r="A294" s="61" t="n"/>
      <c r="B294" s="61" t="n"/>
      <c r="C294" s="61" t="n"/>
      <c r="D294" s="61" t="n"/>
    </row>
    <row r="295">
      <c r="A295" s="61" t="n"/>
      <c r="B295" s="61" t="n"/>
      <c r="C295" s="61" t="n"/>
      <c r="D295" s="61" t="n"/>
    </row>
    <row r="296">
      <c r="A296" s="61" t="n"/>
      <c r="B296" s="61" t="n"/>
      <c r="C296" s="61" t="n"/>
      <c r="D296" s="61" t="n"/>
    </row>
    <row r="297">
      <c r="A297" s="61" t="n"/>
      <c r="B297" s="61" t="n"/>
      <c r="C297" s="61" t="n"/>
      <c r="D297" s="61" t="n"/>
    </row>
    <row r="298">
      <c r="A298" s="61" t="n"/>
      <c r="B298" s="61" t="n"/>
      <c r="C298" s="61" t="n"/>
      <c r="D298" s="61" t="n"/>
    </row>
    <row r="299">
      <c r="A299" s="61" t="n"/>
      <c r="B299" s="61" t="n"/>
      <c r="C299" s="61" t="n"/>
      <c r="D299" s="61" t="n"/>
    </row>
    <row r="300">
      <c r="A300" s="61" t="n"/>
      <c r="B300" s="61" t="n"/>
      <c r="C300" s="61" t="n"/>
      <c r="D300" s="61" t="n"/>
    </row>
    <row r="301">
      <c r="A301" s="61" t="n"/>
      <c r="B301" s="61" t="n"/>
      <c r="C301" s="61" t="n"/>
      <c r="D301" s="61" t="n"/>
    </row>
    <row r="302">
      <c r="A302" s="61" t="n"/>
      <c r="B302" s="61" t="n"/>
      <c r="C302" s="61" t="n"/>
      <c r="D302" s="61" t="n"/>
    </row>
    <row r="303">
      <c r="A303" s="61" t="n"/>
      <c r="B303" s="61" t="n"/>
      <c r="C303" s="61" t="n"/>
      <c r="D303" s="61" t="n"/>
    </row>
    <row r="304">
      <c r="A304" s="61" t="n"/>
      <c r="B304" s="61" t="n"/>
      <c r="C304" s="61" t="n"/>
      <c r="D304" s="61" t="n"/>
    </row>
    <row r="305">
      <c r="A305" s="61" t="n"/>
      <c r="B305" s="61" t="n"/>
      <c r="C305" s="61" t="n"/>
      <c r="D305" s="61" t="n"/>
    </row>
    <row r="306">
      <c r="A306" s="61" t="n"/>
      <c r="B306" s="61" t="n"/>
      <c r="C306" s="61" t="n"/>
      <c r="D306" s="61" t="n"/>
    </row>
    <row r="307">
      <c r="A307" s="61" t="n"/>
      <c r="B307" s="61" t="n"/>
      <c r="C307" s="61" t="n"/>
      <c r="D307" s="61" t="n"/>
    </row>
    <row r="308">
      <c r="A308" s="61" t="n"/>
      <c r="B308" s="61" t="n"/>
      <c r="C308" s="61" t="n"/>
      <c r="D308" s="61" t="n"/>
    </row>
    <row r="309">
      <c r="A309" s="61" t="n"/>
      <c r="B309" s="61" t="n"/>
      <c r="C309" s="61" t="n"/>
      <c r="D309" s="61" t="n"/>
    </row>
    <row r="310">
      <c r="A310" s="61" t="n"/>
      <c r="B310" s="61" t="n"/>
      <c r="C310" s="61" t="n"/>
      <c r="D310" s="61" t="n"/>
    </row>
    <row r="311">
      <c r="A311" s="61" t="n"/>
      <c r="B311" s="61" t="n"/>
      <c r="C311" s="61" t="n"/>
      <c r="D311" s="61" t="n"/>
    </row>
    <row r="312">
      <c r="A312" s="61" t="n"/>
      <c r="B312" s="61" t="n"/>
      <c r="C312" s="61" t="n"/>
      <c r="D312" s="61" t="n"/>
    </row>
    <row r="313">
      <c r="A313" s="61" t="n"/>
      <c r="B313" s="61" t="n"/>
      <c r="C313" s="61" t="n"/>
      <c r="D313" s="61" t="n"/>
    </row>
    <row r="314">
      <c r="A314" s="61" t="n"/>
      <c r="B314" s="61" t="n"/>
      <c r="C314" s="61" t="n"/>
      <c r="D314" s="61" t="n"/>
    </row>
    <row r="315">
      <c r="A315" s="61" t="n"/>
      <c r="B315" s="61" t="n"/>
      <c r="C315" s="61" t="n"/>
      <c r="D315" s="61" t="n"/>
    </row>
    <row r="316">
      <c r="A316" s="61" t="n"/>
      <c r="B316" s="61" t="n"/>
      <c r="C316" s="61" t="n"/>
      <c r="D316" s="61" t="n"/>
    </row>
    <row r="317">
      <c r="A317" s="61" t="n"/>
      <c r="B317" s="61" t="n"/>
      <c r="C317" s="61" t="n"/>
      <c r="D317" s="61" t="n"/>
    </row>
    <row r="318">
      <c r="A318" s="61" t="n"/>
      <c r="B318" s="61" t="n"/>
      <c r="C318" s="61" t="n"/>
      <c r="D318" s="61" t="n"/>
    </row>
    <row r="319">
      <c r="A319" s="61" t="n"/>
      <c r="B319" s="61" t="n"/>
      <c r="C319" s="61" t="n"/>
      <c r="D319" s="61" t="n"/>
    </row>
    <row r="320">
      <c r="A320" s="61" t="n"/>
      <c r="B320" s="61" t="n"/>
      <c r="C320" s="61" t="n"/>
      <c r="D320" s="61" t="n"/>
    </row>
    <row r="321">
      <c r="A321" s="61" t="n"/>
      <c r="B321" s="61" t="n"/>
      <c r="C321" s="61" t="n"/>
      <c r="D321" s="61" t="n"/>
    </row>
    <row r="322">
      <c r="A322" s="61" t="n"/>
      <c r="B322" s="61" t="n"/>
      <c r="C322" s="61" t="n"/>
      <c r="D322" s="61" t="n"/>
    </row>
    <row r="323">
      <c r="A323" s="61" t="n"/>
      <c r="B323" s="61" t="n"/>
      <c r="C323" s="61" t="n"/>
      <c r="D323" s="61" t="n"/>
    </row>
    <row r="324">
      <c r="A324" s="61" t="n"/>
      <c r="B324" s="61" t="n"/>
      <c r="C324" s="61" t="n"/>
      <c r="D324" s="61" t="n"/>
    </row>
    <row r="325">
      <c r="A325" s="61" t="n"/>
      <c r="B325" s="61" t="n"/>
      <c r="C325" s="61" t="n"/>
      <c r="D325" s="61" t="n"/>
    </row>
    <row r="326">
      <c r="A326" s="61" t="n"/>
      <c r="B326" s="61" t="n"/>
      <c r="C326" s="61" t="n"/>
      <c r="D326" s="61" t="n"/>
    </row>
    <row r="327">
      <c r="A327" s="61" t="n"/>
      <c r="B327" s="61" t="n"/>
      <c r="C327" s="61" t="n"/>
      <c r="D327" s="61" t="n"/>
    </row>
    <row r="328">
      <c r="A328" s="61" t="n"/>
      <c r="B328" s="61" t="n"/>
      <c r="C328" s="61" t="n"/>
      <c r="D328" s="61" t="n"/>
    </row>
    <row r="329">
      <c r="A329" s="61" t="n"/>
      <c r="B329" s="61" t="n"/>
      <c r="C329" s="61" t="n"/>
      <c r="D329" s="61" t="n"/>
    </row>
    <row r="330">
      <c r="A330" s="61" t="n"/>
      <c r="B330" s="61" t="n"/>
      <c r="C330" s="61" t="n"/>
      <c r="D330" s="61" t="n"/>
    </row>
    <row r="331">
      <c r="A331" s="61" t="n"/>
      <c r="B331" s="61" t="n"/>
      <c r="C331" s="61" t="n"/>
      <c r="D331" s="61" t="n"/>
    </row>
    <row r="332">
      <c r="A332" s="61" t="n"/>
      <c r="B332" s="61" t="n"/>
      <c r="C332" s="61" t="n"/>
      <c r="D332" s="61" t="n"/>
    </row>
    <row r="333">
      <c r="A333" s="61" t="n"/>
      <c r="B333" s="61" t="n"/>
      <c r="C333" s="61" t="n"/>
      <c r="D333" s="61" t="n"/>
    </row>
    <row r="334">
      <c r="A334" s="61" t="n"/>
      <c r="B334" s="61" t="n"/>
      <c r="C334" s="61" t="n"/>
      <c r="D334" s="61" t="n"/>
    </row>
    <row r="335">
      <c r="A335" s="61" t="n"/>
      <c r="B335" s="61" t="n"/>
      <c r="C335" s="61" t="n"/>
      <c r="D335" s="61" t="n"/>
    </row>
    <row r="336">
      <c r="A336" s="61" t="n"/>
      <c r="B336" s="61" t="n"/>
      <c r="C336" s="61" t="n"/>
      <c r="D336" s="61" t="n"/>
    </row>
    <row r="337">
      <c r="A337" s="61" t="n"/>
      <c r="B337" s="61" t="n"/>
      <c r="C337" s="61" t="n"/>
      <c r="D337" s="61" t="n"/>
    </row>
    <row r="338">
      <c r="A338" s="61" t="n"/>
      <c r="B338" s="61" t="n"/>
      <c r="C338" s="61" t="n"/>
      <c r="D338" s="61" t="n"/>
    </row>
    <row r="339">
      <c r="A339" s="61" t="n"/>
      <c r="B339" s="61" t="n"/>
      <c r="C339" s="61" t="n"/>
      <c r="D339" s="61" t="n"/>
    </row>
    <row r="340">
      <c r="A340" s="61" t="n"/>
      <c r="B340" s="61" t="n"/>
      <c r="C340" s="61" t="n"/>
      <c r="D340" s="61" t="n"/>
    </row>
    <row r="341">
      <c r="A341" s="61" t="n"/>
      <c r="B341" s="61" t="n"/>
      <c r="C341" s="61" t="n"/>
      <c r="D341" s="61" t="n"/>
    </row>
    <row r="342">
      <c r="A342" s="61" t="n"/>
      <c r="B342" s="61" t="n"/>
      <c r="C342" s="61" t="n"/>
      <c r="D342" s="61" t="n"/>
    </row>
    <row r="343">
      <c r="A343" s="61" t="n"/>
      <c r="B343" s="61" t="n"/>
      <c r="C343" s="61" t="n"/>
      <c r="D343" s="61" t="n"/>
    </row>
    <row r="344">
      <c r="A344" s="61" t="n"/>
      <c r="B344" s="61" t="n"/>
      <c r="C344" s="61" t="n"/>
      <c r="D344" s="61" t="n"/>
    </row>
    <row r="345">
      <c r="A345" s="61" t="n"/>
      <c r="B345" s="61" t="n"/>
      <c r="C345" s="61" t="n"/>
      <c r="D345" s="61" t="n"/>
    </row>
    <row r="346">
      <c r="A346" s="61" t="n"/>
      <c r="B346" s="61" t="n"/>
      <c r="C346" s="61" t="n"/>
      <c r="D346" s="61" t="n"/>
    </row>
    <row r="347">
      <c r="A347" s="61" t="n"/>
      <c r="B347" s="61" t="n"/>
      <c r="C347" s="61" t="n"/>
      <c r="D347" s="61" t="n"/>
    </row>
    <row r="348">
      <c r="A348" s="61" t="n"/>
      <c r="B348" s="61" t="n"/>
      <c r="C348" s="61" t="n"/>
      <c r="D348" s="61" t="n"/>
    </row>
    <row r="349">
      <c r="A349" s="61" t="n"/>
      <c r="B349" s="61" t="n"/>
      <c r="C349" s="61" t="n"/>
      <c r="D349" s="61" t="n"/>
    </row>
    <row r="350">
      <c r="A350" s="61" t="n"/>
      <c r="B350" s="61" t="n"/>
      <c r="C350" s="61" t="n"/>
      <c r="D350" s="61" t="n"/>
    </row>
    <row r="351">
      <c r="A351" s="61" t="n"/>
      <c r="B351" s="61" t="n"/>
      <c r="C351" s="61" t="n"/>
      <c r="D351" s="61" t="n"/>
    </row>
    <row r="352">
      <c r="A352" s="61" t="n"/>
      <c r="B352" s="61" t="n"/>
      <c r="C352" s="61" t="n"/>
      <c r="D352" s="61" t="n"/>
    </row>
    <row r="353">
      <c r="A353" s="61" t="n"/>
      <c r="B353" s="61" t="n"/>
      <c r="C353" s="61" t="n"/>
      <c r="D353" s="61" t="n"/>
    </row>
    <row r="354">
      <c r="A354" s="61" t="n"/>
      <c r="B354" s="61" t="n"/>
      <c r="C354" s="61" t="n"/>
      <c r="D354" s="61" t="n"/>
    </row>
    <row r="355">
      <c r="A355" s="61" t="n"/>
      <c r="B355" s="61" t="n"/>
      <c r="C355" s="61" t="n"/>
      <c r="D355" s="61" t="n"/>
    </row>
    <row r="356">
      <c r="A356" s="61" t="n"/>
      <c r="B356" s="61" t="n"/>
      <c r="C356" s="61" t="n"/>
      <c r="D356" s="61" t="n"/>
    </row>
    <row r="357">
      <c r="A357" s="61" t="n"/>
      <c r="B357" s="61" t="n"/>
      <c r="C357" s="61" t="n"/>
      <c r="D357" s="61" t="n"/>
    </row>
    <row r="358">
      <c r="A358" s="61" t="n"/>
      <c r="B358" s="61" t="n"/>
      <c r="C358" s="61" t="n"/>
      <c r="D358" s="61" t="n"/>
    </row>
    <row r="359">
      <c r="A359" s="61" t="n"/>
      <c r="B359" s="61" t="n"/>
      <c r="C359" s="61" t="n"/>
      <c r="D359" s="61" t="n"/>
    </row>
    <row r="360">
      <c r="A360" s="61" t="n"/>
      <c r="B360" s="61" t="n"/>
      <c r="C360" s="61" t="n"/>
      <c r="D360" s="61" t="n"/>
    </row>
    <row r="361">
      <c r="A361" s="61" t="n"/>
      <c r="B361" s="61" t="n"/>
      <c r="C361" s="61" t="n"/>
      <c r="D361" s="61" t="n"/>
    </row>
    <row r="362">
      <c r="A362" s="61" t="n"/>
      <c r="B362" s="61" t="n"/>
      <c r="C362" s="61" t="n"/>
      <c r="D362" s="61" t="n"/>
    </row>
    <row r="363">
      <c r="A363" s="61" t="n"/>
      <c r="B363" s="61" t="n"/>
      <c r="C363" s="61" t="n"/>
      <c r="D363" s="61" t="n"/>
    </row>
    <row r="364">
      <c r="A364" s="61" t="n"/>
      <c r="B364" s="61" t="n"/>
      <c r="C364" s="61" t="n"/>
      <c r="D364" s="61" t="n"/>
    </row>
    <row r="365">
      <c r="A365" s="61" t="n"/>
      <c r="B365" s="61" t="n"/>
      <c r="C365" s="61" t="n"/>
      <c r="D365" s="61" t="n"/>
    </row>
    <row r="366">
      <c r="A366" s="61" t="n"/>
      <c r="B366" s="61" t="n"/>
      <c r="C366" s="61" t="n"/>
      <c r="D366" s="61" t="n"/>
    </row>
    <row r="367">
      <c r="A367" s="61" t="n"/>
      <c r="B367" s="61" t="n"/>
      <c r="C367" s="61" t="n"/>
      <c r="D367" s="61" t="n"/>
    </row>
    <row r="368">
      <c r="A368" s="61" t="n"/>
      <c r="B368" s="61" t="n"/>
      <c r="C368" s="61" t="n"/>
      <c r="D368" s="61" t="n"/>
    </row>
    <row r="369">
      <c r="A369" s="61" t="n"/>
      <c r="B369" s="61" t="n"/>
      <c r="C369" s="61" t="n"/>
      <c r="D369" s="61" t="n"/>
    </row>
    <row r="370">
      <c r="A370" s="61" t="n"/>
      <c r="B370" s="61" t="n"/>
      <c r="C370" s="61" t="n"/>
      <c r="D370" s="61" t="n"/>
    </row>
    <row r="371">
      <c r="A371" s="61" t="n"/>
      <c r="B371" s="61" t="n"/>
      <c r="C371" s="61" t="n"/>
      <c r="D371" s="61" t="n"/>
    </row>
    <row r="372">
      <c r="A372" s="61" t="n"/>
      <c r="B372" s="61" t="n"/>
      <c r="C372" s="61" t="n"/>
      <c r="D372" s="61" t="n"/>
    </row>
    <row r="373">
      <c r="A373" s="61" t="n"/>
      <c r="B373" s="61" t="n"/>
      <c r="C373" s="61" t="n"/>
      <c r="D373" s="61" t="n"/>
    </row>
    <row r="374">
      <c r="A374" s="61" t="n"/>
      <c r="B374" s="61" t="n"/>
      <c r="C374" s="61" t="n"/>
      <c r="D374" s="61" t="n"/>
    </row>
    <row r="375">
      <c r="A375" s="61" t="n"/>
      <c r="B375" s="61" t="n"/>
      <c r="C375" s="61" t="n"/>
      <c r="D375" s="61" t="n"/>
    </row>
    <row r="376">
      <c r="A376" s="61" t="n"/>
      <c r="B376" s="61" t="n"/>
      <c r="C376" s="61" t="n"/>
      <c r="D376" s="61" t="n"/>
    </row>
    <row r="377">
      <c r="A377" s="61" t="n"/>
      <c r="B377" s="61" t="n"/>
      <c r="C377" s="61" t="n"/>
      <c r="D377" s="61" t="n"/>
    </row>
    <row r="378">
      <c r="A378" s="61" t="n"/>
      <c r="B378" s="61" t="n"/>
      <c r="C378" s="61" t="n"/>
      <c r="D378" s="61" t="n"/>
    </row>
    <row r="379">
      <c r="A379" s="61" t="n"/>
      <c r="B379" s="61" t="n"/>
      <c r="C379" s="61" t="n"/>
      <c r="D379" s="61" t="n"/>
    </row>
    <row r="380">
      <c r="A380" s="61" t="n"/>
      <c r="B380" s="61" t="n"/>
      <c r="C380" s="61" t="n"/>
      <c r="D380" s="61" t="n"/>
    </row>
    <row r="381">
      <c r="A381" s="61" t="n"/>
      <c r="B381" s="61" t="n"/>
      <c r="C381" s="61" t="n"/>
      <c r="D381" s="61" t="n"/>
    </row>
    <row r="382">
      <c r="A382" s="61" t="n"/>
      <c r="B382" s="61" t="n"/>
      <c r="C382" s="61" t="n"/>
      <c r="D382" s="61" t="n"/>
    </row>
    <row r="383">
      <c r="A383" s="61" t="n"/>
      <c r="B383" s="61" t="n"/>
      <c r="C383" s="61" t="n"/>
      <c r="D383" s="61" t="n"/>
    </row>
    <row r="384">
      <c r="A384" s="61" t="n"/>
      <c r="B384" s="61" t="n"/>
      <c r="C384" s="61" t="n"/>
      <c r="D384" s="61" t="n"/>
    </row>
    <row r="385">
      <c r="A385" s="61" t="n"/>
      <c r="B385" s="61" t="n"/>
      <c r="C385" s="61" t="n"/>
      <c r="D385" s="61" t="n"/>
    </row>
    <row r="386">
      <c r="A386" s="61" t="n"/>
      <c r="B386" s="61" t="n"/>
      <c r="C386" s="61" t="n"/>
      <c r="D386" s="61" t="n"/>
    </row>
    <row r="387">
      <c r="A387" s="61" t="n"/>
      <c r="B387" s="61" t="n"/>
      <c r="C387" s="61" t="n"/>
      <c r="D387" s="61" t="n"/>
    </row>
    <row r="388">
      <c r="A388" s="61" t="n"/>
      <c r="B388" s="61" t="n"/>
      <c r="C388" s="61" t="n"/>
      <c r="D388" s="61" t="n"/>
    </row>
    <row r="389">
      <c r="A389" s="61" t="n"/>
      <c r="B389" s="61" t="n"/>
      <c r="C389" s="61" t="n"/>
      <c r="D389" s="61" t="n"/>
    </row>
    <row r="390">
      <c r="A390" s="61" t="n"/>
      <c r="B390" s="61" t="n"/>
      <c r="C390" s="61" t="n"/>
      <c r="D390" s="61" t="n"/>
    </row>
    <row r="391">
      <c r="A391" s="61" t="n"/>
      <c r="B391" s="61" t="n"/>
      <c r="C391" s="61" t="n"/>
      <c r="D391" s="61" t="n"/>
    </row>
    <row r="392">
      <c r="A392" s="61" t="n"/>
      <c r="B392" s="61" t="n"/>
      <c r="C392" s="61" t="n"/>
      <c r="D392" s="61" t="n"/>
    </row>
    <row r="393">
      <c r="A393" s="61" t="n"/>
      <c r="B393" s="61" t="n"/>
      <c r="C393" s="61" t="n"/>
      <c r="D393" s="61" t="n"/>
    </row>
    <row r="394">
      <c r="A394" s="61" t="n"/>
      <c r="B394" s="61" t="n"/>
      <c r="C394" s="61" t="n"/>
      <c r="D394" s="61" t="n"/>
    </row>
    <row r="395">
      <c r="A395" s="61" t="n"/>
      <c r="B395" s="61" t="n"/>
      <c r="C395" s="61" t="n"/>
      <c r="D395" s="61" t="n"/>
    </row>
    <row r="396">
      <c r="A396" s="61" t="n"/>
      <c r="B396" s="61" t="n"/>
      <c r="C396" s="61" t="n"/>
      <c r="D396" s="61" t="n"/>
    </row>
    <row r="397">
      <c r="A397" s="61" t="n"/>
      <c r="B397" s="61" t="n"/>
      <c r="C397" s="61" t="n"/>
      <c r="D397" s="61" t="n"/>
    </row>
    <row r="398">
      <c r="A398" s="61" t="n"/>
      <c r="B398" s="61" t="n"/>
      <c r="C398" s="61" t="n"/>
      <c r="D398" s="61" t="n"/>
    </row>
    <row r="399">
      <c r="A399" s="61" t="n"/>
      <c r="B399" s="61" t="n"/>
      <c r="C399" s="61" t="n"/>
      <c r="D399" s="61" t="n"/>
    </row>
    <row r="400">
      <c r="A400" s="61" t="n"/>
      <c r="B400" s="61" t="n"/>
      <c r="C400" s="61" t="n"/>
      <c r="D400" s="61" t="n"/>
    </row>
    <row r="401">
      <c r="A401" s="61" t="n"/>
      <c r="B401" s="61" t="n"/>
      <c r="C401" s="61" t="n"/>
      <c r="D401" s="61" t="n"/>
    </row>
    <row r="402">
      <c r="A402" s="61" t="n"/>
      <c r="B402" s="61" t="n"/>
      <c r="C402" s="61" t="n"/>
      <c r="D402" s="61" t="n"/>
    </row>
    <row r="403">
      <c r="A403" s="61" t="n"/>
      <c r="B403" s="61" t="n"/>
      <c r="C403" s="61" t="n"/>
      <c r="D403" s="61" t="n"/>
    </row>
    <row r="404">
      <c r="A404" s="61" t="n"/>
      <c r="B404" s="61" t="n"/>
      <c r="C404" s="61" t="n"/>
      <c r="D404" s="61" t="n"/>
    </row>
    <row r="405">
      <c r="A405" s="61" t="n"/>
      <c r="B405" s="61" t="n"/>
      <c r="C405" s="61" t="n"/>
      <c r="D405" s="61" t="n"/>
    </row>
    <row r="406">
      <c r="A406" s="61" t="n"/>
      <c r="B406" s="61" t="n"/>
      <c r="C406" s="61" t="n"/>
      <c r="D406" s="61" t="n"/>
    </row>
    <row r="407">
      <c r="A407" s="61" t="n"/>
      <c r="B407" s="61" t="n"/>
      <c r="C407" s="61" t="n"/>
      <c r="D407" s="61" t="n"/>
    </row>
    <row r="408">
      <c r="A408" s="61" t="n"/>
      <c r="B408" s="61" t="n"/>
      <c r="C408" s="61" t="n"/>
      <c r="D408" s="61" t="n"/>
    </row>
    <row r="409">
      <c r="A409" s="61" t="n"/>
      <c r="B409" s="61" t="n"/>
      <c r="C409" s="61" t="n"/>
      <c r="D409" s="61" t="n"/>
    </row>
    <row r="410">
      <c r="A410" s="61" t="n"/>
      <c r="B410" s="61" t="n"/>
      <c r="C410" s="61" t="n"/>
      <c r="D410" s="61" t="n"/>
    </row>
    <row r="411">
      <c r="A411" s="61" t="n"/>
      <c r="B411" s="61" t="n"/>
      <c r="C411" s="61" t="n"/>
      <c r="D411" s="61" t="n"/>
    </row>
    <row r="412">
      <c r="A412" s="61" t="n"/>
      <c r="B412" s="61" t="n"/>
      <c r="C412" s="61" t="n"/>
      <c r="D412" s="61" t="n"/>
    </row>
    <row r="413">
      <c r="A413" s="61" t="n"/>
      <c r="B413" s="61" t="n"/>
      <c r="C413" s="61" t="n"/>
      <c r="D413" s="61" t="n"/>
    </row>
    <row r="414">
      <c r="A414" s="61" t="n"/>
      <c r="B414" s="61" t="n"/>
      <c r="C414" s="61" t="n"/>
      <c r="D414" s="61" t="n"/>
    </row>
    <row r="415">
      <c r="A415" s="61" t="n"/>
      <c r="B415" s="61" t="n"/>
      <c r="C415" s="61" t="n"/>
      <c r="D415" s="61" t="n"/>
    </row>
    <row r="416">
      <c r="A416" s="61" t="n"/>
      <c r="B416" s="61" t="n"/>
      <c r="C416" s="61" t="n"/>
      <c r="D416" s="61" t="n"/>
    </row>
    <row r="417">
      <c r="A417" s="61" t="n"/>
      <c r="B417" s="61" t="n"/>
      <c r="C417" s="61" t="n"/>
      <c r="D417" s="61" t="n"/>
    </row>
    <row r="418">
      <c r="A418" s="61" t="n"/>
      <c r="B418" s="61" t="n"/>
      <c r="C418" s="61" t="n"/>
      <c r="D418" s="61" t="n"/>
    </row>
    <row r="419">
      <c r="A419" s="61" t="n"/>
      <c r="B419" s="61" t="n"/>
      <c r="C419" s="61" t="n"/>
      <c r="D419" s="61" t="n"/>
    </row>
    <row r="420">
      <c r="A420" s="61" t="n"/>
      <c r="B420" s="61" t="n"/>
      <c r="C420" s="61" t="n"/>
      <c r="D420" s="61" t="n"/>
    </row>
    <row r="421">
      <c r="A421" s="61" t="n"/>
      <c r="B421" s="61" t="n"/>
      <c r="C421" s="61" t="n"/>
      <c r="D421" s="61" t="n"/>
    </row>
    <row r="422">
      <c r="A422" s="61" t="n"/>
      <c r="B422" s="61" t="n"/>
      <c r="C422" s="61" t="n"/>
      <c r="D422" s="61" t="n"/>
    </row>
    <row r="423">
      <c r="A423" s="61" t="n"/>
      <c r="B423" s="61" t="n"/>
      <c r="C423" s="61" t="n"/>
      <c r="D423" s="61" t="n"/>
    </row>
    <row r="424">
      <c r="A424" s="61" t="n"/>
      <c r="B424" s="61" t="n"/>
      <c r="C424" s="61" t="n"/>
      <c r="D424" s="61" t="n"/>
    </row>
    <row r="425">
      <c r="A425" s="61" t="n"/>
      <c r="B425" s="61" t="n"/>
      <c r="C425" s="61" t="n"/>
      <c r="D425" s="61" t="n"/>
    </row>
    <row r="426">
      <c r="A426" s="61" t="n"/>
      <c r="B426" s="61" t="n"/>
      <c r="C426" s="61" t="n"/>
      <c r="D426" s="61" t="n"/>
    </row>
    <row r="427">
      <c r="A427" s="61" t="n"/>
      <c r="B427" s="61" t="n"/>
      <c r="C427" s="61" t="n"/>
      <c r="D427" s="61" t="n"/>
    </row>
    <row r="428">
      <c r="A428" s="61" t="n"/>
      <c r="B428" s="61" t="n"/>
      <c r="C428" s="61" t="n"/>
      <c r="D428" s="61" t="n"/>
    </row>
    <row r="429">
      <c r="A429" s="61" t="n"/>
      <c r="B429" s="61" t="n"/>
      <c r="C429" s="61" t="n"/>
      <c r="D429" s="61" t="n"/>
    </row>
    <row r="430">
      <c r="A430" s="61" t="n"/>
      <c r="B430" s="61" t="n"/>
      <c r="C430" s="61" t="n"/>
      <c r="D430" s="61" t="n"/>
    </row>
    <row r="431">
      <c r="A431" s="61" t="n"/>
      <c r="B431" s="61" t="n"/>
      <c r="C431" s="61" t="n"/>
      <c r="D431" s="61" t="n"/>
    </row>
    <row r="432">
      <c r="A432" s="61" t="n"/>
      <c r="B432" s="61" t="n"/>
      <c r="C432" s="61" t="n"/>
      <c r="D432" s="61" t="n"/>
    </row>
    <row r="433">
      <c r="A433" s="61" t="n"/>
      <c r="B433" s="61" t="n"/>
      <c r="C433" s="61" t="n"/>
      <c r="D433" s="61" t="n"/>
    </row>
    <row r="434">
      <c r="A434" s="61" t="n"/>
      <c r="B434" s="61" t="n"/>
      <c r="C434" s="61" t="n"/>
      <c r="D434" s="61" t="n"/>
    </row>
    <row r="435">
      <c r="A435" s="61" t="n"/>
      <c r="B435" s="61" t="n"/>
      <c r="C435" s="61" t="n"/>
      <c r="D435" s="61" t="n"/>
    </row>
    <row r="436">
      <c r="A436" s="61" t="n"/>
      <c r="B436" s="61" t="n"/>
      <c r="C436" s="61" t="n"/>
      <c r="D436" s="61" t="n"/>
    </row>
    <row r="437">
      <c r="A437" s="61" t="n"/>
      <c r="B437" s="61" t="n"/>
      <c r="C437" s="61" t="n"/>
      <c r="D437" s="61" t="n"/>
    </row>
    <row r="438">
      <c r="A438" s="61" t="n"/>
      <c r="B438" s="61" t="n"/>
      <c r="C438" s="61" t="n"/>
      <c r="D438" s="61" t="n"/>
    </row>
    <row r="439">
      <c r="A439" s="61" t="n"/>
      <c r="B439" s="61" t="n"/>
      <c r="C439" s="61" t="n"/>
      <c r="D439" s="61" t="n"/>
    </row>
    <row r="440">
      <c r="A440" s="61" t="n"/>
      <c r="B440" s="61" t="n"/>
      <c r="C440" s="61" t="n"/>
      <c r="D440" s="61" t="n"/>
    </row>
    <row r="441">
      <c r="A441" s="61" t="n"/>
      <c r="B441" s="61" t="n"/>
      <c r="C441" s="61" t="n"/>
      <c r="D441" s="61" t="n"/>
    </row>
    <row r="442">
      <c r="A442" s="61" t="n"/>
      <c r="B442" s="61" t="n"/>
      <c r="C442" s="61" t="n"/>
      <c r="D442" s="61" t="n"/>
    </row>
    <row r="443">
      <c r="A443" s="61" t="n"/>
      <c r="B443" s="61" t="n"/>
      <c r="C443" s="61" t="n"/>
      <c r="D443" s="61" t="n"/>
    </row>
    <row r="444">
      <c r="A444" s="61" t="n"/>
      <c r="B444" s="61" t="n"/>
      <c r="C444" s="61" t="n"/>
      <c r="D444" s="61" t="n"/>
    </row>
    <row r="445">
      <c r="A445" s="61" t="n"/>
      <c r="B445" s="61" t="n"/>
      <c r="C445" s="61" t="n"/>
      <c r="D445" s="61" t="n"/>
    </row>
    <row r="446">
      <c r="A446" s="61" t="n"/>
      <c r="B446" s="61" t="n"/>
      <c r="C446" s="61" t="n"/>
      <c r="D446" s="61" t="n"/>
    </row>
    <row r="447">
      <c r="A447" s="61" t="n"/>
      <c r="B447" s="61" t="n"/>
      <c r="C447" s="61" t="n"/>
      <c r="D447" s="61" t="n"/>
    </row>
    <row r="448">
      <c r="A448" s="61" t="n"/>
      <c r="B448" s="61" t="n"/>
      <c r="C448" s="61" t="n"/>
      <c r="D448" s="61" t="n"/>
    </row>
    <row r="449">
      <c r="A449" s="61" t="n"/>
      <c r="B449" s="61" t="n"/>
      <c r="C449" s="61" t="n"/>
      <c r="D449" s="61" t="n"/>
    </row>
    <row r="450">
      <c r="A450" s="61" t="n"/>
      <c r="B450" s="61" t="n"/>
      <c r="C450" s="61" t="n"/>
      <c r="D450" s="61" t="n"/>
    </row>
    <row r="451">
      <c r="A451" s="61" t="n"/>
      <c r="B451" s="61" t="n"/>
      <c r="C451" s="61" t="n"/>
      <c r="D451" s="61" t="n"/>
    </row>
    <row r="452">
      <c r="A452" s="61" t="n"/>
      <c r="B452" s="61" t="n"/>
      <c r="C452" s="61" t="n"/>
      <c r="D452" s="61" t="n"/>
    </row>
    <row r="453">
      <c r="A453" s="61" t="n"/>
      <c r="B453" s="61" t="n"/>
      <c r="C453" s="61" t="n"/>
      <c r="D453" s="61" t="n"/>
    </row>
    <row r="454">
      <c r="A454" s="61" t="n"/>
      <c r="B454" s="61" t="n"/>
      <c r="C454" s="61" t="n"/>
      <c r="D454" s="61" t="n"/>
    </row>
    <row r="455">
      <c r="A455" s="61" t="n"/>
      <c r="B455" s="61" t="n"/>
      <c r="C455" s="61" t="n"/>
      <c r="D455" s="61" t="n"/>
    </row>
    <row r="456">
      <c r="A456" s="61" t="n"/>
      <c r="B456" s="61" t="n"/>
      <c r="C456" s="61" t="n"/>
      <c r="D456" s="61" t="n"/>
    </row>
    <row r="457">
      <c r="A457" s="61" t="n"/>
      <c r="B457" s="61" t="n"/>
      <c r="C457" s="61" t="n"/>
      <c r="D457" s="61" t="n"/>
    </row>
    <row r="458">
      <c r="A458" s="61" t="n"/>
      <c r="B458" s="61" t="n"/>
      <c r="C458" s="61" t="n"/>
      <c r="D458" s="61" t="n"/>
    </row>
    <row r="459">
      <c r="A459" s="61" t="n"/>
      <c r="B459" s="61" t="n"/>
      <c r="C459" s="61" t="n"/>
      <c r="D459" s="61" t="n"/>
    </row>
    <row r="460">
      <c r="A460" s="61" t="n"/>
      <c r="B460" s="61" t="n"/>
      <c r="C460" s="61" t="n"/>
      <c r="D460" s="61" t="n"/>
    </row>
    <row r="461">
      <c r="A461" s="61" t="n"/>
      <c r="B461" s="61" t="n"/>
      <c r="C461" s="61" t="n"/>
      <c r="D461" s="61" t="n"/>
    </row>
    <row r="462">
      <c r="A462" s="61" t="n"/>
      <c r="B462" s="61" t="n"/>
      <c r="C462" s="61" t="n"/>
      <c r="D462" s="61" t="n"/>
    </row>
    <row r="463">
      <c r="A463" s="61" t="n"/>
      <c r="B463" s="61" t="n"/>
      <c r="C463" s="61" t="n"/>
      <c r="D463" s="61" t="n"/>
    </row>
    <row r="464">
      <c r="A464" s="61" t="n"/>
      <c r="B464" s="61" t="n"/>
      <c r="C464" s="61" t="n"/>
      <c r="D464" s="61" t="n"/>
    </row>
    <row r="465">
      <c r="A465" s="61" t="n"/>
      <c r="B465" s="61" t="n"/>
      <c r="C465" s="61" t="n"/>
      <c r="D465" s="61" t="n"/>
    </row>
    <row r="466">
      <c r="A466" s="61" t="n"/>
      <c r="B466" s="61" t="n"/>
      <c r="C466" s="61" t="n"/>
      <c r="D466" s="61" t="n"/>
    </row>
    <row r="467">
      <c r="A467" s="61" t="n"/>
      <c r="B467" s="61" t="n"/>
      <c r="C467" s="61" t="n"/>
      <c r="D467" s="61" t="n"/>
    </row>
    <row r="468">
      <c r="A468" s="61" t="n"/>
      <c r="B468" s="61" t="n"/>
      <c r="C468" s="61" t="n"/>
      <c r="D468" s="61" t="n"/>
    </row>
    <row r="469">
      <c r="A469" s="61" t="n"/>
      <c r="B469" s="61" t="n"/>
      <c r="C469" s="61" t="n"/>
      <c r="D469" s="61" t="n"/>
    </row>
    <row r="470">
      <c r="A470" s="61" t="n"/>
      <c r="B470" s="61" t="n"/>
      <c r="C470" s="61" t="n"/>
      <c r="D470" s="61" t="n"/>
    </row>
    <row r="471">
      <c r="A471" s="61" t="n"/>
      <c r="B471" s="61" t="n"/>
      <c r="C471" s="61" t="n"/>
      <c r="D471" s="61" t="n"/>
    </row>
    <row r="472">
      <c r="A472" s="61" t="n"/>
      <c r="B472" s="61" t="n"/>
      <c r="C472" s="61" t="n"/>
      <c r="D472" s="61" t="n"/>
    </row>
    <row r="473">
      <c r="A473" s="61" t="n"/>
      <c r="B473" s="61" t="n"/>
      <c r="C473" s="61" t="n"/>
      <c r="D473" s="61" t="n"/>
    </row>
    <row r="474">
      <c r="A474" s="61" t="n"/>
      <c r="B474" s="61" t="n"/>
      <c r="C474" s="61" t="n"/>
      <c r="D474" s="61" t="n"/>
    </row>
    <row r="475">
      <c r="A475" s="61" t="n"/>
      <c r="B475" s="61" t="n"/>
      <c r="C475" s="61" t="n"/>
      <c r="D475" s="61" t="n"/>
    </row>
    <row r="476">
      <c r="A476" s="61" t="n"/>
      <c r="B476" s="61" t="n"/>
      <c r="C476" s="61" t="n"/>
      <c r="D476" s="61" t="n"/>
    </row>
    <row r="477">
      <c r="A477" s="61" t="n"/>
      <c r="B477" s="61" t="n"/>
      <c r="C477" s="61" t="n"/>
      <c r="D477" s="61" t="n"/>
    </row>
    <row r="478">
      <c r="A478" s="61" t="n"/>
      <c r="B478" s="61" t="n"/>
      <c r="C478" s="61" t="n"/>
      <c r="D478" s="61" t="n"/>
    </row>
    <row r="479">
      <c r="A479" s="61" t="n"/>
      <c r="B479" s="61" t="n"/>
      <c r="C479" s="61" t="n"/>
      <c r="D479" s="61" t="n"/>
    </row>
    <row r="480">
      <c r="A480" s="61" t="n"/>
      <c r="B480" s="61" t="n"/>
      <c r="C480" s="61" t="n"/>
      <c r="D480" s="61" t="n"/>
    </row>
    <row r="481">
      <c r="A481" s="61" t="n"/>
      <c r="B481" s="61" t="n"/>
      <c r="C481" s="61" t="n"/>
      <c r="D481" s="61" t="n"/>
    </row>
    <row r="482">
      <c r="A482" s="61" t="n"/>
      <c r="B482" s="61" t="n"/>
      <c r="C482" s="61" t="n"/>
      <c r="D482" s="61" t="n"/>
    </row>
    <row r="483">
      <c r="A483" s="61" t="n"/>
      <c r="B483" s="61" t="n"/>
      <c r="C483" s="61" t="n"/>
      <c r="D483" s="61" t="n"/>
    </row>
    <row r="484">
      <c r="A484" s="61" t="n"/>
      <c r="B484" s="61" t="n"/>
      <c r="C484" s="61" t="n"/>
      <c r="D484" s="61" t="n"/>
    </row>
    <row r="485">
      <c r="A485" s="61" t="n"/>
      <c r="B485" s="61" t="n"/>
      <c r="C485" s="61" t="n"/>
      <c r="D485" s="61" t="n"/>
    </row>
    <row r="486">
      <c r="A486" s="61" t="n"/>
      <c r="B486" s="61" t="n"/>
      <c r="C486" s="61" t="n"/>
      <c r="D486" s="61" t="n"/>
    </row>
    <row r="487">
      <c r="A487" s="61" t="n"/>
      <c r="B487" s="61" t="n"/>
      <c r="C487" s="61" t="n"/>
      <c r="D487" s="61" t="n"/>
    </row>
    <row r="488">
      <c r="A488" s="61" t="n"/>
      <c r="B488" s="61" t="n"/>
      <c r="C488" s="61" t="n"/>
      <c r="D488" s="61" t="n"/>
    </row>
    <row r="489">
      <c r="A489" s="61" t="n"/>
      <c r="B489" s="61" t="n"/>
      <c r="C489" s="61" t="n"/>
      <c r="D489" s="61" t="n"/>
    </row>
    <row r="490">
      <c r="A490" s="61" t="n"/>
      <c r="B490" s="61" t="n"/>
      <c r="C490" s="61" t="n"/>
      <c r="D490" s="61" t="n"/>
    </row>
    <row r="491">
      <c r="A491" s="61" t="n"/>
      <c r="B491" s="61" t="n"/>
      <c r="C491" s="61" t="n"/>
      <c r="D491" s="61" t="n"/>
    </row>
    <row r="492">
      <c r="A492" s="61" t="n"/>
      <c r="B492" s="61" t="n"/>
      <c r="C492" s="61" t="n"/>
      <c r="D492" s="61" t="n"/>
    </row>
    <row r="493">
      <c r="A493" s="61" t="n"/>
      <c r="B493" s="61" t="n"/>
      <c r="C493" s="61" t="n"/>
      <c r="D493" s="61" t="n"/>
    </row>
    <row r="494">
      <c r="A494" s="61" t="n"/>
      <c r="B494" s="61" t="n"/>
      <c r="C494" s="61" t="n"/>
      <c r="D494" s="61" t="n"/>
    </row>
    <row r="495">
      <c r="A495" s="61" t="n"/>
      <c r="B495" s="61" t="n"/>
      <c r="C495" s="61" t="n"/>
      <c r="D495" s="61" t="n"/>
    </row>
    <row r="496">
      <c r="A496" s="61" t="n"/>
      <c r="B496" s="61" t="n"/>
      <c r="C496" s="61" t="n"/>
      <c r="D496" s="61" t="n"/>
    </row>
    <row r="497">
      <c r="A497" s="61" t="n"/>
      <c r="B497" s="61" t="n"/>
      <c r="C497" s="61" t="n"/>
      <c r="D497" s="61" t="n"/>
    </row>
    <row r="498">
      <c r="A498" s="61" t="n"/>
      <c r="B498" s="61" t="n"/>
      <c r="C498" s="61" t="n"/>
      <c r="D498" s="61" t="n"/>
    </row>
    <row r="499">
      <c r="A499" s="61" t="n"/>
      <c r="B499" s="61" t="n"/>
      <c r="C499" s="61" t="n"/>
      <c r="D499" s="61" t="n"/>
    </row>
    <row r="500">
      <c r="A500" s="61" t="n"/>
      <c r="B500" s="61" t="n"/>
      <c r="C500" s="61" t="n"/>
      <c r="D500" s="61" t="n"/>
    </row>
    <row r="501">
      <c r="A501" s="61" t="n"/>
      <c r="B501" s="61" t="n"/>
      <c r="C501" s="61" t="n"/>
      <c r="D501" s="61" t="n"/>
    </row>
    <row r="502">
      <c r="A502" s="61" t="n"/>
      <c r="B502" s="61" t="n"/>
      <c r="C502" s="61" t="n"/>
      <c r="D502" s="61" t="n"/>
    </row>
    <row r="503">
      <c r="A503" s="61" t="n"/>
      <c r="B503" s="61" t="n"/>
      <c r="C503" s="61" t="n"/>
      <c r="D503" s="61" t="n"/>
    </row>
    <row r="504">
      <c r="A504" s="61" t="n"/>
      <c r="B504" s="61" t="n"/>
      <c r="C504" s="61" t="n"/>
      <c r="D504" s="61" t="n"/>
    </row>
    <row r="505">
      <c r="A505" s="61" t="n"/>
      <c r="B505" s="61" t="n"/>
      <c r="C505" s="61" t="n"/>
      <c r="D505" s="61" t="n"/>
    </row>
    <row r="506">
      <c r="A506" s="61" t="n"/>
      <c r="B506" s="61" t="n"/>
      <c r="C506" s="61" t="n"/>
      <c r="D506" s="61" t="n"/>
    </row>
    <row r="507">
      <c r="A507" s="61" t="n"/>
      <c r="B507" s="61" t="n"/>
      <c r="C507" s="61" t="n"/>
      <c r="D507" s="61" t="n"/>
    </row>
    <row r="508">
      <c r="A508" s="61" t="n"/>
      <c r="B508" s="61" t="n"/>
      <c r="C508" s="61" t="n"/>
      <c r="D508" s="61" t="n"/>
    </row>
    <row r="509">
      <c r="A509" s="61" t="n"/>
      <c r="B509" s="61" t="n"/>
      <c r="C509" s="61" t="n"/>
      <c r="D509" s="61" t="n"/>
    </row>
    <row r="510">
      <c r="A510" s="61" t="n"/>
      <c r="B510" s="61" t="n"/>
      <c r="C510" s="61" t="n"/>
      <c r="D510" s="61" t="n"/>
    </row>
    <row r="511">
      <c r="A511" s="61" t="n"/>
      <c r="B511" s="61" t="n"/>
      <c r="C511" s="61" t="n"/>
      <c r="D511" s="61" t="n"/>
    </row>
    <row r="512">
      <c r="A512" s="61" t="n"/>
      <c r="B512" s="61" t="n"/>
      <c r="C512" s="61" t="n"/>
      <c r="D512" s="61" t="n"/>
    </row>
    <row r="513">
      <c r="A513" s="61" t="n"/>
      <c r="B513" s="61" t="n"/>
      <c r="C513" s="61" t="n"/>
      <c r="D513" s="61" t="n"/>
    </row>
    <row r="514">
      <c r="A514" s="61" t="n"/>
      <c r="B514" s="61" t="n"/>
      <c r="C514" s="61" t="n"/>
      <c r="D514" s="61" t="n"/>
    </row>
    <row r="515">
      <c r="A515" s="61" t="n"/>
      <c r="B515" s="61" t="n"/>
      <c r="C515" s="61" t="n"/>
      <c r="D515" s="61" t="n"/>
    </row>
    <row r="516">
      <c r="A516" s="61" t="n"/>
      <c r="B516" s="61" t="n"/>
      <c r="C516" s="61" t="n"/>
      <c r="D516" s="61" t="n"/>
    </row>
    <row r="517">
      <c r="A517" s="61" t="n"/>
      <c r="B517" s="61" t="n"/>
      <c r="C517" s="61" t="n"/>
      <c r="D517" s="61" t="n"/>
    </row>
    <row r="518">
      <c r="A518" s="61" t="n"/>
      <c r="B518" s="61" t="n"/>
      <c r="C518" s="61" t="n"/>
      <c r="D518" s="61" t="n"/>
    </row>
    <row r="519">
      <c r="A519" s="61" t="n"/>
      <c r="B519" s="61" t="n"/>
      <c r="C519" s="61" t="n"/>
      <c r="D519" s="61" t="n"/>
    </row>
    <row r="520">
      <c r="A520" s="61" t="n"/>
      <c r="B520" s="61" t="n"/>
      <c r="C520" s="61" t="n"/>
      <c r="D520" s="61" t="n"/>
    </row>
    <row r="521">
      <c r="A521" s="61" t="n"/>
      <c r="B521" s="61" t="n"/>
      <c r="C521" s="61" t="n"/>
      <c r="D521" s="61" t="n"/>
    </row>
    <row r="522">
      <c r="A522" s="61" t="n"/>
      <c r="B522" s="61" t="n"/>
      <c r="C522" s="61" t="n"/>
      <c r="D522" s="61" t="n"/>
    </row>
    <row r="523">
      <c r="A523" s="61" t="n"/>
      <c r="B523" s="61" t="n"/>
      <c r="C523" s="61" t="n"/>
      <c r="D523" s="61" t="n"/>
    </row>
    <row r="524">
      <c r="A524" s="61" t="n"/>
      <c r="B524" s="61" t="n"/>
      <c r="C524" s="61" t="n"/>
      <c r="D524" s="61" t="n"/>
    </row>
    <row r="525">
      <c r="A525" s="61" t="n"/>
      <c r="B525" s="61" t="n"/>
      <c r="C525" s="61" t="n"/>
      <c r="D525" s="61" t="n"/>
    </row>
    <row r="526">
      <c r="A526" s="61" t="n"/>
      <c r="B526" s="61" t="n"/>
      <c r="C526" s="61" t="n"/>
      <c r="D526" s="61" t="n"/>
    </row>
    <row r="527">
      <c r="A527" s="61" t="n"/>
      <c r="B527" s="61" t="n"/>
      <c r="C527" s="61" t="n"/>
      <c r="D527" s="61" t="n"/>
    </row>
    <row r="528">
      <c r="A528" s="61" t="n"/>
      <c r="B528" s="61" t="n"/>
      <c r="C528" s="61" t="n"/>
      <c r="D528" s="61" t="n"/>
    </row>
    <row r="529">
      <c r="A529" s="61" t="n"/>
      <c r="B529" s="61" t="n"/>
      <c r="C529" s="61" t="n"/>
      <c r="D529" s="61" t="n"/>
    </row>
    <row r="530">
      <c r="A530" s="61" t="n"/>
      <c r="B530" s="61" t="n"/>
      <c r="C530" s="61" t="n"/>
      <c r="D530" s="61" t="n"/>
    </row>
    <row r="531">
      <c r="A531" s="61" t="n"/>
      <c r="B531" s="61" t="n"/>
      <c r="C531" s="61" t="n"/>
      <c r="D531" s="61" t="n"/>
    </row>
    <row r="532">
      <c r="A532" s="61" t="n"/>
      <c r="B532" s="61" t="n"/>
      <c r="C532" s="61" t="n"/>
      <c r="D532" s="61" t="n"/>
    </row>
    <row r="533">
      <c r="A533" s="61" t="n"/>
      <c r="B533" s="61" t="n"/>
      <c r="C533" s="61" t="n"/>
      <c r="D533" s="61" t="n"/>
    </row>
    <row r="534">
      <c r="A534" s="61" t="n"/>
      <c r="B534" s="61" t="n"/>
      <c r="C534" s="61" t="n"/>
      <c r="D534" s="61" t="n"/>
    </row>
    <row r="535">
      <c r="A535" s="61" t="n"/>
      <c r="B535" s="61" t="n"/>
      <c r="C535" s="61" t="n"/>
      <c r="D535" s="61" t="n"/>
    </row>
    <row r="536">
      <c r="A536" s="61" t="n"/>
      <c r="B536" s="61" t="n"/>
      <c r="C536" s="61" t="n"/>
      <c r="D536" s="61" t="n"/>
    </row>
    <row r="537">
      <c r="A537" s="61" t="n"/>
      <c r="B537" s="61" t="n"/>
      <c r="C537" s="61" t="n"/>
      <c r="D537" s="61" t="n"/>
    </row>
    <row r="538">
      <c r="A538" s="61" t="n"/>
      <c r="B538" s="61" t="n"/>
      <c r="C538" s="61" t="n"/>
      <c r="D538" s="61" t="n"/>
    </row>
    <row r="539">
      <c r="A539" s="61" t="n"/>
      <c r="B539" s="61" t="n"/>
      <c r="C539" s="61" t="n"/>
      <c r="D539" s="61" t="n"/>
    </row>
    <row r="540">
      <c r="A540" s="61" t="n"/>
      <c r="B540" s="61" t="n"/>
      <c r="C540" s="61" t="n"/>
      <c r="D540" s="61" t="n"/>
    </row>
    <row r="541">
      <c r="A541" s="61" t="n"/>
      <c r="B541" s="61" t="n"/>
      <c r="C541" s="61" t="n"/>
      <c r="D541" s="61" t="n"/>
    </row>
    <row r="542">
      <c r="A542" s="61" t="n"/>
      <c r="B542" s="61" t="n"/>
      <c r="C542" s="61" t="n"/>
      <c r="D542" s="61" t="n"/>
    </row>
    <row r="543">
      <c r="A543" s="61" t="n"/>
      <c r="B543" s="61" t="n"/>
      <c r="C543" s="61" t="n"/>
      <c r="D543" s="61" t="n"/>
    </row>
    <row r="544">
      <c r="A544" s="61" t="n"/>
      <c r="B544" s="61" t="n"/>
      <c r="C544" s="61" t="n"/>
      <c r="D544" s="61" t="n"/>
    </row>
    <row r="545">
      <c r="A545" s="61" t="n"/>
      <c r="B545" s="61" t="n"/>
      <c r="C545" s="61" t="n"/>
      <c r="D545" s="61" t="n"/>
    </row>
    <row r="546">
      <c r="A546" s="61" t="n"/>
      <c r="B546" s="61" t="n"/>
      <c r="C546" s="61" t="n"/>
      <c r="D546" s="61" t="n"/>
    </row>
    <row r="547">
      <c r="A547" s="61" t="n"/>
      <c r="B547" s="61" t="n"/>
      <c r="C547" s="61" t="n"/>
      <c r="D547" s="61" t="n"/>
    </row>
    <row r="548">
      <c r="A548" s="61" t="n"/>
      <c r="B548" s="61" t="n"/>
      <c r="C548" s="61" t="n"/>
      <c r="D548" s="61" t="n"/>
    </row>
    <row r="549">
      <c r="A549" s="61" t="n"/>
      <c r="B549" s="61" t="n"/>
      <c r="C549" s="61" t="n"/>
      <c r="D549" s="61" t="n"/>
    </row>
    <row r="550">
      <c r="A550" s="61" t="n"/>
      <c r="B550" s="61" t="n"/>
      <c r="C550" s="61" t="n"/>
      <c r="D550" s="61" t="n"/>
    </row>
    <row r="551">
      <c r="A551" s="61" t="n"/>
      <c r="B551" s="61" t="n"/>
      <c r="C551" s="61" t="n"/>
      <c r="D551" s="61" t="n"/>
    </row>
    <row r="552">
      <c r="A552" s="61" t="n"/>
      <c r="B552" s="61" t="n"/>
      <c r="C552" s="61" t="n"/>
      <c r="D552" s="61" t="n"/>
    </row>
    <row r="553">
      <c r="A553" s="61" t="n"/>
      <c r="B553" s="61" t="n"/>
      <c r="C553" s="61" t="n"/>
      <c r="D553" s="61" t="n"/>
    </row>
    <row r="554">
      <c r="A554" s="61" t="n"/>
      <c r="B554" s="61" t="n"/>
      <c r="C554" s="61" t="n"/>
      <c r="D554" s="61" t="n"/>
    </row>
    <row r="555">
      <c r="A555" s="61" t="n"/>
      <c r="B555" s="61" t="n"/>
      <c r="C555" s="61" t="n"/>
      <c r="D555" s="61" t="n"/>
    </row>
    <row r="556">
      <c r="A556" s="61" t="n"/>
      <c r="B556" s="61" t="n"/>
      <c r="C556" s="61" t="n"/>
      <c r="D556" s="61" t="n"/>
    </row>
    <row r="557">
      <c r="A557" s="61" t="n"/>
      <c r="B557" s="61" t="n"/>
      <c r="C557" s="61" t="n"/>
      <c r="D557" s="61" t="n"/>
    </row>
    <row r="558">
      <c r="A558" s="61" t="n"/>
      <c r="B558" s="61" t="n"/>
      <c r="C558" s="61" t="n"/>
      <c r="D558" s="61" t="n"/>
    </row>
    <row r="559">
      <c r="A559" s="61" t="n"/>
      <c r="B559" s="61" t="n"/>
      <c r="C559" s="61" t="n"/>
      <c r="D559" s="61" t="n"/>
    </row>
    <row r="560">
      <c r="A560" s="61" t="n"/>
      <c r="B560" s="61" t="n"/>
      <c r="C560" s="61" t="n"/>
      <c r="D560" s="61" t="n"/>
    </row>
    <row r="561">
      <c r="A561" s="61" t="n"/>
      <c r="B561" s="61" t="n"/>
      <c r="C561" s="61" t="n"/>
      <c r="D561" s="61" t="n"/>
    </row>
    <row r="562">
      <c r="A562" s="61" t="n"/>
      <c r="B562" s="61" t="n"/>
      <c r="C562" s="61" t="n"/>
      <c r="D562" s="61" t="n"/>
    </row>
    <row r="563">
      <c r="A563" s="61" t="n"/>
      <c r="B563" s="61" t="n"/>
      <c r="C563" s="61" t="n"/>
      <c r="D563" s="61" t="n"/>
    </row>
    <row r="564">
      <c r="A564" s="61" t="n"/>
      <c r="B564" s="61" t="n"/>
      <c r="C564" s="61" t="n"/>
      <c r="D564" s="61" t="n"/>
    </row>
    <row r="565">
      <c r="A565" s="61" t="n"/>
      <c r="B565" s="61" t="n"/>
      <c r="C565" s="61" t="n"/>
      <c r="D565" s="61" t="n"/>
    </row>
    <row r="566">
      <c r="A566" s="61" t="n"/>
      <c r="B566" s="61" t="n"/>
      <c r="C566" s="61" t="n"/>
      <c r="D566" s="61" t="n"/>
    </row>
    <row r="567">
      <c r="A567" s="61" t="n"/>
      <c r="B567" s="61" t="n"/>
      <c r="C567" s="61" t="n"/>
      <c r="D567" s="61" t="n"/>
    </row>
    <row r="568">
      <c r="A568" s="61" t="n"/>
      <c r="B568" s="61" t="n"/>
      <c r="C568" s="61" t="n"/>
      <c r="D568" s="61" t="n"/>
    </row>
    <row r="569">
      <c r="A569" s="61" t="n"/>
      <c r="B569" s="61" t="n"/>
      <c r="C569" s="61" t="n"/>
      <c r="D569" s="61" t="n"/>
    </row>
    <row r="570">
      <c r="A570" s="61" t="n"/>
      <c r="B570" s="61" t="n"/>
      <c r="C570" s="61" t="n"/>
      <c r="D570" s="61" t="n"/>
    </row>
    <row r="571">
      <c r="A571" s="61" t="n"/>
      <c r="B571" s="61" t="n"/>
      <c r="C571" s="61" t="n"/>
      <c r="D571" s="61" t="n"/>
    </row>
    <row r="572">
      <c r="A572" s="61" t="n"/>
      <c r="B572" s="61" t="n"/>
      <c r="C572" s="61" t="n"/>
      <c r="D572" s="61" t="n"/>
    </row>
    <row r="573">
      <c r="A573" s="61" t="n"/>
      <c r="B573" s="61" t="n"/>
      <c r="C573" s="61" t="n"/>
      <c r="D573" s="61" t="n"/>
    </row>
    <row r="574">
      <c r="A574" s="61" t="n"/>
      <c r="B574" s="61" t="n"/>
      <c r="C574" s="61" t="n"/>
      <c r="D574" s="61" t="n"/>
    </row>
    <row r="575">
      <c r="A575" s="61" t="n"/>
      <c r="B575" s="61" t="n"/>
      <c r="C575" s="61" t="n"/>
      <c r="D575" s="61" t="n"/>
    </row>
    <row r="576">
      <c r="A576" s="61" t="n"/>
      <c r="B576" s="61" t="n"/>
      <c r="C576" s="61" t="n"/>
      <c r="D576" s="61" t="n"/>
    </row>
    <row r="577">
      <c r="A577" s="61" t="n"/>
      <c r="B577" s="61" t="n"/>
      <c r="C577" s="61" t="n"/>
      <c r="D577" s="61" t="n"/>
    </row>
    <row r="578">
      <c r="A578" s="61" t="n"/>
      <c r="B578" s="61" t="n"/>
      <c r="C578" s="61" t="n"/>
      <c r="D578" s="61" t="n"/>
    </row>
    <row r="579">
      <c r="A579" s="61" t="n"/>
      <c r="B579" s="61" t="n"/>
      <c r="C579" s="61" t="n"/>
      <c r="D579" s="61" t="n"/>
    </row>
    <row r="580">
      <c r="A580" s="61" t="n"/>
      <c r="B580" s="61" t="n"/>
      <c r="C580" s="61" t="n"/>
      <c r="D580" s="61" t="n"/>
    </row>
    <row r="581">
      <c r="A581" s="61" t="n"/>
      <c r="B581" s="61" t="n"/>
      <c r="C581" s="61" t="n"/>
      <c r="D581" s="61" t="n"/>
    </row>
    <row r="582">
      <c r="A582" s="61" t="n"/>
      <c r="B582" s="61" t="n"/>
      <c r="C582" s="61" t="n"/>
      <c r="D582" s="61" t="n"/>
    </row>
    <row r="583">
      <c r="A583" s="61" t="n"/>
      <c r="B583" s="61" t="n"/>
      <c r="C583" s="61" t="n"/>
      <c r="D583" s="61" t="n"/>
    </row>
    <row r="584">
      <c r="A584" s="61" t="n"/>
      <c r="B584" s="61" t="n"/>
      <c r="C584" s="61" t="n"/>
      <c r="D584" s="61" t="n"/>
    </row>
    <row r="585">
      <c r="A585" s="61" t="n"/>
      <c r="B585" s="61" t="n"/>
      <c r="C585" s="61" t="n"/>
      <c r="D585" s="61" t="n"/>
    </row>
    <row r="586">
      <c r="A586" s="61" t="n"/>
      <c r="B586" s="61" t="n"/>
      <c r="C586" s="61" t="n"/>
      <c r="D586" s="61" t="n"/>
    </row>
    <row r="587">
      <c r="A587" s="61" t="n"/>
      <c r="B587" s="61" t="n"/>
      <c r="C587" s="61" t="n"/>
      <c r="D587" s="61" t="n"/>
    </row>
    <row r="588">
      <c r="A588" s="61" t="n"/>
      <c r="B588" s="61" t="n"/>
      <c r="C588" s="61" t="n"/>
      <c r="D588" s="61" t="n"/>
    </row>
    <row r="589">
      <c r="A589" s="61" t="n"/>
      <c r="B589" s="61" t="n"/>
      <c r="C589" s="61" t="n"/>
      <c r="D589" s="61" t="n"/>
    </row>
    <row r="590">
      <c r="A590" s="61" t="n"/>
      <c r="B590" s="61" t="n"/>
      <c r="C590" s="61" t="n"/>
      <c r="D590" s="61" t="n"/>
    </row>
    <row r="591">
      <c r="A591" s="61" t="n"/>
      <c r="B591" s="61" t="n"/>
      <c r="C591" s="61" t="n"/>
      <c r="D591" s="61" t="n"/>
    </row>
    <row r="592">
      <c r="A592" s="61" t="n"/>
      <c r="B592" s="61" t="n"/>
      <c r="C592" s="61" t="n"/>
      <c r="D592" s="61" t="n"/>
    </row>
    <row r="593">
      <c r="A593" s="61" t="n"/>
      <c r="B593" s="61" t="n"/>
      <c r="C593" s="61" t="n"/>
      <c r="D593" s="61" t="n"/>
    </row>
    <row r="594">
      <c r="A594" s="61" t="n"/>
      <c r="B594" s="61" t="n"/>
      <c r="C594" s="61" t="n"/>
      <c r="D594" s="61" t="n"/>
    </row>
    <row r="595">
      <c r="A595" s="61" t="n"/>
      <c r="B595" s="61" t="n"/>
      <c r="C595" s="61" t="n"/>
      <c r="D595" s="61" t="n"/>
    </row>
    <row r="596">
      <c r="A596" s="61" t="n"/>
      <c r="B596" s="61" t="n"/>
      <c r="C596" s="61" t="n"/>
      <c r="D596" s="61" t="n"/>
    </row>
    <row r="597">
      <c r="A597" s="61" t="n"/>
      <c r="B597" s="61" t="n"/>
      <c r="C597" s="61" t="n"/>
      <c r="D597" s="61" t="n"/>
    </row>
    <row r="598">
      <c r="A598" s="61" t="n"/>
      <c r="B598" s="61" t="n"/>
      <c r="C598" s="61" t="n"/>
      <c r="D598" s="61" t="n"/>
    </row>
    <row r="599">
      <c r="A599" s="61" t="n"/>
      <c r="B599" s="61" t="n"/>
      <c r="C599" s="61" t="n"/>
      <c r="D599" s="61" t="n"/>
    </row>
    <row r="600">
      <c r="A600" s="61" t="n"/>
      <c r="B600" s="61" t="n"/>
      <c r="C600" s="61" t="n"/>
      <c r="D600" s="61" t="n"/>
    </row>
    <row r="601">
      <c r="A601" s="61" t="n"/>
      <c r="B601" s="61" t="n"/>
      <c r="C601" s="61" t="n"/>
      <c r="D601" s="61" t="n"/>
    </row>
    <row r="602">
      <c r="A602" s="61" t="n"/>
      <c r="B602" s="61" t="n"/>
      <c r="C602" s="61" t="n"/>
      <c r="D602" s="61" t="n"/>
    </row>
    <row r="603">
      <c r="A603" s="61" t="n"/>
      <c r="B603" s="61" t="n"/>
      <c r="C603" s="61" t="n"/>
      <c r="D603" s="61" t="n"/>
    </row>
    <row r="604">
      <c r="A604" s="61" t="n"/>
      <c r="B604" s="61" t="n"/>
      <c r="C604" s="61" t="n"/>
      <c r="D604" s="61" t="n"/>
    </row>
    <row r="605">
      <c r="A605" s="61" t="n"/>
      <c r="B605" s="61" t="n"/>
      <c r="C605" s="61" t="n"/>
      <c r="D605" s="61" t="n"/>
    </row>
    <row r="606">
      <c r="A606" s="61" t="n"/>
      <c r="B606" s="61" t="n"/>
      <c r="C606" s="61" t="n"/>
      <c r="D606" s="61" t="n"/>
    </row>
    <row r="607">
      <c r="A607" s="61" t="n"/>
      <c r="B607" s="61" t="n"/>
      <c r="C607" s="61" t="n"/>
      <c r="D607" s="61" t="n"/>
    </row>
    <row r="608">
      <c r="A608" s="61" t="n"/>
      <c r="B608" s="61" t="n"/>
      <c r="C608" s="61" t="n"/>
      <c r="D608" s="61" t="n"/>
    </row>
    <row r="609">
      <c r="A609" s="61" t="n"/>
      <c r="B609" s="61" t="n"/>
      <c r="C609" s="61" t="n"/>
      <c r="D609" s="61" t="n"/>
    </row>
    <row r="610">
      <c r="A610" s="61" t="n"/>
      <c r="B610" s="61" t="n"/>
      <c r="C610" s="61" t="n"/>
      <c r="D610" s="61" t="n"/>
    </row>
    <row r="611">
      <c r="A611" s="61" t="n"/>
      <c r="B611" s="61" t="n"/>
      <c r="C611" s="61" t="n"/>
      <c r="D611" s="61" t="n"/>
    </row>
    <row r="612">
      <c r="A612" s="61" t="n"/>
      <c r="B612" s="61" t="n"/>
      <c r="C612" s="61" t="n"/>
      <c r="D612" s="61" t="n"/>
    </row>
    <row r="613">
      <c r="A613" s="61" t="n"/>
      <c r="B613" s="61" t="n"/>
      <c r="C613" s="61" t="n"/>
      <c r="D613" s="61" t="n"/>
    </row>
    <row r="614">
      <c r="A614" s="61" t="n"/>
      <c r="B614" s="61" t="n"/>
      <c r="C614" s="61" t="n"/>
      <c r="D614" s="61" t="n"/>
    </row>
    <row r="615">
      <c r="A615" s="61" t="n"/>
      <c r="B615" s="61" t="n"/>
      <c r="C615" s="61" t="n"/>
      <c r="D615" s="61" t="n"/>
    </row>
    <row r="616">
      <c r="A616" s="61" t="n"/>
      <c r="B616" s="61" t="n"/>
      <c r="C616" s="61" t="n"/>
      <c r="D616" s="61" t="n"/>
    </row>
    <row r="617">
      <c r="A617" s="61" t="n"/>
      <c r="B617" s="61" t="n"/>
      <c r="C617" s="61" t="n"/>
      <c r="D617" s="61" t="n"/>
    </row>
    <row r="618">
      <c r="A618" s="61" t="n"/>
      <c r="B618" s="61" t="n"/>
      <c r="C618" s="61" t="n"/>
      <c r="D618" s="61" t="n"/>
    </row>
    <row r="619">
      <c r="A619" s="61" t="n"/>
      <c r="B619" s="61" t="n"/>
      <c r="C619" s="61" t="n"/>
      <c r="D619" s="61" t="n"/>
    </row>
    <row r="620">
      <c r="A620" s="61" t="n"/>
      <c r="B620" s="61" t="n"/>
      <c r="C620" s="61" t="n"/>
      <c r="D620" s="61" t="n"/>
    </row>
    <row r="621">
      <c r="A621" s="61" t="n"/>
      <c r="B621" s="61" t="n"/>
      <c r="C621" s="61" t="n"/>
      <c r="D621" s="61" t="n"/>
    </row>
    <row r="622">
      <c r="A622" s="61" t="n"/>
      <c r="B622" s="61" t="n"/>
      <c r="C622" s="61" t="n"/>
      <c r="D622" s="61" t="n"/>
    </row>
    <row r="623">
      <c r="A623" s="61" t="n"/>
      <c r="B623" s="61" t="n"/>
      <c r="C623" s="61" t="n"/>
      <c r="D623" s="61" t="n"/>
    </row>
    <row r="624">
      <c r="A624" s="61" t="n"/>
      <c r="B624" s="61" t="n"/>
      <c r="C624" s="61" t="n"/>
      <c r="D624" s="61" t="n"/>
    </row>
    <row r="625">
      <c r="A625" s="61" t="n"/>
      <c r="B625" s="61" t="n"/>
      <c r="C625" s="61" t="n"/>
      <c r="D625" s="61" t="n"/>
    </row>
    <row r="626">
      <c r="A626" s="61" t="n"/>
      <c r="B626" s="61" t="n"/>
      <c r="C626" s="61" t="n"/>
      <c r="D626" s="61" t="n"/>
    </row>
    <row r="627">
      <c r="A627" s="61" t="n"/>
      <c r="B627" s="61" t="n"/>
      <c r="C627" s="61" t="n"/>
      <c r="D627" s="61" t="n"/>
    </row>
    <row r="628">
      <c r="A628" s="61" t="n"/>
      <c r="B628" s="61" t="n"/>
      <c r="C628" s="61" t="n"/>
      <c r="D628" s="61" t="n"/>
    </row>
    <row r="629">
      <c r="A629" s="61" t="n"/>
      <c r="B629" s="61" t="n"/>
      <c r="C629" s="61" t="n"/>
      <c r="D629" s="61" t="n"/>
    </row>
    <row r="630">
      <c r="A630" s="61" t="n"/>
      <c r="B630" s="61" t="n"/>
      <c r="C630" s="61" t="n"/>
      <c r="D630" s="61" t="n"/>
    </row>
    <row r="631">
      <c r="A631" s="61" t="n"/>
      <c r="B631" s="61" t="n"/>
      <c r="C631" s="61" t="n"/>
      <c r="D631" s="61" t="n"/>
    </row>
    <row r="632">
      <c r="A632" s="61" t="n"/>
      <c r="B632" s="61" t="n"/>
      <c r="C632" s="61" t="n"/>
      <c r="D632" s="61" t="n"/>
    </row>
    <row r="633">
      <c r="A633" s="61" t="n"/>
      <c r="B633" s="61" t="n"/>
      <c r="C633" s="61" t="n"/>
      <c r="D633" s="61" t="n"/>
    </row>
    <row r="634">
      <c r="A634" s="61" t="n"/>
      <c r="B634" s="61" t="n"/>
      <c r="C634" s="61" t="n"/>
      <c r="D634" s="61" t="n"/>
    </row>
    <row r="635">
      <c r="A635" s="61" t="n"/>
      <c r="B635" s="61" t="n"/>
      <c r="C635" s="61" t="n"/>
      <c r="D635" s="61" t="n"/>
    </row>
    <row r="636">
      <c r="A636" s="61" t="n"/>
      <c r="B636" s="61" t="n"/>
      <c r="C636" s="61" t="n"/>
      <c r="D636" s="61" t="n"/>
    </row>
    <row r="637">
      <c r="A637" s="61" t="n"/>
      <c r="B637" s="61" t="n"/>
      <c r="C637" s="61" t="n"/>
      <c r="D637" s="61" t="n"/>
    </row>
    <row r="638">
      <c r="A638" s="61" t="n"/>
      <c r="B638" s="61" t="n"/>
      <c r="C638" s="61" t="n"/>
      <c r="D638" s="61" t="n"/>
    </row>
    <row r="639">
      <c r="A639" s="61" t="n"/>
      <c r="B639" s="61" t="n"/>
      <c r="C639" s="61" t="n"/>
      <c r="D639" s="61" t="n"/>
    </row>
    <row r="640">
      <c r="A640" s="61" t="n"/>
      <c r="B640" s="61" t="n"/>
      <c r="C640" s="61" t="n"/>
      <c r="D640" s="61" t="n"/>
    </row>
    <row r="641">
      <c r="A641" s="61" t="n"/>
      <c r="B641" s="61" t="n"/>
      <c r="C641" s="61" t="n"/>
      <c r="D641" s="61" t="n"/>
    </row>
    <row r="642">
      <c r="A642" s="61" t="n"/>
      <c r="B642" s="61" t="n"/>
      <c r="C642" s="61" t="n"/>
      <c r="D642" s="61" t="n"/>
    </row>
    <row r="643">
      <c r="A643" s="61" t="n"/>
      <c r="B643" s="61" t="n"/>
      <c r="C643" s="61" t="n"/>
      <c r="D643" s="61" t="n"/>
    </row>
    <row r="644">
      <c r="A644" s="61" t="n"/>
      <c r="B644" s="61" t="n"/>
      <c r="C644" s="61" t="n"/>
      <c r="D644" s="61" t="n"/>
    </row>
    <row r="645">
      <c r="A645" s="61" t="n"/>
      <c r="B645" s="61" t="n"/>
      <c r="C645" s="61" t="n"/>
      <c r="D645" s="61" t="n"/>
    </row>
    <row r="646">
      <c r="A646" s="61" t="n"/>
      <c r="B646" s="61" t="n"/>
      <c r="C646" s="61" t="n"/>
      <c r="D646" s="61" t="n"/>
    </row>
    <row r="647">
      <c r="A647" s="61" t="n"/>
      <c r="B647" s="61" t="n"/>
      <c r="C647" s="61" t="n"/>
      <c r="D647" s="61" t="n"/>
    </row>
    <row r="648">
      <c r="A648" s="61" t="n"/>
      <c r="B648" s="61" t="n"/>
      <c r="C648" s="61" t="n"/>
      <c r="D648" s="61" t="n"/>
    </row>
    <row r="649">
      <c r="A649" s="61" t="n"/>
      <c r="B649" s="61" t="n"/>
      <c r="C649" s="61" t="n"/>
      <c r="D649" s="61" t="n"/>
    </row>
    <row r="650">
      <c r="A650" s="61" t="n"/>
      <c r="B650" s="61" t="n"/>
      <c r="C650" s="61" t="n"/>
      <c r="D650" s="61" t="n"/>
    </row>
    <row r="651">
      <c r="A651" s="61" t="n"/>
      <c r="B651" s="61" t="n"/>
      <c r="C651" s="61" t="n"/>
      <c r="D651" s="61" t="n"/>
    </row>
    <row r="652">
      <c r="A652" s="61" t="n"/>
      <c r="B652" s="61" t="n"/>
      <c r="C652" s="61" t="n"/>
      <c r="D652" s="61" t="n"/>
    </row>
    <row r="653">
      <c r="A653" s="61" t="n"/>
      <c r="B653" s="61" t="n"/>
      <c r="C653" s="61" t="n"/>
      <c r="D653" s="61" t="n"/>
    </row>
    <row r="654">
      <c r="A654" s="61" t="n"/>
      <c r="B654" s="61" t="n"/>
      <c r="C654" s="61" t="n"/>
      <c r="D654" s="61" t="n"/>
    </row>
    <row r="655">
      <c r="A655" s="61" t="n"/>
      <c r="B655" s="61" t="n"/>
      <c r="C655" s="61" t="n"/>
      <c r="D655" s="61" t="n"/>
    </row>
    <row r="656">
      <c r="A656" s="61" t="n"/>
      <c r="B656" s="61" t="n"/>
      <c r="C656" s="61" t="n"/>
      <c r="D656" s="61" t="n"/>
    </row>
    <row r="657">
      <c r="A657" s="61" t="n"/>
      <c r="B657" s="61" t="n"/>
      <c r="C657" s="61" t="n"/>
      <c r="D657" s="61" t="n"/>
    </row>
    <row r="658">
      <c r="A658" s="61" t="n"/>
      <c r="B658" s="61" t="n"/>
      <c r="C658" s="61" t="n"/>
      <c r="D658" s="61" t="n"/>
    </row>
    <row r="659">
      <c r="A659" s="61" t="n"/>
      <c r="B659" s="61" t="n"/>
      <c r="C659" s="61" t="n"/>
      <c r="D659" s="61" t="n"/>
    </row>
    <row r="660">
      <c r="A660" s="61" t="n"/>
      <c r="B660" s="61" t="n"/>
      <c r="C660" s="61" t="n"/>
      <c r="D660" s="61" t="n"/>
    </row>
    <row r="661">
      <c r="A661" s="61" t="n"/>
      <c r="B661" s="61" t="n"/>
      <c r="C661" s="61" t="n"/>
      <c r="D661" s="61" t="n"/>
    </row>
    <row r="662">
      <c r="A662" s="61" t="n"/>
      <c r="B662" s="61" t="n"/>
      <c r="C662" s="61" t="n"/>
      <c r="D662" s="61" t="n"/>
    </row>
    <row r="663">
      <c r="A663" s="61" t="n"/>
      <c r="B663" s="61" t="n"/>
      <c r="C663" s="61" t="n"/>
      <c r="D663" s="61" t="n"/>
    </row>
    <row r="664">
      <c r="A664" s="61" t="n"/>
      <c r="B664" s="61" t="n"/>
      <c r="C664" s="61" t="n"/>
      <c r="D664" s="61" t="n"/>
    </row>
    <row r="665">
      <c r="A665" s="61" t="n"/>
      <c r="B665" s="61" t="n"/>
      <c r="C665" s="61" t="n"/>
      <c r="D665" s="61" t="n"/>
    </row>
    <row r="666">
      <c r="A666" s="61" t="n"/>
      <c r="B666" s="61" t="n"/>
      <c r="C666" s="61" t="n"/>
      <c r="D666" s="61" t="n"/>
    </row>
    <row r="667">
      <c r="A667" s="61" t="n"/>
      <c r="B667" s="61" t="n"/>
      <c r="C667" s="61" t="n"/>
      <c r="D667" s="61" t="n"/>
    </row>
    <row r="668">
      <c r="A668" s="61" t="n"/>
      <c r="B668" s="61" t="n"/>
      <c r="C668" s="61" t="n"/>
      <c r="D668" s="61" t="n"/>
    </row>
    <row r="669">
      <c r="A669" s="61" t="n"/>
      <c r="B669" s="61" t="n"/>
      <c r="C669" s="61" t="n"/>
      <c r="D669" s="61" t="n"/>
    </row>
    <row r="670">
      <c r="A670" s="61" t="n"/>
      <c r="B670" s="61" t="n"/>
      <c r="C670" s="61" t="n"/>
      <c r="D670" s="61" t="n"/>
    </row>
    <row r="671">
      <c r="A671" s="61" t="n"/>
      <c r="B671" s="61" t="n"/>
      <c r="C671" s="61" t="n"/>
      <c r="D671" s="61" t="n"/>
    </row>
    <row r="672">
      <c r="A672" s="61" t="n"/>
      <c r="B672" s="61" t="n"/>
      <c r="C672" s="61" t="n"/>
      <c r="D672" s="61" t="n"/>
    </row>
    <row r="673">
      <c r="A673" s="61" t="n"/>
      <c r="B673" s="61" t="n"/>
      <c r="C673" s="61" t="n"/>
      <c r="D673" s="61" t="n"/>
    </row>
    <row r="674">
      <c r="A674" s="61" t="n"/>
      <c r="B674" s="61" t="n"/>
      <c r="C674" s="61" t="n"/>
      <c r="D674" s="61" t="n"/>
    </row>
    <row r="675">
      <c r="A675" s="61" t="n"/>
      <c r="B675" s="61" t="n"/>
      <c r="C675" s="61" t="n"/>
      <c r="D675" s="61" t="n"/>
    </row>
    <row r="676">
      <c r="A676" s="61" t="n"/>
      <c r="B676" s="61" t="n"/>
      <c r="C676" s="61" t="n"/>
      <c r="D676" s="61" t="n"/>
    </row>
    <row r="677">
      <c r="A677" s="61" t="n"/>
      <c r="B677" s="61" t="n"/>
      <c r="C677" s="61" t="n"/>
      <c r="D677" s="61" t="n"/>
    </row>
    <row r="678">
      <c r="A678" s="61" t="n"/>
      <c r="B678" s="61" t="n"/>
      <c r="C678" s="61" t="n"/>
      <c r="D678" s="61" t="n"/>
    </row>
    <row r="679">
      <c r="A679" s="61" t="n"/>
      <c r="B679" s="61" t="n"/>
      <c r="C679" s="61" t="n"/>
      <c r="D679" s="61" t="n"/>
    </row>
    <row r="680">
      <c r="A680" s="61" t="n"/>
      <c r="B680" s="61" t="n"/>
      <c r="C680" s="61" t="n"/>
      <c r="D680" s="61" t="n"/>
    </row>
    <row r="681">
      <c r="A681" s="61" t="n"/>
      <c r="B681" s="61" t="n"/>
      <c r="C681" s="61" t="n"/>
      <c r="D681" s="61" t="n"/>
    </row>
    <row r="682">
      <c r="A682" s="61" t="n"/>
      <c r="B682" s="61" t="n"/>
      <c r="C682" s="61" t="n"/>
      <c r="D682" s="61" t="n"/>
    </row>
    <row r="683">
      <c r="A683" s="61" t="n"/>
      <c r="B683" s="61" t="n"/>
      <c r="C683" s="61" t="n"/>
      <c r="D683" s="61" t="n"/>
    </row>
    <row r="684">
      <c r="A684" s="61" t="n"/>
      <c r="B684" s="61" t="n"/>
      <c r="C684" s="61" t="n"/>
      <c r="D684" s="61" t="n"/>
    </row>
    <row r="685">
      <c r="A685" s="61" t="n"/>
      <c r="B685" s="61" t="n"/>
      <c r="C685" s="61" t="n"/>
      <c r="D685" s="61" t="n"/>
    </row>
    <row r="686">
      <c r="A686" s="61" t="n"/>
      <c r="B686" s="61" t="n"/>
      <c r="C686" s="61" t="n"/>
      <c r="D686" s="61" t="n"/>
    </row>
    <row r="687">
      <c r="A687" s="61" t="n"/>
      <c r="B687" s="61" t="n"/>
      <c r="C687" s="61" t="n"/>
      <c r="D687" s="61" t="n"/>
    </row>
    <row r="688">
      <c r="A688" s="61" t="n"/>
      <c r="B688" s="61" t="n"/>
      <c r="C688" s="61" t="n"/>
      <c r="D688" s="61" t="n"/>
    </row>
    <row r="689">
      <c r="A689" s="61" t="n"/>
      <c r="B689" s="61" t="n"/>
      <c r="C689" s="61" t="n"/>
      <c r="D689" s="61" t="n"/>
    </row>
    <row r="690">
      <c r="A690" s="61" t="n"/>
      <c r="B690" s="61" t="n"/>
      <c r="C690" s="61" t="n"/>
      <c r="D690" s="61" t="n"/>
    </row>
    <row r="691">
      <c r="A691" s="61" t="n"/>
      <c r="B691" s="61" t="n"/>
      <c r="C691" s="61" t="n"/>
      <c r="D691" s="61" t="n"/>
    </row>
    <row r="692">
      <c r="A692" s="61" t="n"/>
      <c r="B692" s="61" t="n"/>
      <c r="C692" s="61" t="n"/>
      <c r="D692" s="61" t="n"/>
    </row>
    <row r="693">
      <c r="A693" s="61" t="n"/>
      <c r="B693" s="61" t="n"/>
      <c r="C693" s="61" t="n"/>
      <c r="D693" s="61" t="n"/>
    </row>
    <row r="694">
      <c r="A694" s="61" t="n"/>
      <c r="B694" s="61" t="n"/>
      <c r="C694" s="61" t="n"/>
      <c r="D694" s="61" t="n"/>
    </row>
    <row r="695">
      <c r="A695" s="61" t="n"/>
      <c r="B695" s="61" t="n"/>
      <c r="C695" s="61" t="n"/>
      <c r="D695" s="61" t="n"/>
    </row>
    <row r="696">
      <c r="A696" s="61" t="n"/>
      <c r="B696" s="61" t="n"/>
      <c r="C696" s="61" t="n"/>
      <c r="D696" s="61" t="n"/>
    </row>
    <row r="697">
      <c r="A697" s="61" t="n"/>
      <c r="B697" s="61" t="n"/>
      <c r="C697" s="61" t="n"/>
      <c r="D697" s="61" t="n"/>
    </row>
    <row r="698">
      <c r="A698" s="61" t="n"/>
      <c r="B698" s="61" t="n"/>
      <c r="C698" s="61" t="n"/>
      <c r="D698" s="61" t="n"/>
    </row>
    <row r="699">
      <c r="A699" s="61" t="n"/>
      <c r="B699" s="61" t="n"/>
      <c r="C699" s="61" t="n"/>
      <c r="D699" s="61" t="n"/>
    </row>
    <row r="700">
      <c r="A700" s="61" t="n"/>
      <c r="B700" s="61" t="n"/>
      <c r="C700" s="61" t="n"/>
      <c r="D700" s="61" t="n"/>
    </row>
    <row r="701">
      <c r="A701" s="61" t="n"/>
      <c r="B701" s="61" t="n"/>
      <c r="C701" s="61" t="n"/>
      <c r="D701" s="61" t="n"/>
    </row>
    <row r="702">
      <c r="A702" s="61" t="n"/>
      <c r="B702" s="61" t="n"/>
      <c r="C702" s="61" t="n"/>
      <c r="D702" s="61" t="n"/>
    </row>
    <row r="703">
      <c r="A703" s="61" t="n"/>
      <c r="B703" s="61" t="n"/>
      <c r="C703" s="61" t="n"/>
      <c r="D703" s="61" t="n"/>
    </row>
    <row r="704">
      <c r="A704" s="61" t="n"/>
      <c r="B704" s="61" t="n"/>
      <c r="C704" s="61" t="n"/>
      <c r="D704" s="61" t="n"/>
    </row>
    <row r="705">
      <c r="A705" s="61" t="n"/>
      <c r="B705" s="61" t="n"/>
      <c r="C705" s="61" t="n"/>
      <c r="D705" s="61" t="n"/>
    </row>
    <row r="706">
      <c r="A706" s="61" t="n"/>
      <c r="B706" s="61" t="n"/>
      <c r="C706" s="61" t="n"/>
      <c r="D706" s="61" t="n"/>
    </row>
    <row r="707">
      <c r="A707" s="61" t="n"/>
      <c r="B707" s="61" t="n"/>
      <c r="C707" s="61" t="n"/>
      <c r="D707" s="61" t="n"/>
    </row>
    <row r="708">
      <c r="A708" s="61" t="n"/>
      <c r="B708" s="61" t="n"/>
      <c r="C708" s="61" t="n"/>
      <c r="D708" s="61" t="n"/>
    </row>
    <row r="709">
      <c r="A709" s="61" t="n"/>
      <c r="B709" s="61" t="n"/>
      <c r="C709" s="61" t="n"/>
      <c r="D709" s="61" t="n"/>
    </row>
    <row r="710">
      <c r="A710" s="61" t="n"/>
      <c r="B710" s="61" t="n"/>
      <c r="C710" s="61" t="n"/>
      <c r="D710" s="61" t="n"/>
    </row>
    <row r="711">
      <c r="A711" s="61" t="n"/>
      <c r="B711" s="61" t="n"/>
      <c r="C711" s="61" t="n"/>
      <c r="D711" s="61" t="n"/>
    </row>
    <row r="712">
      <c r="A712" s="61" t="n"/>
      <c r="B712" s="61" t="n"/>
      <c r="C712" s="61" t="n"/>
      <c r="D712" s="61" t="n"/>
    </row>
    <row r="713">
      <c r="A713" s="61" t="n"/>
      <c r="B713" s="61" t="n"/>
      <c r="C713" s="61" t="n"/>
      <c r="D713" s="61" t="n"/>
    </row>
    <row r="714">
      <c r="A714" s="61" t="n"/>
      <c r="B714" s="61" t="n"/>
      <c r="C714" s="61" t="n"/>
      <c r="D714" s="61" t="n"/>
    </row>
    <row r="715">
      <c r="A715" s="61" t="n"/>
      <c r="B715" s="61" t="n"/>
      <c r="C715" s="61" t="n"/>
      <c r="D715" s="61" t="n"/>
    </row>
    <row r="716">
      <c r="A716" s="61" t="n"/>
      <c r="B716" s="61" t="n"/>
      <c r="C716" s="61" t="n"/>
      <c r="D716" s="61" t="n"/>
    </row>
    <row r="717">
      <c r="A717" s="61" t="n"/>
      <c r="B717" s="61" t="n"/>
      <c r="C717" s="61" t="n"/>
      <c r="D717" s="61" t="n"/>
    </row>
    <row r="718">
      <c r="A718" s="61" t="n"/>
      <c r="B718" s="61" t="n"/>
      <c r="C718" s="61" t="n"/>
      <c r="D718" s="61" t="n"/>
    </row>
    <row r="719">
      <c r="A719" s="61" t="n"/>
      <c r="B719" s="61" t="n"/>
      <c r="C719" s="61" t="n"/>
      <c r="D719" s="61" t="n"/>
    </row>
    <row r="720">
      <c r="A720" s="61" t="n"/>
      <c r="B720" s="61" t="n"/>
      <c r="C720" s="61" t="n"/>
      <c r="D720" s="61" t="n"/>
    </row>
    <row r="721">
      <c r="A721" s="61" t="n"/>
      <c r="B721" s="61" t="n"/>
      <c r="C721" s="61" t="n"/>
      <c r="D721" s="61" t="n"/>
    </row>
    <row r="722">
      <c r="A722" s="61" t="n"/>
      <c r="B722" s="61" t="n"/>
      <c r="C722" s="61" t="n"/>
      <c r="D722" s="61" t="n"/>
    </row>
    <row r="723">
      <c r="A723" s="61" t="n"/>
      <c r="B723" s="61" t="n"/>
      <c r="C723" s="61" t="n"/>
      <c r="D723" s="61" t="n"/>
    </row>
    <row r="724">
      <c r="A724" s="61" t="n"/>
      <c r="B724" s="61" t="n"/>
      <c r="C724" s="61" t="n"/>
      <c r="D724" s="61" t="n"/>
    </row>
    <row r="725">
      <c r="A725" s="61" t="n"/>
      <c r="B725" s="61" t="n"/>
      <c r="C725" s="61" t="n"/>
      <c r="D725" s="61" t="n"/>
    </row>
    <row r="726">
      <c r="A726" s="61" t="n"/>
      <c r="B726" s="61" t="n"/>
      <c r="C726" s="61" t="n"/>
      <c r="D726" s="61" t="n"/>
    </row>
    <row r="727">
      <c r="A727" s="61" t="n"/>
      <c r="B727" s="61" t="n"/>
      <c r="C727" s="61" t="n"/>
      <c r="D727" s="61" t="n"/>
    </row>
    <row r="728">
      <c r="A728" s="61" t="n"/>
      <c r="B728" s="61" t="n"/>
      <c r="C728" s="61" t="n"/>
      <c r="D728" s="61" t="n"/>
    </row>
    <row r="729">
      <c r="A729" s="61" t="n"/>
      <c r="B729" s="61" t="n"/>
      <c r="C729" s="61" t="n"/>
      <c r="D729" s="61" t="n"/>
    </row>
    <row r="730">
      <c r="A730" s="61" t="n"/>
      <c r="B730" s="61" t="n"/>
      <c r="C730" s="61" t="n"/>
      <c r="D730" s="61" t="n"/>
    </row>
    <row r="731">
      <c r="A731" s="61" t="n"/>
      <c r="B731" s="61" t="n"/>
      <c r="C731" s="61" t="n"/>
      <c r="D731" s="61" t="n"/>
    </row>
    <row r="732">
      <c r="A732" s="61" t="n"/>
      <c r="B732" s="61" t="n"/>
      <c r="C732" s="61" t="n"/>
      <c r="D732" s="61" t="n"/>
    </row>
    <row r="733">
      <c r="A733" s="61" t="n"/>
      <c r="B733" s="61" t="n"/>
      <c r="C733" s="61" t="n"/>
      <c r="D733" s="61" t="n"/>
    </row>
    <row r="734">
      <c r="A734" s="61" t="n"/>
      <c r="B734" s="61" t="n"/>
      <c r="C734" s="61" t="n"/>
      <c r="D734" s="61" t="n"/>
    </row>
    <row r="735">
      <c r="A735" s="61" t="n"/>
      <c r="B735" s="61" t="n"/>
      <c r="C735" s="61" t="n"/>
      <c r="D735" s="61" t="n"/>
    </row>
    <row r="736">
      <c r="A736" s="61" t="n"/>
      <c r="B736" s="61" t="n"/>
      <c r="C736" s="61" t="n"/>
      <c r="D736" s="61" t="n"/>
    </row>
    <row r="737">
      <c r="A737" s="61" t="n"/>
      <c r="B737" s="61" t="n"/>
      <c r="C737" s="61" t="n"/>
      <c r="D737" s="61" t="n"/>
    </row>
    <row r="738">
      <c r="A738" s="61" t="n"/>
      <c r="B738" s="61" t="n"/>
      <c r="C738" s="61" t="n"/>
      <c r="D738" s="61" t="n"/>
    </row>
    <row r="739">
      <c r="A739" s="61" t="n"/>
      <c r="B739" s="61" t="n"/>
      <c r="C739" s="61" t="n"/>
      <c r="D739" s="61" t="n"/>
    </row>
    <row r="740">
      <c r="A740" s="61" t="n"/>
      <c r="B740" s="61" t="n"/>
      <c r="C740" s="61" t="n"/>
      <c r="D740" s="61" t="n"/>
    </row>
    <row r="741">
      <c r="A741" s="61" t="n"/>
      <c r="B741" s="61" t="n"/>
      <c r="C741" s="61" t="n"/>
      <c r="D741" s="61" t="n"/>
    </row>
    <row r="742">
      <c r="A742" s="61" t="n"/>
      <c r="B742" s="61" t="n"/>
      <c r="C742" s="61" t="n"/>
      <c r="D742" s="61" t="n"/>
    </row>
    <row r="743">
      <c r="A743" s="61" t="n"/>
      <c r="B743" s="61" t="n"/>
      <c r="C743" s="61" t="n"/>
      <c r="D743" s="61" t="n"/>
    </row>
    <row r="744">
      <c r="A744" s="61" t="n"/>
      <c r="B744" s="61" t="n"/>
      <c r="C744" s="61" t="n"/>
      <c r="D744" s="61" t="n"/>
    </row>
    <row r="745">
      <c r="A745" s="61" t="n"/>
      <c r="B745" s="61" t="n"/>
      <c r="C745" s="61" t="n"/>
      <c r="D745" s="61" t="n"/>
    </row>
    <row r="746">
      <c r="A746" s="61" t="n"/>
      <c r="B746" s="61" t="n"/>
      <c r="C746" s="61" t="n"/>
      <c r="D746" s="61" t="n"/>
    </row>
    <row r="747">
      <c r="A747" s="61" t="n"/>
      <c r="B747" s="61" t="n"/>
      <c r="C747" s="61" t="n"/>
      <c r="D747" s="61" t="n"/>
    </row>
    <row r="748">
      <c r="A748" s="61" t="n"/>
      <c r="B748" s="61" t="n"/>
      <c r="C748" s="61" t="n"/>
      <c r="D748" s="61" t="n"/>
    </row>
    <row r="749">
      <c r="A749" s="61" t="n"/>
      <c r="B749" s="61" t="n"/>
      <c r="C749" s="61" t="n"/>
      <c r="D749" s="61" t="n"/>
    </row>
    <row r="750">
      <c r="A750" s="61" t="n"/>
      <c r="B750" s="61" t="n"/>
      <c r="C750" s="61" t="n"/>
      <c r="D750" s="61" t="n"/>
    </row>
    <row r="751">
      <c r="A751" s="61" t="n"/>
      <c r="B751" s="61" t="n"/>
      <c r="C751" s="61" t="n"/>
      <c r="D751" s="61" t="n"/>
    </row>
    <row r="752">
      <c r="A752" s="61" t="n"/>
      <c r="B752" s="61" t="n"/>
      <c r="C752" s="61" t="n"/>
      <c r="D752" s="61" t="n"/>
    </row>
    <row r="753">
      <c r="A753" s="61" t="n"/>
      <c r="B753" s="61" t="n"/>
      <c r="C753" s="61" t="n"/>
      <c r="D753" s="61" t="n"/>
    </row>
    <row r="754">
      <c r="A754" s="61" t="n"/>
      <c r="B754" s="61" t="n"/>
      <c r="C754" s="61" t="n"/>
      <c r="D754" s="61" t="n"/>
    </row>
    <row r="755">
      <c r="A755" s="61" t="n"/>
      <c r="B755" s="61" t="n"/>
      <c r="C755" s="61" t="n"/>
      <c r="D755" s="61" t="n"/>
    </row>
    <row r="756">
      <c r="A756" s="61" t="n"/>
      <c r="B756" s="61" t="n"/>
      <c r="C756" s="61" t="n"/>
      <c r="D756" s="61" t="n"/>
    </row>
    <row r="757">
      <c r="A757" s="61" t="n"/>
      <c r="B757" s="61" t="n"/>
      <c r="C757" s="61" t="n"/>
      <c r="D757" s="61" t="n"/>
    </row>
    <row r="758">
      <c r="A758" s="61" t="n"/>
      <c r="B758" s="61" t="n"/>
      <c r="C758" s="61" t="n"/>
      <c r="D758" s="61" t="n"/>
    </row>
    <row r="759">
      <c r="A759" s="61" t="n"/>
      <c r="B759" s="61" t="n"/>
      <c r="C759" s="61" t="n"/>
      <c r="D759" s="61" t="n"/>
    </row>
    <row r="760">
      <c r="A760" s="61" t="n"/>
      <c r="B760" s="61" t="n"/>
      <c r="C760" s="61" t="n"/>
      <c r="D760" s="61" t="n"/>
    </row>
    <row r="761">
      <c r="A761" s="61" t="n"/>
      <c r="B761" s="61" t="n"/>
      <c r="C761" s="61" t="n"/>
      <c r="D761" s="61" t="n"/>
    </row>
    <row r="762">
      <c r="A762" s="61" t="n"/>
      <c r="B762" s="61" t="n"/>
      <c r="C762" s="61" t="n"/>
      <c r="D762" s="61" t="n"/>
    </row>
    <row r="763">
      <c r="A763" s="61" t="n"/>
      <c r="B763" s="61" t="n"/>
      <c r="C763" s="61" t="n"/>
      <c r="D763" s="61" t="n"/>
    </row>
    <row r="764">
      <c r="A764" s="61" t="n"/>
      <c r="B764" s="61" t="n"/>
      <c r="C764" s="61" t="n"/>
      <c r="D764" s="61" t="n"/>
    </row>
    <row r="765">
      <c r="A765" s="61" t="n"/>
      <c r="B765" s="61" t="n"/>
      <c r="C765" s="61" t="n"/>
      <c r="D765" s="61" t="n"/>
    </row>
    <row r="766">
      <c r="A766" s="61" t="n"/>
      <c r="B766" s="61" t="n"/>
      <c r="C766" s="61" t="n"/>
      <c r="D766" s="61" t="n"/>
    </row>
    <row r="767">
      <c r="A767" s="61" t="n"/>
      <c r="B767" s="61" t="n"/>
      <c r="C767" s="61" t="n"/>
      <c r="D767" s="61" t="n"/>
    </row>
    <row r="768">
      <c r="A768" s="61" t="n"/>
      <c r="B768" s="61" t="n"/>
      <c r="C768" s="61" t="n"/>
      <c r="D768" s="61" t="n"/>
    </row>
    <row r="769">
      <c r="A769" s="61" t="n"/>
      <c r="B769" s="61" t="n"/>
      <c r="C769" s="61" t="n"/>
      <c r="D769" s="61" t="n"/>
    </row>
    <row r="770">
      <c r="A770" s="61" t="n"/>
      <c r="B770" s="61" t="n"/>
      <c r="C770" s="61" t="n"/>
      <c r="D770" s="61" t="n"/>
    </row>
    <row r="771">
      <c r="A771" s="61" t="n"/>
      <c r="B771" s="61" t="n"/>
      <c r="C771" s="61" t="n"/>
      <c r="D771" s="61" t="n"/>
    </row>
    <row r="772">
      <c r="A772" s="61" t="n"/>
      <c r="B772" s="61" t="n"/>
      <c r="C772" s="61" t="n"/>
      <c r="D772" s="61" t="n"/>
    </row>
    <row r="773">
      <c r="A773" s="61" t="n"/>
      <c r="B773" s="61" t="n"/>
      <c r="C773" s="61" t="n"/>
      <c r="D773" s="61" t="n"/>
    </row>
    <row r="774">
      <c r="A774" s="61" t="n"/>
      <c r="B774" s="61" t="n"/>
      <c r="C774" s="61" t="n"/>
      <c r="D774" s="61" t="n"/>
    </row>
    <row r="775">
      <c r="A775" s="61" t="n"/>
      <c r="B775" s="61" t="n"/>
      <c r="C775" s="61" t="n"/>
      <c r="D775" s="61" t="n"/>
    </row>
    <row r="776">
      <c r="A776" s="61" t="n"/>
      <c r="B776" s="61" t="n"/>
      <c r="C776" s="61" t="n"/>
      <c r="D776" s="61" t="n"/>
    </row>
    <row r="777">
      <c r="A777" s="61" t="n"/>
      <c r="B777" s="61" t="n"/>
      <c r="C777" s="61" t="n"/>
      <c r="D777" s="61" t="n"/>
    </row>
    <row r="778">
      <c r="A778" s="61" t="n"/>
      <c r="B778" s="61" t="n"/>
      <c r="C778" s="61" t="n"/>
      <c r="D778" s="61" t="n"/>
    </row>
    <row r="779">
      <c r="A779" s="61" t="n"/>
      <c r="B779" s="61" t="n"/>
      <c r="C779" s="61" t="n"/>
      <c r="D779" s="61" t="n"/>
    </row>
    <row r="780">
      <c r="A780" s="61" t="n"/>
      <c r="B780" s="61" t="n"/>
      <c r="C780" s="61" t="n"/>
      <c r="D780" s="61" t="n"/>
    </row>
    <row r="781">
      <c r="A781" s="61" t="n"/>
      <c r="B781" s="61" t="n"/>
      <c r="C781" s="61" t="n"/>
      <c r="D781" s="61" t="n"/>
    </row>
    <row r="782">
      <c r="A782" s="61" t="n"/>
      <c r="B782" s="61" t="n"/>
      <c r="C782" s="61" t="n"/>
      <c r="D782" s="61" t="n"/>
    </row>
    <row r="783">
      <c r="A783" s="61" t="n"/>
      <c r="B783" s="61" t="n"/>
      <c r="C783" s="61" t="n"/>
      <c r="D783" s="61" t="n"/>
    </row>
    <row r="784">
      <c r="A784" s="61" t="n"/>
      <c r="B784" s="61" t="n"/>
      <c r="C784" s="61" t="n"/>
      <c r="D784" s="61" t="n"/>
    </row>
    <row r="785">
      <c r="A785" s="61" t="n"/>
      <c r="B785" s="61" t="n"/>
      <c r="C785" s="61" t="n"/>
      <c r="D785" s="61" t="n"/>
    </row>
    <row r="786">
      <c r="A786" s="61" t="n"/>
      <c r="B786" s="61" t="n"/>
      <c r="C786" s="61" t="n"/>
      <c r="D786" s="61" t="n"/>
    </row>
    <row r="787">
      <c r="A787" s="61" t="n"/>
      <c r="B787" s="61" t="n"/>
      <c r="C787" s="61" t="n"/>
      <c r="D787" s="61" t="n"/>
    </row>
    <row r="788">
      <c r="A788" s="61" t="n"/>
      <c r="B788" s="61" t="n"/>
      <c r="C788" s="61" t="n"/>
      <c r="D788" s="61" t="n"/>
    </row>
    <row r="789">
      <c r="A789" s="61" t="n"/>
      <c r="B789" s="61" t="n"/>
      <c r="C789" s="61" t="n"/>
      <c r="D789" s="61" t="n"/>
    </row>
    <row r="790">
      <c r="A790" s="61" t="n"/>
      <c r="B790" s="61" t="n"/>
      <c r="C790" s="61" t="n"/>
      <c r="D790" s="61" t="n"/>
    </row>
    <row r="791">
      <c r="A791" s="61" t="n"/>
      <c r="B791" s="61" t="n"/>
      <c r="C791" s="61" t="n"/>
      <c r="D791" s="61" t="n"/>
    </row>
    <row r="792">
      <c r="A792" s="61" t="n"/>
      <c r="B792" s="61" t="n"/>
      <c r="C792" s="61" t="n"/>
      <c r="D792" s="61" t="n"/>
    </row>
    <row r="793">
      <c r="A793" s="61" t="n"/>
      <c r="B793" s="61" t="n"/>
      <c r="C793" s="61" t="n"/>
      <c r="D793" s="61" t="n"/>
    </row>
    <row r="794">
      <c r="A794" s="61" t="n"/>
      <c r="B794" s="61" t="n"/>
      <c r="C794" s="61" t="n"/>
      <c r="D794" s="61" t="n"/>
    </row>
    <row r="795">
      <c r="A795" s="61" t="n"/>
      <c r="B795" s="61" t="n"/>
      <c r="C795" s="61" t="n"/>
      <c r="D795" s="61" t="n"/>
    </row>
    <row r="796">
      <c r="A796" s="61" t="n"/>
      <c r="B796" s="61" t="n"/>
      <c r="C796" s="61" t="n"/>
      <c r="D796" s="61" t="n"/>
    </row>
    <row r="797">
      <c r="A797" s="61" t="n"/>
      <c r="B797" s="61" t="n"/>
      <c r="C797" s="61" t="n"/>
      <c r="D797" s="61" t="n"/>
    </row>
    <row r="798">
      <c r="A798" s="61" t="n"/>
      <c r="B798" s="61" t="n"/>
      <c r="C798" s="61" t="n"/>
      <c r="D798" s="61" t="n"/>
    </row>
    <row r="799">
      <c r="A799" s="61" t="n"/>
      <c r="B799" s="61" t="n"/>
      <c r="C799" s="61" t="n"/>
      <c r="D799" s="61" t="n"/>
    </row>
    <row r="800">
      <c r="A800" s="61" t="n"/>
      <c r="B800" s="61" t="n"/>
      <c r="C800" s="61" t="n"/>
      <c r="D800" s="61" t="n"/>
    </row>
    <row r="801">
      <c r="A801" s="61" t="n"/>
      <c r="B801" s="61" t="n"/>
      <c r="C801" s="61" t="n"/>
      <c r="D801" s="61" t="n"/>
    </row>
    <row r="802">
      <c r="A802" s="61" t="n"/>
      <c r="B802" s="61" t="n"/>
      <c r="C802" s="61" t="n"/>
      <c r="D802" s="61" t="n"/>
    </row>
    <row r="803">
      <c r="A803" s="61" t="n"/>
      <c r="B803" s="61" t="n"/>
      <c r="C803" s="61" t="n"/>
      <c r="D803" s="61" t="n"/>
    </row>
    <row r="804">
      <c r="A804" s="61" t="n"/>
      <c r="B804" s="61" t="n"/>
      <c r="C804" s="61" t="n"/>
      <c r="D804" s="61" t="n"/>
    </row>
    <row r="805">
      <c r="A805" s="61" t="n"/>
      <c r="B805" s="61" t="n"/>
      <c r="C805" s="61" t="n"/>
      <c r="D805" s="61" t="n"/>
    </row>
    <row r="806">
      <c r="A806" s="61" t="n"/>
      <c r="B806" s="61" t="n"/>
      <c r="C806" s="61" t="n"/>
      <c r="D806" s="61" t="n"/>
    </row>
    <row r="807">
      <c r="A807" s="61" t="n"/>
      <c r="B807" s="61" t="n"/>
      <c r="C807" s="61" t="n"/>
      <c r="D807" s="61" t="n"/>
    </row>
    <row r="808">
      <c r="A808" s="61" t="n"/>
      <c r="B808" s="61" t="n"/>
      <c r="C808" s="61" t="n"/>
      <c r="D808" s="61" t="n"/>
    </row>
    <row r="809">
      <c r="A809" s="61" t="n"/>
      <c r="B809" s="61" t="n"/>
      <c r="C809" s="61" t="n"/>
      <c r="D809" s="61" t="n"/>
    </row>
    <row r="810">
      <c r="A810" s="61" t="n"/>
      <c r="B810" s="61" t="n"/>
      <c r="C810" s="61" t="n"/>
      <c r="D810" s="61" t="n"/>
    </row>
    <row r="811">
      <c r="A811" s="61" t="n"/>
      <c r="B811" s="61" t="n"/>
      <c r="C811" s="61" t="n"/>
      <c r="D811" s="61" t="n"/>
    </row>
    <row r="812">
      <c r="A812" s="61" t="n"/>
      <c r="B812" s="61" t="n"/>
      <c r="C812" s="61" t="n"/>
      <c r="D812" s="61" t="n"/>
    </row>
    <row r="813">
      <c r="A813" s="61" t="n"/>
      <c r="B813" s="61" t="n"/>
      <c r="C813" s="61" t="n"/>
      <c r="D813" s="61" t="n"/>
    </row>
    <row r="814">
      <c r="A814" s="61" t="n"/>
      <c r="B814" s="61" t="n"/>
      <c r="C814" s="61" t="n"/>
      <c r="D814" s="61" t="n"/>
    </row>
    <row r="815">
      <c r="A815" s="61" t="n"/>
      <c r="B815" s="61" t="n"/>
      <c r="C815" s="61" t="n"/>
      <c r="D815" s="61" t="n"/>
    </row>
    <row r="816">
      <c r="A816" s="61" t="n"/>
      <c r="B816" s="61" t="n"/>
      <c r="C816" s="61" t="n"/>
      <c r="D816" s="61" t="n"/>
    </row>
    <row r="817">
      <c r="A817" s="61" t="n"/>
      <c r="B817" s="61" t="n"/>
      <c r="C817" s="61" t="n"/>
      <c r="D817" s="61" t="n"/>
    </row>
    <row r="818">
      <c r="A818" s="61" t="n"/>
      <c r="B818" s="61" t="n"/>
      <c r="C818" s="61" t="n"/>
      <c r="D818" s="61" t="n"/>
    </row>
    <row r="819">
      <c r="A819" s="61" t="n"/>
      <c r="B819" s="61" t="n"/>
      <c r="C819" s="61" t="n"/>
      <c r="D819" s="61" t="n"/>
    </row>
    <row r="820">
      <c r="A820" s="61" t="n"/>
      <c r="B820" s="61" t="n"/>
      <c r="C820" s="61" t="n"/>
      <c r="D820" s="61" t="n"/>
    </row>
    <row r="821">
      <c r="A821" s="61" t="n"/>
      <c r="B821" s="61" t="n"/>
      <c r="C821" s="61" t="n"/>
      <c r="D821" s="61" t="n"/>
    </row>
    <row r="822">
      <c r="A822" s="61" t="n"/>
      <c r="B822" s="61" t="n"/>
      <c r="C822" s="61" t="n"/>
      <c r="D822" s="61" t="n"/>
    </row>
    <row r="823">
      <c r="A823" s="61" t="n"/>
      <c r="B823" s="61" t="n"/>
      <c r="C823" s="61" t="n"/>
      <c r="D823" s="61" t="n"/>
    </row>
    <row r="824">
      <c r="A824" s="61" t="n"/>
      <c r="B824" s="61" t="n"/>
      <c r="C824" s="61" t="n"/>
      <c r="D824" s="61" t="n"/>
    </row>
    <row r="825">
      <c r="A825" s="61" t="n"/>
      <c r="B825" s="61" t="n"/>
      <c r="C825" s="61" t="n"/>
      <c r="D825" s="61" t="n"/>
    </row>
    <row r="826">
      <c r="A826" s="61" t="n"/>
      <c r="B826" s="61" t="n"/>
      <c r="C826" s="61" t="n"/>
      <c r="D826" s="61" t="n"/>
    </row>
    <row r="827">
      <c r="A827" s="61" t="n"/>
      <c r="B827" s="61" t="n"/>
      <c r="C827" s="61" t="n"/>
      <c r="D827" s="61" t="n"/>
    </row>
    <row r="828">
      <c r="A828" s="61" t="n"/>
      <c r="B828" s="61" t="n"/>
      <c r="C828" s="61" t="n"/>
      <c r="D828" s="61" t="n"/>
    </row>
    <row r="829">
      <c r="A829" s="61" t="n"/>
      <c r="B829" s="61" t="n"/>
      <c r="C829" s="61" t="n"/>
      <c r="D829" s="61" t="n"/>
    </row>
    <row r="830">
      <c r="A830" s="61" t="n"/>
      <c r="B830" s="61" t="n"/>
      <c r="C830" s="61" t="n"/>
      <c r="D830" s="61" t="n"/>
    </row>
    <row r="831">
      <c r="A831" s="61" t="n"/>
      <c r="B831" s="61" t="n"/>
      <c r="C831" s="61" t="n"/>
      <c r="D831" s="61" t="n"/>
    </row>
    <row r="832">
      <c r="A832" s="61" t="n"/>
      <c r="B832" s="61" t="n"/>
      <c r="C832" s="61" t="n"/>
      <c r="D832" s="61" t="n"/>
    </row>
    <row r="833">
      <c r="A833" s="61" t="n"/>
      <c r="B833" s="61" t="n"/>
      <c r="C833" s="61" t="n"/>
      <c r="D833" s="61" t="n"/>
    </row>
    <row r="834">
      <c r="A834" s="61" t="n"/>
      <c r="B834" s="61" t="n"/>
      <c r="C834" s="61" t="n"/>
      <c r="D834" s="61" t="n"/>
    </row>
    <row r="835">
      <c r="A835" s="61" t="n"/>
      <c r="B835" s="61" t="n"/>
      <c r="C835" s="61" t="n"/>
      <c r="D835" s="61" t="n"/>
    </row>
    <row r="836">
      <c r="A836" s="61" t="n"/>
      <c r="B836" s="61" t="n"/>
      <c r="C836" s="61" t="n"/>
      <c r="D836" s="61" t="n"/>
    </row>
    <row r="837">
      <c r="A837" s="61" t="n"/>
      <c r="B837" s="61" t="n"/>
      <c r="C837" s="61" t="n"/>
      <c r="D837" s="61" t="n"/>
    </row>
    <row r="838">
      <c r="A838" s="61" t="n"/>
      <c r="B838" s="61" t="n"/>
      <c r="C838" s="61" t="n"/>
      <c r="D838" s="61" t="n"/>
    </row>
    <row r="839">
      <c r="A839" s="61" t="n"/>
      <c r="B839" s="61" t="n"/>
      <c r="C839" s="61" t="n"/>
      <c r="D839" s="61" t="n"/>
    </row>
    <row r="840">
      <c r="A840" s="61" t="n"/>
      <c r="B840" s="61" t="n"/>
      <c r="C840" s="61" t="n"/>
      <c r="D840" s="61" t="n"/>
    </row>
    <row r="841">
      <c r="A841" s="61" t="n"/>
      <c r="B841" s="61" t="n"/>
      <c r="C841" s="61" t="n"/>
      <c r="D841" s="61" t="n"/>
    </row>
    <row r="842">
      <c r="A842" s="61" t="n"/>
      <c r="B842" s="61" t="n"/>
      <c r="C842" s="61" t="n"/>
      <c r="D842" s="61" t="n"/>
    </row>
    <row r="843">
      <c r="A843" s="61" t="n"/>
      <c r="B843" s="61" t="n"/>
      <c r="C843" s="61" t="n"/>
      <c r="D843" s="61" t="n"/>
    </row>
    <row r="844">
      <c r="A844" s="61" t="n"/>
      <c r="B844" s="61" t="n"/>
      <c r="C844" s="61" t="n"/>
      <c r="D844" s="61" t="n"/>
    </row>
    <row r="845">
      <c r="A845" s="61" t="n"/>
      <c r="B845" s="61" t="n"/>
      <c r="C845" s="61" t="n"/>
      <c r="D845" s="61" t="n"/>
    </row>
    <row r="846">
      <c r="A846" s="61" t="n"/>
      <c r="B846" s="61" t="n"/>
      <c r="C846" s="61" t="n"/>
      <c r="D846" s="61" t="n"/>
    </row>
    <row r="847">
      <c r="A847" s="61" t="n"/>
      <c r="B847" s="61" t="n"/>
      <c r="C847" s="61" t="n"/>
      <c r="D847" s="61" t="n"/>
    </row>
    <row r="848">
      <c r="A848" s="61" t="n"/>
      <c r="B848" s="61" t="n"/>
      <c r="C848" s="61" t="n"/>
      <c r="D848" s="61" t="n"/>
    </row>
    <row r="849">
      <c r="A849" s="61" t="n"/>
      <c r="B849" s="61" t="n"/>
      <c r="C849" s="61" t="n"/>
      <c r="D849" s="61" t="n"/>
    </row>
    <row r="850">
      <c r="A850" s="61" t="n"/>
      <c r="B850" s="61" t="n"/>
      <c r="C850" s="61" t="n"/>
      <c r="D850" s="61" t="n"/>
    </row>
    <row r="851">
      <c r="A851" s="61" t="n"/>
      <c r="B851" s="61" t="n"/>
      <c r="C851" s="61" t="n"/>
      <c r="D851" s="61" t="n"/>
    </row>
    <row r="852">
      <c r="A852" s="61" t="n"/>
      <c r="B852" s="61" t="n"/>
      <c r="C852" s="61" t="n"/>
      <c r="D852" s="61" t="n"/>
    </row>
    <row r="853">
      <c r="A853" s="61" t="n"/>
      <c r="B853" s="61" t="n"/>
      <c r="C853" s="61" t="n"/>
      <c r="D853" s="61" t="n"/>
    </row>
    <row r="854">
      <c r="A854" s="61" t="n"/>
      <c r="B854" s="61" t="n"/>
      <c r="C854" s="61" t="n"/>
      <c r="D854" s="61" t="n"/>
    </row>
    <row r="855">
      <c r="A855" s="61" t="n"/>
      <c r="B855" s="61" t="n"/>
      <c r="C855" s="61" t="n"/>
      <c r="D855" s="61" t="n"/>
    </row>
    <row r="856">
      <c r="A856" s="61" t="n"/>
      <c r="B856" s="61" t="n"/>
      <c r="C856" s="61" t="n"/>
      <c r="D856" s="61" t="n"/>
    </row>
    <row r="857">
      <c r="A857" s="61" t="n"/>
      <c r="B857" s="61" t="n"/>
      <c r="C857" s="61" t="n"/>
      <c r="D857" s="61" t="n"/>
    </row>
    <row r="858">
      <c r="A858" s="61" t="n"/>
      <c r="B858" s="61" t="n"/>
      <c r="C858" s="61" t="n"/>
      <c r="D858" s="61" t="n"/>
    </row>
    <row r="859">
      <c r="A859" s="61" t="n"/>
      <c r="B859" s="61" t="n"/>
      <c r="C859" s="61" t="n"/>
      <c r="D859" s="61" t="n"/>
    </row>
    <row r="860">
      <c r="A860" s="61" t="n"/>
      <c r="B860" s="61" t="n"/>
      <c r="C860" s="61" t="n"/>
      <c r="D860" s="61" t="n"/>
    </row>
    <row r="861">
      <c r="A861" s="61" t="n"/>
      <c r="B861" s="61" t="n"/>
      <c r="C861" s="61" t="n"/>
      <c r="D861" s="61" t="n"/>
    </row>
    <row r="862">
      <c r="A862" s="61" t="n"/>
      <c r="B862" s="61" t="n"/>
      <c r="C862" s="61" t="n"/>
      <c r="D862" s="61" t="n"/>
    </row>
    <row r="863">
      <c r="A863" s="61" t="n"/>
      <c r="B863" s="61" t="n"/>
      <c r="C863" s="61" t="n"/>
      <c r="D863" s="61" t="n"/>
    </row>
    <row r="864">
      <c r="A864" s="61" t="n"/>
      <c r="B864" s="61" t="n"/>
      <c r="C864" s="61" t="n"/>
      <c r="D864" s="61" t="n"/>
    </row>
    <row r="865">
      <c r="A865" s="61" t="n"/>
      <c r="B865" s="61" t="n"/>
      <c r="C865" s="61" t="n"/>
      <c r="D865" s="61" t="n"/>
    </row>
    <row r="866">
      <c r="A866" s="61" t="n"/>
      <c r="B866" s="61" t="n"/>
      <c r="C866" s="61" t="n"/>
      <c r="D866" s="61" t="n"/>
    </row>
    <row r="867">
      <c r="A867" s="61" t="n"/>
      <c r="B867" s="61" t="n"/>
      <c r="C867" s="61" t="n"/>
      <c r="D867" s="61" t="n"/>
    </row>
    <row r="868">
      <c r="A868" s="61" t="n"/>
      <c r="B868" s="61" t="n"/>
      <c r="C868" s="61" t="n"/>
      <c r="D868" s="61" t="n"/>
    </row>
    <row r="869">
      <c r="A869" s="61" t="n"/>
      <c r="B869" s="61" t="n"/>
      <c r="C869" s="61" t="n"/>
      <c r="D869" s="61" t="n"/>
    </row>
    <row r="870">
      <c r="A870" s="61" t="n"/>
      <c r="B870" s="61" t="n"/>
      <c r="C870" s="61" t="n"/>
      <c r="D870" s="61" t="n"/>
    </row>
    <row r="871">
      <c r="A871" s="61" t="n"/>
      <c r="B871" s="61" t="n"/>
      <c r="C871" s="61" t="n"/>
      <c r="D871" s="61" t="n"/>
    </row>
    <row r="872">
      <c r="A872" s="61" t="n"/>
      <c r="B872" s="61" t="n"/>
      <c r="C872" s="61" t="n"/>
      <c r="D872" s="61" t="n"/>
    </row>
    <row r="873">
      <c r="A873" s="61" t="n"/>
      <c r="B873" s="61" t="n"/>
      <c r="C873" s="61" t="n"/>
      <c r="D873" s="61" t="n"/>
    </row>
    <row r="874">
      <c r="A874" s="61" t="n"/>
      <c r="B874" s="61" t="n"/>
      <c r="C874" s="61" t="n"/>
      <c r="D874" s="61" t="n"/>
    </row>
    <row r="875">
      <c r="A875" s="61" t="n"/>
      <c r="B875" s="61" t="n"/>
      <c r="C875" s="61" t="n"/>
      <c r="D875" s="61" t="n"/>
    </row>
    <row r="876">
      <c r="A876" s="61" t="n"/>
      <c r="B876" s="61" t="n"/>
      <c r="C876" s="61" t="n"/>
      <c r="D876" s="61" t="n"/>
    </row>
    <row r="877">
      <c r="A877" s="61" t="n"/>
      <c r="B877" s="61" t="n"/>
      <c r="C877" s="61" t="n"/>
      <c r="D877" s="61" t="n"/>
    </row>
    <row r="878">
      <c r="A878" s="61" t="n"/>
      <c r="B878" s="61" t="n"/>
      <c r="C878" s="61" t="n"/>
      <c r="D878" s="61" t="n"/>
    </row>
    <row r="879">
      <c r="A879" s="61" t="n"/>
      <c r="B879" s="61" t="n"/>
      <c r="C879" s="61" t="n"/>
      <c r="D879" s="61" t="n"/>
    </row>
    <row r="880">
      <c r="A880" s="61" t="n"/>
      <c r="B880" s="61" t="n"/>
      <c r="C880" s="61" t="n"/>
      <c r="D880" s="61" t="n"/>
    </row>
    <row r="881">
      <c r="A881" s="61" t="n"/>
      <c r="B881" s="61" t="n"/>
      <c r="C881" s="61" t="n"/>
      <c r="D881" s="61" t="n"/>
    </row>
    <row r="882">
      <c r="A882" s="61" t="n"/>
      <c r="B882" s="61" t="n"/>
      <c r="C882" s="61" t="n"/>
      <c r="D882" s="61" t="n"/>
    </row>
    <row r="883">
      <c r="A883" s="61" t="n"/>
      <c r="B883" s="61" t="n"/>
      <c r="C883" s="61" t="n"/>
      <c r="D883" s="61" t="n"/>
    </row>
    <row r="884">
      <c r="A884" s="61" t="n"/>
      <c r="B884" s="61" t="n"/>
      <c r="C884" s="61" t="n"/>
      <c r="D884" s="61" t="n"/>
    </row>
    <row r="885">
      <c r="A885" s="61" t="n"/>
      <c r="B885" s="61" t="n"/>
      <c r="C885" s="61" t="n"/>
      <c r="D885" s="61" t="n"/>
    </row>
    <row r="886">
      <c r="A886" s="61" t="n"/>
      <c r="B886" s="61" t="n"/>
      <c r="C886" s="61" t="n"/>
      <c r="D886" s="61" t="n"/>
    </row>
    <row r="887">
      <c r="A887" s="61" t="n"/>
      <c r="B887" s="61" t="n"/>
      <c r="C887" s="61" t="n"/>
      <c r="D887" s="61" t="n"/>
    </row>
    <row r="888">
      <c r="A888" s="61" t="n"/>
      <c r="B888" s="61" t="n"/>
      <c r="C888" s="61" t="n"/>
      <c r="D888" s="61" t="n"/>
    </row>
    <row r="889">
      <c r="A889" s="61" t="n"/>
      <c r="B889" s="61" t="n"/>
      <c r="C889" s="61" t="n"/>
      <c r="D889" s="61" t="n"/>
    </row>
    <row r="890">
      <c r="A890" s="61" t="n"/>
      <c r="B890" s="61" t="n"/>
      <c r="C890" s="61" t="n"/>
      <c r="D890" s="61" t="n"/>
    </row>
    <row r="891">
      <c r="A891" s="61" t="n"/>
      <c r="B891" s="61" t="n"/>
      <c r="C891" s="61" t="n"/>
      <c r="D891" s="61" t="n"/>
    </row>
    <row r="892">
      <c r="A892" s="61" t="n"/>
      <c r="B892" s="61" t="n"/>
      <c r="C892" s="61" t="n"/>
      <c r="D892" s="61" t="n"/>
    </row>
    <row r="893">
      <c r="A893" s="61" t="n"/>
      <c r="B893" s="61" t="n"/>
      <c r="C893" s="61" t="n"/>
      <c r="D893" s="61" t="n"/>
    </row>
    <row r="894">
      <c r="A894" s="61" t="n"/>
      <c r="B894" s="61" t="n"/>
      <c r="C894" s="61" t="n"/>
      <c r="D894" s="61" t="n"/>
    </row>
    <row r="895">
      <c r="A895" s="61" t="n"/>
      <c r="B895" s="61" t="n"/>
      <c r="C895" s="61" t="n"/>
      <c r="D895" s="61" t="n"/>
    </row>
    <row r="896">
      <c r="A896" s="61" t="n"/>
      <c r="B896" s="61" t="n"/>
      <c r="C896" s="61" t="n"/>
      <c r="D896" s="61" t="n"/>
    </row>
    <row r="897">
      <c r="A897" s="61" t="n"/>
      <c r="B897" s="61" t="n"/>
      <c r="C897" s="61" t="n"/>
      <c r="D897" s="61" t="n"/>
    </row>
    <row r="898">
      <c r="A898" s="61" t="n"/>
      <c r="B898" s="61" t="n"/>
      <c r="C898" s="61" t="n"/>
      <c r="D898" s="61" t="n"/>
    </row>
    <row r="899">
      <c r="A899" s="61" t="n"/>
      <c r="B899" s="61" t="n"/>
      <c r="C899" s="61" t="n"/>
      <c r="D899" s="61" t="n"/>
    </row>
    <row r="900">
      <c r="A900" s="61" t="n"/>
      <c r="B900" s="61" t="n"/>
      <c r="C900" s="61" t="n"/>
      <c r="D900" s="61" t="n"/>
    </row>
    <row r="901">
      <c r="A901" s="61" t="n"/>
      <c r="B901" s="61" t="n"/>
      <c r="C901" s="61" t="n"/>
      <c r="D901" s="61" t="n"/>
    </row>
    <row r="902">
      <c r="A902" s="61" t="n"/>
      <c r="B902" s="61" t="n"/>
      <c r="C902" s="61" t="n"/>
      <c r="D902" s="61" t="n"/>
    </row>
    <row r="903">
      <c r="A903" s="61" t="n"/>
      <c r="B903" s="61" t="n"/>
      <c r="C903" s="61" t="n"/>
      <c r="D903" s="61" t="n"/>
    </row>
    <row r="904">
      <c r="A904" s="61" t="n"/>
      <c r="B904" s="61" t="n"/>
      <c r="C904" s="61" t="n"/>
      <c r="D904" s="61" t="n"/>
    </row>
    <row r="905">
      <c r="A905" s="61" t="n"/>
      <c r="B905" s="61" t="n"/>
      <c r="C905" s="61" t="n"/>
      <c r="D905" s="61" t="n"/>
    </row>
    <row r="906">
      <c r="A906" s="61" t="n"/>
      <c r="B906" s="61" t="n"/>
      <c r="C906" s="61" t="n"/>
      <c r="D906" s="61" t="n"/>
    </row>
    <row r="907">
      <c r="A907" s="61" t="n"/>
      <c r="B907" s="61" t="n"/>
      <c r="C907" s="61" t="n"/>
      <c r="D907" s="61" t="n"/>
    </row>
    <row r="908">
      <c r="A908" s="61" t="n"/>
      <c r="B908" s="61" t="n"/>
      <c r="C908" s="61" t="n"/>
      <c r="D908" s="61" t="n"/>
    </row>
    <row r="909">
      <c r="A909" s="61" t="n"/>
      <c r="B909" s="61" t="n"/>
      <c r="C909" s="61" t="n"/>
      <c r="D909" s="61" t="n"/>
    </row>
    <row r="910">
      <c r="A910" s="61" t="n"/>
      <c r="B910" s="61" t="n"/>
      <c r="C910" s="61" t="n"/>
      <c r="D910" s="61" t="n"/>
    </row>
    <row r="911">
      <c r="A911" s="61" t="n"/>
      <c r="B911" s="61" t="n"/>
      <c r="C911" s="61" t="n"/>
      <c r="D911" s="61" t="n"/>
    </row>
    <row r="912">
      <c r="A912" s="61" t="n"/>
      <c r="B912" s="61" t="n"/>
      <c r="C912" s="61" t="n"/>
      <c r="D912" s="61" t="n"/>
    </row>
    <row r="913">
      <c r="A913" s="61" t="n"/>
      <c r="B913" s="61" t="n"/>
      <c r="C913" s="61" t="n"/>
      <c r="D913" s="61" t="n"/>
    </row>
    <row r="914">
      <c r="A914" s="61" t="n"/>
      <c r="B914" s="61" t="n"/>
      <c r="C914" s="61" t="n"/>
      <c r="D914" s="61" t="n"/>
    </row>
    <row r="915">
      <c r="A915" s="61" t="n"/>
      <c r="B915" s="61" t="n"/>
      <c r="C915" s="61" t="n"/>
      <c r="D915" s="61" t="n"/>
    </row>
    <row r="916">
      <c r="A916" s="61" t="n"/>
      <c r="B916" s="61" t="n"/>
      <c r="C916" s="61" t="n"/>
      <c r="D916" s="61" t="n"/>
    </row>
    <row r="917">
      <c r="A917" s="61" t="n"/>
      <c r="B917" s="61" t="n"/>
      <c r="C917" s="61" t="n"/>
      <c r="D917" s="61" t="n"/>
    </row>
    <row r="918">
      <c r="A918" s="61" t="n"/>
      <c r="B918" s="61" t="n"/>
      <c r="C918" s="61" t="n"/>
      <c r="D918" s="61" t="n"/>
    </row>
    <row r="919">
      <c r="A919" s="61" t="n"/>
      <c r="B919" s="61" t="n"/>
      <c r="C919" s="61" t="n"/>
      <c r="D919" s="61" t="n"/>
    </row>
    <row r="920">
      <c r="A920" s="61" t="n"/>
      <c r="B920" s="61" t="n"/>
      <c r="C920" s="61" t="n"/>
      <c r="D920" s="61" t="n"/>
    </row>
    <row r="921">
      <c r="A921" s="61" t="n"/>
      <c r="B921" s="61" t="n"/>
      <c r="C921" s="61" t="n"/>
      <c r="D921" s="61" t="n"/>
    </row>
    <row r="922">
      <c r="A922" s="61" t="n"/>
      <c r="B922" s="61" t="n"/>
      <c r="C922" s="61" t="n"/>
      <c r="D922" s="61" t="n"/>
    </row>
    <row r="923">
      <c r="A923" s="61" t="n"/>
      <c r="B923" s="61" t="n"/>
      <c r="C923" s="61" t="n"/>
      <c r="D923" s="61" t="n"/>
    </row>
    <row r="924">
      <c r="A924" s="61" t="n"/>
      <c r="B924" s="61" t="n"/>
      <c r="C924" s="61" t="n"/>
      <c r="D924" s="61" t="n"/>
    </row>
    <row r="925">
      <c r="A925" s="61" t="n"/>
      <c r="B925" s="61" t="n"/>
      <c r="C925" s="61" t="n"/>
      <c r="D925" s="61" t="n"/>
    </row>
    <row r="926">
      <c r="A926" s="61" t="n"/>
      <c r="B926" s="61" t="n"/>
      <c r="C926" s="61" t="n"/>
      <c r="D926" s="61" t="n"/>
    </row>
    <row r="927">
      <c r="A927" s="61" t="n"/>
      <c r="B927" s="61" t="n"/>
      <c r="C927" s="61" t="n"/>
      <c r="D927" s="61" t="n"/>
    </row>
    <row r="928">
      <c r="A928" s="61" t="n"/>
      <c r="B928" s="61" t="n"/>
      <c r="C928" s="61" t="n"/>
      <c r="D928" s="61" t="n"/>
    </row>
    <row r="929">
      <c r="A929" s="61" t="n"/>
      <c r="B929" s="61" t="n"/>
      <c r="C929" s="61" t="n"/>
      <c r="D929" s="61" t="n"/>
    </row>
    <row r="930">
      <c r="A930" s="61" t="n"/>
      <c r="B930" s="61" t="n"/>
      <c r="C930" s="61" t="n"/>
      <c r="D930" s="61" t="n"/>
    </row>
    <row r="931">
      <c r="A931" s="61" t="n"/>
      <c r="B931" s="61" t="n"/>
      <c r="C931" s="61" t="n"/>
      <c r="D931" s="61" t="n"/>
    </row>
    <row r="932">
      <c r="A932" s="61" t="n"/>
      <c r="B932" s="61" t="n"/>
      <c r="C932" s="61" t="n"/>
      <c r="D932" s="61" t="n"/>
    </row>
    <row r="933">
      <c r="A933" s="61" t="n"/>
      <c r="B933" s="61" t="n"/>
      <c r="C933" s="61" t="n"/>
      <c r="D933" s="61" t="n"/>
    </row>
    <row r="934">
      <c r="A934" s="61" t="n"/>
      <c r="B934" s="61" t="n"/>
      <c r="C934" s="61" t="n"/>
      <c r="D934" s="61" t="n"/>
    </row>
    <row r="935">
      <c r="A935" s="61" t="n"/>
      <c r="B935" s="61" t="n"/>
      <c r="C935" s="61" t="n"/>
      <c r="D935" s="61" t="n"/>
    </row>
    <row r="936">
      <c r="A936" s="61" t="n"/>
      <c r="B936" s="61" t="n"/>
      <c r="C936" s="61" t="n"/>
      <c r="D936" s="61" t="n"/>
    </row>
    <row r="937">
      <c r="A937" s="61" t="n"/>
      <c r="B937" s="61" t="n"/>
      <c r="C937" s="61" t="n"/>
      <c r="D937" s="61" t="n"/>
    </row>
    <row r="938">
      <c r="A938" s="61" t="n"/>
      <c r="B938" s="61" t="n"/>
      <c r="C938" s="61" t="n"/>
      <c r="D938" s="61" t="n"/>
    </row>
    <row r="939">
      <c r="A939" s="61" t="n"/>
      <c r="B939" s="61" t="n"/>
      <c r="C939" s="61" t="n"/>
      <c r="D939" s="61" t="n"/>
    </row>
    <row r="940">
      <c r="A940" s="61" t="n"/>
      <c r="B940" s="61" t="n"/>
      <c r="C940" s="61" t="n"/>
      <c r="D940" s="61" t="n"/>
    </row>
    <row r="941">
      <c r="A941" s="61" t="n"/>
      <c r="B941" s="61" t="n"/>
      <c r="C941" s="61" t="n"/>
      <c r="D941" s="61" t="n"/>
    </row>
    <row r="942">
      <c r="A942" s="61" t="n"/>
      <c r="B942" s="61" t="n"/>
      <c r="C942" s="61" t="n"/>
      <c r="D942" s="61" t="n"/>
    </row>
    <row r="943">
      <c r="A943" s="61" t="n"/>
      <c r="B943" s="61" t="n"/>
      <c r="C943" s="61" t="n"/>
      <c r="D943" s="61" t="n"/>
    </row>
    <row r="944">
      <c r="A944" s="61" t="n"/>
      <c r="B944" s="61" t="n"/>
      <c r="C944" s="61" t="n"/>
      <c r="D944" s="61" t="n"/>
    </row>
    <row r="945">
      <c r="A945" s="61" t="n"/>
      <c r="B945" s="61" t="n"/>
      <c r="C945" s="61" t="n"/>
      <c r="D945" s="61" t="n"/>
    </row>
    <row r="946">
      <c r="A946" s="61" t="n"/>
      <c r="B946" s="61" t="n"/>
      <c r="C946" s="61" t="n"/>
      <c r="D946" s="61" t="n"/>
    </row>
    <row r="947">
      <c r="A947" s="61" t="n"/>
      <c r="B947" s="61" t="n"/>
      <c r="C947" s="61" t="n"/>
      <c r="D947" s="61" t="n"/>
    </row>
    <row r="948">
      <c r="A948" s="61" t="n"/>
      <c r="B948" s="61" t="n"/>
      <c r="C948" s="61" t="n"/>
      <c r="D948" s="61" t="n"/>
    </row>
    <row r="949">
      <c r="A949" s="61" t="n"/>
      <c r="B949" s="61" t="n"/>
      <c r="C949" s="61" t="n"/>
      <c r="D949" s="61" t="n"/>
    </row>
    <row r="950">
      <c r="A950" s="61" t="n"/>
      <c r="B950" s="61" t="n"/>
      <c r="C950" s="61" t="n"/>
      <c r="D950" s="61" t="n"/>
    </row>
    <row r="951">
      <c r="A951" s="61" t="n"/>
      <c r="B951" s="61" t="n"/>
      <c r="C951" s="61" t="n"/>
      <c r="D951" s="61" t="n"/>
    </row>
    <row r="952">
      <c r="A952" s="61" t="n"/>
      <c r="B952" s="61" t="n"/>
      <c r="C952" s="61" t="n"/>
      <c r="D952" s="61" t="n"/>
    </row>
    <row r="953">
      <c r="A953" s="61" t="n"/>
      <c r="B953" s="61" t="n"/>
      <c r="C953" s="61" t="n"/>
      <c r="D953" s="61" t="n"/>
    </row>
    <row r="954">
      <c r="A954" s="61" t="n"/>
      <c r="B954" s="61" t="n"/>
      <c r="C954" s="61" t="n"/>
      <c r="D954" s="61" t="n"/>
    </row>
    <row r="955">
      <c r="A955" s="61" t="n"/>
      <c r="B955" s="61" t="n"/>
      <c r="C955" s="61" t="n"/>
      <c r="D955" s="61" t="n"/>
    </row>
    <row r="956">
      <c r="A956" s="61" t="n"/>
      <c r="B956" s="61" t="n"/>
      <c r="C956" s="61" t="n"/>
      <c r="D956" s="61" t="n"/>
    </row>
    <row r="957">
      <c r="A957" s="61" t="n"/>
      <c r="B957" s="61" t="n"/>
      <c r="C957" s="61" t="n"/>
      <c r="D957" s="61" t="n"/>
    </row>
    <row r="958">
      <c r="A958" s="61" t="n"/>
      <c r="B958" s="61" t="n"/>
      <c r="C958" s="61" t="n"/>
      <c r="D958" s="61" t="n"/>
    </row>
    <row r="959">
      <c r="A959" s="61" t="n"/>
      <c r="B959" s="61" t="n"/>
      <c r="C959" s="61" t="n"/>
      <c r="D959" s="61" t="n"/>
    </row>
    <row r="960">
      <c r="A960" s="61" t="n"/>
      <c r="B960" s="61" t="n"/>
      <c r="C960" s="61" t="n"/>
      <c r="D960" s="61" t="n"/>
    </row>
    <row r="961">
      <c r="A961" s="61" t="n"/>
      <c r="B961" s="61" t="n"/>
      <c r="C961" s="61" t="n"/>
      <c r="D961" s="61" t="n"/>
    </row>
    <row r="962">
      <c r="A962" s="61" t="n"/>
      <c r="B962" s="61" t="n"/>
      <c r="C962" s="61" t="n"/>
      <c r="D962" s="61" t="n"/>
    </row>
    <row r="963">
      <c r="A963" s="61" t="n"/>
      <c r="B963" s="61" t="n"/>
      <c r="C963" s="61" t="n"/>
      <c r="D963" s="61" t="n"/>
    </row>
    <row r="964">
      <c r="A964" s="61" t="n"/>
      <c r="B964" s="61" t="n"/>
      <c r="C964" s="61" t="n"/>
      <c r="D964" s="61" t="n"/>
    </row>
    <row r="965">
      <c r="A965" s="61" t="n"/>
      <c r="B965" s="61" t="n"/>
      <c r="C965" s="61" t="n"/>
      <c r="D965" s="61" t="n"/>
    </row>
    <row r="966">
      <c r="A966" s="61" t="n"/>
      <c r="B966" s="61" t="n"/>
      <c r="C966" s="61" t="n"/>
      <c r="D966" s="61" t="n"/>
    </row>
    <row r="967">
      <c r="A967" s="61" t="n"/>
      <c r="B967" s="61" t="n"/>
      <c r="C967" s="61" t="n"/>
      <c r="D967" s="61" t="n"/>
    </row>
    <row r="968">
      <c r="A968" s="61" t="n"/>
      <c r="B968" s="61" t="n"/>
      <c r="C968" s="61" t="n"/>
      <c r="D968" s="61" t="n"/>
    </row>
    <row r="969">
      <c r="A969" s="61" t="n"/>
      <c r="B969" s="61" t="n"/>
      <c r="C969" s="61" t="n"/>
      <c r="D969" s="61" t="n"/>
    </row>
    <row r="970">
      <c r="A970" s="61" t="n"/>
      <c r="B970" s="61" t="n"/>
      <c r="C970" s="61" t="n"/>
      <c r="D970" s="61" t="n"/>
    </row>
    <row r="971">
      <c r="A971" s="61" t="n"/>
      <c r="B971" s="61" t="n"/>
      <c r="C971" s="61" t="n"/>
      <c r="D971" s="61" t="n"/>
    </row>
    <row r="972">
      <c r="A972" s="61" t="n"/>
      <c r="B972" s="61" t="n"/>
      <c r="C972" s="61" t="n"/>
      <c r="D972" s="61" t="n"/>
    </row>
    <row r="973">
      <c r="A973" s="61" t="n"/>
      <c r="B973" s="61" t="n"/>
      <c r="C973" s="61" t="n"/>
      <c r="D973" s="61" t="n"/>
    </row>
    <row r="974">
      <c r="A974" s="61" t="n"/>
      <c r="B974" s="61" t="n"/>
      <c r="C974" s="61" t="n"/>
      <c r="D974" s="61" t="n"/>
    </row>
    <row r="975">
      <c r="A975" s="61" t="n"/>
      <c r="B975" s="61" t="n"/>
      <c r="C975" s="61" t="n"/>
      <c r="D975" s="61" t="n"/>
    </row>
    <row r="976">
      <c r="A976" s="61" t="n"/>
      <c r="B976" s="61" t="n"/>
      <c r="C976" s="61" t="n"/>
      <c r="D976" s="61" t="n"/>
    </row>
    <row r="977">
      <c r="A977" s="61" t="n"/>
      <c r="B977" s="61" t="n"/>
      <c r="C977" s="61" t="n"/>
      <c r="D977" s="61" t="n"/>
    </row>
    <row r="978">
      <c r="A978" s="61" t="n"/>
      <c r="B978" s="61" t="n"/>
      <c r="C978" s="61" t="n"/>
      <c r="D978" s="61" t="n"/>
    </row>
    <row r="979">
      <c r="A979" s="61" t="n"/>
      <c r="B979" s="61" t="n"/>
      <c r="C979" s="61" t="n"/>
      <c r="D979" s="61" t="n"/>
    </row>
    <row r="980">
      <c r="A980" s="61" t="n"/>
      <c r="B980" s="61" t="n"/>
      <c r="C980" s="61" t="n"/>
      <c r="D980" s="61" t="n"/>
    </row>
    <row r="981">
      <c r="A981" s="61" t="n"/>
      <c r="B981" s="61" t="n"/>
      <c r="C981" s="61" t="n"/>
      <c r="D981" s="61" t="n"/>
    </row>
    <row r="982">
      <c r="A982" s="61" t="n"/>
      <c r="B982" s="61" t="n"/>
      <c r="C982" s="61" t="n"/>
      <c r="D982" s="61" t="n"/>
    </row>
    <row r="983">
      <c r="A983" s="61" t="n"/>
      <c r="B983" s="61" t="n"/>
      <c r="C983" s="61" t="n"/>
      <c r="D983" s="61" t="n"/>
    </row>
    <row r="984">
      <c r="A984" s="61" t="n"/>
      <c r="B984" s="61" t="n"/>
      <c r="C984" s="61" t="n"/>
      <c r="D984" s="61" t="n"/>
    </row>
    <row r="985">
      <c r="A985" s="61" t="n"/>
      <c r="B985" s="61" t="n"/>
      <c r="C985" s="61" t="n"/>
      <c r="D985" s="61" t="n"/>
    </row>
    <row r="986">
      <c r="A986" s="61" t="n"/>
      <c r="B986" s="61" t="n"/>
      <c r="C986" s="61" t="n"/>
      <c r="D986" s="61" t="n"/>
    </row>
    <row r="987">
      <c r="A987" s="61" t="n"/>
      <c r="B987" s="61" t="n"/>
      <c r="C987" s="61" t="n"/>
      <c r="D987" s="61" t="n"/>
    </row>
    <row r="988">
      <c r="A988" s="61" t="n"/>
      <c r="B988" s="61" t="n"/>
      <c r="C988" s="61" t="n"/>
      <c r="D988" s="61" t="n"/>
    </row>
    <row r="989">
      <c r="A989" s="61" t="n"/>
      <c r="B989" s="61" t="n"/>
      <c r="C989" s="61" t="n"/>
      <c r="D989" s="61" t="n"/>
    </row>
    <row r="990">
      <c r="A990" s="61" t="n"/>
      <c r="B990" s="61" t="n"/>
      <c r="C990" s="61" t="n"/>
      <c r="D990" s="61" t="n"/>
    </row>
    <row r="991">
      <c r="A991" s="61" t="n"/>
      <c r="B991" s="61" t="n"/>
      <c r="C991" s="61" t="n"/>
      <c r="D991" s="61" t="n"/>
    </row>
    <row r="992">
      <c r="A992" s="61" t="n"/>
      <c r="B992" s="61" t="n"/>
      <c r="C992" s="61" t="n"/>
      <c r="D992" s="61" t="n"/>
    </row>
    <row r="993">
      <c r="A993" s="61" t="n"/>
      <c r="B993" s="61" t="n"/>
      <c r="C993" s="61" t="n"/>
      <c r="D993" s="61" t="n"/>
    </row>
    <row r="994">
      <c r="A994" s="61" t="n"/>
      <c r="B994" s="61" t="n"/>
      <c r="C994" s="61" t="n"/>
      <c r="D994" s="61" t="n"/>
    </row>
    <row r="995">
      <c r="A995" s="61" t="n"/>
      <c r="B995" s="61" t="n"/>
      <c r="C995" s="61" t="n"/>
      <c r="D995" s="61" t="n"/>
    </row>
    <row r="996">
      <c r="A996" s="61" t="n"/>
      <c r="B996" s="61" t="n"/>
      <c r="C996" s="61" t="n"/>
      <c r="D996" s="61" t="n"/>
    </row>
    <row r="997">
      <c r="A997" s="61" t="n"/>
      <c r="B997" s="61" t="n"/>
      <c r="C997" s="61" t="n"/>
      <c r="D997" s="61" t="n"/>
    </row>
    <row r="998">
      <c r="A998" s="61" t="n"/>
      <c r="B998" s="61" t="n"/>
      <c r="C998" s="61" t="n"/>
      <c r="D998" s="61" t="n"/>
    </row>
    <row r="999">
      <c r="A999" s="61" t="n"/>
      <c r="B999" s="61" t="n"/>
      <c r="C999" s="61" t="n"/>
      <c r="D999" s="61" t="n"/>
    </row>
    <row r="1000">
      <c r="A1000" s="61" t="n"/>
      <c r="B1000" s="61" t="n"/>
      <c r="C1000" s="61" t="n"/>
      <c r="D1000" s="61" t="n"/>
    </row>
  </sheetData>
  <pageMargins left="0.75" right="0.75" top="1" bottom="1" header="0.5" footer="0.5"/>
</worksheet>
</file>

<file path=xl/worksheets/sheet9.xml><?xml version="1.0" encoding="utf-8"?>
<worksheet xmlns="http://schemas.openxmlformats.org/spreadsheetml/2006/main">
  <sheetPr>
    <tabColor rgb="FFFF0000"/>
    <outlinePr summaryBelow="0" summaryRight="0"/>
    <pageSetUpPr/>
  </sheetPr>
  <dimension ref="A1:G1000"/>
  <sheetViews>
    <sheetView workbookViewId="0">
      <pane ySplit="1" topLeftCell="A2" activePane="bottomLeft" state="frozen"/>
      <selection pane="bottomLeft" activeCell="A1" sqref="A1"/>
    </sheetView>
  </sheetViews>
  <sheetFormatPr baseColWidth="8" defaultColWidth="12.63" defaultRowHeight="15.75" customHeight="1"/>
  <cols>
    <col width="17.5" customWidth="1" style="64" min="1" max="1"/>
    <col width="16.5" customWidth="1" style="64" min="7" max="7"/>
  </cols>
  <sheetData>
    <row r="1">
      <c r="A1" s="43" t="inlineStr">
        <is>
          <t>Name</t>
        </is>
      </c>
      <c r="B1" s="43" t="inlineStr">
        <is>
          <t>Value</t>
        </is>
      </c>
      <c r="D1" s="62" t="inlineStr">
        <is>
          <t>Band</t>
        </is>
      </c>
      <c r="E1" s="62" t="inlineStr">
        <is>
          <t>Levels</t>
        </is>
      </c>
      <c r="F1" s="62" t="inlineStr">
        <is>
          <t>XP per level</t>
        </is>
      </c>
      <c r="G1" s="62" t="inlineStr">
        <is>
          <t>XP to complete band</t>
        </is>
      </c>
    </row>
    <row r="2">
      <c r="A2" s="61" t="inlineStr">
        <is>
          <t>RoutineWeeklyCapXP</t>
        </is>
      </c>
      <c r="B2" s="61" t="n">
        <v>300</v>
      </c>
      <c r="D2" s="60" t="inlineStr">
        <is>
          <t>Band 1</t>
        </is>
      </c>
      <c r="E2" s="60" t="inlineStr">
        <is>
          <t>1–10</t>
        </is>
      </c>
      <c r="F2" s="60" t="inlineStr">
        <is>
          <t>50 XP</t>
        </is>
      </c>
      <c r="G2" s="60" t="n">
        <v>500</v>
      </c>
    </row>
    <row r="3">
      <c r="A3" s="61" t="inlineStr">
        <is>
          <t>MonthlyCoinCap</t>
        </is>
      </c>
      <c r="B3" s="61" t="n">
        <v>70</v>
      </c>
      <c r="D3" s="60" t="inlineStr">
        <is>
          <t>Band 2</t>
        </is>
      </c>
      <c r="E3" s="60" t="inlineStr">
        <is>
          <t>11–20</t>
        </is>
      </c>
      <c r="F3" s="60" t="inlineStr">
        <is>
          <t>75 XP</t>
        </is>
      </c>
      <c r="G3" s="60" t="n">
        <v>750</v>
      </c>
    </row>
    <row r="4">
      <c r="A4" s="61" t="inlineStr">
        <is>
          <t>CoinValueRM</t>
        </is>
      </c>
      <c r="B4" s="61" t="n">
        <v>0.5</v>
      </c>
      <c r="D4" s="60" t="inlineStr">
        <is>
          <t>Band 3</t>
        </is>
      </c>
      <c r="E4" s="60" t="inlineStr">
        <is>
          <t>21–30</t>
        </is>
      </c>
      <c r="F4" s="60" t="inlineStr">
        <is>
          <t>100 XP</t>
        </is>
      </c>
      <c r="G4" s="63" t="n">
        <v>1000</v>
      </c>
    </row>
    <row r="5">
      <c r="A5" s="59" t="n"/>
      <c r="B5" s="59" t="n"/>
      <c r="D5" s="60" t="inlineStr">
        <is>
          <t>Band 4</t>
        </is>
      </c>
      <c r="E5" s="60" t="inlineStr">
        <is>
          <t>31–40</t>
        </is>
      </c>
      <c r="F5" s="60" t="inlineStr">
        <is>
          <t>125 XP</t>
        </is>
      </c>
      <c r="G5" s="63" t="n">
        <v>1250</v>
      </c>
    </row>
    <row r="6">
      <c r="A6" s="59" t="n"/>
      <c r="B6" s="59" t="n"/>
      <c r="D6" s="60" t="inlineStr">
        <is>
          <t>Band 5</t>
        </is>
      </c>
      <c r="E6" s="60" t="inlineStr">
        <is>
          <t>41–50</t>
        </is>
      </c>
      <c r="F6" s="60" t="inlineStr">
        <is>
          <t>150 XP</t>
        </is>
      </c>
      <c r="G6" s="63" t="n">
        <v>1500</v>
      </c>
    </row>
    <row r="7">
      <c r="A7" s="59" t="n"/>
      <c r="B7" s="59" t="n"/>
      <c r="D7" s="60" t="inlineStr">
        <is>
          <t>Band 6</t>
        </is>
      </c>
      <c r="E7" s="60" t="inlineStr">
        <is>
          <t>51–60</t>
        </is>
      </c>
      <c r="F7" s="60" t="inlineStr">
        <is>
          <t>175 XP</t>
        </is>
      </c>
      <c r="G7" s="63" t="n">
        <v>1750</v>
      </c>
    </row>
    <row r="8">
      <c r="A8" s="59" t="n"/>
      <c r="B8" s="59" t="n"/>
      <c r="D8" s="60" t="inlineStr">
        <is>
          <t>Band 7</t>
        </is>
      </c>
      <c r="E8" s="60" t="inlineStr">
        <is>
          <t>61–70</t>
        </is>
      </c>
      <c r="F8" s="60" t="inlineStr">
        <is>
          <t>200 XP</t>
        </is>
      </c>
      <c r="G8" s="63" t="n">
        <v>2000</v>
      </c>
    </row>
    <row r="9">
      <c r="A9" s="59" t="n"/>
      <c r="B9" s="59" t="n"/>
      <c r="D9" s="60" t="inlineStr">
        <is>
          <t>Band 8</t>
        </is>
      </c>
      <c r="E9" s="60" t="inlineStr">
        <is>
          <t>71–80</t>
        </is>
      </c>
      <c r="F9" s="60" t="inlineStr">
        <is>
          <t>225 XP</t>
        </is>
      </c>
      <c r="G9" s="63" t="n">
        <v>2250</v>
      </c>
    </row>
    <row r="10">
      <c r="A10" s="59" t="n"/>
      <c r="B10" s="59" t="n"/>
      <c r="D10" s="60" t="inlineStr">
        <is>
          <t>Band 9</t>
        </is>
      </c>
      <c r="E10" s="60" t="inlineStr">
        <is>
          <t>81–90</t>
        </is>
      </c>
      <c r="F10" s="60" t="inlineStr">
        <is>
          <t>250 XP</t>
        </is>
      </c>
      <c r="G10" s="63" t="n">
        <v>2500</v>
      </c>
    </row>
    <row r="11">
      <c r="A11" s="59" t="n"/>
      <c r="B11" s="59" t="n"/>
      <c r="D11" s="60" t="inlineStr">
        <is>
          <t>Band 10</t>
        </is>
      </c>
      <c r="E11" s="60" t="inlineStr">
        <is>
          <t>91–100</t>
        </is>
      </c>
      <c r="F11" s="60" t="inlineStr">
        <is>
          <t>300 XP</t>
        </is>
      </c>
      <c r="G11" s="63" t="n">
        <v>3000</v>
      </c>
    </row>
    <row r="12">
      <c r="A12" s="59" t="n"/>
      <c r="B12" s="59" t="n"/>
    </row>
    <row r="13">
      <c r="A13" s="59" t="n"/>
      <c r="B13" s="59" t="n"/>
    </row>
    <row r="14">
      <c r="A14" s="59" t="n"/>
      <c r="B14" s="59" t="n"/>
    </row>
    <row r="15">
      <c r="A15" s="59" t="n"/>
      <c r="B15" s="59" t="n"/>
    </row>
    <row r="16">
      <c r="A16" s="59" t="n"/>
      <c r="B16" s="59" t="n"/>
    </row>
    <row r="17">
      <c r="A17" s="59" t="n"/>
      <c r="B17" s="59" t="n"/>
    </row>
    <row r="18">
      <c r="A18" s="59" t="n"/>
      <c r="B18" s="59" t="n"/>
    </row>
    <row r="19">
      <c r="A19" s="59" t="n"/>
      <c r="B19" s="59" t="n"/>
    </row>
    <row r="20">
      <c r="A20" s="59" t="n"/>
      <c r="B20" s="59" t="n"/>
    </row>
    <row r="21">
      <c r="A21" s="59" t="n"/>
      <c r="B21" s="59" t="n"/>
    </row>
    <row r="22">
      <c r="A22" s="59" t="n"/>
      <c r="B22" s="59" t="n"/>
    </row>
    <row r="23">
      <c r="A23" s="59" t="n"/>
      <c r="B23" s="59" t="n"/>
    </row>
    <row r="24">
      <c r="A24" s="59" t="n"/>
      <c r="B24" s="59" t="n"/>
    </row>
    <row r="25">
      <c r="A25" s="59" t="n"/>
      <c r="B25" s="59" t="n"/>
    </row>
    <row r="26">
      <c r="A26" s="59" t="n"/>
      <c r="B26" s="59" t="n"/>
    </row>
    <row r="27">
      <c r="A27" s="59" t="n"/>
      <c r="B27" s="59" t="n"/>
    </row>
    <row r="28">
      <c r="A28" s="59" t="n"/>
      <c r="B28" s="59" t="n"/>
    </row>
    <row r="29">
      <c r="A29" s="59" t="n"/>
      <c r="B29" s="59" t="n"/>
    </row>
    <row r="30">
      <c r="A30" s="59" t="n"/>
      <c r="B30" s="59" t="n"/>
    </row>
    <row r="31">
      <c r="A31" s="59" t="n"/>
      <c r="B31" s="59" t="n"/>
    </row>
    <row r="32">
      <c r="A32" s="59" t="n"/>
      <c r="B32" s="59" t="n"/>
    </row>
    <row r="33">
      <c r="A33" s="59" t="n"/>
      <c r="B33" s="59" t="n"/>
    </row>
    <row r="34">
      <c r="A34" s="59" t="n"/>
      <c r="B34" s="59" t="n"/>
    </row>
    <row r="35">
      <c r="A35" s="59" t="n"/>
      <c r="B35" s="59" t="n"/>
    </row>
    <row r="36">
      <c r="A36" s="59" t="n"/>
      <c r="B36" s="59" t="n"/>
    </row>
    <row r="37">
      <c r="A37" s="59" t="n"/>
      <c r="B37" s="59" t="n"/>
    </row>
    <row r="38">
      <c r="A38" s="59" t="n"/>
      <c r="B38" s="59" t="n"/>
    </row>
    <row r="39">
      <c r="A39" s="59" t="n"/>
      <c r="B39" s="59" t="n"/>
    </row>
    <row r="40">
      <c r="A40" s="59" t="n"/>
      <c r="B40" s="59" t="n"/>
    </row>
    <row r="41">
      <c r="A41" s="59" t="n"/>
      <c r="B41" s="59" t="n"/>
    </row>
    <row r="42">
      <c r="A42" s="59" t="n"/>
      <c r="B42" s="59" t="n"/>
    </row>
    <row r="43">
      <c r="A43" s="59" t="n"/>
      <c r="B43" s="59" t="n"/>
    </row>
    <row r="44">
      <c r="A44" s="59" t="n"/>
      <c r="B44" s="59" t="n"/>
    </row>
    <row r="45">
      <c r="A45" s="59" t="n"/>
      <c r="B45" s="59" t="n"/>
    </row>
    <row r="46">
      <c r="A46" s="59" t="n"/>
      <c r="B46" s="59" t="n"/>
    </row>
    <row r="47">
      <c r="A47" s="59" t="n"/>
      <c r="B47" s="59" t="n"/>
    </row>
    <row r="48">
      <c r="A48" s="59" t="n"/>
      <c r="B48" s="59" t="n"/>
    </row>
    <row r="49">
      <c r="A49" s="59" t="n"/>
      <c r="B49" s="59" t="n"/>
    </row>
    <row r="50">
      <c r="A50" s="59" t="n"/>
      <c r="B50" s="59" t="n"/>
    </row>
    <row r="51">
      <c r="A51" s="59" t="n"/>
      <c r="B51" s="59" t="n"/>
    </row>
    <row r="52">
      <c r="A52" s="59" t="n"/>
      <c r="B52" s="59" t="n"/>
    </row>
    <row r="53">
      <c r="A53" s="59" t="n"/>
      <c r="B53" s="59" t="n"/>
    </row>
    <row r="54">
      <c r="A54" s="59" t="n"/>
      <c r="B54" s="59" t="n"/>
    </row>
    <row r="55">
      <c r="A55" s="59" t="n"/>
      <c r="B55" s="59" t="n"/>
    </row>
    <row r="56">
      <c r="A56" s="59" t="n"/>
      <c r="B56" s="59" t="n"/>
    </row>
    <row r="57">
      <c r="A57" s="59" t="n"/>
      <c r="B57" s="59" t="n"/>
    </row>
    <row r="58">
      <c r="A58" s="59" t="n"/>
      <c r="B58" s="59" t="n"/>
    </row>
    <row r="59">
      <c r="A59" s="59" t="n"/>
      <c r="B59" s="59" t="n"/>
    </row>
    <row r="60">
      <c r="A60" s="59" t="n"/>
      <c r="B60" s="59" t="n"/>
    </row>
    <row r="61">
      <c r="A61" s="59" t="n"/>
      <c r="B61" s="59" t="n"/>
    </row>
    <row r="62">
      <c r="A62" s="59" t="n"/>
      <c r="B62" s="59" t="n"/>
    </row>
    <row r="63">
      <c r="A63" s="59" t="n"/>
      <c r="B63" s="59" t="n"/>
    </row>
    <row r="64">
      <c r="A64" s="59" t="n"/>
      <c r="B64" s="59" t="n"/>
    </row>
    <row r="65">
      <c r="A65" s="59" t="n"/>
      <c r="B65" s="59" t="n"/>
    </row>
    <row r="66">
      <c r="A66" s="59" t="n"/>
      <c r="B66" s="59" t="n"/>
    </row>
    <row r="67">
      <c r="A67" s="59" t="n"/>
      <c r="B67" s="59" t="n"/>
    </row>
    <row r="68">
      <c r="A68" s="59" t="n"/>
      <c r="B68" s="59" t="n"/>
    </row>
    <row r="69">
      <c r="A69" s="59" t="n"/>
      <c r="B69" s="59" t="n"/>
    </row>
    <row r="70">
      <c r="A70" s="59" t="n"/>
      <c r="B70" s="59" t="n"/>
    </row>
    <row r="71">
      <c r="A71" s="59" t="n"/>
      <c r="B71" s="59" t="n"/>
    </row>
    <row r="72">
      <c r="A72" s="59" t="n"/>
      <c r="B72" s="59" t="n"/>
    </row>
    <row r="73">
      <c r="A73" s="59" t="n"/>
      <c r="B73" s="59" t="n"/>
    </row>
    <row r="74">
      <c r="A74" s="59" t="n"/>
      <c r="B74" s="59" t="n"/>
    </row>
    <row r="75">
      <c r="A75" s="59" t="n"/>
      <c r="B75" s="59" t="n"/>
    </row>
    <row r="76">
      <c r="A76" s="59" t="n"/>
      <c r="B76" s="59" t="n"/>
    </row>
    <row r="77">
      <c r="A77" s="59" t="n"/>
      <c r="B77" s="59" t="n"/>
    </row>
    <row r="78">
      <c r="A78" s="59" t="n"/>
      <c r="B78" s="59" t="n"/>
    </row>
    <row r="79">
      <c r="A79" s="59" t="n"/>
      <c r="B79" s="59" t="n"/>
    </row>
    <row r="80">
      <c r="A80" s="59" t="n"/>
      <c r="B80" s="59" t="n"/>
    </row>
    <row r="81">
      <c r="A81" s="59" t="n"/>
      <c r="B81" s="59" t="n"/>
    </row>
    <row r="82">
      <c r="A82" s="59" t="n"/>
      <c r="B82" s="59" t="n"/>
    </row>
    <row r="83">
      <c r="A83" s="59" t="n"/>
      <c r="B83" s="59" t="n"/>
    </row>
    <row r="84">
      <c r="A84" s="59" t="n"/>
      <c r="B84" s="59" t="n"/>
    </row>
    <row r="85">
      <c r="A85" s="59" t="n"/>
      <c r="B85" s="59" t="n"/>
    </row>
    <row r="86">
      <c r="A86" s="59" t="n"/>
      <c r="B86" s="59" t="n"/>
    </row>
    <row r="87">
      <c r="A87" s="59" t="n"/>
      <c r="B87" s="59" t="n"/>
    </row>
    <row r="88">
      <c r="A88" s="59" t="n"/>
      <c r="B88" s="59" t="n"/>
    </row>
    <row r="89">
      <c r="A89" s="59" t="n"/>
      <c r="B89" s="59" t="n"/>
    </row>
    <row r="90">
      <c r="A90" s="59" t="n"/>
      <c r="B90" s="59" t="n"/>
    </row>
    <row r="91">
      <c r="A91" s="59" t="n"/>
      <c r="B91" s="59" t="n"/>
    </row>
    <row r="92">
      <c r="A92" s="59" t="n"/>
      <c r="B92" s="59" t="n"/>
    </row>
    <row r="93">
      <c r="A93" s="59" t="n"/>
      <c r="B93" s="59" t="n"/>
    </row>
    <row r="94">
      <c r="A94" s="59" t="n"/>
      <c r="B94" s="59" t="n"/>
    </row>
    <row r="95">
      <c r="A95" s="59" t="n"/>
      <c r="B95" s="59" t="n"/>
    </row>
    <row r="96">
      <c r="A96" s="59" t="n"/>
      <c r="B96" s="59" t="n"/>
    </row>
    <row r="97">
      <c r="A97" s="59" t="n"/>
      <c r="B97" s="59" t="n"/>
    </row>
    <row r="98">
      <c r="A98" s="59" t="n"/>
      <c r="B98" s="59" t="n"/>
    </row>
    <row r="99">
      <c r="A99" s="59" t="n"/>
      <c r="B99" s="59" t="n"/>
    </row>
    <row r="100">
      <c r="A100" s="59" t="n"/>
      <c r="B100" s="59" t="n"/>
    </row>
    <row r="101">
      <c r="A101" s="59" t="n"/>
      <c r="B101" s="59" t="n"/>
    </row>
    <row r="102">
      <c r="A102" s="59" t="n"/>
      <c r="B102" s="59" t="n"/>
    </row>
    <row r="103">
      <c r="A103" s="59" t="n"/>
      <c r="B103" s="59" t="n"/>
    </row>
    <row r="104">
      <c r="A104" s="59" t="n"/>
      <c r="B104" s="59" t="n"/>
    </row>
    <row r="105">
      <c r="A105" s="59" t="n"/>
      <c r="B105" s="59" t="n"/>
    </row>
    <row r="106">
      <c r="A106" s="59" t="n"/>
      <c r="B106" s="59" t="n"/>
    </row>
    <row r="107">
      <c r="A107" s="59" t="n"/>
      <c r="B107" s="59" t="n"/>
    </row>
    <row r="108">
      <c r="A108" s="59" t="n"/>
      <c r="B108" s="59" t="n"/>
    </row>
    <row r="109">
      <c r="A109" s="59" t="n"/>
      <c r="B109" s="59" t="n"/>
    </row>
    <row r="110">
      <c r="A110" s="59" t="n"/>
      <c r="B110" s="59" t="n"/>
    </row>
    <row r="111">
      <c r="A111" s="59" t="n"/>
      <c r="B111" s="59" t="n"/>
    </row>
    <row r="112">
      <c r="A112" s="59" t="n"/>
      <c r="B112" s="59" t="n"/>
    </row>
    <row r="113">
      <c r="A113" s="59" t="n"/>
      <c r="B113" s="59" t="n"/>
    </row>
    <row r="114">
      <c r="A114" s="59" t="n"/>
      <c r="B114" s="59" t="n"/>
    </row>
    <row r="115">
      <c r="A115" s="59" t="n"/>
      <c r="B115" s="59" t="n"/>
    </row>
    <row r="116">
      <c r="A116" s="59" t="n"/>
      <c r="B116" s="59" t="n"/>
    </row>
    <row r="117">
      <c r="A117" s="59" t="n"/>
      <c r="B117" s="59" t="n"/>
    </row>
    <row r="118">
      <c r="A118" s="59" t="n"/>
      <c r="B118" s="59" t="n"/>
    </row>
    <row r="119">
      <c r="A119" s="59" t="n"/>
      <c r="B119" s="59" t="n"/>
    </row>
    <row r="120">
      <c r="A120" s="59" t="n"/>
      <c r="B120" s="59" t="n"/>
    </row>
    <row r="121">
      <c r="A121" s="59" t="n"/>
      <c r="B121" s="59" t="n"/>
    </row>
    <row r="122">
      <c r="A122" s="59" t="n"/>
      <c r="B122" s="59" t="n"/>
    </row>
    <row r="123">
      <c r="A123" s="59" t="n"/>
      <c r="B123" s="59" t="n"/>
    </row>
    <row r="124">
      <c r="A124" s="59" t="n"/>
      <c r="B124" s="59" t="n"/>
    </row>
    <row r="125">
      <c r="A125" s="59" t="n"/>
      <c r="B125" s="59" t="n"/>
    </row>
    <row r="126">
      <c r="A126" s="59" t="n"/>
      <c r="B126" s="59" t="n"/>
    </row>
    <row r="127">
      <c r="A127" s="59" t="n"/>
      <c r="B127" s="59" t="n"/>
    </row>
    <row r="128">
      <c r="A128" s="59" t="n"/>
      <c r="B128" s="59" t="n"/>
    </row>
    <row r="129">
      <c r="A129" s="59" t="n"/>
      <c r="B129" s="59" t="n"/>
    </row>
    <row r="130">
      <c r="A130" s="59" t="n"/>
      <c r="B130" s="59" t="n"/>
    </row>
    <row r="131">
      <c r="A131" s="59" t="n"/>
      <c r="B131" s="59" t="n"/>
    </row>
    <row r="132">
      <c r="A132" s="59" t="n"/>
      <c r="B132" s="59" t="n"/>
    </row>
    <row r="133">
      <c r="A133" s="59" t="n"/>
      <c r="B133" s="59" t="n"/>
    </row>
    <row r="134">
      <c r="A134" s="59" t="n"/>
      <c r="B134" s="59" t="n"/>
    </row>
    <row r="135">
      <c r="A135" s="59" t="n"/>
      <c r="B135" s="59" t="n"/>
    </row>
    <row r="136">
      <c r="A136" s="59" t="n"/>
      <c r="B136" s="59" t="n"/>
    </row>
    <row r="137">
      <c r="A137" s="59" t="n"/>
      <c r="B137" s="59" t="n"/>
    </row>
    <row r="138">
      <c r="A138" s="59" t="n"/>
      <c r="B138" s="59" t="n"/>
    </row>
    <row r="139">
      <c r="A139" s="59" t="n"/>
      <c r="B139" s="59" t="n"/>
    </row>
    <row r="140">
      <c r="A140" s="59" t="n"/>
      <c r="B140" s="59" t="n"/>
    </row>
    <row r="141">
      <c r="A141" s="59" t="n"/>
      <c r="B141" s="59" t="n"/>
    </row>
    <row r="142">
      <c r="A142" s="59" t="n"/>
      <c r="B142" s="59" t="n"/>
    </row>
    <row r="143">
      <c r="A143" s="59" t="n"/>
      <c r="B143" s="59" t="n"/>
    </row>
    <row r="144">
      <c r="A144" s="59" t="n"/>
      <c r="B144" s="59" t="n"/>
    </row>
    <row r="145">
      <c r="A145" s="59" t="n"/>
      <c r="B145" s="59" t="n"/>
    </row>
    <row r="146">
      <c r="A146" s="59" t="n"/>
      <c r="B146" s="59" t="n"/>
    </row>
    <row r="147">
      <c r="A147" s="59" t="n"/>
      <c r="B147" s="59" t="n"/>
    </row>
    <row r="148">
      <c r="A148" s="59" t="n"/>
      <c r="B148" s="59" t="n"/>
    </row>
    <row r="149">
      <c r="A149" s="59" t="n"/>
      <c r="B149" s="59" t="n"/>
    </row>
    <row r="150">
      <c r="A150" s="59" t="n"/>
      <c r="B150" s="59" t="n"/>
    </row>
    <row r="151">
      <c r="A151" s="59" t="n"/>
      <c r="B151" s="59" t="n"/>
    </row>
    <row r="152">
      <c r="A152" s="59" t="n"/>
      <c r="B152" s="59" t="n"/>
    </row>
    <row r="153">
      <c r="A153" s="59" t="n"/>
      <c r="B153" s="59" t="n"/>
    </row>
    <row r="154">
      <c r="A154" s="59" t="n"/>
      <c r="B154" s="59" t="n"/>
    </row>
    <row r="155">
      <c r="A155" s="59" t="n"/>
      <c r="B155" s="59" t="n"/>
    </row>
    <row r="156">
      <c r="A156" s="59" t="n"/>
      <c r="B156" s="59" t="n"/>
    </row>
    <row r="157">
      <c r="A157" s="59" t="n"/>
      <c r="B157" s="59" t="n"/>
    </row>
    <row r="158">
      <c r="A158" s="59" t="n"/>
      <c r="B158" s="59" t="n"/>
    </row>
    <row r="159">
      <c r="A159" s="59" t="n"/>
      <c r="B159" s="59" t="n"/>
    </row>
    <row r="160">
      <c r="A160" s="59" t="n"/>
      <c r="B160" s="59" t="n"/>
    </row>
    <row r="161">
      <c r="A161" s="59" t="n"/>
      <c r="B161" s="59" t="n"/>
    </row>
    <row r="162">
      <c r="A162" s="59" t="n"/>
      <c r="B162" s="59" t="n"/>
    </row>
    <row r="163">
      <c r="A163" s="59" t="n"/>
      <c r="B163" s="59" t="n"/>
    </row>
    <row r="164">
      <c r="A164" s="59" t="n"/>
      <c r="B164" s="59" t="n"/>
    </row>
    <row r="165">
      <c r="A165" s="59" t="n"/>
      <c r="B165" s="59" t="n"/>
    </row>
    <row r="166">
      <c r="A166" s="59" t="n"/>
      <c r="B166" s="59" t="n"/>
    </row>
    <row r="167">
      <c r="A167" s="59" t="n"/>
      <c r="B167" s="59" t="n"/>
    </row>
    <row r="168">
      <c r="A168" s="59" t="n"/>
      <c r="B168" s="59" t="n"/>
    </row>
    <row r="169">
      <c r="A169" s="59" t="n"/>
      <c r="B169" s="59" t="n"/>
    </row>
    <row r="170">
      <c r="A170" s="59" t="n"/>
      <c r="B170" s="59" t="n"/>
    </row>
    <row r="171">
      <c r="A171" s="59" t="n"/>
      <c r="B171" s="59" t="n"/>
    </row>
    <row r="172">
      <c r="A172" s="59" t="n"/>
      <c r="B172" s="59" t="n"/>
    </row>
    <row r="173">
      <c r="A173" s="59" t="n"/>
      <c r="B173" s="59" t="n"/>
    </row>
    <row r="174">
      <c r="A174" s="59" t="n"/>
      <c r="B174" s="59" t="n"/>
    </row>
    <row r="175">
      <c r="A175" s="59" t="n"/>
      <c r="B175" s="59" t="n"/>
    </row>
    <row r="176">
      <c r="A176" s="59" t="n"/>
      <c r="B176" s="59" t="n"/>
    </row>
    <row r="177">
      <c r="A177" s="59" t="n"/>
      <c r="B177" s="59" t="n"/>
    </row>
    <row r="178">
      <c r="A178" s="59" t="n"/>
      <c r="B178" s="59" t="n"/>
    </row>
    <row r="179">
      <c r="A179" s="59" t="n"/>
      <c r="B179" s="59" t="n"/>
    </row>
    <row r="180">
      <c r="A180" s="59" t="n"/>
      <c r="B180" s="59" t="n"/>
    </row>
    <row r="181">
      <c r="A181" s="59" t="n"/>
      <c r="B181" s="59" t="n"/>
    </row>
    <row r="182">
      <c r="A182" s="59" t="n"/>
      <c r="B182" s="59" t="n"/>
    </row>
    <row r="183">
      <c r="A183" s="59" t="n"/>
      <c r="B183" s="59" t="n"/>
    </row>
    <row r="184">
      <c r="A184" s="59" t="n"/>
      <c r="B184" s="59" t="n"/>
    </row>
    <row r="185">
      <c r="A185" s="59" t="n"/>
      <c r="B185" s="59" t="n"/>
    </row>
    <row r="186">
      <c r="A186" s="59" t="n"/>
      <c r="B186" s="59" t="n"/>
    </row>
    <row r="187">
      <c r="A187" s="59" t="n"/>
      <c r="B187" s="59" t="n"/>
    </row>
    <row r="188">
      <c r="A188" s="59" t="n"/>
      <c r="B188" s="59" t="n"/>
    </row>
    <row r="189">
      <c r="A189" s="59" t="n"/>
      <c r="B189" s="59" t="n"/>
    </row>
    <row r="190">
      <c r="A190" s="59" t="n"/>
      <c r="B190" s="59" t="n"/>
    </row>
    <row r="191">
      <c r="A191" s="59" t="n"/>
      <c r="B191" s="59" t="n"/>
    </row>
    <row r="192">
      <c r="A192" s="59" t="n"/>
      <c r="B192" s="59" t="n"/>
    </row>
    <row r="193">
      <c r="A193" s="59" t="n"/>
      <c r="B193" s="59" t="n"/>
    </row>
    <row r="194">
      <c r="A194" s="59" t="n"/>
      <c r="B194" s="59" t="n"/>
    </row>
    <row r="195">
      <c r="A195" s="59" t="n"/>
      <c r="B195" s="59" t="n"/>
    </row>
    <row r="196">
      <c r="A196" s="59" t="n"/>
      <c r="B196" s="59" t="n"/>
    </row>
    <row r="197">
      <c r="A197" s="59" t="n"/>
      <c r="B197" s="59" t="n"/>
    </row>
    <row r="198">
      <c r="A198" s="59" t="n"/>
      <c r="B198" s="59" t="n"/>
    </row>
    <row r="199">
      <c r="A199" s="59" t="n"/>
      <c r="B199" s="59" t="n"/>
    </row>
    <row r="200">
      <c r="A200" s="59" t="n"/>
      <c r="B200" s="59" t="n"/>
    </row>
    <row r="201">
      <c r="A201" s="59" t="n"/>
      <c r="B201" s="59" t="n"/>
    </row>
    <row r="202">
      <c r="A202" s="59" t="n"/>
      <c r="B202" s="59" t="n"/>
    </row>
    <row r="203">
      <c r="A203" s="59" t="n"/>
      <c r="B203" s="59" t="n"/>
    </row>
    <row r="204">
      <c r="A204" s="59" t="n"/>
      <c r="B204" s="59" t="n"/>
    </row>
    <row r="205">
      <c r="A205" s="59" t="n"/>
      <c r="B205" s="59" t="n"/>
    </row>
    <row r="206">
      <c r="A206" s="59" t="n"/>
      <c r="B206" s="59" t="n"/>
    </row>
    <row r="207">
      <c r="A207" s="59" t="n"/>
      <c r="B207" s="59" t="n"/>
    </row>
    <row r="208">
      <c r="A208" s="59" t="n"/>
      <c r="B208" s="59" t="n"/>
    </row>
    <row r="209">
      <c r="A209" s="59" t="n"/>
      <c r="B209" s="59" t="n"/>
    </row>
    <row r="210">
      <c r="A210" s="59" t="n"/>
      <c r="B210" s="59" t="n"/>
    </row>
    <row r="211">
      <c r="A211" s="59" t="n"/>
      <c r="B211" s="59" t="n"/>
    </row>
    <row r="212">
      <c r="A212" s="59" t="n"/>
      <c r="B212" s="59" t="n"/>
    </row>
    <row r="213">
      <c r="A213" s="59" t="n"/>
      <c r="B213" s="59" t="n"/>
    </row>
    <row r="214">
      <c r="A214" s="59" t="n"/>
      <c r="B214" s="59" t="n"/>
    </row>
    <row r="215">
      <c r="A215" s="59" t="n"/>
      <c r="B215" s="59" t="n"/>
    </row>
    <row r="216">
      <c r="A216" s="59" t="n"/>
      <c r="B216" s="59" t="n"/>
    </row>
    <row r="217">
      <c r="A217" s="59" t="n"/>
      <c r="B217" s="59" t="n"/>
    </row>
    <row r="218">
      <c r="A218" s="59" t="n"/>
      <c r="B218" s="59" t="n"/>
    </row>
    <row r="219">
      <c r="A219" s="59" t="n"/>
      <c r="B219" s="59" t="n"/>
    </row>
    <row r="220">
      <c r="A220" s="59" t="n"/>
      <c r="B220" s="59" t="n"/>
    </row>
    <row r="221">
      <c r="A221" s="59" t="n"/>
      <c r="B221" s="59" t="n"/>
    </row>
    <row r="222">
      <c r="A222" s="59" t="n"/>
      <c r="B222" s="59" t="n"/>
    </row>
    <row r="223">
      <c r="A223" s="59" t="n"/>
      <c r="B223" s="59" t="n"/>
    </row>
    <row r="224">
      <c r="A224" s="59" t="n"/>
      <c r="B224" s="59" t="n"/>
    </row>
    <row r="225">
      <c r="A225" s="59" t="n"/>
      <c r="B225" s="59" t="n"/>
    </row>
    <row r="226">
      <c r="A226" s="59" t="n"/>
      <c r="B226" s="59" t="n"/>
    </row>
    <row r="227">
      <c r="A227" s="59" t="n"/>
      <c r="B227" s="59" t="n"/>
    </row>
    <row r="228">
      <c r="A228" s="59" t="n"/>
      <c r="B228" s="59" t="n"/>
    </row>
    <row r="229">
      <c r="A229" s="59" t="n"/>
      <c r="B229" s="59" t="n"/>
    </row>
    <row r="230">
      <c r="A230" s="59" t="n"/>
      <c r="B230" s="59" t="n"/>
    </row>
    <row r="231">
      <c r="A231" s="59" t="n"/>
      <c r="B231" s="59" t="n"/>
    </row>
    <row r="232">
      <c r="A232" s="59" t="n"/>
      <c r="B232" s="59" t="n"/>
    </row>
    <row r="233">
      <c r="A233" s="59" t="n"/>
      <c r="B233" s="59" t="n"/>
    </row>
    <row r="234">
      <c r="A234" s="59" t="n"/>
      <c r="B234" s="59" t="n"/>
    </row>
    <row r="235">
      <c r="A235" s="59" t="n"/>
      <c r="B235" s="59" t="n"/>
    </row>
    <row r="236">
      <c r="A236" s="59" t="n"/>
      <c r="B236" s="59" t="n"/>
    </row>
    <row r="237">
      <c r="A237" s="59" t="n"/>
      <c r="B237" s="59" t="n"/>
    </row>
    <row r="238">
      <c r="A238" s="59" t="n"/>
      <c r="B238" s="59" t="n"/>
    </row>
    <row r="239">
      <c r="A239" s="59" t="n"/>
      <c r="B239" s="59" t="n"/>
    </row>
    <row r="240">
      <c r="A240" s="59" t="n"/>
      <c r="B240" s="59" t="n"/>
    </row>
    <row r="241">
      <c r="A241" s="59" t="n"/>
      <c r="B241" s="59" t="n"/>
    </row>
    <row r="242">
      <c r="A242" s="59" t="n"/>
      <c r="B242" s="59" t="n"/>
    </row>
    <row r="243">
      <c r="A243" s="59" t="n"/>
      <c r="B243" s="59" t="n"/>
    </row>
    <row r="244">
      <c r="A244" s="59" t="n"/>
      <c r="B244" s="59" t="n"/>
    </row>
    <row r="245">
      <c r="A245" s="59" t="n"/>
      <c r="B245" s="59" t="n"/>
    </row>
    <row r="246">
      <c r="A246" s="59" t="n"/>
      <c r="B246" s="59" t="n"/>
    </row>
    <row r="247">
      <c r="A247" s="59" t="n"/>
      <c r="B247" s="59" t="n"/>
    </row>
    <row r="248">
      <c r="A248" s="59" t="n"/>
      <c r="B248" s="59" t="n"/>
    </row>
    <row r="249">
      <c r="A249" s="59" t="n"/>
      <c r="B249" s="59" t="n"/>
    </row>
    <row r="250">
      <c r="A250" s="59" t="n"/>
      <c r="B250" s="59" t="n"/>
    </row>
    <row r="251">
      <c r="A251" s="59" t="n"/>
      <c r="B251" s="59" t="n"/>
    </row>
    <row r="252">
      <c r="A252" s="59" t="n"/>
      <c r="B252" s="59" t="n"/>
    </row>
    <row r="253">
      <c r="A253" s="59" t="n"/>
      <c r="B253" s="59" t="n"/>
    </row>
    <row r="254">
      <c r="A254" s="59" t="n"/>
      <c r="B254" s="59" t="n"/>
    </row>
    <row r="255">
      <c r="A255" s="59" t="n"/>
      <c r="B255" s="59" t="n"/>
    </row>
    <row r="256">
      <c r="A256" s="59" t="n"/>
      <c r="B256" s="59" t="n"/>
    </row>
    <row r="257">
      <c r="A257" s="59" t="n"/>
      <c r="B257" s="59" t="n"/>
    </row>
    <row r="258">
      <c r="A258" s="59" t="n"/>
      <c r="B258" s="59" t="n"/>
    </row>
    <row r="259">
      <c r="A259" s="59" t="n"/>
      <c r="B259" s="59" t="n"/>
    </row>
    <row r="260">
      <c r="A260" s="59" t="n"/>
      <c r="B260" s="59" t="n"/>
    </row>
    <row r="261">
      <c r="A261" s="59" t="n"/>
      <c r="B261" s="59" t="n"/>
    </row>
    <row r="262">
      <c r="A262" s="59" t="n"/>
      <c r="B262" s="59" t="n"/>
    </row>
    <row r="263">
      <c r="A263" s="59" t="n"/>
      <c r="B263" s="59" t="n"/>
    </row>
    <row r="264">
      <c r="A264" s="59" t="n"/>
      <c r="B264" s="59" t="n"/>
    </row>
    <row r="265">
      <c r="A265" s="59" t="n"/>
      <c r="B265" s="59" t="n"/>
    </row>
    <row r="266">
      <c r="A266" s="59" t="n"/>
      <c r="B266" s="59" t="n"/>
    </row>
    <row r="267">
      <c r="A267" s="59" t="n"/>
      <c r="B267" s="59" t="n"/>
    </row>
    <row r="268">
      <c r="A268" s="59" t="n"/>
      <c r="B268" s="59" t="n"/>
    </row>
    <row r="269">
      <c r="A269" s="59" t="n"/>
      <c r="B269" s="59" t="n"/>
    </row>
    <row r="270">
      <c r="A270" s="59" t="n"/>
      <c r="B270" s="59" t="n"/>
    </row>
    <row r="271">
      <c r="A271" s="59" t="n"/>
      <c r="B271" s="59" t="n"/>
    </row>
    <row r="272">
      <c r="A272" s="59" t="n"/>
      <c r="B272" s="59" t="n"/>
    </row>
    <row r="273">
      <c r="A273" s="59" t="n"/>
      <c r="B273" s="59" t="n"/>
    </row>
    <row r="274">
      <c r="A274" s="59" t="n"/>
      <c r="B274" s="59" t="n"/>
    </row>
    <row r="275">
      <c r="A275" s="59" t="n"/>
      <c r="B275" s="59" t="n"/>
    </row>
    <row r="276">
      <c r="A276" s="59" t="n"/>
      <c r="B276" s="59" t="n"/>
    </row>
    <row r="277">
      <c r="A277" s="59" t="n"/>
      <c r="B277" s="59" t="n"/>
    </row>
    <row r="278">
      <c r="A278" s="59" t="n"/>
      <c r="B278" s="59" t="n"/>
    </row>
    <row r="279">
      <c r="A279" s="59" t="n"/>
      <c r="B279" s="59" t="n"/>
    </row>
    <row r="280">
      <c r="A280" s="59" t="n"/>
      <c r="B280" s="59" t="n"/>
    </row>
    <row r="281">
      <c r="A281" s="59" t="n"/>
      <c r="B281" s="59" t="n"/>
    </row>
    <row r="282">
      <c r="A282" s="59" t="n"/>
      <c r="B282" s="59" t="n"/>
    </row>
    <row r="283">
      <c r="A283" s="59" t="n"/>
      <c r="B283" s="59" t="n"/>
    </row>
    <row r="284">
      <c r="A284" s="59" t="n"/>
      <c r="B284" s="59" t="n"/>
    </row>
    <row r="285">
      <c r="A285" s="59" t="n"/>
      <c r="B285" s="59" t="n"/>
    </row>
    <row r="286">
      <c r="A286" s="59" t="n"/>
      <c r="B286" s="59" t="n"/>
    </row>
    <row r="287">
      <c r="A287" s="59" t="n"/>
      <c r="B287" s="59" t="n"/>
    </row>
    <row r="288">
      <c r="A288" s="59" t="n"/>
      <c r="B288" s="59" t="n"/>
    </row>
    <row r="289">
      <c r="A289" s="59" t="n"/>
      <c r="B289" s="59" t="n"/>
    </row>
    <row r="290">
      <c r="A290" s="59" t="n"/>
      <c r="B290" s="59" t="n"/>
    </row>
    <row r="291">
      <c r="A291" s="59" t="n"/>
      <c r="B291" s="59" t="n"/>
    </row>
    <row r="292">
      <c r="A292" s="59" t="n"/>
      <c r="B292" s="59" t="n"/>
    </row>
    <row r="293">
      <c r="A293" s="59" t="n"/>
      <c r="B293" s="59" t="n"/>
    </row>
    <row r="294">
      <c r="A294" s="59" t="n"/>
      <c r="B294" s="59" t="n"/>
    </row>
    <row r="295">
      <c r="A295" s="59" t="n"/>
      <c r="B295" s="59" t="n"/>
    </row>
    <row r="296">
      <c r="A296" s="59" t="n"/>
      <c r="B296" s="59" t="n"/>
    </row>
    <row r="297">
      <c r="A297" s="59" t="n"/>
      <c r="B297" s="59" t="n"/>
    </row>
    <row r="298">
      <c r="A298" s="59" t="n"/>
      <c r="B298" s="59" t="n"/>
    </row>
    <row r="299">
      <c r="A299" s="59" t="n"/>
      <c r="B299" s="59" t="n"/>
    </row>
    <row r="300">
      <c r="A300" s="59" t="n"/>
      <c r="B300" s="59" t="n"/>
    </row>
    <row r="301">
      <c r="A301" s="59" t="n"/>
      <c r="B301" s="59" t="n"/>
    </row>
    <row r="302">
      <c r="A302" s="59" t="n"/>
      <c r="B302" s="59" t="n"/>
    </row>
    <row r="303">
      <c r="A303" s="59" t="n"/>
      <c r="B303" s="59" t="n"/>
    </row>
    <row r="304">
      <c r="A304" s="59" t="n"/>
      <c r="B304" s="59" t="n"/>
    </row>
    <row r="305">
      <c r="A305" s="59" t="n"/>
      <c r="B305" s="59" t="n"/>
    </row>
    <row r="306">
      <c r="A306" s="59" t="n"/>
      <c r="B306" s="59" t="n"/>
    </row>
    <row r="307">
      <c r="A307" s="59" t="n"/>
      <c r="B307" s="59" t="n"/>
    </row>
    <row r="308">
      <c r="A308" s="59" t="n"/>
      <c r="B308" s="59" t="n"/>
    </row>
    <row r="309">
      <c r="A309" s="59" t="n"/>
      <c r="B309" s="59" t="n"/>
    </row>
    <row r="310">
      <c r="A310" s="59" t="n"/>
      <c r="B310" s="59" t="n"/>
    </row>
    <row r="311">
      <c r="A311" s="59" t="n"/>
      <c r="B311" s="59" t="n"/>
    </row>
    <row r="312">
      <c r="A312" s="59" t="n"/>
      <c r="B312" s="59" t="n"/>
    </row>
    <row r="313">
      <c r="A313" s="59" t="n"/>
      <c r="B313" s="59" t="n"/>
    </row>
    <row r="314">
      <c r="A314" s="59" t="n"/>
      <c r="B314" s="59" t="n"/>
    </row>
    <row r="315">
      <c r="A315" s="59" t="n"/>
      <c r="B315" s="59" t="n"/>
    </row>
    <row r="316">
      <c r="A316" s="59" t="n"/>
      <c r="B316" s="59" t="n"/>
    </row>
    <row r="317">
      <c r="A317" s="59" t="n"/>
      <c r="B317" s="59" t="n"/>
    </row>
    <row r="318">
      <c r="A318" s="59" t="n"/>
      <c r="B318" s="59" t="n"/>
    </row>
    <row r="319">
      <c r="A319" s="59" t="n"/>
      <c r="B319" s="59" t="n"/>
    </row>
    <row r="320">
      <c r="A320" s="59" t="n"/>
      <c r="B320" s="59" t="n"/>
    </row>
    <row r="321">
      <c r="A321" s="59" t="n"/>
      <c r="B321" s="59" t="n"/>
    </row>
    <row r="322">
      <c r="A322" s="59" t="n"/>
      <c r="B322" s="59" t="n"/>
    </row>
    <row r="323">
      <c r="A323" s="59" t="n"/>
      <c r="B323" s="59" t="n"/>
    </row>
    <row r="324">
      <c r="A324" s="59" t="n"/>
      <c r="B324" s="59" t="n"/>
    </row>
    <row r="325">
      <c r="A325" s="59" t="n"/>
      <c r="B325" s="59" t="n"/>
    </row>
    <row r="326">
      <c r="A326" s="59" t="n"/>
      <c r="B326" s="59" t="n"/>
    </row>
    <row r="327">
      <c r="A327" s="59" t="n"/>
      <c r="B327" s="59" t="n"/>
    </row>
    <row r="328">
      <c r="A328" s="59" t="n"/>
      <c r="B328" s="59" t="n"/>
    </row>
    <row r="329">
      <c r="A329" s="59" t="n"/>
      <c r="B329" s="59" t="n"/>
    </row>
    <row r="330">
      <c r="A330" s="59" t="n"/>
      <c r="B330" s="59" t="n"/>
    </row>
    <row r="331">
      <c r="A331" s="59" t="n"/>
      <c r="B331" s="59" t="n"/>
    </row>
    <row r="332">
      <c r="A332" s="59" t="n"/>
      <c r="B332" s="59" t="n"/>
    </row>
    <row r="333">
      <c r="A333" s="59" t="n"/>
      <c r="B333" s="59" t="n"/>
    </row>
    <row r="334">
      <c r="A334" s="59" t="n"/>
      <c r="B334" s="59" t="n"/>
    </row>
    <row r="335">
      <c r="A335" s="59" t="n"/>
      <c r="B335" s="59" t="n"/>
    </row>
    <row r="336">
      <c r="A336" s="59" t="n"/>
      <c r="B336" s="59" t="n"/>
    </row>
    <row r="337">
      <c r="A337" s="59" t="n"/>
      <c r="B337" s="59" t="n"/>
    </row>
    <row r="338">
      <c r="A338" s="59" t="n"/>
      <c r="B338" s="59" t="n"/>
    </row>
    <row r="339">
      <c r="A339" s="59" t="n"/>
      <c r="B339" s="59" t="n"/>
    </row>
    <row r="340">
      <c r="A340" s="59" t="n"/>
      <c r="B340" s="59" t="n"/>
    </row>
    <row r="341">
      <c r="A341" s="59" t="n"/>
      <c r="B341" s="59" t="n"/>
    </row>
    <row r="342">
      <c r="A342" s="59" t="n"/>
      <c r="B342" s="59" t="n"/>
    </row>
    <row r="343">
      <c r="A343" s="59" t="n"/>
      <c r="B343" s="59" t="n"/>
    </row>
    <row r="344">
      <c r="A344" s="59" t="n"/>
      <c r="B344" s="59" t="n"/>
    </row>
    <row r="345">
      <c r="A345" s="59" t="n"/>
      <c r="B345" s="59" t="n"/>
    </row>
    <row r="346">
      <c r="A346" s="59" t="n"/>
      <c r="B346" s="59" t="n"/>
    </row>
    <row r="347">
      <c r="A347" s="59" t="n"/>
      <c r="B347" s="59" t="n"/>
    </row>
    <row r="348">
      <c r="A348" s="59" t="n"/>
      <c r="B348" s="59" t="n"/>
    </row>
    <row r="349">
      <c r="A349" s="59" t="n"/>
      <c r="B349" s="59" t="n"/>
    </row>
    <row r="350">
      <c r="A350" s="59" t="n"/>
      <c r="B350" s="59" t="n"/>
    </row>
    <row r="351">
      <c r="A351" s="59" t="n"/>
      <c r="B351" s="59" t="n"/>
    </row>
    <row r="352">
      <c r="A352" s="59" t="n"/>
      <c r="B352" s="59" t="n"/>
    </row>
    <row r="353">
      <c r="A353" s="59" t="n"/>
      <c r="B353" s="59" t="n"/>
    </row>
    <row r="354">
      <c r="A354" s="59" t="n"/>
      <c r="B354" s="59" t="n"/>
    </row>
    <row r="355">
      <c r="A355" s="59" t="n"/>
      <c r="B355" s="59" t="n"/>
    </row>
    <row r="356">
      <c r="A356" s="59" t="n"/>
      <c r="B356" s="59" t="n"/>
    </row>
    <row r="357">
      <c r="A357" s="59" t="n"/>
      <c r="B357" s="59" t="n"/>
    </row>
    <row r="358">
      <c r="A358" s="59" t="n"/>
      <c r="B358" s="59" t="n"/>
    </row>
    <row r="359">
      <c r="A359" s="59" t="n"/>
      <c r="B359" s="59" t="n"/>
    </row>
    <row r="360">
      <c r="A360" s="59" t="n"/>
      <c r="B360" s="59" t="n"/>
    </row>
    <row r="361">
      <c r="A361" s="59" t="n"/>
      <c r="B361" s="59" t="n"/>
    </row>
    <row r="362">
      <c r="A362" s="59" t="n"/>
      <c r="B362" s="59" t="n"/>
    </row>
    <row r="363">
      <c r="A363" s="59" t="n"/>
      <c r="B363" s="59" t="n"/>
    </row>
    <row r="364">
      <c r="A364" s="59" t="n"/>
      <c r="B364" s="59" t="n"/>
    </row>
    <row r="365">
      <c r="A365" s="59" t="n"/>
      <c r="B365" s="59" t="n"/>
    </row>
    <row r="366">
      <c r="A366" s="59" t="n"/>
      <c r="B366" s="59" t="n"/>
    </row>
    <row r="367">
      <c r="A367" s="59" t="n"/>
      <c r="B367" s="59" t="n"/>
    </row>
    <row r="368">
      <c r="A368" s="59" t="n"/>
      <c r="B368" s="59" t="n"/>
    </row>
    <row r="369">
      <c r="A369" s="59" t="n"/>
      <c r="B369" s="59" t="n"/>
    </row>
    <row r="370">
      <c r="A370" s="59" t="n"/>
      <c r="B370" s="59" t="n"/>
    </row>
    <row r="371">
      <c r="A371" s="59" t="n"/>
      <c r="B371" s="59" t="n"/>
    </row>
    <row r="372">
      <c r="A372" s="59" t="n"/>
      <c r="B372" s="59" t="n"/>
    </row>
    <row r="373">
      <c r="A373" s="59" t="n"/>
      <c r="B373" s="59" t="n"/>
    </row>
    <row r="374">
      <c r="A374" s="59" t="n"/>
      <c r="B374" s="59" t="n"/>
    </row>
    <row r="375">
      <c r="A375" s="59" t="n"/>
      <c r="B375" s="59" t="n"/>
    </row>
    <row r="376">
      <c r="A376" s="59" t="n"/>
      <c r="B376" s="59" t="n"/>
    </row>
    <row r="377">
      <c r="A377" s="59" t="n"/>
      <c r="B377" s="59" t="n"/>
    </row>
    <row r="378">
      <c r="A378" s="59" t="n"/>
      <c r="B378" s="59" t="n"/>
    </row>
    <row r="379">
      <c r="A379" s="59" t="n"/>
      <c r="B379" s="59" t="n"/>
    </row>
    <row r="380">
      <c r="A380" s="59" t="n"/>
      <c r="B380" s="59" t="n"/>
    </row>
    <row r="381">
      <c r="A381" s="59" t="n"/>
      <c r="B381" s="59" t="n"/>
    </row>
    <row r="382">
      <c r="A382" s="59" t="n"/>
      <c r="B382" s="59" t="n"/>
    </row>
    <row r="383">
      <c r="A383" s="59" t="n"/>
      <c r="B383" s="59" t="n"/>
    </row>
    <row r="384">
      <c r="A384" s="59" t="n"/>
      <c r="B384" s="59" t="n"/>
    </row>
    <row r="385">
      <c r="A385" s="59" t="n"/>
      <c r="B385" s="59" t="n"/>
    </row>
    <row r="386">
      <c r="A386" s="59" t="n"/>
      <c r="B386" s="59" t="n"/>
    </row>
    <row r="387">
      <c r="A387" s="59" t="n"/>
      <c r="B387" s="59" t="n"/>
    </row>
    <row r="388">
      <c r="A388" s="59" t="n"/>
      <c r="B388" s="59" t="n"/>
    </row>
    <row r="389">
      <c r="A389" s="59" t="n"/>
      <c r="B389" s="59" t="n"/>
    </row>
    <row r="390">
      <c r="A390" s="59" t="n"/>
      <c r="B390" s="59" t="n"/>
    </row>
    <row r="391">
      <c r="A391" s="59" t="n"/>
      <c r="B391" s="59" t="n"/>
    </row>
    <row r="392">
      <c r="A392" s="59" t="n"/>
      <c r="B392" s="59" t="n"/>
    </row>
    <row r="393">
      <c r="A393" s="59" t="n"/>
      <c r="B393" s="59" t="n"/>
    </row>
    <row r="394">
      <c r="A394" s="59" t="n"/>
      <c r="B394" s="59" t="n"/>
    </row>
    <row r="395">
      <c r="A395" s="59" t="n"/>
      <c r="B395" s="59" t="n"/>
    </row>
    <row r="396">
      <c r="A396" s="59" t="n"/>
      <c r="B396" s="59" t="n"/>
    </row>
    <row r="397">
      <c r="A397" s="59" t="n"/>
      <c r="B397" s="59" t="n"/>
    </row>
    <row r="398">
      <c r="A398" s="59" t="n"/>
      <c r="B398" s="59" t="n"/>
    </row>
    <row r="399">
      <c r="A399" s="59" t="n"/>
      <c r="B399" s="59" t="n"/>
    </row>
    <row r="400">
      <c r="A400" s="59" t="n"/>
      <c r="B400" s="59" t="n"/>
    </row>
    <row r="401">
      <c r="A401" s="59" t="n"/>
      <c r="B401" s="59" t="n"/>
    </row>
    <row r="402">
      <c r="A402" s="59" t="n"/>
      <c r="B402" s="59" t="n"/>
    </row>
    <row r="403">
      <c r="A403" s="59" t="n"/>
      <c r="B403" s="59" t="n"/>
    </row>
    <row r="404">
      <c r="A404" s="59" t="n"/>
      <c r="B404" s="59" t="n"/>
    </row>
    <row r="405">
      <c r="A405" s="59" t="n"/>
      <c r="B405" s="59" t="n"/>
    </row>
    <row r="406">
      <c r="A406" s="59" t="n"/>
      <c r="B406" s="59" t="n"/>
    </row>
    <row r="407">
      <c r="A407" s="59" t="n"/>
      <c r="B407" s="59" t="n"/>
    </row>
    <row r="408">
      <c r="A408" s="59" t="n"/>
      <c r="B408" s="59" t="n"/>
    </row>
    <row r="409">
      <c r="A409" s="59" t="n"/>
      <c r="B409" s="59" t="n"/>
    </row>
    <row r="410">
      <c r="A410" s="59" t="n"/>
      <c r="B410" s="59" t="n"/>
    </row>
    <row r="411">
      <c r="A411" s="59" t="n"/>
      <c r="B411" s="59" t="n"/>
    </row>
    <row r="412">
      <c r="A412" s="59" t="n"/>
      <c r="B412" s="59" t="n"/>
    </row>
    <row r="413">
      <c r="A413" s="59" t="n"/>
      <c r="B413" s="59" t="n"/>
    </row>
    <row r="414">
      <c r="A414" s="59" t="n"/>
      <c r="B414" s="59" t="n"/>
    </row>
    <row r="415">
      <c r="A415" s="59" t="n"/>
      <c r="B415" s="59" t="n"/>
    </row>
    <row r="416">
      <c r="A416" s="59" t="n"/>
      <c r="B416" s="59" t="n"/>
    </row>
    <row r="417">
      <c r="A417" s="59" t="n"/>
      <c r="B417" s="59" t="n"/>
    </row>
    <row r="418">
      <c r="A418" s="59" t="n"/>
      <c r="B418" s="59" t="n"/>
    </row>
    <row r="419">
      <c r="A419" s="59" t="n"/>
      <c r="B419" s="59" t="n"/>
    </row>
    <row r="420">
      <c r="A420" s="59" t="n"/>
      <c r="B420" s="59" t="n"/>
    </row>
    <row r="421">
      <c r="A421" s="59" t="n"/>
      <c r="B421" s="59" t="n"/>
    </row>
    <row r="422">
      <c r="A422" s="59" t="n"/>
      <c r="B422" s="59" t="n"/>
    </row>
    <row r="423">
      <c r="A423" s="59" t="n"/>
      <c r="B423" s="59" t="n"/>
    </row>
    <row r="424">
      <c r="A424" s="59" t="n"/>
      <c r="B424" s="59" t="n"/>
    </row>
    <row r="425">
      <c r="A425" s="59" t="n"/>
      <c r="B425" s="59" t="n"/>
    </row>
    <row r="426">
      <c r="A426" s="59" t="n"/>
      <c r="B426" s="59" t="n"/>
    </row>
    <row r="427">
      <c r="A427" s="59" t="n"/>
      <c r="B427" s="59" t="n"/>
    </row>
    <row r="428">
      <c r="A428" s="59" t="n"/>
      <c r="B428" s="59" t="n"/>
    </row>
    <row r="429">
      <c r="A429" s="59" t="n"/>
      <c r="B429" s="59" t="n"/>
    </row>
    <row r="430">
      <c r="A430" s="59" t="n"/>
      <c r="B430" s="59" t="n"/>
    </row>
    <row r="431">
      <c r="A431" s="59" t="n"/>
      <c r="B431" s="59" t="n"/>
    </row>
    <row r="432">
      <c r="A432" s="59" t="n"/>
      <c r="B432" s="59" t="n"/>
    </row>
    <row r="433">
      <c r="A433" s="59" t="n"/>
      <c r="B433" s="59" t="n"/>
    </row>
    <row r="434">
      <c r="A434" s="59" t="n"/>
      <c r="B434" s="59" t="n"/>
    </row>
    <row r="435">
      <c r="A435" s="59" t="n"/>
      <c r="B435" s="59" t="n"/>
    </row>
    <row r="436">
      <c r="A436" s="59" t="n"/>
      <c r="B436" s="59" t="n"/>
    </row>
    <row r="437">
      <c r="A437" s="59" t="n"/>
      <c r="B437" s="59" t="n"/>
    </row>
    <row r="438">
      <c r="A438" s="59" t="n"/>
      <c r="B438" s="59" t="n"/>
    </row>
    <row r="439">
      <c r="A439" s="59" t="n"/>
      <c r="B439" s="59" t="n"/>
    </row>
    <row r="440">
      <c r="A440" s="59" t="n"/>
      <c r="B440" s="59" t="n"/>
    </row>
    <row r="441">
      <c r="A441" s="59" t="n"/>
      <c r="B441" s="59" t="n"/>
    </row>
    <row r="442">
      <c r="A442" s="59" t="n"/>
      <c r="B442" s="59" t="n"/>
    </row>
    <row r="443">
      <c r="A443" s="59" t="n"/>
      <c r="B443" s="59" t="n"/>
    </row>
    <row r="444">
      <c r="A444" s="59" t="n"/>
      <c r="B444" s="59" t="n"/>
    </row>
    <row r="445">
      <c r="A445" s="59" t="n"/>
      <c r="B445" s="59" t="n"/>
    </row>
    <row r="446">
      <c r="A446" s="59" t="n"/>
      <c r="B446" s="59" t="n"/>
    </row>
    <row r="447">
      <c r="A447" s="59" t="n"/>
      <c r="B447" s="59" t="n"/>
    </row>
    <row r="448">
      <c r="A448" s="59" t="n"/>
      <c r="B448" s="59" t="n"/>
    </row>
    <row r="449">
      <c r="A449" s="59" t="n"/>
      <c r="B449" s="59" t="n"/>
    </row>
    <row r="450">
      <c r="A450" s="59" t="n"/>
      <c r="B450" s="59" t="n"/>
    </row>
    <row r="451">
      <c r="A451" s="59" t="n"/>
      <c r="B451" s="59" t="n"/>
    </row>
    <row r="452">
      <c r="A452" s="59" t="n"/>
      <c r="B452" s="59" t="n"/>
    </row>
    <row r="453">
      <c r="A453" s="59" t="n"/>
      <c r="B453" s="59" t="n"/>
    </row>
    <row r="454">
      <c r="A454" s="59" t="n"/>
      <c r="B454" s="59" t="n"/>
    </row>
    <row r="455">
      <c r="A455" s="59" t="n"/>
      <c r="B455" s="59" t="n"/>
    </row>
    <row r="456">
      <c r="A456" s="59" t="n"/>
      <c r="B456" s="59" t="n"/>
    </row>
    <row r="457">
      <c r="A457" s="59" t="n"/>
      <c r="B457" s="59" t="n"/>
    </row>
    <row r="458">
      <c r="A458" s="59" t="n"/>
      <c r="B458" s="59" t="n"/>
    </row>
    <row r="459">
      <c r="A459" s="59" t="n"/>
      <c r="B459" s="59" t="n"/>
    </row>
    <row r="460">
      <c r="A460" s="59" t="n"/>
      <c r="B460" s="59" t="n"/>
    </row>
    <row r="461">
      <c r="A461" s="59" t="n"/>
      <c r="B461" s="59" t="n"/>
    </row>
    <row r="462">
      <c r="A462" s="59" t="n"/>
      <c r="B462" s="59" t="n"/>
    </row>
    <row r="463">
      <c r="A463" s="59" t="n"/>
      <c r="B463" s="59" t="n"/>
    </row>
    <row r="464">
      <c r="A464" s="59" t="n"/>
      <c r="B464" s="59" t="n"/>
    </row>
    <row r="465">
      <c r="A465" s="59" t="n"/>
      <c r="B465" s="59" t="n"/>
    </row>
    <row r="466">
      <c r="A466" s="59" t="n"/>
      <c r="B466" s="59" t="n"/>
    </row>
    <row r="467">
      <c r="A467" s="59" t="n"/>
      <c r="B467" s="59" t="n"/>
    </row>
    <row r="468">
      <c r="A468" s="59" t="n"/>
      <c r="B468" s="59" t="n"/>
    </row>
    <row r="469">
      <c r="A469" s="59" t="n"/>
      <c r="B469" s="59" t="n"/>
    </row>
    <row r="470">
      <c r="A470" s="59" t="n"/>
      <c r="B470" s="59" t="n"/>
    </row>
    <row r="471">
      <c r="A471" s="59" t="n"/>
      <c r="B471" s="59" t="n"/>
    </row>
    <row r="472">
      <c r="A472" s="59" t="n"/>
      <c r="B472" s="59" t="n"/>
    </row>
    <row r="473">
      <c r="A473" s="59" t="n"/>
      <c r="B473" s="59" t="n"/>
    </row>
    <row r="474">
      <c r="A474" s="59" t="n"/>
      <c r="B474" s="59" t="n"/>
    </row>
    <row r="475">
      <c r="A475" s="59" t="n"/>
      <c r="B475" s="59" t="n"/>
    </row>
    <row r="476">
      <c r="A476" s="59" t="n"/>
      <c r="B476" s="59" t="n"/>
    </row>
    <row r="477">
      <c r="A477" s="59" t="n"/>
      <c r="B477" s="59" t="n"/>
    </row>
    <row r="478">
      <c r="A478" s="59" t="n"/>
      <c r="B478" s="59" t="n"/>
    </row>
    <row r="479">
      <c r="A479" s="59" t="n"/>
      <c r="B479" s="59" t="n"/>
    </row>
    <row r="480">
      <c r="A480" s="59" t="n"/>
      <c r="B480" s="59" t="n"/>
    </row>
    <row r="481">
      <c r="A481" s="59" t="n"/>
      <c r="B481" s="59" t="n"/>
    </row>
    <row r="482">
      <c r="A482" s="59" t="n"/>
      <c r="B482" s="59" t="n"/>
    </row>
    <row r="483">
      <c r="A483" s="59" t="n"/>
      <c r="B483" s="59" t="n"/>
    </row>
    <row r="484">
      <c r="A484" s="59" t="n"/>
      <c r="B484" s="59" t="n"/>
    </row>
    <row r="485">
      <c r="A485" s="59" t="n"/>
      <c r="B485" s="59" t="n"/>
    </row>
    <row r="486">
      <c r="A486" s="59" t="n"/>
      <c r="B486" s="59" t="n"/>
    </row>
    <row r="487">
      <c r="A487" s="59" t="n"/>
      <c r="B487" s="59" t="n"/>
    </row>
    <row r="488">
      <c r="A488" s="59" t="n"/>
      <c r="B488" s="59" t="n"/>
    </row>
    <row r="489">
      <c r="A489" s="59" t="n"/>
      <c r="B489" s="59" t="n"/>
    </row>
    <row r="490">
      <c r="A490" s="59" t="n"/>
      <c r="B490" s="59" t="n"/>
    </row>
    <row r="491">
      <c r="A491" s="59" t="n"/>
      <c r="B491" s="59" t="n"/>
    </row>
    <row r="492">
      <c r="A492" s="59" t="n"/>
      <c r="B492" s="59" t="n"/>
    </row>
    <row r="493">
      <c r="A493" s="59" t="n"/>
      <c r="B493" s="59" t="n"/>
    </row>
    <row r="494">
      <c r="A494" s="59" t="n"/>
      <c r="B494" s="59" t="n"/>
    </row>
    <row r="495">
      <c r="A495" s="59" t="n"/>
      <c r="B495" s="59" t="n"/>
    </row>
    <row r="496">
      <c r="A496" s="59" t="n"/>
      <c r="B496" s="59" t="n"/>
    </row>
    <row r="497">
      <c r="A497" s="59" t="n"/>
      <c r="B497" s="59" t="n"/>
    </row>
    <row r="498">
      <c r="A498" s="59" t="n"/>
      <c r="B498" s="59" t="n"/>
    </row>
    <row r="499">
      <c r="A499" s="59" t="n"/>
      <c r="B499" s="59" t="n"/>
    </row>
    <row r="500">
      <c r="A500" s="59" t="n"/>
      <c r="B500" s="59" t="n"/>
    </row>
    <row r="501">
      <c r="A501" s="59" t="n"/>
      <c r="B501" s="59" t="n"/>
    </row>
    <row r="502">
      <c r="A502" s="59" t="n"/>
      <c r="B502" s="59" t="n"/>
    </row>
    <row r="503">
      <c r="A503" s="59" t="n"/>
      <c r="B503" s="59" t="n"/>
    </row>
    <row r="504">
      <c r="A504" s="59" t="n"/>
      <c r="B504" s="59" t="n"/>
    </row>
    <row r="505">
      <c r="A505" s="59" t="n"/>
      <c r="B505" s="59" t="n"/>
    </row>
    <row r="506">
      <c r="A506" s="59" t="n"/>
      <c r="B506" s="59" t="n"/>
    </row>
    <row r="507">
      <c r="A507" s="59" t="n"/>
      <c r="B507" s="59" t="n"/>
    </row>
    <row r="508">
      <c r="A508" s="59" t="n"/>
      <c r="B508" s="59" t="n"/>
    </row>
    <row r="509">
      <c r="A509" s="59" t="n"/>
      <c r="B509" s="59" t="n"/>
    </row>
    <row r="510">
      <c r="A510" s="59" t="n"/>
      <c r="B510" s="59" t="n"/>
    </row>
    <row r="511">
      <c r="A511" s="59" t="n"/>
      <c r="B511" s="59" t="n"/>
    </row>
    <row r="512">
      <c r="A512" s="59" t="n"/>
      <c r="B512" s="59" t="n"/>
    </row>
    <row r="513">
      <c r="A513" s="59" t="n"/>
      <c r="B513" s="59" t="n"/>
    </row>
    <row r="514">
      <c r="A514" s="59" t="n"/>
      <c r="B514" s="59" t="n"/>
    </row>
    <row r="515">
      <c r="A515" s="59" t="n"/>
      <c r="B515" s="59" t="n"/>
    </row>
    <row r="516">
      <c r="A516" s="59" t="n"/>
      <c r="B516" s="59" t="n"/>
    </row>
    <row r="517">
      <c r="A517" s="59" t="n"/>
      <c r="B517" s="59" t="n"/>
    </row>
    <row r="518">
      <c r="A518" s="59" t="n"/>
      <c r="B518" s="59" t="n"/>
    </row>
    <row r="519">
      <c r="A519" s="59" t="n"/>
      <c r="B519" s="59" t="n"/>
    </row>
    <row r="520">
      <c r="A520" s="59" t="n"/>
      <c r="B520" s="59" t="n"/>
    </row>
    <row r="521">
      <c r="A521" s="59" t="n"/>
      <c r="B521" s="59" t="n"/>
    </row>
    <row r="522">
      <c r="A522" s="59" t="n"/>
      <c r="B522" s="59" t="n"/>
    </row>
    <row r="523">
      <c r="A523" s="59" t="n"/>
      <c r="B523" s="59" t="n"/>
    </row>
    <row r="524">
      <c r="A524" s="59" t="n"/>
      <c r="B524" s="59" t="n"/>
    </row>
    <row r="525">
      <c r="A525" s="59" t="n"/>
      <c r="B525" s="59" t="n"/>
    </row>
    <row r="526">
      <c r="A526" s="59" t="n"/>
      <c r="B526" s="59" t="n"/>
    </row>
    <row r="527">
      <c r="A527" s="59" t="n"/>
      <c r="B527" s="59" t="n"/>
    </row>
    <row r="528">
      <c r="A528" s="59" t="n"/>
      <c r="B528" s="59" t="n"/>
    </row>
    <row r="529">
      <c r="A529" s="59" t="n"/>
      <c r="B529" s="59" t="n"/>
    </row>
    <row r="530">
      <c r="A530" s="59" t="n"/>
      <c r="B530" s="59" t="n"/>
    </row>
    <row r="531">
      <c r="A531" s="59" t="n"/>
      <c r="B531" s="59" t="n"/>
    </row>
    <row r="532">
      <c r="A532" s="59" t="n"/>
      <c r="B532" s="59" t="n"/>
    </row>
    <row r="533">
      <c r="A533" s="59" t="n"/>
      <c r="B533" s="59" t="n"/>
    </row>
    <row r="534">
      <c r="A534" s="59" t="n"/>
      <c r="B534" s="59" t="n"/>
    </row>
    <row r="535">
      <c r="A535" s="59" t="n"/>
      <c r="B535" s="59" t="n"/>
    </row>
    <row r="536">
      <c r="A536" s="59" t="n"/>
      <c r="B536" s="59" t="n"/>
    </row>
    <row r="537">
      <c r="A537" s="59" t="n"/>
      <c r="B537" s="59" t="n"/>
    </row>
    <row r="538">
      <c r="A538" s="59" t="n"/>
      <c r="B538" s="59" t="n"/>
    </row>
    <row r="539">
      <c r="A539" s="59" t="n"/>
      <c r="B539" s="59" t="n"/>
    </row>
    <row r="540">
      <c r="A540" s="59" t="n"/>
      <c r="B540" s="59" t="n"/>
    </row>
    <row r="541">
      <c r="A541" s="59" t="n"/>
      <c r="B541" s="59" t="n"/>
    </row>
    <row r="542">
      <c r="A542" s="59" t="n"/>
      <c r="B542" s="59" t="n"/>
    </row>
    <row r="543">
      <c r="A543" s="59" t="n"/>
      <c r="B543" s="59" t="n"/>
    </row>
    <row r="544">
      <c r="A544" s="59" t="n"/>
      <c r="B544" s="59" t="n"/>
    </row>
    <row r="545">
      <c r="A545" s="59" t="n"/>
      <c r="B545" s="59" t="n"/>
    </row>
    <row r="546">
      <c r="A546" s="59" t="n"/>
      <c r="B546" s="59" t="n"/>
    </row>
    <row r="547">
      <c r="A547" s="59" t="n"/>
      <c r="B547" s="59" t="n"/>
    </row>
    <row r="548">
      <c r="A548" s="59" t="n"/>
      <c r="B548" s="59" t="n"/>
    </row>
    <row r="549">
      <c r="A549" s="59" t="n"/>
      <c r="B549" s="59" t="n"/>
    </row>
    <row r="550">
      <c r="A550" s="59" t="n"/>
      <c r="B550" s="59" t="n"/>
    </row>
    <row r="551">
      <c r="A551" s="59" t="n"/>
      <c r="B551" s="59" t="n"/>
    </row>
    <row r="552">
      <c r="A552" s="59" t="n"/>
      <c r="B552" s="59" t="n"/>
    </row>
    <row r="553">
      <c r="A553" s="59" t="n"/>
      <c r="B553" s="59" t="n"/>
    </row>
    <row r="554">
      <c r="A554" s="59" t="n"/>
      <c r="B554" s="59" t="n"/>
    </row>
    <row r="555">
      <c r="A555" s="59" t="n"/>
      <c r="B555" s="59" t="n"/>
    </row>
    <row r="556">
      <c r="A556" s="59" t="n"/>
      <c r="B556" s="59" t="n"/>
    </row>
    <row r="557">
      <c r="A557" s="59" t="n"/>
      <c r="B557" s="59" t="n"/>
    </row>
    <row r="558">
      <c r="A558" s="59" t="n"/>
      <c r="B558" s="59" t="n"/>
    </row>
    <row r="559">
      <c r="A559" s="59" t="n"/>
      <c r="B559" s="59" t="n"/>
    </row>
    <row r="560">
      <c r="A560" s="59" t="n"/>
      <c r="B560" s="59" t="n"/>
    </row>
    <row r="561">
      <c r="A561" s="59" t="n"/>
      <c r="B561" s="59" t="n"/>
    </row>
    <row r="562">
      <c r="A562" s="59" t="n"/>
      <c r="B562" s="59" t="n"/>
    </row>
    <row r="563">
      <c r="A563" s="59" t="n"/>
      <c r="B563" s="59" t="n"/>
    </row>
    <row r="564">
      <c r="A564" s="59" t="n"/>
      <c r="B564" s="59" t="n"/>
    </row>
    <row r="565">
      <c r="A565" s="59" t="n"/>
      <c r="B565" s="59" t="n"/>
    </row>
    <row r="566">
      <c r="A566" s="59" t="n"/>
      <c r="B566" s="59" t="n"/>
    </row>
    <row r="567">
      <c r="A567" s="59" t="n"/>
      <c r="B567" s="59" t="n"/>
    </row>
    <row r="568">
      <c r="A568" s="59" t="n"/>
      <c r="B568" s="59" t="n"/>
    </row>
    <row r="569">
      <c r="A569" s="59" t="n"/>
      <c r="B569" s="59" t="n"/>
    </row>
    <row r="570">
      <c r="A570" s="59" t="n"/>
      <c r="B570" s="59" t="n"/>
    </row>
    <row r="571">
      <c r="A571" s="59" t="n"/>
      <c r="B571" s="59" t="n"/>
    </row>
    <row r="572">
      <c r="A572" s="59" t="n"/>
      <c r="B572" s="59" t="n"/>
    </row>
    <row r="573">
      <c r="A573" s="59" t="n"/>
      <c r="B573" s="59" t="n"/>
    </row>
    <row r="574">
      <c r="A574" s="59" t="n"/>
      <c r="B574" s="59" t="n"/>
    </row>
    <row r="575">
      <c r="A575" s="59" t="n"/>
      <c r="B575" s="59" t="n"/>
    </row>
    <row r="576">
      <c r="A576" s="59" t="n"/>
      <c r="B576" s="59" t="n"/>
    </row>
    <row r="577">
      <c r="A577" s="59" t="n"/>
      <c r="B577" s="59" t="n"/>
    </row>
    <row r="578">
      <c r="A578" s="59" t="n"/>
      <c r="B578" s="59" t="n"/>
    </row>
    <row r="579">
      <c r="A579" s="59" t="n"/>
      <c r="B579" s="59" t="n"/>
    </row>
    <row r="580">
      <c r="A580" s="59" t="n"/>
      <c r="B580" s="59" t="n"/>
    </row>
    <row r="581">
      <c r="A581" s="59" t="n"/>
      <c r="B581" s="59" t="n"/>
    </row>
    <row r="582">
      <c r="A582" s="59" t="n"/>
      <c r="B582" s="59" t="n"/>
    </row>
    <row r="583">
      <c r="A583" s="59" t="n"/>
      <c r="B583" s="59" t="n"/>
    </row>
    <row r="584">
      <c r="A584" s="59" t="n"/>
      <c r="B584" s="59" t="n"/>
    </row>
    <row r="585">
      <c r="A585" s="59" t="n"/>
      <c r="B585" s="59" t="n"/>
    </row>
    <row r="586">
      <c r="A586" s="59" t="n"/>
      <c r="B586" s="59" t="n"/>
    </row>
    <row r="587">
      <c r="A587" s="59" t="n"/>
      <c r="B587" s="59" t="n"/>
    </row>
    <row r="588">
      <c r="A588" s="59" t="n"/>
      <c r="B588" s="59" t="n"/>
    </row>
    <row r="589">
      <c r="A589" s="59" t="n"/>
      <c r="B589" s="59" t="n"/>
    </row>
    <row r="590">
      <c r="A590" s="59" t="n"/>
      <c r="B590" s="59" t="n"/>
    </row>
    <row r="591">
      <c r="A591" s="59" t="n"/>
      <c r="B591" s="59" t="n"/>
    </row>
    <row r="592">
      <c r="A592" s="59" t="n"/>
      <c r="B592" s="59" t="n"/>
    </row>
    <row r="593">
      <c r="A593" s="59" t="n"/>
      <c r="B593" s="59" t="n"/>
    </row>
    <row r="594">
      <c r="A594" s="59" t="n"/>
      <c r="B594" s="59" t="n"/>
    </row>
    <row r="595">
      <c r="A595" s="59" t="n"/>
      <c r="B595" s="59" t="n"/>
    </row>
    <row r="596">
      <c r="A596" s="59" t="n"/>
      <c r="B596" s="59" t="n"/>
    </row>
    <row r="597">
      <c r="A597" s="59" t="n"/>
      <c r="B597" s="59" t="n"/>
    </row>
    <row r="598">
      <c r="A598" s="59" t="n"/>
      <c r="B598" s="59" t="n"/>
    </row>
    <row r="599">
      <c r="A599" s="59" t="n"/>
      <c r="B599" s="59" t="n"/>
    </row>
    <row r="600">
      <c r="A600" s="59" t="n"/>
      <c r="B600" s="59" t="n"/>
    </row>
    <row r="601">
      <c r="A601" s="59" t="n"/>
      <c r="B601" s="59" t="n"/>
    </row>
    <row r="602">
      <c r="A602" s="59" t="n"/>
      <c r="B602" s="59" t="n"/>
    </row>
    <row r="603">
      <c r="A603" s="59" t="n"/>
      <c r="B603" s="59" t="n"/>
    </row>
    <row r="604">
      <c r="A604" s="59" t="n"/>
      <c r="B604" s="59" t="n"/>
    </row>
    <row r="605">
      <c r="A605" s="59" t="n"/>
      <c r="B605" s="59" t="n"/>
    </row>
    <row r="606">
      <c r="A606" s="59" t="n"/>
      <c r="B606" s="59" t="n"/>
    </row>
    <row r="607">
      <c r="A607" s="59" t="n"/>
      <c r="B607" s="59" t="n"/>
    </row>
    <row r="608">
      <c r="A608" s="59" t="n"/>
      <c r="B608" s="59" t="n"/>
    </row>
    <row r="609">
      <c r="A609" s="59" t="n"/>
      <c r="B609" s="59" t="n"/>
    </row>
    <row r="610">
      <c r="A610" s="59" t="n"/>
      <c r="B610" s="59" t="n"/>
    </row>
    <row r="611">
      <c r="A611" s="59" t="n"/>
      <c r="B611" s="59" t="n"/>
    </row>
    <row r="612">
      <c r="A612" s="59" t="n"/>
      <c r="B612" s="59" t="n"/>
    </row>
    <row r="613">
      <c r="A613" s="59" t="n"/>
      <c r="B613" s="59" t="n"/>
    </row>
    <row r="614">
      <c r="A614" s="59" t="n"/>
      <c r="B614" s="59" t="n"/>
    </row>
    <row r="615">
      <c r="A615" s="59" t="n"/>
      <c r="B615" s="59" t="n"/>
    </row>
    <row r="616">
      <c r="A616" s="59" t="n"/>
      <c r="B616" s="59" t="n"/>
    </row>
    <row r="617">
      <c r="A617" s="59" t="n"/>
      <c r="B617" s="59" t="n"/>
    </row>
    <row r="618">
      <c r="A618" s="59" t="n"/>
      <c r="B618" s="59" t="n"/>
    </row>
    <row r="619">
      <c r="A619" s="59" t="n"/>
      <c r="B619" s="59" t="n"/>
    </row>
    <row r="620">
      <c r="A620" s="59" t="n"/>
      <c r="B620" s="59" t="n"/>
    </row>
    <row r="621">
      <c r="A621" s="59" t="n"/>
      <c r="B621" s="59" t="n"/>
    </row>
    <row r="622">
      <c r="A622" s="59" t="n"/>
      <c r="B622" s="59" t="n"/>
    </row>
    <row r="623">
      <c r="A623" s="59" t="n"/>
      <c r="B623" s="59" t="n"/>
    </row>
    <row r="624">
      <c r="A624" s="59" t="n"/>
      <c r="B624" s="59" t="n"/>
    </row>
    <row r="625">
      <c r="A625" s="59" t="n"/>
      <c r="B625" s="59" t="n"/>
    </row>
    <row r="626">
      <c r="A626" s="59" t="n"/>
      <c r="B626" s="59" t="n"/>
    </row>
    <row r="627">
      <c r="A627" s="59" t="n"/>
      <c r="B627" s="59" t="n"/>
    </row>
    <row r="628">
      <c r="A628" s="59" t="n"/>
      <c r="B628" s="59" t="n"/>
    </row>
    <row r="629">
      <c r="A629" s="59" t="n"/>
      <c r="B629" s="59" t="n"/>
    </row>
    <row r="630">
      <c r="A630" s="59" t="n"/>
      <c r="B630" s="59" t="n"/>
    </row>
    <row r="631">
      <c r="A631" s="59" t="n"/>
      <c r="B631" s="59" t="n"/>
    </row>
    <row r="632">
      <c r="A632" s="59" t="n"/>
      <c r="B632" s="59" t="n"/>
    </row>
    <row r="633">
      <c r="A633" s="59" t="n"/>
      <c r="B633" s="59" t="n"/>
    </row>
    <row r="634">
      <c r="A634" s="59" t="n"/>
      <c r="B634" s="59" t="n"/>
    </row>
    <row r="635">
      <c r="A635" s="59" t="n"/>
      <c r="B635" s="59" t="n"/>
    </row>
    <row r="636">
      <c r="A636" s="59" t="n"/>
      <c r="B636" s="59" t="n"/>
    </row>
    <row r="637">
      <c r="A637" s="59" t="n"/>
      <c r="B637" s="59" t="n"/>
    </row>
    <row r="638">
      <c r="A638" s="59" t="n"/>
      <c r="B638" s="59" t="n"/>
    </row>
    <row r="639">
      <c r="A639" s="59" t="n"/>
      <c r="B639" s="59" t="n"/>
    </row>
    <row r="640">
      <c r="A640" s="59" t="n"/>
      <c r="B640" s="59" t="n"/>
    </row>
    <row r="641">
      <c r="A641" s="59" t="n"/>
      <c r="B641" s="59" t="n"/>
    </row>
    <row r="642">
      <c r="A642" s="59" t="n"/>
      <c r="B642" s="59" t="n"/>
    </row>
    <row r="643">
      <c r="A643" s="59" t="n"/>
      <c r="B643" s="59" t="n"/>
    </row>
    <row r="644">
      <c r="A644" s="59" t="n"/>
      <c r="B644" s="59" t="n"/>
    </row>
    <row r="645">
      <c r="A645" s="59" t="n"/>
      <c r="B645" s="59" t="n"/>
    </row>
    <row r="646">
      <c r="A646" s="59" t="n"/>
      <c r="B646" s="59" t="n"/>
    </row>
    <row r="647">
      <c r="A647" s="59" t="n"/>
      <c r="B647" s="59" t="n"/>
    </row>
    <row r="648">
      <c r="A648" s="59" t="n"/>
      <c r="B648" s="59" t="n"/>
    </row>
    <row r="649">
      <c r="A649" s="59" t="n"/>
      <c r="B649" s="59" t="n"/>
    </row>
    <row r="650">
      <c r="A650" s="59" t="n"/>
      <c r="B650" s="59" t="n"/>
    </row>
    <row r="651">
      <c r="A651" s="59" t="n"/>
      <c r="B651" s="59" t="n"/>
    </row>
    <row r="652">
      <c r="A652" s="59" t="n"/>
      <c r="B652" s="59" t="n"/>
    </row>
    <row r="653">
      <c r="A653" s="59" t="n"/>
      <c r="B653" s="59" t="n"/>
    </row>
    <row r="654">
      <c r="A654" s="59" t="n"/>
      <c r="B654" s="59" t="n"/>
    </row>
    <row r="655">
      <c r="A655" s="59" t="n"/>
      <c r="B655" s="59" t="n"/>
    </row>
    <row r="656">
      <c r="A656" s="59" t="n"/>
      <c r="B656" s="59" t="n"/>
    </row>
    <row r="657">
      <c r="A657" s="59" t="n"/>
      <c r="B657" s="59" t="n"/>
    </row>
    <row r="658">
      <c r="A658" s="59" t="n"/>
      <c r="B658" s="59" t="n"/>
    </row>
    <row r="659">
      <c r="A659" s="59" t="n"/>
      <c r="B659" s="59" t="n"/>
    </row>
    <row r="660">
      <c r="A660" s="59" t="n"/>
      <c r="B660" s="59" t="n"/>
    </row>
    <row r="661">
      <c r="A661" s="59" t="n"/>
      <c r="B661" s="59" t="n"/>
    </row>
    <row r="662">
      <c r="A662" s="59" t="n"/>
      <c r="B662" s="59" t="n"/>
    </row>
    <row r="663">
      <c r="A663" s="59" t="n"/>
      <c r="B663" s="59" t="n"/>
    </row>
    <row r="664">
      <c r="A664" s="59" t="n"/>
      <c r="B664" s="59" t="n"/>
    </row>
    <row r="665">
      <c r="A665" s="59" t="n"/>
      <c r="B665" s="59" t="n"/>
    </row>
    <row r="666">
      <c r="A666" s="59" t="n"/>
      <c r="B666" s="59" t="n"/>
    </row>
    <row r="667">
      <c r="A667" s="59" t="n"/>
      <c r="B667" s="59" t="n"/>
    </row>
    <row r="668">
      <c r="A668" s="59" t="n"/>
      <c r="B668" s="59" t="n"/>
    </row>
    <row r="669">
      <c r="A669" s="59" t="n"/>
      <c r="B669" s="59" t="n"/>
    </row>
    <row r="670">
      <c r="A670" s="59" t="n"/>
      <c r="B670" s="59" t="n"/>
    </row>
    <row r="671">
      <c r="A671" s="59" t="n"/>
      <c r="B671" s="59" t="n"/>
    </row>
    <row r="672">
      <c r="A672" s="59" t="n"/>
      <c r="B672" s="59" t="n"/>
    </row>
    <row r="673">
      <c r="A673" s="59" t="n"/>
      <c r="B673" s="59" t="n"/>
    </row>
    <row r="674">
      <c r="A674" s="59" t="n"/>
      <c r="B674" s="59" t="n"/>
    </row>
    <row r="675">
      <c r="A675" s="59" t="n"/>
      <c r="B675" s="59" t="n"/>
    </row>
    <row r="676">
      <c r="A676" s="59" t="n"/>
      <c r="B676" s="59" t="n"/>
    </row>
    <row r="677">
      <c r="A677" s="59" t="n"/>
      <c r="B677" s="59" t="n"/>
    </row>
    <row r="678">
      <c r="A678" s="59" t="n"/>
      <c r="B678" s="59" t="n"/>
    </row>
    <row r="679">
      <c r="A679" s="59" t="n"/>
      <c r="B679" s="59" t="n"/>
    </row>
    <row r="680">
      <c r="A680" s="59" t="n"/>
      <c r="B680" s="59" t="n"/>
    </row>
    <row r="681">
      <c r="A681" s="59" t="n"/>
      <c r="B681" s="59" t="n"/>
    </row>
    <row r="682">
      <c r="A682" s="59" t="n"/>
      <c r="B682" s="59" t="n"/>
    </row>
    <row r="683">
      <c r="A683" s="59" t="n"/>
      <c r="B683" s="59" t="n"/>
    </row>
    <row r="684">
      <c r="A684" s="59" t="n"/>
      <c r="B684" s="59" t="n"/>
    </row>
    <row r="685">
      <c r="A685" s="59" t="n"/>
      <c r="B685" s="59" t="n"/>
    </row>
    <row r="686">
      <c r="A686" s="59" t="n"/>
      <c r="B686" s="59" t="n"/>
    </row>
    <row r="687">
      <c r="A687" s="59" t="n"/>
      <c r="B687" s="59" t="n"/>
    </row>
    <row r="688">
      <c r="A688" s="59" t="n"/>
      <c r="B688" s="59" t="n"/>
    </row>
    <row r="689">
      <c r="A689" s="59" t="n"/>
      <c r="B689" s="59" t="n"/>
    </row>
    <row r="690">
      <c r="A690" s="59" t="n"/>
      <c r="B690" s="59" t="n"/>
    </row>
    <row r="691">
      <c r="A691" s="59" t="n"/>
      <c r="B691" s="59" t="n"/>
    </row>
    <row r="692">
      <c r="A692" s="59" t="n"/>
      <c r="B692" s="59" t="n"/>
    </row>
    <row r="693">
      <c r="A693" s="59" t="n"/>
      <c r="B693" s="59" t="n"/>
    </row>
    <row r="694">
      <c r="A694" s="59" t="n"/>
      <c r="B694" s="59" t="n"/>
    </row>
    <row r="695">
      <c r="A695" s="59" t="n"/>
      <c r="B695" s="59" t="n"/>
    </row>
    <row r="696">
      <c r="A696" s="59" t="n"/>
      <c r="B696" s="59" t="n"/>
    </row>
    <row r="697">
      <c r="A697" s="59" t="n"/>
      <c r="B697" s="59" t="n"/>
    </row>
    <row r="698">
      <c r="A698" s="59" t="n"/>
      <c r="B698" s="59" t="n"/>
    </row>
    <row r="699">
      <c r="A699" s="59" t="n"/>
      <c r="B699" s="59" t="n"/>
    </row>
    <row r="700">
      <c r="A700" s="59" t="n"/>
      <c r="B700" s="59" t="n"/>
    </row>
    <row r="701">
      <c r="A701" s="59" t="n"/>
      <c r="B701" s="59" t="n"/>
    </row>
    <row r="702">
      <c r="A702" s="59" t="n"/>
      <c r="B702" s="59" t="n"/>
    </row>
    <row r="703">
      <c r="A703" s="59" t="n"/>
      <c r="B703" s="59" t="n"/>
    </row>
    <row r="704">
      <c r="A704" s="59" t="n"/>
      <c r="B704" s="59" t="n"/>
    </row>
    <row r="705">
      <c r="A705" s="59" t="n"/>
      <c r="B705" s="59" t="n"/>
    </row>
    <row r="706">
      <c r="A706" s="59" t="n"/>
      <c r="B706" s="59" t="n"/>
    </row>
    <row r="707">
      <c r="A707" s="59" t="n"/>
      <c r="B707" s="59" t="n"/>
    </row>
    <row r="708">
      <c r="A708" s="59" t="n"/>
      <c r="B708" s="59" t="n"/>
    </row>
    <row r="709">
      <c r="A709" s="59" t="n"/>
      <c r="B709" s="59" t="n"/>
    </row>
    <row r="710">
      <c r="A710" s="59" t="n"/>
      <c r="B710" s="59" t="n"/>
    </row>
    <row r="711">
      <c r="A711" s="59" t="n"/>
      <c r="B711" s="59" t="n"/>
    </row>
    <row r="712">
      <c r="A712" s="59" t="n"/>
      <c r="B712" s="59" t="n"/>
    </row>
    <row r="713">
      <c r="A713" s="59" t="n"/>
      <c r="B713" s="59" t="n"/>
    </row>
    <row r="714">
      <c r="A714" s="59" t="n"/>
      <c r="B714" s="59" t="n"/>
    </row>
    <row r="715">
      <c r="A715" s="59" t="n"/>
      <c r="B715" s="59" t="n"/>
    </row>
    <row r="716">
      <c r="A716" s="59" t="n"/>
      <c r="B716" s="59" t="n"/>
    </row>
    <row r="717">
      <c r="A717" s="59" t="n"/>
      <c r="B717" s="59" t="n"/>
    </row>
    <row r="718">
      <c r="A718" s="59" t="n"/>
      <c r="B718" s="59" t="n"/>
    </row>
    <row r="719">
      <c r="A719" s="59" t="n"/>
      <c r="B719" s="59" t="n"/>
    </row>
    <row r="720">
      <c r="A720" s="59" t="n"/>
      <c r="B720" s="59" t="n"/>
    </row>
    <row r="721">
      <c r="A721" s="59" t="n"/>
      <c r="B721" s="59" t="n"/>
    </row>
    <row r="722">
      <c r="A722" s="59" t="n"/>
      <c r="B722" s="59" t="n"/>
    </row>
    <row r="723">
      <c r="A723" s="59" t="n"/>
      <c r="B723" s="59" t="n"/>
    </row>
    <row r="724">
      <c r="A724" s="59" t="n"/>
      <c r="B724" s="59" t="n"/>
    </row>
    <row r="725">
      <c r="A725" s="59" t="n"/>
      <c r="B725" s="59" t="n"/>
    </row>
    <row r="726">
      <c r="A726" s="59" t="n"/>
      <c r="B726" s="59" t="n"/>
    </row>
    <row r="727">
      <c r="A727" s="59" t="n"/>
      <c r="B727" s="59" t="n"/>
    </row>
    <row r="728">
      <c r="A728" s="59" t="n"/>
      <c r="B728" s="59" t="n"/>
    </row>
    <row r="729">
      <c r="A729" s="59" t="n"/>
      <c r="B729" s="59" t="n"/>
    </row>
    <row r="730">
      <c r="A730" s="59" t="n"/>
      <c r="B730" s="59" t="n"/>
    </row>
    <row r="731">
      <c r="A731" s="59" t="n"/>
      <c r="B731" s="59" t="n"/>
    </row>
    <row r="732">
      <c r="A732" s="59" t="n"/>
      <c r="B732" s="59" t="n"/>
    </row>
    <row r="733">
      <c r="A733" s="59" t="n"/>
      <c r="B733" s="59" t="n"/>
    </row>
    <row r="734">
      <c r="A734" s="59" t="n"/>
      <c r="B734" s="59" t="n"/>
    </row>
    <row r="735">
      <c r="A735" s="59" t="n"/>
      <c r="B735" s="59" t="n"/>
    </row>
    <row r="736">
      <c r="A736" s="59" t="n"/>
      <c r="B736" s="59" t="n"/>
    </row>
    <row r="737">
      <c r="A737" s="59" t="n"/>
      <c r="B737" s="59" t="n"/>
    </row>
    <row r="738">
      <c r="A738" s="59" t="n"/>
      <c r="B738" s="59" t="n"/>
    </row>
    <row r="739">
      <c r="A739" s="59" t="n"/>
      <c r="B739" s="59" t="n"/>
    </row>
    <row r="740">
      <c r="A740" s="59" t="n"/>
      <c r="B740" s="59" t="n"/>
    </row>
    <row r="741">
      <c r="A741" s="59" t="n"/>
      <c r="B741" s="59" t="n"/>
    </row>
    <row r="742">
      <c r="A742" s="59" t="n"/>
      <c r="B742" s="59" t="n"/>
    </row>
    <row r="743">
      <c r="A743" s="59" t="n"/>
      <c r="B743" s="59" t="n"/>
    </row>
    <row r="744">
      <c r="A744" s="59" t="n"/>
      <c r="B744" s="59" t="n"/>
    </row>
    <row r="745">
      <c r="A745" s="59" t="n"/>
      <c r="B745" s="59" t="n"/>
    </row>
    <row r="746">
      <c r="A746" s="59" t="n"/>
      <c r="B746" s="59" t="n"/>
    </row>
    <row r="747">
      <c r="A747" s="59" t="n"/>
      <c r="B747" s="59" t="n"/>
    </row>
    <row r="748">
      <c r="A748" s="59" t="n"/>
      <c r="B748" s="59" t="n"/>
    </row>
    <row r="749">
      <c r="A749" s="59" t="n"/>
      <c r="B749" s="59" t="n"/>
    </row>
    <row r="750">
      <c r="A750" s="59" t="n"/>
      <c r="B750" s="59" t="n"/>
    </row>
    <row r="751">
      <c r="A751" s="59" t="n"/>
      <c r="B751" s="59" t="n"/>
    </row>
    <row r="752">
      <c r="A752" s="59" t="n"/>
      <c r="B752" s="59" t="n"/>
    </row>
    <row r="753">
      <c r="A753" s="59" t="n"/>
      <c r="B753" s="59" t="n"/>
    </row>
    <row r="754">
      <c r="A754" s="59" t="n"/>
      <c r="B754" s="59" t="n"/>
    </row>
    <row r="755">
      <c r="A755" s="59" t="n"/>
      <c r="B755" s="59" t="n"/>
    </row>
    <row r="756">
      <c r="A756" s="59" t="n"/>
      <c r="B756" s="59" t="n"/>
    </row>
    <row r="757">
      <c r="A757" s="59" t="n"/>
      <c r="B757" s="59" t="n"/>
    </row>
    <row r="758">
      <c r="A758" s="59" t="n"/>
      <c r="B758" s="59" t="n"/>
    </row>
    <row r="759">
      <c r="A759" s="59" t="n"/>
      <c r="B759" s="59" t="n"/>
    </row>
    <row r="760">
      <c r="A760" s="59" t="n"/>
      <c r="B760" s="59" t="n"/>
    </row>
    <row r="761">
      <c r="A761" s="59" t="n"/>
      <c r="B761" s="59" t="n"/>
    </row>
    <row r="762">
      <c r="A762" s="59" t="n"/>
      <c r="B762" s="59" t="n"/>
    </row>
    <row r="763">
      <c r="A763" s="59" t="n"/>
      <c r="B763" s="59" t="n"/>
    </row>
    <row r="764">
      <c r="A764" s="59" t="n"/>
      <c r="B764" s="59" t="n"/>
    </row>
    <row r="765">
      <c r="A765" s="59" t="n"/>
      <c r="B765" s="59" t="n"/>
    </row>
    <row r="766">
      <c r="A766" s="59" t="n"/>
      <c r="B766" s="59" t="n"/>
    </row>
    <row r="767">
      <c r="A767" s="59" t="n"/>
      <c r="B767" s="59" t="n"/>
    </row>
    <row r="768">
      <c r="A768" s="59" t="n"/>
      <c r="B768" s="59" t="n"/>
    </row>
    <row r="769">
      <c r="A769" s="59" t="n"/>
      <c r="B769" s="59" t="n"/>
    </row>
    <row r="770">
      <c r="A770" s="59" t="n"/>
      <c r="B770" s="59" t="n"/>
    </row>
    <row r="771">
      <c r="A771" s="59" t="n"/>
      <c r="B771" s="59" t="n"/>
    </row>
    <row r="772">
      <c r="A772" s="59" t="n"/>
      <c r="B772" s="59" t="n"/>
    </row>
    <row r="773">
      <c r="A773" s="59" t="n"/>
      <c r="B773" s="59" t="n"/>
    </row>
    <row r="774">
      <c r="A774" s="59" t="n"/>
      <c r="B774" s="59" t="n"/>
    </row>
    <row r="775">
      <c r="A775" s="59" t="n"/>
      <c r="B775" s="59" t="n"/>
    </row>
    <row r="776">
      <c r="A776" s="59" t="n"/>
      <c r="B776" s="59" t="n"/>
    </row>
    <row r="777">
      <c r="A777" s="59" t="n"/>
      <c r="B777" s="59" t="n"/>
    </row>
    <row r="778">
      <c r="A778" s="59" t="n"/>
      <c r="B778" s="59" t="n"/>
    </row>
    <row r="779">
      <c r="A779" s="59" t="n"/>
      <c r="B779" s="59" t="n"/>
    </row>
    <row r="780">
      <c r="A780" s="59" t="n"/>
      <c r="B780" s="59" t="n"/>
    </row>
    <row r="781">
      <c r="A781" s="59" t="n"/>
      <c r="B781" s="59" t="n"/>
    </row>
    <row r="782">
      <c r="A782" s="59" t="n"/>
      <c r="B782" s="59" t="n"/>
    </row>
    <row r="783">
      <c r="A783" s="59" t="n"/>
      <c r="B783" s="59" t="n"/>
    </row>
    <row r="784">
      <c r="A784" s="59" t="n"/>
      <c r="B784" s="59" t="n"/>
    </row>
    <row r="785">
      <c r="A785" s="59" t="n"/>
      <c r="B785" s="59" t="n"/>
    </row>
    <row r="786">
      <c r="A786" s="59" t="n"/>
      <c r="B786" s="59" t="n"/>
    </row>
    <row r="787">
      <c r="A787" s="59" t="n"/>
      <c r="B787" s="59" t="n"/>
    </row>
    <row r="788">
      <c r="A788" s="59" t="n"/>
      <c r="B788" s="59" t="n"/>
    </row>
    <row r="789">
      <c r="A789" s="59" t="n"/>
      <c r="B789" s="59" t="n"/>
    </row>
    <row r="790">
      <c r="A790" s="59" t="n"/>
      <c r="B790" s="59" t="n"/>
    </row>
    <row r="791">
      <c r="A791" s="59" t="n"/>
      <c r="B791" s="59" t="n"/>
    </row>
    <row r="792">
      <c r="A792" s="59" t="n"/>
      <c r="B792" s="59" t="n"/>
    </row>
    <row r="793">
      <c r="A793" s="59" t="n"/>
      <c r="B793" s="59" t="n"/>
    </row>
    <row r="794">
      <c r="A794" s="59" t="n"/>
      <c r="B794" s="59" t="n"/>
    </row>
    <row r="795">
      <c r="A795" s="59" t="n"/>
      <c r="B795" s="59" t="n"/>
    </row>
    <row r="796">
      <c r="A796" s="59" t="n"/>
      <c r="B796" s="59" t="n"/>
    </row>
    <row r="797">
      <c r="A797" s="59" t="n"/>
      <c r="B797" s="59" t="n"/>
    </row>
    <row r="798">
      <c r="A798" s="59" t="n"/>
      <c r="B798" s="59" t="n"/>
    </row>
    <row r="799">
      <c r="A799" s="59" t="n"/>
      <c r="B799" s="59" t="n"/>
    </row>
    <row r="800">
      <c r="A800" s="59" t="n"/>
      <c r="B800" s="59" t="n"/>
    </row>
    <row r="801">
      <c r="A801" s="59" t="n"/>
      <c r="B801" s="59" t="n"/>
    </row>
    <row r="802">
      <c r="A802" s="59" t="n"/>
      <c r="B802" s="59" t="n"/>
    </row>
    <row r="803">
      <c r="A803" s="59" t="n"/>
      <c r="B803" s="59" t="n"/>
    </row>
    <row r="804">
      <c r="A804" s="59" t="n"/>
      <c r="B804" s="59" t="n"/>
    </row>
    <row r="805">
      <c r="A805" s="59" t="n"/>
      <c r="B805" s="59" t="n"/>
    </row>
    <row r="806">
      <c r="A806" s="59" t="n"/>
      <c r="B806" s="59" t="n"/>
    </row>
    <row r="807">
      <c r="A807" s="59" t="n"/>
      <c r="B807" s="59" t="n"/>
    </row>
    <row r="808">
      <c r="A808" s="59" t="n"/>
      <c r="B808" s="59" t="n"/>
    </row>
    <row r="809">
      <c r="A809" s="59" t="n"/>
      <c r="B809" s="59" t="n"/>
    </row>
    <row r="810">
      <c r="A810" s="59" t="n"/>
      <c r="B810" s="59" t="n"/>
    </row>
    <row r="811">
      <c r="A811" s="59" t="n"/>
      <c r="B811" s="59" t="n"/>
    </row>
    <row r="812">
      <c r="A812" s="59" t="n"/>
      <c r="B812" s="59" t="n"/>
    </row>
    <row r="813">
      <c r="A813" s="59" t="n"/>
      <c r="B813" s="59" t="n"/>
    </row>
    <row r="814">
      <c r="A814" s="59" t="n"/>
      <c r="B814" s="59" t="n"/>
    </row>
    <row r="815">
      <c r="A815" s="59" t="n"/>
      <c r="B815" s="59" t="n"/>
    </row>
    <row r="816">
      <c r="A816" s="59" t="n"/>
      <c r="B816" s="59" t="n"/>
    </row>
    <row r="817">
      <c r="A817" s="59" t="n"/>
      <c r="B817" s="59" t="n"/>
    </row>
    <row r="818">
      <c r="A818" s="59" t="n"/>
      <c r="B818" s="59" t="n"/>
    </row>
    <row r="819">
      <c r="A819" s="59" t="n"/>
      <c r="B819" s="59" t="n"/>
    </row>
    <row r="820">
      <c r="A820" s="59" t="n"/>
      <c r="B820" s="59" t="n"/>
    </row>
    <row r="821">
      <c r="A821" s="59" t="n"/>
      <c r="B821" s="59" t="n"/>
    </row>
    <row r="822">
      <c r="A822" s="59" t="n"/>
      <c r="B822" s="59" t="n"/>
    </row>
    <row r="823">
      <c r="A823" s="59" t="n"/>
      <c r="B823" s="59" t="n"/>
    </row>
    <row r="824">
      <c r="A824" s="59" t="n"/>
      <c r="B824" s="59" t="n"/>
    </row>
    <row r="825">
      <c r="A825" s="59" t="n"/>
      <c r="B825" s="59" t="n"/>
    </row>
    <row r="826">
      <c r="A826" s="59" t="n"/>
      <c r="B826" s="59" t="n"/>
    </row>
    <row r="827">
      <c r="A827" s="59" t="n"/>
      <c r="B827" s="59" t="n"/>
    </row>
    <row r="828">
      <c r="A828" s="59" t="n"/>
      <c r="B828" s="59" t="n"/>
    </row>
    <row r="829">
      <c r="A829" s="59" t="n"/>
      <c r="B829" s="59" t="n"/>
    </row>
    <row r="830">
      <c r="A830" s="59" t="n"/>
      <c r="B830" s="59" t="n"/>
    </row>
    <row r="831">
      <c r="A831" s="59" t="n"/>
      <c r="B831" s="59" t="n"/>
    </row>
    <row r="832">
      <c r="A832" s="59" t="n"/>
      <c r="B832" s="59" t="n"/>
    </row>
    <row r="833">
      <c r="A833" s="59" t="n"/>
      <c r="B833" s="59" t="n"/>
    </row>
    <row r="834">
      <c r="A834" s="59" t="n"/>
      <c r="B834" s="59" t="n"/>
    </row>
    <row r="835">
      <c r="A835" s="59" t="n"/>
      <c r="B835" s="59" t="n"/>
    </row>
    <row r="836">
      <c r="A836" s="59" t="n"/>
      <c r="B836" s="59" t="n"/>
    </row>
    <row r="837">
      <c r="A837" s="59" t="n"/>
      <c r="B837" s="59" t="n"/>
    </row>
    <row r="838">
      <c r="A838" s="59" t="n"/>
      <c r="B838" s="59" t="n"/>
    </row>
    <row r="839">
      <c r="A839" s="59" t="n"/>
      <c r="B839" s="59" t="n"/>
    </row>
    <row r="840">
      <c r="A840" s="59" t="n"/>
      <c r="B840" s="59" t="n"/>
    </row>
    <row r="841">
      <c r="A841" s="59" t="n"/>
      <c r="B841" s="59" t="n"/>
    </row>
    <row r="842">
      <c r="A842" s="59" t="n"/>
      <c r="B842" s="59" t="n"/>
    </row>
    <row r="843">
      <c r="A843" s="59" t="n"/>
      <c r="B843" s="59" t="n"/>
    </row>
    <row r="844">
      <c r="A844" s="59" t="n"/>
      <c r="B844" s="59" t="n"/>
    </row>
    <row r="845">
      <c r="A845" s="59" t="n"/>
      <c r="B845" s="59" t="n"/>
    </row>
    <row r="846">
      <c r="A846" s="59" t="n"/>
      <c r="B846" s="59" t="n"/>
    </row>
    <row r="847">
      <c r="A847" s="59" t="n"/>
      <c r="B847" s="59" t="n"/>
    </row>
    <row r="848">
      <c r="A848" s="59" t="n"/>
      <c r="B848" s="59" t="n"/>
    </row>
    <row r="849">
      <c r="A849" s="59" t="n"/>
      <c r="B849" s="59" t="n"/>
    </row>
    <row r="850">
      <c r="A850" s="59" t="n"/>
      <c r="B850" s="59" t="n"/>
    </row>
    <row r="851">
      <c r="A851" s="59" t="n"/>
      <c r="B851" s="59" t="n"/>
    </row>
    <row r="852">
      <c r="A852" s="59" t="n"/>
      <c r="B852" s="59" t="n"/>
    </row>
    <row r="853">
      <c r="A853" s="59" t="n"/>
      <c r="B853" s="59" t="n"/>
    </row>
    <row r="854">
      <c r="A854" s="59" t="n"/>
      <c r="B854" s="59" t="n"/>
    </row>
    <row r="855">
      <c r="A855" s="59" t="n"/>
      <c r="B855" s="59" t="n"/>
    </row>
    <row r="856">
      <c r="A856" s="59" t="n"/>
      <c r="B856" s="59" t="n"/>
    </row>
    <row r="857">
      <c r="A857" s="59" t="n"/>
      <c r="B857" s="59" t="n"/>
    </row>
    <row r="858">
      <c r="A858" s="59" t="n"/>
      <c r="B858" s="59" t="n"/>
    </row>
    <row r="859">
      <c r="A859" s="59" t="n"/>
      <c r="B859" s="59" t="n"/>
    </row>
    <row r="860">
      <c r="A860" s="59" t="n"/>
      <c r="B860" s="59" t="n"/>
    </row>
    <row r="861">
      <c r="A861" s="59" t="n"/>
      <c r="B861" s="59" t="n"/>
    </row>
    <row r="862">
      <c r="A862" s="59" t="n"/>
      <c r="B862" s="59" t="n"/>
    </row>
    <row r="863">
      <c r="A863" s="59" t="n"/>
      <c r="B863" s="59" t="n"/>
    </row>
    <row r="864">
      <c r="A864" s="59" t="n"/>
      <c r="B864" s="59" t="n"/>
    </row>
    <row r="865">
      <c r="A865" s="59" t="n"/>
      <c r="B865" s="59" t="n"/>
    </row>
    <row r="866">
      <c r="A866" s="59" t="n"/>
      <c r="B866" s="59" t="n"/>
    </row>
    <row r="867">
      <c r="A867" s="59" t="n"/>
      <c r="B867" s="59" t="n"/>
    </row>
    <row r="868">
      <c r="A868" s="59" t="n"/>
      <c r="B868" s="59" t="n"/>
    </row>
    <row r="869">
      <c r="A869" s="59" t="n"/>
      <c r="B869" s="59" t="n"/>
    </row>
    <row r="870">
      <c r="A870" s="59" t="n"/>
      <c r="B870" s="59" t="n"/>
    </row>
    <row r="871">
      <c r="A871" s="59" t="n"/>
      <c r="B871" s="59" t="n"/>
    </row>
    <row r="872">
      <c r="A872" s="59" t="n"/>
      <c r="B872" s="59" t="n"/>
    </row>
    <row r="873">
      <c r="A873" s="59" t="n"/>
      <c r="B873" s="59" t="n"/>
    </row>
    <row r="874">
      <c r="A874" s="59" t="n"/>
      <c r="B874" s="59" t="n"/>
    </row>
    <row r="875">
      <c r="A875" s="59" t="n"/>
      <c r="B875" s="59" t="n"/>
    </row>
    <row r="876">
      <c r="A876" s="59" t="n"/>
      <c r="B876" s="59" t="n"/>
    </row>
    <row r="877">
      <c r="A877" s="59" t="n"/>
      <c r="B877" s="59" t="n"/>
    </row>
    <row r="878">
      <c r="A878" s="59" t="n"/>
      <c r="B878" s="59" t="n"/>
    </row>
    <row r="879">
      <c r="A879" s="59" t="n"/>
      <c r="B879" s="59" t="n"/>
    </row>
    <row r="880">
      <c r="A880" s="59" t="n"/>
      <c r="B880" s="59" t="n"/>
    </row>
    <row r="881">
      <c r="A881" s="59" t="n"/>
      <c r="B881" s="59" t="n"/>
    </row>
    <row r="882">
      <c r="A882" s="59" t="n"/>
      <c r="B882" s="59" t="n"/>
    </row>
    <row r="883">
      <c r="A883" s="59" t="n"/>
      <c r="B883" s="59" t="n"/>
    </row>
    <row r="884">
      <c r="A884" s="59" t="n"/>
      <c r="B884" s="59" t="n"/>
    </row>
    <row r="885">
      <c r="A885" s="59" t="n"/>
      <c r="B885" s="59" t="n"/>
    </row>
    <row r="886">
      <c r="A886" s="59" t="n"/>
      <c r="B886" s="59" t="n"/>
    </row>
    <row r="887">
      <c r="A887" s="59" t="n"/>
      <c r="B887" s="59" t="n"/>
    </row>
    <row r="888">
      <c r="A888" s="59" t="n"/>
      <c r="B888" s="59" t="n"/>
    </row>
    <row r="889">
      <c r="A889" s="59" t="n"/>
      <c r="B889" s="59" t="n"/>
    </row>
    <row r="890">
      <c r="A890" s="59" t="n"/>
      <c r="B890" s="59" t="n"/>
    </row>
    <row r="891">
      <c r="A891" s="59" t="n"/>
      <c r="B891" s="59" t="n"/>
    </row>
    <row r="892">
      <c r="A892" s="59" t="n"/>
      <c r="B892" s="59" t="n"/>
    </row>
    <row r="893">
      <c r="A893" s="59" t="n"/>
      <c r="B893" s="59" t="n"/>
    </row>
    <row r="894">
      <c r="A894" s="59" t="n"/>
      <c r="B894" s="59" t="n"/>
    </row>
    <row r="895">
      <c r="A895" s="59" t="n"/>
      <c r="B895" s="59" t="n"/>
    </row>
    <row r="896">
      <c r="A896" s="59" t="n"/>
      <c r="B896" s="59" t="n"/>
    </row>
    <row r="897">
      <c r="A897" s="59" t="n"/>
      <c r="B897" s="59" t="n"/>
    </row>
    <row r="898">
      <c r="A898" s="59" t="n"/>
      <c r="B898" s="59" t="n"/>
    </row>
    <row r="899">
      <c r="A899" s="59" t="n"/>
      <c r="B899" s="59" t="n"/>
    </row>
    <row r="900">
      <c r="A900" s="59" t="n"/>
      <c r="B900" s="59" t="n"/>
    </row>
    <row r="901">
      <c r="A901" s="59" t="n"/>
      <c r="B901" s="59" t="n"/>
    </row>
    <row r="902">
      <c r="A902" s="59" t="n"/>
      <c r="B902" s="59" t="n"/>
    </row>
    <row r="903">
      <c r="A903" s="59" t="n"/>
      <c r="B903" s="59" t="n"/>
    </row>
    <row r="904">
      <c r="A904" s="59" t="n"/>
      <c r="B904" s="59" t="n"/>
    </row>
    <row r="905">
      <c r="A905" s="59" t="n"/>
      <c r="B905" s="59" t="n"/>
    </row>
    <row r="906">
      <c r="A906" s="59" t="n"/>
      <c r="B906" s="59" t="n"/>
    </row>
    <row r="907">
      <c r="A907" s="59" t="n"/>
      <c r="B907" s="59" t="n"/>
    </row>
    <row r="908">
      <c r="A908" s="59" t="n"/>
      <c r="B908" s="59" t="n"/>
    </row>
    <row r="909">
      <c r="A909" s="59" t="n"/>
      <c r="B909" s="59" t="n"/>
    </row>
    <row r="910">
      <c r="A910" s="59" t="n"/>
      <c r="B910" s="59" t="n"/>
    </row>
    <row r="911">
      <c r="A911" s="59" t="n"/>
      <c r="B911" s="59" t="n"/>
    </row>
    <row r="912">
      <c r="A912" s="59" t="n"/>
      <c r="B912" s="59" t="n"/>
    </row>
    <row r="913">
      <c r="A913" s="59" t="n"/>
      <c r="B913" s="59" t="n"/>
    </row>
    <row r="914">
      <c r="A914" s="59" t="n"/>
      <c r="B914" s="59" t="n"/>
    </row>
    <row r="915">
      <c r="A915" s="59" t="n"/>
      <c r="B915" s="59" t="n"/>
    </row>
    <row r="916">
      <c r="A916" s="59" t="n"/>
      <c r="B916" s="59" t="n"/>
    </row>
    <row r="917">
      <c r="A917" s="59" t="n"/>
      <c r="B917" s="59" t="n"/>
    </row>
    <row r="918">
      <c r="A918" s="59" t="n"/>
      <c r="B918" s="59" t="n"/>
    </row>
    <row r="919">
      <c r="A919" s="59" t="n"/>
      <c r="B919" s="59" t="n"/>
    </row>
    <row r="920">
      <c r="A920" s="59" t="n"/>
      <c r="B920" s="59" t="n"/>
    </row>
    <row r="921">
      <c r="A921" s="59" t="n"/>
      <c r="B921" s="59" t="n"/>
    </row>
    <row r="922">
      <c r="A922" s="59" t="n"/>
      <c r="B922" s="59" t="n"/>
    </row>
    <row r="923">
      <c r="A923" s="59" t="n"/>
      <c r="B923" s="59" t="n"/>
    </row>
    <row r="924">
      <c r="A924" s="59" t="n"/>
      <c r="B924" s="59" t="n"/>
    </row>
    <row r="925">
      <c r="A925" s="59" t="n"/>
      <c r="B925" s="59" t="n"/>
    </row>
    <row r="926">
      <c r="A926" s="59" t="n"/>
      <c r="B926" s="59" t="n"/>
    </row>
    <row r="927">
      <c r="A927" s="59" t="n"/>
      <c r="B927" s="59" t="n"/>
    </row>
    <row r="928">
      <c r="A928" s="59" t="n"/>
      <c r="B928" s="59" t="n"/>
    </row>
    <row r="929">
      <c r="A929" s="59" t="n"/>
      <c r="B929" s="59" t="n"/>
    </row>
    <row r="930">
      <c r="A930" s="59" t="n"/>
      <c r="B930" s="59" t="n"/>
    </row>
    <row r="931">
      <c r="A931" s="59" t="n"/>
      <c r="B931" s="59" t="n"/>
    </row>
    <row r="932">
      <c r="A932" s="59" t="n"/>
      <c r="B932" s="59" t="n"/>
    </row>
    <row r="933">
      <c r="A933" s="59" t="n"/>
      <c r="B933" s="59" t="n"/>
    </row>
    <row r="934">
      <c r="A934" s="59" t="n"/>
      <c r="B934" s="59" t="n"/>
    </row>
    <row r="935">
      <c r="A935" s="59" t="n"/>
      <c r="B935" s="59" t="n"/>
    </row>
    <row r="936">
      <c r="A936" s="59" t="n"/>
      <c r="B936" s="59" t="n"/>
    </row>
    <row r="937">
      <c r="A937" s="59" t="n"/>
      <c r="B937" s="59" t="n"/>
    </row>
    <row r="938">
      <c r="A938" s="59" t="n"/>
      <c r="B938" s="59" t="n"/>
    </row>
    <row r="939">
      <c r="A939" s="59" t="n"/>
      <c r="B939" s="59" t="n"/>
    </row>
    <row r="940">
      <c r="A940" s="59" t="n"/>
      <c r="B940" s="59" t="n"/>
    </row>
    <row r="941">
      <c r="A941" s="59" t="n"/>
      <c r="B941" s="59" t="n"/>
    </row>
    <row r="942">
      <c r="A942" s="59" t="n"/>
      <c r="B942" s="59" t="n"/>
    </row>
    <row r="943">
      <c r="A943" s="59" t="n"/>
      <c r="B943" s="59" t="n"/>
    </row>
    <row r="944">
      <c r="A944" s="59" t="n"/>
      <c r="B944" s="59" t="n"/>
    </row>
    <row r="945">
      <c r="A945" s="59" t="n"/>
      <c r="B945" s="59" t="n"/>
    </row>
    <row r="946">
      <c r="A946" s="59" t="n"/>
      <c r="B946" s="59" t="n"/>
    </row>
    <row r="947">
      <c r="A947" s="59" t="n"/>
      <c r="B947" s="59" t="n"/>
    </row>
    <row r="948">
      <c r="A948" s="59" t="n"/>
      <c r="B948" s="59" t="n"/>
    </row>
    <row r="949">
      <c r="A949" s="59" t="n"/>
      <c r="B949" s="59" t="n"/>
    </row>
    <row r="950">
      <c r="A950" s="59" t="n"/>
      <c r="B950" s="59" t="n"/>
    </row>
    <row r="951">
      <c r="A951" s="59" t="n"/>
      <c r="B951" s="59" t="n"/>
    </row>
    <row r="952">
      <c r="A952" s="59" t="n"/>
      <c r="B952" s="59" t="n"/>
    </row>
    <row r="953">
      <c r="A953" s="59" t="n"/>
      <c r="B953" s="59" t="n"/>
    </row>
    <row r="954">
      <c r="A954" s="59" t="n"/>
      <c r="B954" s="59" t="n"/>
    </row>
    <row r="955">
      <c r="A955" s="59" t="n"/>
      <c r="B955" s="59" t="n"/>
    </row>
    <row r="956">
      <c r="A956" s="59" t="n"/>
      <c r="B956" s="59" t="n"/>
    </row>
    <row r="957">
      <c r="A957" s="59" t="n"/>
      <c r="B957" s="59" t="n"/>
    </row>
    <row r="958">
      <c r="A958" s="59" t="n"/>
      <c r="B958" s="59" t="n"/>
    </row>
    <row r="959">
      <c r="A959" s="59" t="n"/>
      <c r="B959" s="59" t="n"/>
    </row>
    <row r="960">
      <c r="A960" s="59" t="n"/>
      <c r="B960" s="59" t="n"/>
    </row>
    <row r="961">
      <c r="A961" s="59" t="n"/>
      <c r="B961" s="59" t="n"/>
    </row>
    <row r="962">
      <c r="A962" s="59" t="n"/>
      <c r="B962" s="59" t="n"/>
    </row>
    <row r="963">
      <c r="A963" s="59" t="n"/>
      <c r="B963" s="59" t="n"/>
    </row>
    <row r="964">
      <c r="A964" s="59" t="n"/>
      <c r="B964" s="59" t="n"/>
    </row>
    <row r="965">
      <c r="A965" s="59" t="n"/>
      <c r="B965" s="59" t="n"/>
    </row>
    <row r="966">
      <c r="A966" s="59" t="n"/>
      <c r="B966" s="59" t="n"/>
    </row>
    <row r="967">
      <c r="A967" s="59" t="n"/>
      <c r="B967" s="59" t="n"/>
    </row>
    <row r="968">
      <c r="A968" s="59" t="n"/>
      <c r="B968" s="59" t="n"/>
    </row>
    <row r="969">
      <c r="A969" s="59" t="n"/>
      <c r="B969" s="59" t="n"/>
    </row>
    <row r="970">
      <c r="A970" s="59" t="n"/>
      <c r="B970" s="59" t="n"/>
    </row>
    <row r="971">
      <c r="A971" s="59" t="n"/>
      <c r="B971" s="59" t="n"/>
    </row>
    <row r="972">
      <c r="A972" s="59" t="n"/>
      <c r="B972" s="59" t="n"/>
    </row>
    <row r="973">
      <c r="A973" s="59" t="n"/>
      <c r="B973" s="59" t="n"/>
    </row>
    <row r="974">
      <c r="A974" s="59" t="n"/>
      <c r="B974" s="59" t="n"/>
    </row>
    <row r="975">
      <c r="A975" s="59" t="n"/>
      <c r="B975" s="59" t="n"/>
    </row>
    <row r="976">
      <c r="A976" s="59" t="n"/>
      <c r="B976" s="59" t="n"/>
    </row>
    <row r="977">
      <c r="A977" s="59" t="n"/>
      <c r="B977" s="59" t="n"/>
    </row>
    <row r="978">
      <c r="A978" s="59" t="n"/>
      <c r="B978" s="59" t="n"/>
    </row>
    <row r="979">
      <c r="A979" s="59" t="n"/>
      <c r="B979" s="59" t="n"/>
    </row>
    <row r="980">
      <c r="A980" s="59" t="n"/>
      <c r="B980" s="59" t="n"/>
    </row>
    <row r="981">
      <c r="A981" s="59" t="n"/>
      <c r="B981" s="59" t="n"/>
    </row>
    <row r="982">
      <c r="A982" s="59" t="n"/>
      <c r="B982" s="59" t="n"/>
    </row>
    <row r="983">
      <c r="A983" s="59" t="n"/>
      <c r="B983" s="59" t="n"/>
    </row>
    <row r="984">
      <c r="A984" s="59" t="n"/>
      <c r="B984" s="59" t="n"/>
    </row>
    <row r="985">
      <c r="A985" s="59" t="n"/>
      <c r="B985" s="59" t="n"/>
    </row>
    <row r="986">
      <c r="A986" s="59" t="n"/>
      <c r="B986" s="59" t="n"/>
    </row>
    <row r="987">
      <c r="A987" s="59" t="n"/>
      <c r="B987" s="59" t="n"/>
    </row>
    <row r="988">
      <c r="A988" s="59" t="n"/>
      <c r="B988" s="59" t="n"/>
    </row>
    <row r="989">
      <c r="A989" s="59" t="n"/>
      <c r="B989" s="59" t="n"/>
    </row>
    <row r="990">
      <c r="A990" s="59" t="n"/>
      <c r="B990" s="59" t="n"/>
    </row>
    <row r="991">
      <c r="A991" s="59" t="n"/>
      <c r="B991" s="59" t="n"/>
    </row>
    <row r="992">
      <c r="A992" s="59" t="n"/>
      <c r="B992" s="59" t="n"/>
    </row>
    <row r="993">
      <c r="A993" s="59" t="n"/>
      <c r="B993" s="59" t="n"/>
    </row>
    <row r="994">
      <c r="A994" s="59" t="n"/>
      <c r="B994" s="59" t="n"/>
    </row>
    <row r="995">
      <c r="A995" s="59" t="n"/>
      <c r="B995" s="59" t="n"/>
    </row>
    <row r="996">
      <c r="A996" s="59" t="n"/>
      <c r="B996" s="59" t="n"/>
    </row>
    <row r="997">
      <c r="A997" s="59" t="n"/>
      <c r="B997" s="59" t="n"/>
    </row>
    <row r="998">
      <c r="A998" s="59" t="n"/>
      <c r="B998" s="59" t="n"/>
    </row>
    <row r="999">
      <c r="A999" s="59" t="n"/>
      <c r="B999" s="59" t="n"/>
    </row>
    <row r="1000">
      <c r="A1000" s="59" t="n"/>
      <c r="B1000" s="59" t="n"/>
    </row>
  </sheetData>
  <pageMargins left="0.75" right="0.75" top="1" bottom="1" header="0.5" footer="0.5"/>
</worksheet>
</file>

<file path=xl/worksheets/sheet10.xml><?xml version="1.0" encoding="utf-8"?>
<worksheet xmlns="http://schemas.openxmlformats.org/spreadsheetml/2006/main">
  <sheetPr>
    <outlinePr summaryBelow="0" summaryRight="0"/>
    <pageSetUpPr/>
  </sheetPr>
  <dimension ref="A1:A1"/>
  <sheetViews>
    <sheetView workbookViewId="0">
      <selection activeCell="A1" sqref="A1"/>
    </sheetView>
  </sheetViews>
  <sheetFormatPr baseColWidth="8" defaultColWidth="12.63" defaultRowHeight="15.75" customHeight="1"/>
  <sheetData>
    <row r="1">
      <c r="A1" s="60" t="inlineStr">
        <is>
          <t>D) ADHERENCE SCORE (1–5)
Question this answers:
“How reliably did this client show up and follow the plan when nobody was chasing them?”
This is about attendance + compliance, not results.
1 — Very Poor Adherence
Frequently misses sessions without notice
Long gaps (2–4 weeks) with no training
Often “restarts” programs
Rarely completes prescribed work outside sessions
Coaching relationship feels reactive
Red flags:
“Life keeps getting in the way”
Needs constant reminders
Attendance &lt;50%
2 — Inconsistent / Fragile
Attends in bursts, then drops off
Misses ~30–40% of scheduled sessions
Compliance improves only when supervised
Rarely completes homework (steps, mobility, nutrition)
Attendance roughly 50–65%
3 — Moderately Consistent (Baseline)
Attends most scheduled sessions
Misses occasionally but communicates
Completes core program, skips extras
Shows up even when tired or busy
Needs reminders but responds
Attendance roughly 65–80%
👉 This is the default score for most people.
4 — Highly Consistent
Rarely misses sessions
Communicates proactively when conflicts arise
Completes most prescribed work
Shows discipline during stressful periods
Self-corrects when off-track
Attendance roughly 80–90%
5 — Exceptionally Consistent
Near-perfect attendance
Never needs chasing
Treats training like a non-negotiable appointment
Completes sessions, homework, and check-ins reliably
Has trained through holidays, stress, or discomfort (appropriately)
Attendance &gt;90% over months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2026-03-23T08:57:01Z</dcterms:created>
  <dcterms:modified xmlns:dcterms="http://purl.org/dc/terms/" xmlns:xsi="http://www.w3.org/2001/XMLSchema-instance" xsi:type="dcterms:W3CDTF">2026-03-23T08:57:47Z</dcterms:modified>
</cp:coreProperties>
</file>